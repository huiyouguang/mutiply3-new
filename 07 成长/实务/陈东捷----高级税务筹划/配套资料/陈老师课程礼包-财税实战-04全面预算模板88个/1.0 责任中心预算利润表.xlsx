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47" activeTab="2"/>
  </bookViews>
  <sheets>
    <sheet name="利润表汇总" sheetId="1" r:id="rId1"/>
    <sheet name="销售预算(从销售明细预算表中复制）" sheetId="2" state="hidden" r:id="rId2"/>
    <sheet name="“搓麻绳”利润表" sheetId="3" r:id="rId3"/>
  </sheets>
  <calcPr calcId="144525"/>
</workbook>
</file>

<file path=xl/sharedStrings.xml><?xml version="1.0" encoding="utf-8"?>
<sst xmlns="http://schemas.openxmlformats.org/spreadsheetml/2006/main" count="189" uniqueCount="97">
  <si>
    <t>当年实际数据截止年月</t>
  </si>
  <si>
    <t>责任中心预算利润表</t>
  </si>
  <si>
    <t>预算科目</t>
  </si>
  <si>
    <r>
      <rPr>
        <b/>
        <sz val="11"/>
        <color theme="0"/>
        <rFont val="等线"/>
        <charset val="134"/>
        <scheme val="minor"/>
      </rPr>
      <t>当年估计</t>
    </r>
    <r>
      <rPr>
        <sz val="11"/>
        <color theme="0"/>
        <rFont val="等线"/>
        <charset val="134"/>
        <scheme val="minor"/>
      </rPr>
      <t>：</t>
    </r>
    <r>
      <rPr>
        <sz val="9"/>
        <color theme="0"/>
        <rFont val="等线"/>
        <charset val="134"/>
        <scheme val="minor"/>
      </rPr>
      <t>根据底稿汇总、对齐</t>
    </r>
  </si>
  <si>
    <t>校准调整</t>
  </si>
  <si>
    <t>估计定稿</t>
  </si>
  <si>
    <r>
      <rPr>
        <b/>
        <sz val="11"/>
        <color theme="0"/>
        <rFont val="等线"/>
        <charset val="134"/>
        <scheme val="minor"/>
      </rPr>
      <t>下年预算</t>
    </r>
    <r>
      <rPr>
        <sz val="11"/>
        <color theme="0"/>
        <rFont val="等线"/>
        <charset val="134"/>
        <scheme val="minor"/>
      </rPr>
      <t>:</t>
    </r>
    <r>
      <rPr>
        <sz val="9"/>
        <color theme="0"/>
        <rFont val="等线"/>
        <charset val="134"/>
        <scheme val="minor"/>
      </rPr>
      <t>根据底稿汇总、对齐</t>
    </r>
  </si>
  <si>
    <t>预算定稿</t>
  </si>
  <si>
    <t>金额</t>
  </si>
  <si>
    <t>数据来源</t>
  </si>
  <si>
    <t>调整金额</t>
  </si>
  <si>
    <t>调整原因</t>
  </si>
  <si>
    <t>差异金额</t>
  </si>
  <si>
    <t>%</t>
  </si>
  <si>
    <t>差异原因</t>
  </si>
  <si>
    <t>主营收入</t>
  </si>
  <si>
    <t>1.1 销售收入及毛利预算</t>
  </si>
  <si>
    <t>主营成本</t>
  </si>
  <si>
    <t>自动计算</t>
  </si>
  <si>
    <t>主营毛利</t>
  </si>
  <si>
    <t>毛利率</t>
  </si>
  <si>
    <t>销售及管理费用</t>
  </si>
  <si>
    <t>费率</t>
  </si>
  <si>
    <t>人力资源投入</t>
  </si>
  <si>
    <t>2.1 人力资源预算</t>
  </si>
  <si>
    <t>资产折旧摊销</t>
  </si>
  <si>
    <t>2.4 长期资产预算</t>
  </si>
  <si>
    <t>市场推广投入</t>
  </si>
  <si>
    <t>2.5 市场推广预算</t>
  </si>
  <si>
    <t>…</t>
  </si>
  <si>
    <t>日常运营费用</t>
  </si>
  <si>
    <t>1.2.3 日常费用预算</t>
  </si>
  <si>
    <t>资金成本</t>
  </si>
  <si>
    <t>资金成本率</t>
  </si>
  <si>
    <t>应收占用资金成本</t>
  </si>
  <si>
    <t>2.2.1 营运资金占用预算</t>
  </si>
  <si>
    <t>应付抵减资金成本</t>
  </si>
  <si>
    <t>成品存货占用资金成本</t>
  </si>
  <si>
    <t>材料及半成品占用资金成本</t>
  </si>
  <si>
    <t>生产资产占用资金成本</t>
  </si>
  <si>
    <t>其他收支</t>
  </si>
  <si>
    <t>经济利润</t>
  </si>
  <si>
    <t>经济利润率</t>
  </si>
  <si>
    <t>销售预算校准表</t>
  </si>
  <si>
    <t>当年实际截止日期</t>
  </si>
  <si>
    <t>销售收入目标（O)</t>
  </si>
  <si>
    <t>明细表格</t>
  </si>
  <si>
    <t>实际</t>
  </si>
  <si>
    <t>估计</t>
  </si>
  <si>
    <t>预算</t>
  </si>
  <si>
    <t>差异（E-A)</t>
  </si>
  <si>
    <t>说明</t>
  </si>
  <si>
    <t>差异(B-E)</t>
  </si>
  <si>
    <t>销售明细（客户）</t>
  </si>
  <si>
    <t>请说明差异原因</t>
  </si>
  <si>
    <t>销售明细（产品）</t>
  </si>
  <si>
    <t>销售明细（渠道）</t>
  </si>
  <si>
    <t>销售明细（部门/业务员）</t>
  </si>
  <si>
    <t>销售明细（月份）</t>
  </si>
  <si>
    <t>销售毛利率目标（O)</t>
  </si>
  <si>
    <t>A:实际数   E:估计数  B:预算数   YTD：从1月1日至报表中实际数的截止日  YTG: 从报表中实际数的截止日次日开始到年底</t>
  </si>
  <si>
    <t>历年实际数，从历年销售明细表中自动取数</t>
  </si>
  <si>
    <t>当年估计数，需要手工输入</t>
  </si>
  <si>
    <t>下年预算数，需要手工输入</t>
  </si>
  <si>
    <t>“搓麻绳”：责任中心预算</t>
  </si>
  <si>
    <t>公司</t>
  </si>
  <si>
    <t>流程中心</t>
  </si>
  <si>
    <t>改善中心</t>
  </si>
  <si>
    <t>创新中心</t>
  </si>
  <si>
    <t>支持中心</t>
  </si>
  <si>
    <t>销售中心</t>
  </si>
  <si>
    <t>制造中心</t>
  </si>
  <si>
    <t>流程优化
项目组</t>
  </si>
  <si>
    <t>战略预算
项目组</t>
  </si>
  <si>
    <t>产品
研发部</t>
  </si>
  <si>
    <t>XX
试验室</t>
  </si>
  <si>
    <t>XX
孵化业务</t>
  </si>
  <si>
    <t>财务部</t>
  </si>
  <si>
    <t>人力资源部</t>
  </si>
  <si>
    <t>IT部</t>
  </si>
  <si>
    <t>运营费用</t>
  </si>
  <si>
    <t>其中：</t>
  </si>
  <si>
    <t>销售中心可控费用</t>
  </si>
  <si>
    <t>制造中心可控费用</t>
  </si>
  <si>
    <t>持续改善经费</t>
  </si>
  <si>
    <t>战略创新经费</t>
  </si>
  <si>
    <t>支持部门经费</t>
  </si>
  <si>
    <t>税金</t>
  </si>
  <si>
    <t>说明：</t>
  </si>
  <si>
    <t>1. 公司的“销售成本”：</t>
  </si>
  <si>
    <t>公司的“销售成本”=产品标准材料+产品标准人工</t>
  </si>
  <si>
    <t>2. 销售中心的“销售成本”</t>
  </si>
  <si>
    <t>销售中心的“销售成本”=产品标准材料+产品标准人工+销售收入*销售中心分摊费率</t>
  </si>
  <si>
    <t>销售中心分摊费率=（预算运营费用-预算销售中心可控费用）/预算销售收入
                             +（预算应收占用资金成本+预算成品存货占用资金成本）/预算销售收入</t>
  </si>
  <si>
    <t>3. 制造中心的“销售成本”</t>
  </si>
  <si>
    <t>制造中心的“销售成本”=产品标准材料+产品标准人工+销售收入*制造中心分摊费率</t>
  </si>
  <si>
    <t>制造中心分摊费率=（预算运营费用-预算制造中心可控费用）/预算销售收入
                             +（预算应付占用资金成本+预算成品存货占用资金成本+预算材料及半成品占用资金成本+生产资产占用资金成本）/预算销售收入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</si>
</sst>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_ * #,##0_ ;_ * \-#,##0_ ;_ * &quot;-&quot;??_ ;_ @_ "/>
    <numFmt numFmtId="41" formatCode="_ * #,##0_ ;_ * \-#,##0_ ;_ * &quot;-&quot;_ ;_ @_ "/>
    <numFmt numFmtId="43" formatCode="_ * #,##0.00_ ;_ * \-#,##0.00_ ;_ * &quot;-&quot;??_ ;_ @_ "/>
    <numFmt numFmtId="177" formatCode="0.0%"/>
  </numFmts>
  <fonts count="40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26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24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8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22"/>
      <color theme="1"/>
      <name val="等线"/>
      <charset val="134"/>
      <scheme val="minor"/>
    </font>
    <font>
      <sz val="10"/>
      <color theme="0"/>
      <name val="等线"/>
      <charset val="134"/>
      <scheme val="minor"/>
    </font>
    <font>
      <b/>
      <sz val="10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9C0006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9"/>
      <color theme="0"/>
      <name val="等线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theme="1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1"/>
      </top>
      <bottom/>
      <diagonal/>
    </border>
    <border>
      <left style="thin">
        <color theme="0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medium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/>
      <top style="thin">
        <color auto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auto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theme="1"/>
      </left>
      <right style="thin">
        <color auto="1"/>
      </right>
      <top/>
      <bottom/>
      <diagonal/>
    </border>
    <border>
      <left style="thin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medium">
        <color auto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auto="1"/>
      </right>
      <top style="medium">
        <color auto="1"/>
      </top>
      <bottom/>
      <diagonal/>
    </border>
    <border>
      <left style="thin">
        <color theme="1"/>
      </left>
      <right style="medium">
        <color auto="1"/>
      </right>
      <top/>
      <bottom/>
      <diagonal/>
    </border>
    <border>
      <left style="thin">
        <color theme="1"/>
      </left>
      <right style="medium">
        <color auto="1"/>
      </right>
      <top/>
      <bottom style="thin">
        <color theme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5" fillId="0" borderId="0" applyFont="0" applyFill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8" fillId="16" borderId="88" applyNumberFormat="0" applyAlignment="0" applyProtection="0">
      <alignment vertical="center"/>
    </xf>
    <xf numFmtId="44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5" fillId="28" borderId="90" applyNumberFormat="0" applyFont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0" fillId="0" borderId="85" applyNumberFormat="0" applyFill="0" applyAlignment="0" applyProtection="0">
      <alignment vertical="center"/>
    </xf>
    <xf numFmtId="0" fontId="32" fillId="0" borderId="85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6" fillId="0" borderId="87" applyNumberFormat="0" applyFill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4" fillId="15" borderId="86" applyNumberFormat="0" applyAlignment="0" applyProtection="0">
      <alignment vertical="center"/>
    </xf>
    <xf numFmtId="0" fontId="36" fillId="15" borderId="88" applyNumberFormat="0" applyAlignment="0" applyProtection="0">
      <alignment vertical="center"/>
    </xf>
    <xf numFmtId="0" fontId="34" fillId="27" borderId="89" applyNumberFormat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19" fillId="0" borderId="84" applyNumberFormat="0" applyFill="0" applyAlignment="0" applyProtection="0">
      <alignment vertical="center"/>
    </xf>
    <xf numFmtId="0" fontId="38" fillId="0" borderId="91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>
      <alignment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 wrapText="1"/>
    </xf>
    <xf numFmtId="0" fontId="1" fillId="0" borderId="5" xfId="0" applyFont="1" applyBorder="1">
      <alignment vertical="center"/>
    </xf>
    <xf numFmtId="0" fontId="0" fillId="0" borderId="6" xfId="0" applyBorder="1">
      <alignment vertical="center"/>
    </xf>
    <xf numFmtId="0" fontId="1" fillId="0" borderId="7" xfId="0" applyFont="1" applyBorder="1">
      <alignment vertical="center"/>
    </xf>
    <xf numFmtId="0" fontId="5" fillId="0" borderId="7" xfId="0" applyFont="1" applyBorder="1">
      <alignment vertical="center"/>
    </xf>
    <xf numFmtId="0" fontId="0" fillId="3" borderId="7" xfId="0" applyFill="1" applyBorder="1">
      <alignment vertical="center"/>
    </xf>
    <xf numFmtId="0" fontId="1" fillId="0" borderId="8" xfId="0" applyFont="1" applyBorder="1">
      <alignment vertical="center"/>
    </xf>
    <xf numFmtId="0" fontId="0" fillId="0" borderId="9" xfId="0" applyBorder="1">
      <alignment vertical="center"/>
    </xf>
    <xf numFmtId="0" fontId="5" fillId="0" borderId="10" xfId="0" applyFont="1" applyBorder="1">
      <alignment vertical="center"/>
    </xf>
    <xf numFmtId="0" fontId="0" fillId="0" borderId="11" xfId="0" applyBorder="1">
      <alignment vertical="center"/>
    </xf>
    <xf numFmtId="0" fontId="0" fillId="0" borderId="10" xfId="0" applyBorder="1">
      <alignment vertical="center"/>
    </xf>
    <xf numFmtId="0" fontId="1" fillId="0" borderId="12" xfId="0" applyFont="1" applyBorder="1">
      <alignment vertical="center"/>
    </xf>
    <xf numFmtId="0" fontId="0" fillId="0" borderId="13" xfId="0" applyBorder="1">
      <alignment vertical="center"/>
    </xf>
    <xf numFmtId="0" fontId="1" fillId="0" borderId="14" xfId="0" applyFont="1" applyBorder="1">
      <alignment vertical="center"/>
    </xf>
    <xf numFmtId="0" fontId="0" fillId="0" borderId="15" xfId="0" applyBorder="1">
      <alignment vertical="center"/>
    </xf>
    <xf numFmtId="0" fontId="1" fillId="0" borderId="15" xfId="0" applyFont="1" applyBorder="1">
      <alignment vertical="center"/>
    </xf>
    <xf numFmtId="0" fontId="5" fillId="0" borderId="5" xfId="0" applyFont="1" applyBorder="1">
      <alignment vertical="center"/>
    </xf>
    <xf numFmtId="0" fontId="0" fillId="0" borderId="7" xfId="0" applyBorder="1">
      <alignment vertical="center"/>
    </xf>
    <xf numFmtId="0" fontId="1" fillId="4" borderId="16" xfId="0" applyFont="1" applyFill="1" applyBorder="1">
      <alignment vertical="center"/>
    </xf>
    <xf numFmtId="0" fontId="0" fillId="4" borderId="17" xfId="0" applyFill="1" applyBorder="1">
      <alignment vertical="center"/>
    </xf>
    <xf numFmtId="0" fontId="1" fillId="4" borderId="18" xfId="0" applyFont="1" applyFill="1" applyBorder="1">
      <alignment vertical="center"/>
    </xf>
    <xf numFmtId="0" fontId="0" fillId="4" borderId="19" xfId="0" applyFill="1" applyBorder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0" fillId="0" borderId="14" xfId="0" applyBorder="1">
      <alignment vertical="center"/>
    </xf>
    <xf numFmtId="0" fontId="0" fillId="4" borderId="18" xfId="0" applyFill="1" applyBorder="1">
      <alignment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vertical="center" wrapText="1"/>
    </xf>
    <xf numFmtId="0" fontId="1" fillId="0" borderId="22" xfId="0" applyFont="1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4" borderId="25" xfId="0" applyFill="1" applyBorder="1">
      <alignment vertical="center"/>
    </xf>
    <xf numFmtId="0" fontId="6" fillId="0" borderId="0" xfId="0" applyFont="1">
      <alignment vertical="center"/>
    </xf>
    <xf numFmtId="0" fontId="0" fillId="5" borderId="0" xfId="0" applyFill="1">
      <alignment vertical="center"/>
    </xf>
    <xf numFmtId="0" fontId="7" fillId="0" borderId="0" xfId="0" applyFont="1" applyAlignment="1">
      <alignment horizontal="center" vertical="center"/>
    </xf>
    <xf numFmtId="0" fontId="8" fillId="0" borderId="26" xfId="0" applyFont="1" applyBorder="1" applyAlignment="1">
      <alignment horizontal="right" vertical="center"/>
    </xf>
    <xf numFmtId="14" fontId="8" fillId="0" borderId="26" xfId="0" applyNumberFormat="1" applyFont="1" applyBorder="1" applyAlignment="1" applyProtection="1">
      <alignment horizontal="center" vertical="center"/>
      <protection locked="0"/>
    </xf>
    <xf numFmtId="0" fontId="8" fillId="0" borderId="27" xfId="0" applyFont="1" applyBorder="1" applyAlignment="1" applyProtection="1">
      <alignment horizontal="center" vertical="center"/>
      <protection locked="0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28" xfId="0" applyFont="1" applyBorder="1" applyAlignment="1">
      <alignment horizontal="right" vertical="center"/>
    </xf>
    <xf numFmtId="0" fontId="10" fillId="0" borderId="2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30" xfId="0" applyFont="1" applyBorder="1" applyAlignment="1">
      <alignment horizontal="right" vertical="center"/>
    </xf>
    <xf numFmtId="176" fontId="6" fillId="0" borderId="29" xfId="8" applyNumberFormat="1" applyFont="1" applyBorder="1" applyProtection="1">
      <alignment vertical="center"/>
      <protection locked="0"/>
    </xf>
    <xf numFmtId="176" fontId="6" fillId="0" borderId="0" xfId="8" applyNumberFormat="1" applyFont="1" applyBorder="1">
      <alignment vertical="center"/>
    </xf>
    <xf numFmtId="0" fontId="4" fillId="6" borderId="31" xfId="0" applyFont="1" applyFill="1" applyBorder="1" applyAlignment="1">
      <alignment horizontal="center" vertical="center"/>
    </xf>
    <xf numFmtId="0" fontId="4" fillId="6" borderId="32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 vertical="center"/>
    </xf>
    <xf numFmtId="0" fontId="4" fillId="6" borderId="34" xfId="0" applyFont="1" applyFill="1" applyBorder="1" applyAlignment="1">
      <alignment horizontal="center" vertical="center"/>
    </xf>
    <xf numFmtId="0" fontId="4" fillId="6" borderId="35" xfId="0" applyFont="1" applyFill="1" applyBorder="1" applyAlignment="1">
      <alignment horizontal="center" vertical="center"/>
    </xf>
    <xf numFmtId="0" fontId="4" fillId="6" borderId="35" xfId="0" applyFont="1" applyFill="1" applyBorder="1" applyAlignment="1">
      <alignment horizontal="center" vertical="center" wrapText="1"/>
    </xf>
    <xf numFmtId="0" fontId="4" fillId="6" borderId="36" xfId="0" applyFont="1" applyFill="1" applyBorder="1" applyAlignment="1">
      <alignment horizontal="center" vertical="center"/>
    </xf>
    <xf numFmtId="0" fontId="0" fillId="0" borderId="37" xfId="0" applyBorder="1">
      <alignment vertical="center"/>
    </xf>
    <xf numFmtId="176" fontId="0" fillId="7" borderId="10" xfId="8" applyNumberFormat="1" applyFont="1" applyFill="1" applyBorder="1">
      <alignment vertical="center"/>
    </xf>
    <xf numFmtId="176" fontId="0" fillId="8" borderId="38" xfId="8" applyNumberFormat="1" applyFont="1" applyFill="1" applyBorder="1">
      <alignment vertical="center"/>
    </xf>
    <xf numFmtId="176" fontId="0" fillId="9" borderId="39" xfId="8" applyNumberFormat="1" applyFont="1" applyFill="1" applyBorder="1">
      <alignment vertical="center"/>
    </xf>
    <xf numFmtId="0" fontId="11" fillId="0" borderId="9" xfId="0" applyFont="1" applyBorder="1" applyAlignment="1">
      <alignment vertical="center" wrapText="1"/>
    </xf>
    <xf numFmtId="176" fontId="0" fillId="0" borderId="9" xfId="8" applyNumberFormat="1" applyFont="1" applyBorder="1">
      <alignment vertical="center"/>
    </xf>
    <xf numFmtId="0" fontId="0" fillId="0" borderId="40" xfId="0" applyBorder="1">
      <alignment vertical="center"/>
    </xf>
    <xf numFmtId="176" fontId="0" fillId="7" borderId="41" xfId="8" applyNumberFormat="1" applyFont="1" applyFill="1" applyBorder="1">
      <alignment vertical="center"/>
    </xf>
    <xf numFmtId="176" fontId="0" fillId="8" borderId="42" xfId="8" applyNumberFormat="1" applyFont="1" applyFill="1" applyBorder="1">
      <alignment vertical="center"/>
    </xf>
    <xf numFmtId="176" fontId="0" fillId="9" borderId="43" xfId="8" applyNumberFormat="1" applyFont="1" applyFill="1" applyBorder="1">
      <alignment vertical="center"/>
    </xf>
    <xf numFmtId="0" fontId="11" fillId="0" borderId="44" xfId="0" applyFont="1" applyBorder="1" applyAlignment="1">
      <alignment vertical="center" wrapText="1"/>
    </xf>
    <xf numFmtId="176" fontId="0" fillId="0" borderId="44" xfId="8" applyNumberFormat="1" applyFont="1" applyBorder="1">
      <alignment vertical="center"/>
    </xf>
    <xf numFmtId="0" fontId="0" fillId="0" borderId="45" xfId="0" applyBorder="1">
      <alignment vertical="center"/>
    </xf>
    <xf numFmtId="176" fontId="0" fillId="7" borderId="46" xfId="8" applyNumberFormat="1" applyFont="1" applyFill="1" applyBorder="1">
      <alignment vertical="center"/>
    </xf>
    <xf numFmtId="176" fontId="0" fillId="8" borderId="47" xfId="0" applyNumberFormat="1" applyFill="1" applyBorder="1">
      <alignment vertical="center"/>
    </xf>
    <xf numFmtId="176" fontId="0" fillId="9" borderId="48" xfId="8" applyNumberFormat="1" applyFont="1" applyFill="1" applyBorder="1">
      <alignment vertical="center"/>
    </xf>
    <xf numFmtId="0" fontId="11" fillId="0" borderId="49" xfId="0" applyFont="1" applyBorder="1" applyAlignment="1">
      <alignment vertical="center" wrapText="1"/>
    </xf>
    <xf numFmtId="176" fontId="0" fillId="0" borderId="49" xfId="8" applyNumberFormat="1" applyFont="1" applyBorder="1">
      <alignment vertical="center"/>
    </xf>
    <xf numFmtId="177" fontId="6" fillId="0" borderId="29" xfId="11" applyNumberFormat="1" applyFont="1" applyBorder="1" applyProtection="1">
      <alignment vertical="center"/>
      <protection locked="0"/>
    </xf>
    <xf numFmtId="177" fontId="0" fillId="7" borderId="10" xfId="11" applyNumberFormat="1" applyFont="1" applyFill="1" applyBorder="1">
      <alignment vertical="center"/>
    </xf>
    <xf numFmtId="177" fontId="0" fillId="8" borderId="38" xfId="11" applyNumberFormat="1" applyFont="1" applyFill="1" applyBorder="1">
      <alignment vertical="center"/>
    </xf>
    <xf numFmtId="177" fontId="0" fillId="9" borderId="39" xfId="11" applyNumberFormat="1" applyFont="1" applyFill="1" applyBorder="1">
      <alignment vertical="center"/>
    </xf>
    <xf numFmtId="177" fontId="0" fillId="7" borderId="41" xfId="11" applyNumberFormat="1" applyFont="1" applyFill="1" applyBorder="1">
      <alignment vertical="center"/>
    </xf>
    <xf numFmtId="177" fontId="0" fillId="8" borderId="42" xfId="11" applyNumberFormat="1" applyFont="1" applyFill="1" applyBorder="1">
      <alignment vertical="center"/>
    </xf>
    <xf numFmtId="177" fontId="0" fillId="9" borderId="43" xfId="11" applyNumberFormat="1" applyFont="1" applyFill="1" applyBorder="1">
      <alignment vertical="center"/>
    </xf>
    <xf numFmtId="177" fontId="0" fillId="7" borderId="46" xfId="11" applyNumberFormat="1" applyFont="1" applyFill="1" applyBorder="1">
      <alignment vertical="center"/>
    </xf>
    <xf numFmtId="177" fontId="0" fillId="8" borderId="47" xfId="11" applyNumberFormat="1" applyFont="1" applyFill="1" applyBorder="1">
      <alignment vertical="center"/>
    </xf>
    <xf numFmtId="177" fontId="0" fillId="9" borderId="48" xfId="11" applyNumberFormat="1" applyFont="1" applyFill="1" applyBorder="1">
      <alignment vertical="center"/>
    </xf>
    <xf numFmtId="176" fontId="0" fillId="0" borderId="0" xfId="8" applyNumberFormat="1" applyFont="1" applyFill="1" applyBorder="1">
      <alignment vertical="center"/>
    </xf>
    <xf numFmtId="176" fontId="0" fillId="0" borderId="0" xfId="0" applyNumberFormat="1">
      <alignment vertical="center"/>
    </xf>
    <xf numFmtId="0" fontId="11" fillId="0" borderId="0" xfId="0" applyFont="1" applyAlignment="1">
      <alignment vertical="center" wrapText="1"/>
    </xf>
    <xf numFmtId="0" fontId="0" fillId="7" borderId="43" xfId="0" applyFill="1" applyBorder="1">
      <alignment vertical="center"/>
    </xf>
    <xf numFmtId="0" fontId="0" fillId="9" borderId="43" xfId="0" applyFill="1" applyBorder="1" applyProtection="1">
      <alignment vertical="center"/>
      <protection locked="0"/>
    </xf>
    <xf numFmtId="0" fontId="5" fillId="10" borderId="43" xfId="0" applyFont="1" applyFill="1" applyBorder="1" applyProtection="1">
      <alignment vertical="center"/>
      <protection locked="0"/>
    </xf>
    <xf numFmtId="0" fontId="4" fillId="6" borderId="50" xfId="0" applyFont="1" applyFill="1" applyBorder="1" applyAlignment="1">
      <alignment horizontal="center" vertical="center"/>
    </xf>
    <xf numFmtId="177" fontId="12" fillId="0" borderId="10" xfId="11" applyNumberFormat="1" applyFont="1" applyBorder="1">
      <alignment vertical="center"/>
    </xf>
    <xf numFmtId="0" fontId="12" fillId="0" borderId="39" xfId="0" applyFont="1" applyBorder="1" applyProtection="1">
      <alignment vertical="center"/>
      <protection locked="0"/>
    </xf>
    <xf numFmtId="176" fontId="0" fillId="11" borderId="10" xfId="8" applyNumberFormat="1" applyFont="1" applyFill="1" applyBorder="1">
      <alignment vertical="center"/>
    </xf>
    <xf numFmtId="176" fontId="0" fillId="0" borderId="10" xfId="8" applyNumberFormat="1" applyFont="1" applyBorder="1">
      <alignment vertical="center"/>
    </xf>
    <xf numFmtId="177" fontId="13" fillId="0" borderId="38" xfId="11" applyNumberFormat="1" applyFont="1" applyBorder="1">
      <alignment vertical="center"/>
    </xf>
    <xf numFmtId="0" fontId="12" fillId="0" borderId="51" xfId="0" applyFont="1" applyBorder="1" applyProtection="1">
      <alignment vertical="center"/>
      <protection locked="0"/>
    </xf>
    <xf numFmtId="177" fontId="12" fillId="0" borderId="41" xfId="11" applyNumberFormat="1" applyFont="1" applyBorder="1">
      <alignment vertical="center"/>
    </xf>
    <xf numFmtId="0" fontId="12" fillId="0" borderId="43" xfId="0" applyFont="1" applyBorder="1" applyProtection="1">
      <alignment vertical="center"/>
      <protection locked="0"/>
    </xf>
    <xf numFmtId="176" fontId="0" fillId="11" borderId="41" xfId="8" applyNumberFormat="1" applyFont="1" applyFill="1" applyBorder="1">
      <alignment vertical="center"/>
    </xf>
    <xf numFmtId="176" fontId="0" fillId="0" borderId="41" xfId="8" applyNumberFormat="1" applyFont="1" applyBorder="1">
      <alignment vertical="center"/>
    </xf>
    <xf numFmtId="177" fontId="13" fillId="0" borderId="42" xfId="11" applyNumberFormat="1" applyFont="1" applyBorder="1">
      <alignment vertical="center"/>
    </xf>
    <xf numFmtId="0" fontId="12" fillId="0" borderId="52" xfId="0" applyFont="1" applyBorder="1" applyProtection="1">
      <alignment vertical="center"/>
      <protection locked="0"/>
    </xf>
    <xf numFmtId="177" fontId="12" fillId="0" borderId="46" xfId="11" applyNumberFormat="1" applyFont="1" applyBorder="1">
      <alignment vertical="center"/>
    </xf>
    <xf numFmtId="0" fontId="12" fillId="0" borderId="48" xfId="0" applyFont="1" applyBorder="1" applyProtection="1">
      <alignment vertical="center"/>
      <protection locked="0"/>
    </xf>
    <xf numFmtId="176" fontId="0" fillId="11" borderId="46" xfId="8" applyNumberFormat="1" applyFont="1" applyFill="1" applyBorder="1">
      <alignment vertical="center"/>
    </xf>
    <xf numFmtId="176" fontId="0" fillId="0" borderId="46" xfId="8" applyNumberFormat="1" applyFont="1" applyBorder="1">
      <alignment vertical="center"/>
    </xf>
    <xf numFmtId="177" fontId="13" fillId="0" borderId="47" xfId="11" applyNumberFormat="1" applyFont="1" applyBorder="1">
      <alignment vertical="center"/>
    </xf>
    <xf numFmtId="0" fontId="12" fillId="0" borderId="53" xfId="0" applyFont="1" applyBorder="1" applyProtection="1">
      <alignment vertical="center"/>
      <protection locked="0"/>
    </xf>
    <xf numFmtId="177" fontId="0" fillId="11" borderId="10" xfId="11" applyNumberFormat="1" applyFont="1" applyFill="1" applyBorder="1">
      <alignment vertical="center"/>
    </xf>
    <xf numFmtId="177" fontId="0" fillId="11" borderId="41" xfId="11" applyNumberFormat="1" applyFont="1" applyFill="1" applyBorder="1">
      <alignment vertical="center"/>
    </xf>
    <xf numFmtId="177" fontId="0" fillId="11" borderId="46" xfId="11" applyNumberFormat="1" applyFont="1" applyFill="1" applyBorder="1">
      <alignment vertical="center"/>
    </xf>
    <xf numFmtId="177" fontId="12" fillId="0" borderId="0" xfId="11" applyNumberFormat="1" applyFont="1" applyFill="1" applyBorder="1">
      <alignment vertical="center"/>
    </xf>
    <xf numFmtId="0" fontId="12" fillId="0" borderId="0" xfId="0" applyFont="1" applyProtection="1">
      <alignment vertical="center"/>
      <protection locked="0"/>
    </xf>
    <xf numFmtId="177" fontId="13" fillId="0" borderId="0" xfId="11" applyNumberFormat="1" applyFont="1" applyFill="1" applyBorder="1">
      <alignment vertical="center"/>
    </xf>
    <xf numFmtId="0" fontId="14" fillId="0" borderId="0" xfId="0" applyFont="1">
      <alignment vertical="center"/>
    </xf>
    <xf numFmtId="14" fontId="0" fillId="0" borderId="0" xfId="0" applyNumberForma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3" fillId="2" borderId="54" xfId="0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horizontal="center" vertical="center"/>
    </xf>
    <xf numFmtId="0" fontId="3" fillId="2" borderId="56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3" fillId="2" borderId="58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59" xfId="0" applyFont="1" applyFill="1" applyBorder="1" applyAlignment="1">
      <alignment horizontal="center" vertical="center"/>
    </xf>
    <xf numFmtId="0" fontId="4" fillId="2" borderId="60" xfId="0" applyFont="1" applyFill="1" applyBorder="1">
      <alignment vertical="center"/>
    </xf>
    <xf numFmtId="0" fontId="16" fillId="2" borderId="60" xfId="0" applyFont="1" applyFill="1" applyBorder="1">
      <alignment vertical="center"/>
    </xf>
    <xf numFmtId="0" fontId="1" fillId="0" borderId="61" xfId="0" applyFont="1" applyBorder="1">
      <alignment vertical="center"/>
    </xf>
    <xf numFmtId="0" fontId="0" fillId="0" borderId="62" xfId="0" applyBorder="1">
      <alignment vertical="center"/>
    </xf>
    <xf numFmtId="0" fontId="1" fillId="5" borderId="63" xfId="0" applyFont="1" applyFill="1" applyBorder="1">
      <alignment vertical="center"/>
    </xf>
    <xf numFmtId="0" fontId="14" fillId="0" borderId="64" xfId="0" applyFont="1" applyBorder="1">
      <alignment vertical="center"/>
    </xf>
    <xf numFmtId="0" fontId="1" fillId="0" borderId="63" xfId="0" applyFont="1" applyBorder="1">
      <alignment vertical="center"/>
    </xf>
    <xf numFmtId="0" fontId="5" fillId="0" borderId="62" xfId="0" applyFont="1" applyBorder="1">
      <alignment vertical="center"/>
    </xf>
    <xf numFmtId="0" fontId="0" fillId="0" borderId="0" xfId="0" applyBorder="1">
      <alignment vertical="center"/>
    </xf>
    <xf numFmtId="0" fontId="5" fillId="8" borderId="65" xfId="0" applyFont="1" applyFill="1" applyBorder="1">
      <alignment vertical="center"/>
    </xf>
    <xf numFmtId="0" fontId="14" fillId="0" borderId="6" xfId="0" applyFont="1" applyBorder="1">
      <alignment vertical="center"/>
    </xf>
    <xf numFmtId="0" fontId="5" fillId="0" borderId="65" xfId="0" applyFont="1" applyBorder="1">
      <alignment vertical="center"/>
    </xf>
    <xf numFmtId="0" fontId="5" fillId="0" borderId="0" xfId="0" applyFont="1" applyBorder="1">
      <alignment vertical="center"/>
    </xf>
    <xf numFmtId="0" fontId="14" fillId="0" borderId="66" xfId="0" applyFont="1" applyBorder="1">
      <alignment vertical="center"/>
    </xf>
    <xf numFmtId="0" fontId="14" fillId="0" borderId="67" xfId="0" applyFont="1" applyBorder="1">
      <alignment vertical="center"/>
    </xf>
    <xf numFmtId="177" fontId="14" fillId="5" borderId="39" xfId="11" applyNumberFormat="1" applyFont="1" applyFill="1" applyBorder="1">
      <alignment vertical="center"/>
    </xf>
    <xf numFmtId="9" fontId="14" fillId="8" borderId="39" xfId="11" applyFont="1" applyFill="1" applyBorder="1">
      <alignment vertical="center"/>
    </xf>
    <xf numFmtId="0" fontId="14" fillId="0" borderId="0" xfId="0" applyFont="1" applyBorder="1">
      <alignment vertical="center"/>
    </xf>
    <xf numFmtId="0" fontId="1" fillId="8" borderId="7" xfId="0" applyFont="1" applyFill="1" applyBorder="1">
      <alignment vertical="center"/>
    </xf>
    <xf numFmtId="0" fontId="1" fillId="0" borderId="68" xfId="0" applyFont="1" applyBorder="1">
      <alignment vertical="center"/>
    </xf>
    <xf numFmtId="0" fontId="14" fillId="0" borderId="5" xfId="0" applyFont="1" applyBorder="1">
      <alignment vertical="center"/>
    </xf>
    <xf numFmtId="177" fontId="14" fillId="8" borderId="7" xfId="11" applyNumberFormat="1" applyFont="1" applyFill="1" applyBorder="1">
      <alignment vertical="center"/>
    </xf>
    <xf numFmtId="0" fontId="17" fillId="0" borderId="69" xfId="0" applyFont="1" applyBorder="1">
      <alignment vertical="center"/>
    </xf>
    <xf numFmtId="0" fontId="13" fillId="0" borderId="69" xfId="0" applyFont="1" applyBorder="1">
      <alignment vertical="center"/>
    </xf>
    <xf numFmtId="0" fontId="14" fillId="0" borderId="7" xfId="0" applyFont="1" applyBorder="1">
      <alignment vertical="center"/>
    </xf>
    <xf numFmtId="0" fontId="1" fillId="0" borderId="69" xfId="0" applyFont="1" applyBorder="1">
      <alignment vertical="center"/>
    </xf>
    <xf numFmtId="0" fontId="14" fillId="0" borderId="69" xfId="0" applyFont="1" applyBorder="1">
      <alignment vertical="center"/>
    </xf>
    <xf numFmtId="0" fontId="0" fillId="0" borderId="69" xfId="0" applyBorder="1">
      <alignment vertical="center"/>
    </xf>
    <xf numFmtId="0" fontId="17" fillId="8" borderId="7" xfId="0" applyFont="1" applyFill="1" applyBorder="1">
      <alignment vertical="center"/>
    </xf>
    <xf numFmtId="0" fontId="13" fillId="0" borderId="70" xfId="0" applyFont="1" applyBorder="1">
      <alignment vertical="center"/>
    </xf>
    <xf numFmtId="0" fontId="14" fillId="0" borderId="70" xfId="0" applyFont="1" applyBorder="1">
      <alignment vertical="center"/>
    </xf>
    <xf numFmtId="0" fontId="14" fillId="0" borderId="71" xfId="0" applyFont="1" applyBorder="1">
      <alignment vertical="center"/>
    </xf>
    <xf numFmtId="0" fontId="14" fillId="0" borderId="9" xfId="0" applyFont="1" applyBorder="1">
      <alignment vertical="center"/>
    </xf>
    <xf numFmtId="0" fontId="14" fillId="0" borderId="10" xfId="0" applyFont="1" applyBorder="1">
      <alignment vertical="center"/>
    </xf>
    <xf numFmtId="0" fontId="0" fillId="0" borderId="38" xfId="0" applyBorder="1">
      <alignment vertical="center"/>
    </xf>
    <xf numFmtId="0" fontId="1" fillId="0" borderId="5" xfId="0" applyFont="1" applyFill="1" applyBorder="1">
      <alignment vertical="center"/>
    </xf>
    <xf numFmtId="0" fontId="0" fillId="0" borderId="6" xfId="0" applyFill="1" applyBorder="1">
      <alignment vertical="center"/>
    </xf>
    <xf numFmtId="0" fontId="1" fillId="0" borderId="69" xfId="0" applyFont="1" applyFill="1" applyBorder="1">
      <alignment vertical="center"/>
    </xf>
    <xf numFmtId="0" fontId="14" fillId="0" borderId="16" xfId="0" applyFont="1" applyBorder="1">
      <alignment vertical="center"/>
    </xf>
    <xf numFmtId="0" fontId="14" fillId="0" borderId="19" xfId="0" applyFont="1" applyBorder="1">
      <alignment vertical="center"/>
    </xf>
    <xf numFmtId="177" fontId="14" fillId="8" borderId="18" xfId="11" applyNumberFormat="1" applyFont="1" applyFill="1" applyBorder="1">
      <alignment vertical="center"/>
    </xf>
    <xf numFmtId="0" fontId="17" fillId="0" borderId="18" xfId="0" applyFont="1" applyBorder="1">
      <alignment vertical="center"/>
    </xf>
    <xf numFmtId="0" fontId="17" fillId="0" borderId="72" xfId="0" applyFont="1" applyBorder="1">
      <alignment vertical="center"/>
    </xf>
    <xf numFmtId="0" fontId="18" fillId="2" borderId="57" xfId="0" applyFont="1" applyFill="1" applyBorder="1" applyAlignment="1">
      <alignment horizontal="center" vertical="center" wrapText="1"/>
    </xf>
    <xf numFmtId="0" fontId="4" fillId="5" borderId="57" xfId="0" applyFont="1" applyFill="1" applyBorder="1" applyAlignment="1">
      <alignment horizontal="center" vertical="center"/>
    </xf>
    <xf numFmtId="0" fontId="4" fillId="2" borderId="73" xfId="0" applyFont="1" applyFill="1" applyBorder="1" applyAlignment="1">
      <alignment horizontal="left" vertical="center"/>
    </xf>
    <xf numFmtId="0" fontId="18" fillId="2" borderId="60" xfId="0" applyFont="1" applyFill="1" applyBorder="1" applyAlignment="1">
      <alignment horizontal="center" vertical="center"/>
    </xf>
    <xf numFmtId="0" fontId="4" fillId="5" borderId="60" xfId="0" applyFont="1" applyFill="1" applyBorder="1" applyAlignment="1">
      <alignment horizontal="center" vertical="center"/>
    </xf>
    <xf numFmtId="0" fontId="1" fillId="8" borderId="63" xfId="0" applyFont="1" applyFill="1" applyBorder="1">
      <alignment vertical="center"/>
    </xf>
    <xf numFmtId="0" fontId="1" fillId="8" borderId="74" xfId="0" applyFont="1" applyFill="1" applyBorder="1">
      <alignment vertical="center"/>
    </xf>
    <xf numFmtId="0" fontId="1" fillId="8" borderId="75" xfId="0" applyFont="1" applyFill="1" applyBorder="1">
      <alignment vertical="center"/>
    </xf>
    <xf numFmtId="177" fontId="14" fillId="8" borderId="76" xfId="11" applyNumberFormat="1" applyFont="1" applyFill="1" applyBorder="1">
      <alignment vertical="center"/>
    </xf>
    <xf numFmtId="0" fontId="1" fillId="8" borderId="6" xfId="0" applyFont="1" applyFill="1" applyBorder="1">
      <alignment vertical="center"/>
    </xf>
    <xf numFmtId="177" fontId="14" fillId="8" borderId="6" xfId="11" applyNumberFormat="1" applyFont="1" applyFill="1" applyBorder="1">
      <alignment vertical="center"/>
    </xf>
    <xf numFmtId="0" fontId="0" fillId="8" borderId="65" xfId="0" applyFill="1" applyBorder="1">
      <alignment vertical="center"/>
    </xf>
    <xf numFmtId="0" fontId="0" fillId="8" borderId="6" xfId="0" applyFill="1" applyBorder="1">
      <alignment vertical="center"/>
    </xf>
    <xf numFmtId="0" fontId="1" fillId="8" borderId="65" xfId="0" applyFont="1" applyFill="1" applyBorder="1">
      <alignment vertical="center"/>
    </xf>
    <xf numFmtId="0" fontId="0" fillId="8" borderId="39" xfId="0" applyFill="1" applyBorder="1">
      <alignment vertical="center"/>
    </xf>
    <xf numFmtId="0" fontId="0" fillId="8" borderId="9" xfId="0" applyFill="1" applyBorder="1">
      <alignment vertical="center"/>
    </xf>
    <xf numFmtId="0" fontId="0" fillId="8" borderId="60" xfId="0" applyFill="1" applyBorder="1">
      <alignment vertical="center"/>
    </xf>
    <xf numFmtId="0" fontId="0" fillId="0" borderId="0" xfId="0" applyFill="1" applyBorder="1">
      <alignment vertical="center"/>
    </xf>
    <xf numFmtId="177" fontId="14" fillId="8" borderId="17" xfId="11" applyNumberFormat="1" applyFont="1" applyFill="1" applyBorder="1">
      <alignment vertical="center"/>
    </xf>
    <xf numFmtId="0" fontId="4" fillId="2" borderId="77" xfId="0" applyFont="1" applyFill="1" applyBorder="1" applyAlignment="1">
      <alignment horizontal="left" vertical="center"/>
    </xf>
    <xf numFmtId="0" fontId="4" fillId="2" borderId="78" xfId="0" applyFont="1" applyFill="1" applyBorder="1" applyAlignment="1">
      <alignment horizontal="left" vertical="center"/>
    </xf>
    <xf numFmtId="0" fontId="4" fillId="2" borderId="79" xfId="0" applyFont="1" applyFill="1" applyBorder="1" applyAlignment="1">
      <alignment horizontal="center" vertical="center"/>
    </xf>
    <xf numFmtId="0" fontId="4" fillId="2" borderId="80" xfId="0" applyFont="1" applyFill="1" applyBorder="1">
      <alignment vertical="center"/>
    </xf>
    <xf numFmtId="177" fontId="1" fillId="8" borderId="74" xfId="11" applyNumberFormat="1" applyFont="1" applyFill="1" applyBorder="1">
      <alignment vertical="center"/>
    </xf>
    <xf numFmtId="0" fontId="1" fillId="0" borderId="81" xfId="0" applyFont="1" applyBorder="1">
      <alignment vertical="center"/>
    </xf>
    <xf numFmtId="177" fontId="1" fillId="8" borderId="75" xfId="11" applyNumberFormat="1" applyFont="1" applyFill="1" applyBorder="1">
      <alignment vertical="center"/>
    </xf>
    <xf numFmtId="0" fontId="1" fillId="0" borderId="82" xfId="0" applyFont="1" applyBorder="1">
      <alignment vertical="center"/>
    </xf>
    <xf numFmtId="0" fontId="14" fillId="0" borderId="83" xfId="0" applyFont="1" applyBorder="1">
      <alignment vertical="center"/>
    </xf>
    <xf numFmtId="177" fontId="1" fillId="8" borderId="0" xfId="11" applyNumberFormat="1" applyFont="1" applyFill="1" applyBorder="1">
      <alignment vertical="center"/>
    </xf>
    <xf numFmtId="177" fontId="14" fillId="8" borderId="0" xfId="11" applyNumberFormat="1" applyFont="1" applyFill="1" applyBorder="1">
      <alignment vertical="center"/>
    </xf>
    <xf numFmtId="0" fontId="17" fillId="0" borderId="22" xfId="0" applyFont="1" applyBorder="1">
      <alignment vertical="center"/>
    </xf>
    <xf numFmtId="177" fontId="0" fillId="8" borderId="0" xfId="11" applyNumberFormat="1" applyFont="1" applyFill="1" applyBorder="1">
      <alignment vertical="center"/>
    </xf>
    <xf numFmtId="177" fontId="0" fillId="8" borderId="11" xfId="11" applyNumberFormat="1" applyFont="1" applyFill="1" applyBorder="1">
      <alignment vertical="center"/>
    </xf>
    <xf numFmtId="0" fontId="1" fillId="0" borderId="22" xfId="0" applyFont="1" applyFill="1" applyBorder="1">
      <alignment vertical="center"/>
    </xf>
    <xf numFmtId="177" fontId="14" fillId="8" borderId="19" xfId="11" applyNumberFormat="1" applyFont="1" applyFill="1" applyBorder="1">
      <alignment vertical="center"/>
    </xf>
    <xf numFmtId="0" fontId="17" fillId="0" borderId="25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color theme="0"/>
      </font>
      <fill>
        <patternFill patternType="solid">
          <bgColor rgb="FFFF0000"/>
        </patternFill>
      </fill>
    </dxf>
    <dxf>
      <fill>
        <patternFill patternType="solid">
          <bgColor theme="7" tint="0.599963377788629"/>
        </patternFill>
      </fill>
    </dxf>
  </dxfs>
  <tableStyles count="0" defaultTableStyle="TableStyleMedium2" defaultPivotStyle="PivotStyleLight16"/>
  <colors>
    <mruColors>
      <color rgb="0087CB3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B1:R26"/>
  <sheetViews>
    <sheetView showGridLines="0" zoomScale="97" zoomScaleNormal="97" workbookViewId="0">
      <selection activeCell="O5" sqref="O5"/>
    </sheetView>
  </sheetViews>
  <sheetFormatPr defaultColWidth="9" defaultRowHeight="13.8"/>
  <cols>
    <col min="2" max="2" width="3.11111111111111" customWidth="1"/>
    <col min="3" max="3" width="2.11111111111111" customWidth="1"/>
    <col min="4" max="4" width="24.1111111111111" customWidth="1"/>
    <col min="5" max="5" width="8.66666666666667" customWidth="1" outlineLevel="1"/>
    <col min="6" max="6" width="19.8888888888889" customWidth="1" outlineLevel="1"/>
    <col min="7" max="8" width="8.66666666666667" customWidth="1" outlineLevel="1"/>
    <col min="9" max="9" width="10.7777777777778" customWidth="1"/>
    <col min="10" max="10" width="1.55555555555556" customWidth="1"/>
    <col min="11" max="11" width="8.66666666666667" customWidth="1" outlineLevel="1"/>
    <col min="12" max="12" width="22.6666666666667" customWidth="1" outlineLevel="1"/>
    <col min="13" max="14" width="8.66666666666667" customWidth="1" outlineLevel="1"/>
    <col min="15" max="15" width="9.88888888888889" customWidth="1"/>
    <col min="16" max="16" width="9.88888888888889" customWidth="1" outlineLevel="1"/>
    <col min="17" max="17" width="8.44444444444444" customWidth="1" outlineLevel="1"/>
    <col min="18" max="18" width="20" customWidth="1" outlineLevel="1"/>
    <col min="19" max="19" width="3.44444444444444" customWidth="1"/>
  </cols>
  <sheetData>
    <row r="1" spans="2:18">
      <c r="B1" t="s">
        <v>0</v>
      </c>
      <c r="E1" s="124">
        <v>44500</v>
      </c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</row>
    <row r="2" ht="28.2" spans="2:18">
      <c r="B2" s="125" t="s">
        <v>1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</row>
    <row r="3" ht="14.55"/>
    <row r="4" ht="13.95" customHeight="1" spans="2:18">
      <c r="B4" s="126" t="s">
        <v>2</v>
      </c>
      <c r="C4" s="127"/>
      <c r="D4" s="128"/>
      <c r="E4" s="129" t="s">
        <v>3</v>
      </c>
      <c r="F4" s="129"/>
      <c r="G4" s="129" t="s">
        <v>4</v>
      </c>
      <c r="H4" s="129"/>
      <c r="I4" s="176" t="s">
        <v>5</v>
      </c>
      <c r="J4" s="177"/>
      <c r="K4" s="129" t="s">
        <v>6</v>
      </c>
      <c r="L4" s="129"/>
      <c r="M4" s="129" t="s">
        <v>4</v>
      </c>
      <c r="N4" s="129"/>
      <c r="O4" s="176" t="s">
        <v>7</v>
      </c>
      <c r="P4" s="178" t="str">
        <f>"预算"&amp;YEAR(E1)&amp;"vs估计"&amp;YEAR(E1)-1</f>
        <v>预算2021vs估计2020</v>
      </c>
      <c r="Q4" s="195"/>
      <c r="R4" s="196"/>
    </row>
    <row r="5" spans="2:18">
      <c r="B5" s="130"/>
      <c r="C5" s="131"/>
      <c r="D5" s="132"/>
      <c r="E5" s="133" t="s">
        <v>8</v>
      </c>
      <c r="F5" s="134" t="s">
        <v>9</v>
      </c>
      <c r="G5" s="133" t="s">
        <v>10</v>
      </c>
      <c r="H5" s="133" t="s">
        <v>11</v>
      </c>
      <c r="I5" s="179" t="str">
        <f>"E"&amp;YEAR($E$1)</f>
        <v>E2021</v>
      </c>
      <c r="J5" s="180"/>
      <c r="K5" s="133" t="s">
        <v>8</v>
      </c>
      <c r="L5" s="134" t="s">
        <v>9</v>
      </c>
      <c r="M5" s="133" t="s">
        <v>10</v>
      </c>
      <c r="N5" s="133" t="s">
        <v>11</v>
      </c>
      <c r="O5" s="179" t="str">
        <f>"B"&amp;YEAR($E$1)+1</f>
        <v>B2022</v>
      </c>
      <c r="P5" s="133" t="s">
        <v>12</v>
      </c>
      <c r="Q5" s="197" t="s">
        <v>13</v>
      </c>
      <c r="R5" s="198" t="s">
        <v>14</v>
      </c>
    </row>
    <row r="6" spans="2:18">
      <c r="B6" s="135" t="s">
        <v>15</v>
      </c>
      <c r="C6" s="136"/>
      <c r="D6" s="136"/>
      <c r="E6" s="137">
        <v>800</v>
      </c>
      <c r="F6" s="138" t="s">
        <v>16</v>
      </c>
      <c r="G6" s="139">
        <v>-2</v>
      </c>
      <c r="H6" s="140"/>
      <c r="I6" s="181">
        <f>E6+G6</f>
        <v>798</v>
      </c>
      <c r="J6" s="136"/>
      <c r="K6" s="137">
        <v>900</v>
      </c>
      <c r="L6" s="138" t="s">
        <v>16</v>
      </c>
      <c r="M6" s="139">
        <v>3</v>
      </c>
      <c r="N6" s="140"/>
      <c r="O6" s="182">
        <f>K6+M6</f>
        <v>903</v>
      </c>
      <c r="P6" s="182">
        <f>O6-I6</f>
        <v>105</v>
      </c>
      <c r="Q6" s="199">
        <f>IFERROR(P6/I6,"")</f>
        <v>0.131578947368421</v>
      </c>
      <c r="R6" s="200"/>
    </row>
    <row r="7" spans="2:18">
      <c r="B7" s="10" t="s">
        <v>17</v>
      </c>
      <c r="C7" s="141"/>
      <c r="D7" s="141"/>
      <c r="E7" s="142">
        <f>E6-E8</f>
        <v>616</v>
      </c>
      <c r="F7" s="143" t="s">
        <v>18</v>
      </c>
      <c r="G7" s="144">
        <v>-1</v>
      </c>
      <c r="H7" s="145"/>
      <c r="I7" s="142">
        <f>E7+G7</f>
        <v>615</v>
      </c>
      <c r="J7" s="141"/>
      <c r="K7" s="142">
        <f>K6-K8</f>
        <v>675</v>
      </c>
      <c r="L7" s="143" t="s">
        <v>18</v>
      </c>
      <c r="M7" s="144">
        <v>2</v>
      </c>
      <c r="N7" s="145"/>
      <c r="O7" s="142">
        <f>K7+M7</f>
        <v>677</v>
      </c>
      <c r="P7" s="183">
        <f t="shared" ref="P7:P26" si="0">O7-I7</f>
        <v>62</v>
      </c>
      <c r="Q7" s="201">
        <f t="shared" ref="Q7:Q26" si="1">IFERROR(P7/I7,"")</f>
        <v>0.100813008130081</v>
      </c>
      <c r="R7" s="202"/>
    </row>
    <row r="8" spans="2:18">
      <c r="B8" s="10" t="s">
        <v>19</v>
      </c>
      <c r="C8" s="141"/>
      <c r="D8" s="141"/>
      <c r="E8" s="142">
        <f>E9*E6</f>
        <v>184</v>
      </c>
      <c r="F8" s="143" t="s">
        <v>18</v>
      </c>
      <c r="G8" s="142">
        <f>G6-G7</f>
        <v>-1</v>
      </c>
      <c r="H8" s="145"/>
      <c r="I8" s="142">
        <f>I6-I7</f>
        <v>183</v>
      </c>
      <c r="J8" s="141"/>
      <c r="K8" s="142">
        <f>K9*K6</f>
        <v>225</v>
      </c>
      <c r="L8" s="143" t="s">
        <v>18</v>
      </c>
      <c r="M8" s="142">
        <f>M6-M7</f>
        <v>1</v>
      </c>
      <c r="N8" s="145"/>
      <c r="O8" s="142">
        <f>O6-O7</f>
        <v>226</v>
      </c>
      <c r="P8" s="183">
        <f t="shared" si="0"/>
        <v>43</v>
      </c>
      <c r="Q8" s="201">
        <f t="shared" si="1"/>
        <v>0.234972677595628</v>
      </c>
      <c r="R8" s="202"/>
    </row>
    <row r="9" s="123" customFormat="1" ht="13.2" spans="2:18">
      <c r="B9" s="146" t="s">
        <v>20</v>
      </c>
      <c r="C9" s="147"/>
      <c r="D9" s="147"/>
      <c r="E9" s="148">
        <v>0.23</v>
      </c>
      <c r="F9" s="143" t="s">
        <v>16</v>
      </c>
      <c r="G9" s="149">
        <f>IFERROR(G8/G6,"NA")</f>
        <v>0.5</v>
      </c>
      <c r="H9" s="150"/>
      <c r="I9" s="149">
        <f>IFERROR(I8/I6,"NA")</f>
        <v>0.229323308270677</v>
      </c>
      <c r="J9" s="150"/>
      <c r="K9" s="148">
        <v>0.25</v>
      </c>
      <c r="L9" s="143" t="s">
        <v>16</v>
      </c>
      <c r="M9" s="149">
        <f>IFERROR(M8/M6,"NA")</f>
        <v>0.333333333333333</v>
      </c>
      <c r="N9" s="150"/>
      <c r="O9" s="149">
        <f>IFERROR(O8/O6,"NA")</f>
        <v>0.250276854928018</v>
      </c>
      <c r="P9" s="184">
        <f t="shared" si="0"/>
        <v>0.020953546657341</v>
      </c>
      <c r="Q9" s="184">
        <f t="shared" si="1"/>
        <v>0.0913712034566019</v>
      </c>
      <c r="R9" s="203"/>
    </row>
    <row r="10" spans="2:18">
      <c r="B10" s="10" t="s">
        <v>21</v>
      </c>
      <c r="C10" s="11"/>
      <c r="D10" s="11"/>
      <c r="E10" s="151">
        <f>SUM(E12:E16)</f>
        <v>137</v>
      </c>
      <c r="F10" s="143" t="s">
        <v>18</v>
      </c>
      <c r="G10" s="151">
        <f>SUM(G12:G16)</f>
        <v>3</v>
      </c>
      <c r="H10" s="152"/>
      <c r="I10" s="151">
        <f>SUM(I12:I16)</f>
        <v>140</v>
      </c>
      <c r="J10" s="141"/>
      <c r="K10" s="151">
        <f>SUM(K12:K16)</f>
        <v>162</v>
      </c>
      <c r="L10" s="143" t="s">
        <v>18</v>
      </c>
      <c r="M10" s="151">
        <f>SUM(M12:M16)</f>
        <v>5</v>
      </c>
      <c r="N10" s="152"/>
      <c r="O10" s="151">
        <f>SUM(O12:O16)</f>
        <v>167</v>
      </c>
      <c r="P10" s="185">
        <f t="shared" si="0"/>
        <v>27</v>
      </c>
      <c r="Q10" s="204">
        <f t="shared" si="1"/>
        <v>0.192857142857143</v>
      </c>
      <c r="R10" s="38"/>
    </row>
    <row r="11" s="123" customFormat="1" ht="13.2" spans="2:18">
      <c r="B11" s="153" t="s">
        <v>22</v>
      </c>
      <c r="C11" s="150"/>
      <c r="D11" s="150"/>
      <c r="E11" s="154">
        <f>E10/E$6</f>
        <v>0.17125</v>
      </c>
      <c r="F11" s="143" t="s">
        <v>18</v>
      </c>
      <c r="G11" s="154"/>
      <c r="H11" s="155"/>
      <c r="I11" s="154">
        <f>I10/I$6</f>
        <v>0.175438596491228</v>
      </c>
      <c r="J11" s="150"/>
      <c r="K11" s="154">
        <f>K10/K$6</f>
        <v>0.18</v>
      </c>
      <c r="L11" s="143" t="s">
        <v>18</v>
      </c>
      <c r="M11" s="154"/>
      <c r="N11" s="155"/>
      <c r="O11" s="154">
        <f>O10/O$6</f>
        <v>0.184939091915836</v>
      </c>
      <c r="P11" s="186">
        <f t="shared" ref="P11" si="2">O11-I11</f>
        <v>0.00950049542460804</v>
      </c>
      <c r="Q11" s="205">
        <f t="shared" ref="Q11" si="3">IFERROR(P11/I11,"")</f>
        <v>0.0541528239202658</v>
      </c>
      <c r="R11" s="206"/>
    </row>
    <row r="12" spans="2:18">
      <c r="B12" s="10"/>
      <c r="C12" s="156" t="s">
        <v>23</v>
      </c>
      <c r="D12" s="143"/>
      <c r="E12" s="13">
        <v>120</v>
      </c>
      <c r="F12" s="157" t="s">
        <v>24</v>
      </c>
      <c r="G12" s="12"/>
      <c r="H12" s="158"/>
      <c r="I12" s="187">
        <f t="shared" ref="I12:I16" si="4">E12+G12</f>
        <v>120</v>
      </c>
      <c r="J12" s="141"/>
      <c r="K12" s="12">
        <v>130</v>
      </c>
      <c r="L12" s="157" t="s">
        <v>24</v>
      </c>
      <c r="M12" s="12">
        <v>3</v>
      </c>
      <c r="N12" s="158"/>
      <c r="O12" s="187">
        <f t="shared" ref="O12:O16" si="5">K12+M12</f>
        <v>133</v>
      </c>
      <c r="P12" s="185">
        <f t="shared" si="0"/>
        <v>13</v>
      </c>
      <c r="Q12" s="204">
        <f t="shared" si="1"/>
        <v>0.108333333333333</v>
      </c>
      <c r="R12" s="38"/>
    </row>
    <row r="13" outlineLevel="2" spans="2:18">
      <c r="B13" s="25"/>
      <c r="C13" s="159" t="s">
        <v>25</v>
      </c>
      <c r="D13" s="143"/>
      <c r="E13" s="26">
        <v>12</v>
      </c>
      <c r="F13" s="157" t="s">
        <v>26</v>
      </c>
      <c r="G13" s="26">
        <v>1</v>
      </c>
      <c r="H13" s="160"/>
      <c r="I13" s="187">
        <f t="shared" si="4"/>
        <v>13</v>
      </c>
      <c r="J13" s="141"/>
      <c r="K13" s="26">
        <v>25</v>
      </c>
      <c r="L13" s="157" t="s">
        <v>26</v>
      </c>
      <c r="M13" s="26">
        <v>1</v>
      </c>
      <c r="N13" s="160"/>
      <c r="O13" s="187">
        <f t="shared" si="5"/>
        <v>26</v>
      </c>
      <c r="P13" s="188">
        <f t="shared" si="0"/>
        <v>13</v>
      </c>
      <c r="Q13" s="207">
        <f t="shared" si="1"/>
        <v>1</v>
      </c>
      <c r="R13" s="39"/>
    </row>
    <row r="14" outlineLevel="2" spans="2:18">
      <c r="B14" s="25"/>
      <c r="C14" s="159" t="s">
        <v>27</v>
      </c>
      <c r="D14" s="143"/>
      <c r="E14" s="26">
        <v>1</v>
      </c>
      <c r="F14" s="157" t="s">
        <v>28</v>
      </c>
      <c r="G14" s="26">
        <v>2</v>
      </c>
      <c r="H14" s="160"/>
      <c r="I14" s="187">
        <f t="shared" si="4"/>
        <v>3</v>
      </c>
      <c r="J14" s="141"/>
      <c r="K14" s="26">
        <v>4</v>
      </c>
      <c r="L14" s="157" t="s">
        <v>28</v>
      </c>
      <c r="M14" s="26">
        <v>1</v>
      </c>
      <c r="N14" s="160"/>
      <c r="O14" s="187">
        <f t="shared" si="5"/>
        <v>5</v>
      </c>
      <c r="P14" s="188">
        <f t="shared" si="0"/>
        <v>2</v>
      </c>
      <c r="Q14" s="207">
        <f t="shared" si="1"/>
        <v>0.666666666666667</v>
      </c>
      <c r="R14" s="39"/>
    </row>
    <row r="15" outlineLevel="2" spans="2:18">
      <c r="B15" s="25"/>
      <c r="C15" s="159" t="s">
        <v>29</v>
      </c>
      <c r="D15" s="143"/>
      <c r="E15" s="26"/>
      <c r="F15" s="157"/>
      <c r="G15" s="26"/>
      <c r="H15" s="160"/>
      <c r="I15" s="187">
        <f t="shared" si="4"/>
        <v>0</v>
      </c>
      <c r="J15" s="141"/>
      <c r="K15" s="26"/>
      <c r="L15" s="157"/>
      <c r="M15" s="26"/>
      <c r="N15" s="160"/>
      <c r="O15" s="187">
        <f t="shared" si="5"/>
        <v>0</v>
      </c>
      <c r="P15" s="188">
        <f t="shared" si="0"/>
        <v>0</v>
      </c>
      <c r="Q15" s="207" t="str">
        <f t="shared" si="1"/>
        <v/>
      </c>
      <c r="R15" s="39"/>
    </row>
    <row r="16" outlineLevel="2" spans="2:18">
      <c r="B16" s="25"/>
      <c r="C16" s="157" t="s">
        <v>30</v>
      </c>
      <c r="D16" s="143"/>
      <c r="E16" s="26">
        <v>4</v>
      </c>
      <c r="F16" s="157" t="s">
        <v>31</v>
      </c>
      <c r="G16" s="26"/>
      <c r="H16" s="160"/>
      <c r="I16" s="187">
        <f t="shared" si="4"/>
        <v>4</v>
      </c>
      <c r="J16" s="141"/>
      <c r="K16" s="26">
        <v>3</v>
      </c>
      <c r="L16" s="157" t="s">
        <v>31</v>
      </c>
      <c r="M16" s="26"/>
      <c r="N16" s="160"/>
      <c r="O16" s="187">
        <f t="shared" si="5"/>
        <v>3</v>
      </c>
      <c r="P16" s="188">
        <f t="shared" si="0"/>
        <v>-1</v>
      </c>
      <c r="Q16" s="207">
        <f t="shared" si="1"/>
        <v>-0.25</v>
      </c>
      <c r="R16" s="39"/>
    </row>
    <row r="17" spans="2:18">
      <c r="B17" s="10" t="s">
        <v>32</v>
      </c>
      <c r="C17" s="11"/>
      <c r="D17" s="11"/>
      <c r="E17" s="151">
        <f>SUM(E19:E23)</f>
        <v>10</v>
      </c>
      <c r="F17" s="143" t="s">
        <v>18</v>
      </c>
      <c r="G17" s="151">
        <f>SUM(G19:G23)</f>
        <v>-3</v>
      </c>
      <c r="H17" s="158"/>
      <c r="I17" s="189">
        <f>SUM(I19:I23)</f>
        <v>7</v>
      </c>
      <c r="J17" s="141"/>
      <c r="K17" s="151">
        <f>SUM(K19:K23)</f>
        <v>11</v>
      </c>
      <c r="L17" s="143" t="s">
        <v>18</v>
      </c>
      <c r="M17" s="151">
        <f>SUM(M19:M23)</f>
        <v>-3</v>
      </c>
      <c r="N17" s="158"/>
      <c r="O17" s="189">
        <f>SUM(O19:O23)</f>
        <v>8</v>
      </c>
      <c r="P17" s="185">
        <f t="shared" si="0"/>
        <v>1</v>
      </c>
      <c r="Q17" s="204">
        <f t="shared" si="1"/>
        <v>0.142857142857143</v>
      </c>
      <c r="R17" s="38"/>
    </row>
    <row r="18" s="123" customFormat="1" ht="13.2" spans="2:18">
      <c r="B18" s="153" t="s">
        <v>33</v>
      </c>
      <c r="C18" s="143"/>
      <c r="D18" s="143"/>
      <c r="E18" s="154">
        <f>E17/E$6</f>
        <v>0.0125</v>
      </c>
      <c r="F18" s="143" t="s">
        <v>18</v>
      </c>
      <c r="G18" s="161"/>
      <c r="H18" s="155"/>
      <c r="I18" s="154">
        <f>I17/I$6</f>
        <v>0.0087719298245614</v>
      </c>
      <c r="J18" s="150"/>
      <c r="K18" s="154">
        <f>K17/K$6</f>
        <v>0.0122222222222222</v>
      </c>
      <c r="L18" s="143" t="s">
        <v>18</v>
      </c>
      <c r="M18" s="161"/>
      <c r="N18" s="155"/>
      <c r="O18" s="154">
        <f>O17/O$6</f>
        <v>0.008859357696567</v>
      </c>
      <c r="P18" s="186">
        <f t="shared" si="0"/>
        <v>8.74278720055955e-5</v>
      </c>
      <c r="Q18" s="205">
        <f t="shared" si="1"/>
        <v>0.00996677740863789</v>
      </c>
      <c r="R18" s="206"/>
    </row>
    <row r="19" outlineLevel="1" spans="2:18">
      <c r="B19" s="25"/>
      <c r="C19" s="162" t="s">
        <v>34</v>
      </c>
      <c r="D19" s="143"/>
      <c r="E19" s="26">
        <v>7</v>
      </c>
      <c r="F19" s="157" t="s">
        <v>35</v>
      </c>
      <c r="G19" s="26">
        <v>-2</v>
      </c>
      <c r="H19" s="160"/>
      <c r="I19" s="187">
        <f t="shared" ref="I19:I24" si="6">E19+G19</f>
        <v>5</v>
      </c>
      <c r="J19" s="141"/>
      <c r="K19" s="26">
        <v>4</v>
      </c>
      <c r="L19" s="157" t="s">
        <v>35</v>
      </c>
      <c r="M19" s="26">
        <v>-2</v>
      </c>
      <c r="N19" s="160"/>
      <c r="O19" s="187">
        <f t="shared" ref="O19:O24" si="7">K19+M19</f>
        <v>2</v>
      </c>
      <c r="P19" s="188">
        <f t="shared" si="0"/>
        <v>-3</v>
      </c>
      <c r="Q19" s="207">
        <f t="shared" si="1"/>
        <v>-0.6</v>
      </c>
      <c r="R19" s="39"/>
    </row>
    <row r="20" outlineLevel="1" spans="2:18">
      <c r="B20" s="10"/>
      <c r="C20" s="163" t="s">
        <v>36</v>
      </c>
      <c r="D20" s="143"/>
      <c r="E20" s="26">
        <v>-5</v>
      </c>
      <c r="F20" s="157" t="s">
        <v>35</v>
      </c>
      <c r="G20" s="26"/>
      <c r="H20" s="160"/>
      <c r="I20" s="187">
        <f t="shared" si="6"/>
        <v>-5</v>
      </c>
      <c r="J20" s="141"/>
      <c r="K20" s="26">
        <v>-3</v>
      </c>
      <c r="L20" s="157" t="s">
        <v>35</v>
      </c>
      <c r="M20" s="26"/>
      <c r="N20" s="160"/>
      <c r="O20" s="187">
        <f t="shared" si="7"/>
        <v>-3</v>
      </c>
      <c r="P20" s="188">
        <f t="shared" si="0"/>
        <v>2</v>
      </c>
      <c r="Q20" s="207">
        <f t="shared" si="1"/>
        <v>-0.4</v>
      </c>
      <c r="R20" s="39"/>
    </row>
    <row r="21" outlineLevel="1" spans="2:18">
      <c r="B21" s="10"/>
      <c r="C21" s="163" t="s">
        <v>37</v>
      </c>
      <c r="D21" s="143"/>
      <c r="E21" s="26">
        <v>4</v>
      </c>
      <c r="F21" s="157" t="s">
        <v>35</v>
      </c>
      <c r="G21" s="26">
        <v>-1</v>
      </c>
      <c r="H21" s="160"/>
      <c r="I21" s="187">
        <f t="shared" si="6"/>
        <v>3</v>
      </c>
      <c r="J21" s="141"/>
      <c r="K21" s="26">
        <v>5</v>
      </c>
      <c r="L21" s="157" t="s">
        <v>35</v>
      </c>
      <c r="M21" s="26">
        <v>-1</v>
      </c>
      <c r="N21" s="160"/>
      <c r="O21" s="187">
        <f t="shared" si="7"/>
        <v>4</v>
      </c>
      <c r="P21" s="188">
        <f t="shared" si="0"/>
        <v>1</v>
      </c>
      <c r="Q21" s="207">
        <f t="shared" si="1"/>
        <v>0.333333333333333</v>
      </c>
      <c r="R21" s="39"/>
    </row>
    <row r="22" outlineLevel="1" spans="2:18">
      <c r="B22" s="10"/>
      <c r="C22" s="163" t="s">
        <v>38</v>
      </c>
      <c r="D22" s="143"/>
      <c r="E22" s="26">
        <v>2</v>
      </c>
      <c r="F22" s="157" t="s">
        <v>35</v>
      </c>
      <c r="G22" s="26"/>
      <c r="H22" s="160"/>
      <c r="I22" s="187">
        <f t="shared" si="6"/>
        <v>2</v>
      </c>
      <c r="J22" s="141"/>
      <c r="K22" s="26">
        <v>3</v>
      </c>
      <c r="L22" s="157" t="s">
        <v>35</v>
      </c>
      <c r="M22" s="26"/>
      <c r="N22" s="160"/>
      <c r="O22" s="187">
        <f t="shared" si="7"/>
        <v>3</v>
      </c>
      <c r="P22" s="188">
        <f t="shared" si="0"/>
        <v>1</v>
      </c>
      <c r="Q22" s="207">
        <f t="shared" si="1"/>
        <v>0.5</v>
      </c>
      <c r="R22" s="39"/>
    </row>
    <row r="23" outlineLevel="1" spans="2:18">
      <c r="B23" s="15"/>
      <c r="C23" s="164" t="s">
        <v>39</v>
      </c>
      <c r="D23" s="165"/>
      <c r="E23" s="19">
        <v>2</v>
      </c>
      <c r="F23" s="166" t="s">
        <v>35</v>
      </c>
      <c r="G23" s="19"/>
      <c r="H23" s="167"/>
      <c r="I23" s="190">
        <f t="shared" si="6"/>
        <v>2</v>
      </c>
      <c r="J23" s="141"/>
      <c r="K23" s="19">
        <v>2</v>
      </c>
      <c r="L23" s="166" t="s">
        <v>35</v>
      </c>
      <c r="M23" s="19"/>
      <c r="N23" s="167"/>
      <c r="O23" s="190">
        <f t="shared" si="7"/>
        <v>2</v>
      </c>
      <c r="P23" s="191">
        <f t="shared" si="0"/>
        <v>0</v>
      </c>
      <c r="Q23" s="208">
        <f t="shared" si="1"/>
        <v>0</v>
      </c>
      <c r="R23" s="40"/>
    </row>
    <row r="24" spans="2:18">
      <c r="B24" s="10" t="s">
        <v>40</v>
      </c>
      <c r="C24" s="11"/>
      <c r="D24" s="11"/>
      <c r="E24" s="26">
        <v>1</v>
      </c>
      <c r="F24" s="157"/>
      <c r="G24" s="26">
        <v>2</v>
      </c>
      <c r="H24" s="160"/>
      <c r="I24" s="192">
        <f t="shared" si="6"/>
        <v>3</v>
      </c>
      <c r="J24" s="141"/>
      <c r="K24" s="26">
        <v>-1</v>
      </c>
      <c r="L24" s="157"/>
      <c r="M24" s="26"/>
      <c r="N24" s="160"/>
      <c r="O24" s="192">
        <f t="shared" si="7"/>
        <v>-1</v>
      </c>
      <c r="P24" s="188">
        <f t="shared" si="0"/>
        <v>-4</v>
      </c>
      <c r="Q24" s="207">
        <f t="shared" si="1"/>
        <v>-1.33333333333333</v>
      </c>
      <c r="R24" s="39"/>
    </row>
    <row r="25" spans="2:18">
      <c r="B25" s="168" t="s">
        <v>41</v>
      </c>
      <c r="C25" s="169"/>
      <c r="D25" s="169"/>
      <c r="E25" s="151">
        <f>E8-E10-E17-E24</f>
        <v>36</v>
      </c>
      <c r="F25" s="143" t="s">
        <v>18</v>
      </c>
      <c r="G25" s="151">
        <f>G8-G10-G17-G24</f>
        <v>-3</v>
      </c>
      <c r="H25" s="170"/>
      <c r="I25" s="151">
        <f>I8-I10-I17-I24</f>
        <v>33</v>
      </c>
      <c r="J25" s="193"/>
      <c r="K25" s="151">
        <f>K8-K10-K17-K24</f>
        <v>53</v>
      </c>
      <c r="L25" s="143" t="s">
        <v>18</v>
      </c>
      <c r="M25" s="151">
        <f>M8-M10-M17-M24</f>
        <v>-1</v>
      </c>
      <c r="N25" s="170"/>
      <c r="O25" s="151">
        <f>O8-O10-O17-O24</f>
        <v>52</v>
      </c>
      <c r="P25" s="185">
        <f t="shared" si="0"/>
        <v>19</v>
      </c>
      <c r="Q25" s="204">
        <f t="shared" si="1"/>
        <v>0.575757575757576</v>
      </c>
      <c r="R25" s="209"/>
    </row>
    <row r="26" s="123" customFormat="1" ht="13.95" spans="2:18">
      <c r="B26" s="171" t="s">
        <v>42</v>
      </c>
      <c r="C26" s="172"/>
      <c r="D26" s="172"/>
      <c r="E26" s="173">
        <f>E25/E$6</f>
        <v>0.045</v>
      </c>
      <c r="F26" s="174" t="s">
        <v>18</v>
      </c>
      <c r="G26" s="173"/>
      <c r="H26" s="175"/>
      <c r="I26" s="173">
        <f>I25/I$6</f>
        <v>0.0413533834586466</v>
      </c>
      <c r="J26" s="172"/>
      <c r="K26" s="173">
        <f>K25/K$6</f>
        <v>0.0588888888888889</v>
      </c>
      <c r="L26" s="174" t="s">
        <v>18</v>
      </c>
      <c r="M26" s="173"/>
      <c r="N26" s="175"/>
      <c r="O26" s="173">
        <f>O25/O$6</f>
        <v>0.0575858250276855</v>
      </c>
      <c r="P26" s="194">
        <f t="shared" si="0"/>
        <v>0.0162324415690389</v>
      </c>
      <c r="Q26" s="210">
        <f t="shared" si="1"/>
        <v>0.392529950669486</v>
      </c>
      <c r="R26" s="211"/>
    </row>
  </sheetData>
  <mergeCells count="9">
    <mergeCell ref="E1:R1"/>
    <mergeCell ref="B2:R2"/>
    <mergeCell ref="E4:F4"/>
    <mergeCell ref="G4:H4"/>
    <mergeCell ref="K4:L4"/>
    <mergeCell ref="M4:N4"/>
    <mergeCell ref="P4:R4"/>
    <mergeCell ref="J4:J5"/>
    <mergeCell ref="B4:D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31"/>
  <sheetViews>
    <sheetView showGridLines="0" zoomScale="108" zoomScaleNormal="108" topLeftCell="A4" workbookViewId="0">
      <selection activeCell="D11" sqref="D11"/>
    </sheetView>
  </sheetViews>
  <sheetFormatPr defaultColWidth="9" defaultRowHeight="13.8"/>
  <cols>
    <col min="1" max="1" width="2.11111111111111" customWidth="1"/>
    <col min="2" max="2" width="21.1111111111111" customWidth="1"/>
    <col min="3" max="3" width="10.4444444444444" customWidth="1"/>
    <col min="4" max="5" width="11.7777777777778" customWidth="1" outlineLevel="1"/>
    <col min="6" max="6" width="11.7777777777778" customWidth="1"/>
    <col min="7" max="7" width="5" customWidth="1"/>
    <col min="8" max="8" width="11.7777777777778" customWidth="1"/>
    <col min="9" max="9" width="6.22222222222222" customWidth="1"/>
    <col min="10" max="10" width="18.5555555555556" customWidth="1"/>
    <col min="11" max="11" width="10.4444444444444" customWidth="1"/>
    <col min="12" max="12" width="5" customWidth="1"/>
    <col min="13" max="13" width="9.88888888888889" customWidth="1"/>
    <col min="14" max="14" width="5.88888888888889" customWidth="1"/>
    <col min="15" max="15" width="17.1111111111111" customWidth="1"/>
  </cols>
  <sheetData>
    <row r="2" ht="30.75" spans="2:15">
      <c r="B2" s="45" t="s">
        <v>43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ht="17.55" customHeight="1" spans="2:15">
      <c r="B3" s="46" t="s">
        <v>44</v>
      </c>
      <c r="C3" s="47">
        <v>44469</v>
      </c>
      <c r="D3" s="48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</row>
    <row r="4" ht="9.45" customHeight="1" spans="2:15">
      <c r="B4" s="2"/>
      <c r="C4" s="49"/>
      <c r="D4" s="50"/>
      <c r="E4" s="45"/>
      <c r="H4" s="45"/>
      <c r="I4" s="45"/>
      <c r="J4" s="45"/>
      <c r="K4" s="45"/>
      <c r="L4" s="45"/>
      <c r="M4" s="45"/>
      <c r="N4" s="45"/>
      <c r="O4" s="45"/>
    </row>
    <row r="5" ht="21.45" customHeight="1" spans="2:15">
      <c r="B5" s="51" t="s">
        <v>45</v>
      </c>
      <c r="C5" s="45"/>
      <c r="D5" s="45"/>
      <c r="E5" s="45"/>
      <c r="F5" s="52" t="str">
        <f>"E"&amp;YEAR($C$3)&amp;"FY"</f>
        <v>E2021FY</v>
      </c>
      <c r="G5" s="53"/>
      <c r="H5" s="45"/>
      <c r="I5" s="45"/>
      <c r="J5" s="45"/>
      <c r="K5" s="52" t="str">
        <f>"B"&amp;YEAR($C$3)+1&amp;"FY"</f>
        <v>B2022FY</v>
      </c>
      <c r="L5" s="53"/>
      <c r="M5" s="45"/>
      <c r="N5" s="45"/>
      <c r="O5" s="45"/>
    </row>
    <row r="6" s="43" customFormat="1" ht="18.15" spans="2:12">
      <c r="B6" s="54"/>
      <c r="F6" s="55">
        <v>10000</v>
      </c>
      <c r="G6" s="56"/>
      <c r="K6" s="55">
        <v>5000</v>
      </c>
      <c r="L6" s="56"/>
    </row>
    <row r="7" s="44" customFormat="1" ht="14.55"/>
    <row r="8" ht="21" customHeight="1" spans="2:15">
      <c r="B8" s="57" t="s">
        <v>46</v>
      </c>
      <c r="C8" s="58" t="s">
        <v>47</v>
      </c>
      <c r="D8" s="58" t="s">
        <v>47</v>
      </c>
      <c r="E8" s="58" t="s">
        <v>48</v>
      </c>
      <c r="F8" s="58" t="s">
        <v>48</v>
      </c>
      <c r="G8" s="58"/>
      <c r="H8" s="59" t="str">
        <f>"E"&amp;YEAR($C$3)&amp;"/"&amp;"A"&amp;YEAR($C$3)-1</f>
        <v>E2021/A2020</v>
      </c>
      <c r="I8" s="59"/>
      <c r="J8" s="59"/>
      <c r="K8" s="58" t="s">
        <v>49</v>
      </c>
      <c r="L8" s="58"/>
      <c r="M8" s="59" t="str">
        <f>"B"&amp;YEAR($C$3)+1&amp;"/"&amp;"E"&amp;YEAR($C$3)</f>
        <v>B2022/E2021</v>
      </c>
      <c r="N8" s="59"/>
      <c r="O8" s="59"/>
    </row>
    <row r="9" ht="21" customHeight="1" spans="2:15">
      <c r="B9" s="60"/>
      <c r="C9" s="61" t="str">
        <f>"A"&amp;YEAR($C$3)-1&amp;"FY"</f>
        <v>A2020FY</v>
      </c>
      <c r="D9" s="61" t="str">
        <f>"A"&amp;YEAR($C$3)&amp;TEXT(MONTH($C$3),"00")&amp;"YTD"</f>
        <v>A202109YTD</v>
      </c>
      <c r="E9" s="61" t="str">
        <f>"E"&amp;YEAR($C$3)&amp;TEXT(MONTH($C$3),"00")&amp;"YTG"</f>
        <v>E202109YTG</v>
      </c>
      <c r="F9" s="61" t="str">
        <f>"E"&amp;YEAR($C$3)&amp;"FY"</f>
        <v>E2021FY</v>
      </c>
      <c r="G9" s="62"/>
      <c r="H9" s="63" t="s">
        <v>50</v>
      </c>
      <c r="I9" s="63" t="s">
        <v>13</v>
      </c>
      <c r="J9" s="63" t="s">
        <v>51</v>
      </c>
      <c r="K9" s="61" t="str">
        <f>"B"&amp;YEAR($C$3)+1&amp;"FY"</f>
        <v>B2022FY</v>
      </c>
      <c r="L9" s="61"/>
      <c r="M9" s="63" t="s">
        <v>52</v>
      </c>
      <c r="N9" s="63" t="s">
        <v>13</v>
      </c>
      <c r="O9" s="98" t="s">
        <v>51</v>
      </c>
    </row>
    <row r="10" ht="26.55" customHeight="1" spans="2:15">
      <c r="B10" s="64" t="s">
        <v>53</v>
      </c>
      <c r="C10" s="65">
        <v>4480</v>
      </c>
      <c r="D10" s="65">
        <v>5000</v>
      </c>
      <c r="E10" s="66">
        <v>6200</v>
      </c>
      <c r="F10" s="67">
        <f>D10+E10</f>
        <v>11200</v>
      </c>
      <c r="G10" s="68" t="str">
        <f>IF(OR(F10/F$6&gt;1.2,F10&lt;F$6),"未校准",IF(AND(F10&gt;F$6,F10/F$6&lt;=1.2),"确定？"))</f>
        <v>确定？</v>
      </c>
      <c r="H10" s="69">
        <f>F10-D10</f>
        <v>6200</v>
      </c>
      <c r="I10" s="99">
        <f>IFERROR(H10/D10,"-")</f>
        <v>1.24</v>
      </c>
      <c r="J10" s="100" t="s">
        <v>54</v>
      </c>
      <c r="K10" s="101">
        <v>6200</v>
      </c>
      <c r="L10" s="68" t="str">
        <f>IF(OR(K10/K$6&gt;1.2,K10&lt;K$6),"未校准",IF(AND(K10&gt;K$6,K10/K$6&lt;=1.2),"确定？"))</f>
        <v>未校准</v>
      </c>
      <c r="M10" s="102">
        <f>K10-F10</f>
        <v>-5000</v>
      </c>
      <c r="N10" s="103">
        <f>M10/F10</f>
        <v>-0.446428571428571</v>
      </c>
      <c r="O10" s="104" t="s">
        <v>54</v>
      </c>
    </row>
    <row r="11" ht="26.55" customHeight="1" spans="2:15">
      <c r="B11" s="70" t="s">
        <v>55</v>
      </c>
      <c r="C11" s="71">
        <f>C10</f>
        <v>4480</v>
      </c>
      <c r="D11" s="71">
        <f>D10</f>
        <v>5000</v>
      </c>
      <c r="E11" s="72">
        <v>6368.14159292035</v>
      </c>
      <c r="F11" s="73">
        <f>D11+E11</f>
        <v>11368.1415929204</v>
      </c>
      <c r="G11" s="74" t="str">
        <f>IF(OR(F11/F$6&gt;1.2,F11&lt;F$6),"未校准",IF(AND(F11&gt;F$6,F11/F$6&lt;=1.2),"确定？"))</f>
        <v>确定？</v>
      </c>
      <c r="H11" s="75">
        <f>F11-D11</f>
        <v>6368.14159292035</v>
      </c>
      <c r="I11" s="105">
        <f>IFERROR(H11/D11,"-")</f>
        <v>1.27362831858407</v>
      </c>
      <c r="J11" s="106" t="s">
        <v>54</v>
      </c>
      <c r="K11" s="107">
        <v>6368.14159292035</v>
      </c>
      <c r="L11" s="74" t="str">
        <f>IF(OR(K11/K$6&gt;1.2,K11&lt;K$6),"未校准",IF(AND(K11&gt;K$6,K11/K$6&lt;=1.2),"确定？"))</f>
        <v>未校准</v>
      </c>
      <c r="M11" s="108">
        <f>K11-F11</f>
        <v>-5000</v>
      </c>
      <c r="N11" s="109">
        <f>M11/F11</f>
        <v>-0.439825626654211</v>
      </c>
      <c r="O11" s="110" t="s">
        <v>54</v>
      </c>
    </row>
    <row r="12" ht="26.55" customHeight="1" spans="2:15">
      <c r="B12" s="70" t="s">
        <v>56</v>
      </c>
      <c r="C12" s="71">
        <f>C10</f>
        <v>4480</v>
      </c>
      <c r="D12" s="71">
        <f>D10</f>
        <v>5000</v>
      </c>
      <c r="E12" s="72">
        <v>6200</v>
      </c>
      <c r="F12" s="73">
        <f>D12+E12</f>
        <v>11200</v>
      </c>
      <c r="G12" s="74" t="str">
        <f>IF(OR(F12/F$6&gt;1.2,F12&lt;F$6),"未校准",IF(AND(F12&gt;F$6,F12/F$6&lt;=1.2),"确定？"))</f>
        <v>确定？</v>
      </c>
      <c r="H12" s="75">
        <f>F12-D12</f>
        <v>6200</v>
      </c>
      <c r="I12" s="105">
        <f>IFERROR(H12/D12,"-")</f>
        <v>1.24</v>
      </c>
      <c r="J12" s="106" t="s">
        <v>54</v>
      </c>
      <c r="K12" s="107">
        <v>6200</v>
      </c>
      <c r="L12" s="74" t="str">
        <f>IF(OR(K12/K$6&gt;1.2,K12&lt;K$6),"未校准",IF(AND(K12&gt;K$6,K12/K$6&lt;=1.2),"确定？"))</f>
        <v>未校准</v>
      </c>
      <c r="M12" s="108">
        <f>K12-F12</f>
        <v>-5000</v>
      </c>
      <c r="N12" s="109">
        <f>M12/F12</f>
        <v>-0.446428571428571</v>
      </c>
      <c r="O12" s="110" t="s">
        <v>54</v>
      </c>
    </row>
    <row r="13" ht="26.55" customHeight="1" spans="2:15">
      <c r="B13" s="70" t="s">
        <v>57</v>
      </c>
      <c r="C13" s="71">
        <f>C10</f>
        <v>4480</v>
      </c>
      <c r="D13" s="71">
        <f>D10</f>
        <v>5000</v>
      </c>
      <c r="E13" s="72">
        <v>6200</v>
      </c>
      <c r="F13" s="73">
        <f>D13+E13</f>
        <v>11200</v>
      </c>
      <c r="G13" s="74" t="str">
        <f>IF(OR(F13/F$6&gt;1.2,F13&lt;F$6),"未校准",IF(AND(F13&gt;F$6,F13/F$6&lt;=1.2),"确定？"))</f>
        <v>确定？</v>
      </c>
      <c r="H13" s="75">
        <f>F13-D13</f>
        <v>6200</v>
      </c>
      <c r="I13" s="105">
        <f>IFERROR(H13/D13,"-")</f>
        <v>1.24</v>
      </c>
      <c r="J13" s="106" t="s">
        <v>54</v>
      </c>
      <c r="K13" s="107">
        <v>6200</v>
      </c>
      <c r="L13" s="74" t="str">
        <f>IF(OR(K13/K$6&gt;1.2,K13&lt;K$6),"未校准",IF(AND(K13&gt;K$6,K13/K$6&lt;=1.2),"确定？"))</f>
        <v>未校准</v>
      </c>
      <c r="M13" s="108">
        <f>K13-F13</f>
        <v>-5000</v>
      </c>
      <c r="N13" s="109">
        <f>M13/F13</f>
        <v>-0.446428571428571</v>
      </c>
      <c r="O13" s="110" t="s">
        <v>54</v>
      </c>
    </row>
    <row r="14" ht="26.55" customHeight="1" spans="2:15">
      <c r="B14" s="76" t="s">
        <v>58</v>
      </c>
      <c r="C14" s="77">
        <f>C10</f>
        <v>4480</v>
      </c>
      <c r="D14" s="77">
        <f>D10</f>
        <v>5000</v>
      </c>
      <c r="E14" s="78">
        <f>F14-D14</f>
        <v>8100</v>
      </c>
      <c r="F14" s="79">
        <v>13100</v>
      </c>
      <c r="G14" s="80" t="str">
        <f>IF(OR(F14/F$6&gt;1.2,F14&lt;F$6),"未校准",IF(AND(F14&gt;F$6,F14/F$6&lt;=1.2),"确定？"))</f>
        <v>未校准</v>
      </c>
      <c r="H14" s="81">
        <f>F14-D14</f>
        <v>8100</v>
      </c>
      <c r="I14" s="111">
        <f>IFERROR(H14/D14,"-")</f>
        <v>1.62</v>
      </c>
      <c r="J14" s="112" t="s">
        <v>54</v>
      </c>
      <c r="K14" s="113">
        <v>6420</v>
      </c>
      <c r="L14" s="80" t="str">
        <f>IF(OR(K14/K$6&gt;1.2,K14&lt;K$6),"未校准",IF(AND(K14&gt;K$6,K14/K$6&lt;=1.2),"确定？"))</f>
        <v>未校准</v>
      </c>
      <c r="M14" s="114">
        <f>K14-F14</f>
        <v>-6680</v>
      </c>
      <c r="N14" s="115">
        <f>M14/F14</f>
        <v>-0.509923664122137</v>
      </c>
      <c r="O14" s="116" t="s">
        <v>54</v>
      </c>
    </row>
    <row r="15" ht="21" customHeight="1" spans="11:12">
      <c r="K15" s="92"/>
      <c r="L15" s="92"/>
    </row>
    <row r="16" ht="21.45" customHeight="1" spans="2:15">
      <c r="B16" s="51" t="s">
        <v>59</v>
      </c>
      <c r="C16" s="45"/>
      <c r="D16" s="45"/>
      <c r="E16" s="45"/>
      <c r="F16" s="52" t="str">
        <f>"E"&amp;YEAR($C$3)&amp;"FY"</f>
        <v>E2021FY</v>
      </c>
      <c r="G16" s="53"/>
      <c r="H16" s="45"/>
      <c r="I16" s="45"/>
      <c r="J16" s="45"/>
      <c r="K16" s="52" t="str">
        <f>"B"&amp;YEAR($C$3)+1&amp;"FY"</f>
        <v>B2022FY</v>
      </c>
      <c r="L16" s="53"/>
      <c r="M16" s="45"/>
      <c r="N16" s="45"/>
      <c r="O16" s="45"/>
    </row>
    <row r="17" s="43" customFormat="1" ht="18.15" spans="2:12">
      <c r="B17" s="54"/>
      <c r="F17" s="82">
        <v>0.2</v>
      </c>
      <c r="G17" s="56"/>
      <c r="K17" s="82">
        <v>0.3</v>
      </c>
      <c r="L17" s="56"/>
    </row>
    <row r="18" s="44" customFormat="1" ht="14.55"/>
    <row r="19" ht="21" customHeight="1" spans="2:15">
      <c r="B19" s="57" t="s">
        <v>46</v>
      </c>
      <c r="C19" s="58" t="s">
        <v>47</v>
      </c>
      <c r="D19" s="58" t="s">
        <v>47</v>
      </c>
      <c r="E19" s="58" t="s">
        <v>48</v>
      </c>
      <c r="F19" s="58" t="s">
        <v>48</v>
      </c>
      <c r="G19" s="58"/>
      <c r="H19" s="59" t="str">
        <f>"E"&amp;YEAR($C$3)&amp;"/"&amp;"A"&amp;YEAR($C$3)-1</f>
        <v>E2021/A2020</v>
      </c>
      <c r="I19" s="59"/>
      <c r="J19" s="59"/>
      <c r="K19" s="58" t="s">
        <v>49</v>
      </c>
      <c r="L19" s="58"/>
      <c r="M19" s="59" t="str">
        <f>"B"&amp;YEAR($C$3)+1&amp;"/"&amp;"E"&amp;YEAR($C$3)</f>
        <v>B2022/E2021</v>
      </c>
      <c r="N19" s="59"/>
      <c r="O19" s="59"/>
    </row>
    <row r="20" ht="21" customHeight="1" spans="2:15">
      <c r="B20" s="60"/>
      <c r="C20" s="61" t="str">
        <f>"A"&amp;YEAR($C$3)-1&amp;"FY"</f>
        <v>A2020FY</v>
      </c>
      <c r="D20" s="61" t="str">
        <f>"A"&amp;YEAR($C$3)&amp;TEXT(MONTH($C$3),"00")&amp;"YTD"</f>
        <v>A202109YTD</v>
      </c>
      <c r="E20" s="61" t="str">
        <f>"E"&amp;YEAR($C$3)&amp;TEXT(MONTH($C$3),"00")&amp;"YTG"</f>
        <v>E202109YTG</v>
      </c>
      <c r="F20" s="61" t="str">
        <f>"E"&amp;YEAR($C$3)&amp;"FY"</f>
        <v>E2021FY</v>
      </c>
      <c r="G20" s="62"/>
      <c r="H20" s="63" t="s">
        <v>50</v>
      </c>
      <c r="I20" s="63" t="s">
        <v>13</v>
      </c>
      <c r="J20" s="63" t="s">
        <v>51</v>
      </c>
      <c r="K20" s="61" t="str">
        <f>"B"&amp;YEAR($C$3)+1&amp;"FY"</f>
        <v>B2022FY</v>
      </c>
      <c r="L20" s="61"/>
      <c r="M20" s="63" t="s">
        <v>52</v>
      </c>
      <c r="N20" s="63" t="s">
        <v>13</v>
      </c>
      <c r="O20" s="98" t="s">
        <v>51</v>
      </c>
    </row>
    <row r="21" ht="26.55" customHeight="1" spans="2:15">
      <c r="B21" s="64" t="s">
        <v>53</v>
      </c>
      <c r="C21" s="83">
        <v>0.15625</v>
      </c>
      <c r="D21" s="83">
        <v>0.196</v>
      </c>
      <c r="E21" s="84">
        <v>0.433870967741936</v>
      </c>
      <c r="F21" s="85">
        <f>(D21*D10+E10*E21)/F10</f>
        <v>0.327678571428571</v>
      </c>
      <c r="G21" s="68" t="str">
        <f>IF(OR(F21/F$6&gt;1.2,F21&lt;F$6),"未校准",IF(AND(F21&gt;F$6,F21/F$6&lt;=1.2),"确定？"))</f>
        <v>未校准</v>
      </c>
      <c r="H21" s="69">
        <f>F21-D21</f>
        <v>0.131678571428571</v>
      </c>
      <c r="I21" s="99">
        <f>IFERROR(H21/D21,"-")</f>
        <v>0.67182944606414</v>
      </c>
      <c r="J21" s="100" t="s">
        <v>54</v>
      </c>
      <c r="K21" s="117">
        <v>0.433870967741936</v>
      </c>
      <c r="L21" s="68" t="str">
        <f>IF(OR(K21/K$6&gt;1.2,K21&lt;K$6),"未校准",IF(AND(K21&gt;K$6,K21/K$6&lt;=1.2),"确定？"))</f>
        <v>未校准</v>
      </c>
      <c r="M21" s="102">
        <f>K21-F21</f>
        <v>0.106192396313364</v>
      </c>
      <c r="N21" s="103">
        <f>M21/F21</f>
        <v>0.324074887931792</v>
      </c>
      <c r="O21" s="104" t="s">
        <v>54</v>
      </c>
    </row>
    <row r="22" ht="26.55" customHeight="1" spans="2:15">
      <c r="B22" s="70" t="s">
        <v>55</v>
      </c>
      <c r="C22" s="86">
        <f>C21</f>
        <v>0.15625</v>
      </c>
      <c r="D22" s="86">
        <f>D21</f>
        <v>0.196</v>
      </c>
      <c r="E22" s="87">
        <v>0.368732629238466</v>
      </c>
      <c r="F22" s="88">
        <f>(D22*D11+E11*E22)/F11</f>
        <v>0.292760392340028</v>
      </c>
      <c r="G22" s="74" t="str">
        <f>IF(OR(F22/F$6&gt;1.2,F22&lt;F$6),"未校准",IF(AND(F22&gt;F$6,F22/F$6&lt;=1.2),"确定？"))</f>
        <v>未校准</v>
      </c>
      <c r="H22" s="75">
        <f>F22-D22</f>
        <v>0.0967603923400281</v>
      </c>
      <c r="I22" s="105">
        <f>IFERROR(H22/D22,"-")</f>
        <v>0.493675471122592</v>
      </c>
      <c r="J22" s="106" t="s">
        <v>54</v>
      </c>
      <c r="K22" s="118">
        <v>0.368732629238466</v>
      </c>
      <c r="L22" s="74" t="str">
        <f>IF(OR(K22/K$6&gt;1.2,K22&lt;K$6),"未校准",IF(AND(K22&gt;K$6,K22/K$6&lt;=1.2),"确定？"))</f>
        <v>未校准</v>
      </c>
      <c r="M22" s="108">
        <f>K22-F22</f>
        <v>0.0759722368984378</v>
      </c>
      <c r="N22" s="109">
        <f>M22/F22</f>
        <v>0.259503125717223</v>
      </c>
      <c r="O22" s="110" t="s">
        <v>54</v>
      </c>
    </row>
    <row r="23" ht="26.55" customHeight="1" spans="2:15">
      <c r="B23" s="70" t="s">
        <v>56</v>
      </c>
      <c r="C23" s="86">
        <f>C21</f>
        <v>0.15625</v>
      </c>
      <c r="D23" s="86">
        <f>D21</f>
        <v>0.196</v>
      </c>
      <c r="E23" s="87">
        <v>0.433870967741936</v>
      </c>
      <c r="F23" s="88">
        <f>(D23*D12+E12*E23)/F12</f>
        <v>0.327678571428571</v>
      </c>
      <c r="G23" s="74" t="str">
        <f>IF(OR(F23/F$6&gt;1.2,F23&lt;F$6),"未校准",IF(AND(F23&gt;F$6,F23/F$6&lt;=1.2),"确定？"))</f>
        <v>未校准</v>
      </c>
      <c r="H23" s="75">
        <f>F23-D23</f>
        <v>0.131678571428571</v>
      </c>
      <c r="I23" s="105">
        <f>IFERROR(H23/D23,"-")</f>
        <v>0.67182944606414</v>
      </c>
      <c r="J23" s="106" t="s">
        <v>54</v>
      </c>
      <c r="K23" s="118">
        <v>0.433870967741936</v>
      </c>
      <c r="L23" s="74" t="str">
        <f>IF(OR(K23/K$6&gt;1.2,K23&lt;K$6),"未校准",IF(AND(K23&gt;K$6,K23/K$6&lt;=1.2),"确定？"))</f>
        <v>未校准</v>
      </c>
      <c r="M23" s="108">
        <f>K23-F23</f>
        <v>0.106192396313364</v>
      </c>
      <c r="N23" s="109">
        <f>M23/F23</f>
        <v>0.324074887931792</v>
      </c>
      <c r="O23" s="110" t="s">
        <v>54</v>
      </c>
    </row>
    <row r="24" ht="26.55" customHeight="1" spans="2:15">
      <c r="B24" s="70" t="s">
        <v>57</v>
      </c>
      <c r="C24" s="86">
        <f>C21</f>
        <v>0.15625</v>
      </c>
      <c r="D24" s="86">
        <f>D21</f>
        <v>0.196</v>
      </c>
      <c r="E24" s="87">
        <v>0.433870967741936</v>
      </c>
      <c r="F24" s="88">
        <f>(D24*D13+E13*E24)/F13</f>
        <v>0.327678571428571</v>
      </c>
      <c r="G24" s="74" t="str">
        <f>IF(OR(F24/F$6&gt;1.2,F24&lt;F$6),"未校准",IF(AND(F24&gt;F$6,F24/F$6&lt;=1.2),"确定？"))</f>
        <v>未校准</v>
      </c>
      <c r="H24" s="75">
        <f>F24-D24</f>
        <v>0.131678571428571</v>
      </c>
      <c r="I24" s="105">
        <f>IFERROR(H24/D24,"-")</f>
        <v>0.67182944606414</v>
      </c>
      <c r="J24" s="106" t="s">
        <v>54</v>
      </c>
      <c r="K24" s="118">
        <v>0.433870967741936</v>
      </c>
      <c r="L24" s="74" t="str">
        <f>IF(OR(K24/K$6&gt;1.2,K24&lt;K$6),"未校准",IF(AND(K24&gt;K$6,K24/K$6&lt;=1.2),"确定？"))</f>
        <v>未校准</v>
      </c>
      <c r="M24" s="108">
        <f>K24-F24</f>
        <v>0.106192396313364</v>
      </c>
      <c r="N24" s="109">
        <f>M24/F24</f>
        <v>0.324074887931792</v>
      </c>
      <c r="O24" s="110" t="s">
        <v>54</v>
      </c>
    </row>
    <row r="25" ht="26.55" customHeight="1" spans="2:15">
      <c r="B25" s="76" t="s">
        <v>58</v>
      </c>
      <c r="C25" s="89">
        <f>C21</f>
        <v>0.15625</v>
      </c>
      <c r="D25" s="89">
        <f>D21</f>
        <v>0.196</v>
      </c>
      <c r="E25" s="90">
        <f>(F25*F14-D14*D25)/E14</f>
        <v>0.202469135802469</v>
      </c>
      <c r="F25" s="91">
        <f>F17</f>
        <v>0.2</v>
      </c>
      <c r="G25" s="80" t="str">
        <f>IF(OR(F25/F$6&gt;1.2,F25&lt;F$6),"未校准",IF(AND(F25&gt;F$6,F25/F$6&lt;=1.2),"确定？"))</f>
        <v>未校准</v>
      </c>
      <c r="H25" s="81">
        <f>F25-D25</f>
        <v>0.004</v>
      </c>
      <c r="I25" s="111">
        <f>IFERROR(H25/D25,"-")</f>
        <v>0.0204081632653061</v>
      </c>
      <c r="J25" s="112" t="s">
        <v>54</v>
      </c>
      <c r="K25" s="119">
        <f>K17</f>
        <v>0.3</v>
      </c>
      <c r="L25" s="80" t="str">
        <f>IF(OR(K25/K$6&gt;1.2,K25&lt;K$6),"未校准",IF(AND(K25&gt;K$6,K25/K$6&lt;=1.2),"确定？"))</f>
        <v>未校准</v>
      </c>
      <c r="M25" s="114">
        <f>K25-F25</f>
        <v>0.1</v>
      </c>
      <c r="N25" s="115">
        <f>M25/F25</f>
        <v>0.5</v>
      </c>
      <c r="O25" s="116" t="s">
        <v>54</v>
      </c>
    </row>
    <row r="26" ht="26.55" customHeight="1" spans="3:15">
      <c r="C26" s="92"/>
      <c r="D26" s="92"/>
      <c r="E26" s="93"/>
      <c r="F26" s="92"/>
      <c r="G26" s="94"/>
      <c r="H26" s="92"/>
      <c r="I26" s="120"/>
      <c r="J26" s="121"/>
      <c r="K26" s="92"/>
      <c r="L26" s="94"/>
      <c r="M26" s="92"/>
      <c r="N26" s="122"/>
      <c r="O26" s="121"/>
    </row>
    <row r="27" spans="3:3">
      <c r="C27" t="s">
        <v>60</v>
      </c>
    </row>
    <row r="29" spans="3:4">
      <c r="C29" s="95"/>
      <c r="D29" t="s">
        <v>61</v>
      </c>
    </row>
    <row r="30" spans="3:4">
      <c r="C30" s="96"/>
      <c r="D30" t="s">
        <v>62</v>
      </c>
    </row>
    <row r="31" spans="3:4">
      <c r="C31" s="97"/>
      <c r="D31" t="s">
        <v>63</v>
      </c>
    </row>
  </sheetData>
  <mergeCells count="12">
    <mergeCell ref="B2:O2"/>
    <mergeCell ref="C3:D3"/>
    <mergeCell ref="H8:J8"/>
    <mergeCell ref="M8:O8"/>
    <mergeCell ref="H19:J19"/>
    <mergeCell ref="M19:O19"/>
    <mergeCell ref="B5:B6"/>
    <mergeCell ref="B8:B9"/>
    <mergeCell ref="B16:B17"/>
    <mergeCell ref="B19:B20"/>
    <mergeCell ref="G8:G9"/>
    <mergeCell ref="G19:G20"/>
  </mergeCells>
  <conditionalFormatting sqref="G10:G14">
    <cfRule type="cellIs" dxfId="0" priority="7" operator="equal">
      <formula>"未校准"</formula>
    </cfRule>
    <cfRule type="cellIs" dxfId="1" priority="8" operator="equal">
      <formula>"确定？"</formula>
    </cfRule>
  </conditionalFormatting>
  <conditionalFormatting sqref="G21:G26">
    <cfRule type="cellIs" dxfId="0" priority="3" operator="equal">
      <formula>"未校准"</formula>
    </cfRule>
    <cfRule type="cellIs" dxfId="1" priority="4" operator="equal">
      <formula>"确定？"</formula>
    </cfRule>
  </conditionalFormatting>
  <conditionalFormatting sqref="L10:L14">
    <cfRule type="cellIs" dxfId="0" priority="5" operator="equal">
      <formula>"未校准"</formula>
    </cfRule>
    <cfRule type="cellIs" dxfId="1" priority="6" operator="equal">
      <formula>"确定？"</formula>
    </cfRule>
  </conditionalFormatting>
  <conditionalFormatting sqref="L21:L26">
    <cfRule type="cellIs" dxfId="0" priority="1" operator="equal">
      <formula>"未校准"</formula>
    </cfRule>
    <cfRule type="cellIs" dxfId="1" priority="2" operator="equal">
      <formula>"确定？"</formula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T35"/>
  <sheetViews>
    <sheetView showGridLines="0" tabSelected="1" zoomScale="115" zoomScaleNormal="115" workbookViewId="0">
      <pane xSplit="3" ySplit="5" topLeftCell="D6" activePane="bottomRight" state="frozen"/>
      <selection/>
      <selection pane="topRight"/>
      <selection pane="bottomLeft"/>
      <selection pane="bottomRight" activeCell="K14" sqref="K14"/>
    </sheetView>
  </sheetViews>
  <sheetFormatPr defaultColWidth="9" defaultRowHeight="13.8"/>
  <cols>
    <col min="2" max="2" width="5.11111111111111" style="2" customWidth="1"/>
    <col min="3" max="3" width="24.1111111111111" customWidth="1"/>
    <col min="5" max="5" width="1" customWidth="1"/>
    <col min="8" max="8" width="0.888888888888889" customWidth="1"/>
    <col min="9" max="9" width="9.88888888888889" customWidth="1"/>
    <col min="10" max="10" width="8.11111111111111" customWidth="1"/>
    <col min="11" max="11" width="7.77777777777778" customWidth="1"/>
    <col min="12" max="12" width="0.777777777777778" customWidth="1"/>
    <col min="13" max="13" width="6.22222222222222" customWidth="1"/>
    <col min="16" max="16" width="0.777777777777778" customWidth="1"/>
    <col min="17" max="17" width="6.66666666666667" customWidth="1"/>
    <col min="18" max="18" width="6.44444444444444" customWidth="1"/>
    <col min="19" max="19" width="6" customWidth="1"/>
    <col min="20" max="20" width="5.66666666666667" customWidth="1"/>
  </cols>
  <sheetData>
    <row r="2" ht="32.4" spans="2:20">
      <c r="B2" s="3" t="s">
        <v>64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t="14.55"/>
    <row r="4" spans="2:20">
      <c r="B4" s="4" t="s">
        <v>2</v>
      </c>
      <c r="C4" s="5"/>
      <c r="D4" s="5" t="s">
        <v>65</v>
      </c>
      <c r="E4" s="6"/>
      <c r="F4" s="5" t="s">
        <v>66</v>
      </c>
      <c r="G4" s="5"/>
      <c r="H4" s="6"/>
      <c r="I4" s="5" t="s">
        <v>67</v>
      </c>
      <c r="J4" s="5"/>
      <c r="K4" s="5"/>
      <c r="L4" s="5"/>
      <c r="M4" s="5" t="s">
        <v>68</v>
      </c>
      <c r="N4" s="5"/>
      <c r="O4" s="5"/>
      <c r="P4" s="5"/>
      <c r="Q4" s="5" t="s">
        <v>69</v>
      </c>
      <c r="R4" s="5"/>
      <c r="S4" s="5"/>
      <c r="T4" s="36"/>
    </row>
    <row r="5" s="1" customFormat="1" ht="42.15" spans="2:20">
      <c r="B5" s="7"/>
      <c r="C5" s="8"/>
      <c r="D5" s="8"/>
      <c r="E5" s="9"/>
      <c r="F5" s="9" t="s">
        <v>70</v>
      </c>
      <c r="G5" s="9" t="s">
        <v>71</v>
      </c>
      <c r="H5" s="9"/>
      <c r="I5" s="9" t="s">
        <v>72</v>
      </c>
      <c r="J5" s="9" t="s">
        <v>73</v>
      </c>
      <c r="K5" s="9" t="s">
        <v>29</v>
      </c>
      <c r="L5" s="9"/>
      <c r="M5" s="9" t="s">
        <v>74</v>
      </c>
      <c r="N5" s="9" t="s">
        <v>75</v>
      </c>
      <c r="O5" s="9" t="s">
        <v>76</v>
      </c>
      <c r="P5" s="9"/>
      <c r="Q5" s="9" t="s">
        <v>77</v>
      </c>
      <c r="R5" s="9" t="s">
        <v>78</v>
      </c>
      <c r="S5" s="9" t="s">
        <v>79</v>
      </c>
      <c r="T5" s="37" t="s">
        <v>29</v>
      </c>
    </row>
    <row r="6" spans="2:20">
      <c r="B6" s="10" t="s">
        <v>15</v>
      </c>
      <c r="C6" s="11"/>
      <c r="D6" s="12">
        <v>100</v>
      </c>
      <c r="F6" s="12">
        <f>D6</f>
        <v>100</v>
      </c>
      <c r="G6" s="12">
        <f>D6</f>
        <v>100</v>
      </c>
      <c r="H6" s="2"/>
      <c r="I6" s="12"/>
      <c r="J6" s="12"/>
      <c r="K6" s="12"/>
      <c r="L6" s="2"/>
      <c r="M6" s="12"/>
      <c r="N6" s="12"/>
      <c r="O6" s="12"/>
      <c r="P6" s="2"/>
      <c r="Q6" s="12"/>
      <c r="R6" s="12"/>
      <c r="S6" s="12"/>
      <c r="T6" s="38"/>
    </row>
    <row r="7" spans="2:20">
      <c r="B7" s="10" t="s">
        <v>17</v>
      </c>
      <c r="C7" s="11"/>
      <c r="D7" s="13">
        <v>40</v>
      </c>
      <c r="F7" s="14">
        <f>D7+(D9-D10+D15-D16-D18)/D6*F6</f>
        <v>59</v>
      </c>
      <c r="G7" s="14">
        <f>D7+(D9-D11+D15-G15)/D6*G6</f>
        <v>70</v>
      </c>
      <c r="I7" s="26"/>
      <c r="J7" s="26"/>
      <c r="K7" s="26"/>
      <c r="M7" s="26"/>
      <c r="N7" s="26"/>
      <c r="O7" s="26"/>
      <c r="Q7" s="26"/>
      <c r="R7" s="26"/>
      <c r="S7" s="26"/>
      <c r="T7" s="39"/>
    </row>
    <row r="8" spans="2:20">
      <c r="B8" s="15" t="s">
        <v>19</v>
      </c>
      <c r="C8" s="16"/>
      <c r="D8" s="17">
        <f>D6-D7</f>
        <v>60</v>
      </c>
      <c r="E8" s="18"/>
      <c r="F8" s="19">
        <f>F6-F7</f>
        <v>41</v>
      </c>
      <c r="G8" s="19">
        <f>G6-G7</f>
        <v>30</v>
      </c>
      <c r="H8" s="18"/>
      <c r="I8" s="19"/>
      <c r="J8" s="19"/>
      <c r="K8" s="19"/>
      <c r="L8" s="18"/>
      <c r="M8" s="19"/>
      <c r="N8" s="19"/>
      <c r="O8" s="19"/>
      <c r="P8" s="18"/>
      <c r="Q8" s="19"/>
      <c r="R8" s="19"/>
      <c r="S8" s="19"/>
      <c r="T8" s="40"/>
    </row>
    <row r="9" spans="2:20">
      <c r="B9" s="20" t="s">
        <v>80</v>
      </c>
      <c r="C9" s="21"/>
      <c r="D9" s="22">
        <f>SUM(D10:D13)</f>
        <v>35</v>
      </c>
      <c r="E9" s="23"/>
      <c r="F9" s="22">
        <f>SUM(F10:F13)</f>
        <v>15</v>
      </c>
      <c r="G9" s="22">
        <f>SUM(G10:G13)</f>
        <v>10</v>
      </c>
      <c r="H9" s="24"/>
      <c r="I9" s="34"/>
      <c r="J9" s="34"/>
      <c r="K9" s="34"/>
      <c r="L9" s="23"/>
      <c r="M9" s="34"/>
      <c r="N9" s="34"/>
      <c r="O9" s="34"/>
      <c r="P9" s="23"/>
      <c r="Q9" s="34"/>
      <c r="R9" s="34"/>
      <c r="S9" s="34"/>
      <c r="T9" s="41"/>
    </row>
    <row r="10" spans="2:20">
      <c r="B10" s="25" t="s">
        <v>81</v>
      </c>
      <c r="C10" s="11" t="s">
        <v>82</v>
      </c>
      <c r="D10" s="26">
        <v>15</v>
      </c>
      <c r="F10" s="26">
        <f>D10</f>
        <v>15</v>
      </c>
      <c r="G10" s="26"/>
      <c r="I10" s="26"/>
      <c r="J10" s="26"/>
      <c r="K10" s="26"/>
      <c r="M10" s="26"/>
      <c r="N10" s="26"/>
      <c r="O10" s="26"/>
      <c r="Q10" s="26"/>
      <c r="R10" s="26"/>
      <c r="S10" s="26"/>
      <c r="T10" s="39"/>
    </row>
    <row r="11" spans="2:20">
      <c r="B11" s="10"/>
      <c r="C11" s="11" t="s">
        <v>83</v>
      </c>
      <c r="D11" s="26">
        <v>10</v>
      </c>
      <c r="F11" s="26"/>
      <c r="G11" s="26">
        <f>D11</f>
        <v>10</v>
      </c>
      <c r="I11" s="26"/>
      <c r="J11" s="26"/>
      <c r="K11" s="26"/>
      <c r="M11" s="26"/>
      <c r="N11" s="26"/>
      <c r="O11" s="26"/>
      <c r="Q11" s="26"/>
      <c r="R11" s="26"/>
      <c r="S11" s="26"/>
      <c r="T11" s="39"/>
    </row>
    <row r="12" spans="2:20">
      <c r="B12" s="10"/>
      <c r="C12" s="11" t="s">
        <v>84</v>
      </c>
      <c r="D12" s="26">
        <v>3</v>
      </c>
      <c r="F12" s="26"/>
      <c r="G12" s="26"/>
      <c r="I12" s="26">
        <v>1</v>
      </c>
      <c r="J12" s="26">
        <v>1</v>
      </c>
      <c r="K12" s="26">
        <v>1</v>
      </c>
      <c r="M12" s="26"/>
      <c r="N12" s="26"/>
      <c r="O12" s="26"/>
      <c r="Q12" s="26"/>
      <c r="R12" s="26"/>
      <c r="S12" s="26"/>
      <c r="T12" s="39"/>
    </row>
    <row r="13" spans="2:20">
      <c r="B13" s="10"/>
      <c r="C13" s="11" t="s">
        <v>85</v>
      </c>
      <c r="D13" s="26">
        <v>7</v>
      </c>
      <c r="F13" s="26"/>
      <c r="G13" s="26"/>
      <c r="I13" s="26"/>
      <c r="J13" s="26"/>
      <c r="K13" s="26"/>
      <c r="M13" s="26">
        <v>3</v>
      </c>
      <c r="N13" s="26">
        <v>2</v>
      </c>
      <c r="O13" s="26">
        <v>2</v>
      </c>
      <c r="Q13" s="26"/>
      <c r="R13" s="26"/>
      <c r="S13" s="26"/>
      <c r="T13" s="39"/>
    </row>
    <row r="14" spans="2:20">
      <c r="B14" s="15"/>
      <c r="C14" s="16" t="s">
        <v>86</v>
      </c>
      <c r="D14" s="19">
        <v>5</v>
      </c>
      <c r="E14" s="18"/>
      <c r="F14" s="19"/>
      <c r="G14" s="19"/>
      <c r="H14" s="18"/>
      <c r="I14" s="19"/>
      <c r="J14" s="19"/>
      <c r="K14" s="19"/>
      <c r="L14" s="18"/>
      <c r="M14" s="19"/>
      <c r="N14" s="19"/>
      <c r="O14" s="19"/>
      <c r="P14" s="18"/>
      <c r="Q14" s="19">
        <v>1</v>
      </c>
      <c r="R14" s="19">
        <v>1</v>
      </c>
      <c r="S14" s="19">
        <v>1</v>
      </c>
      <c r="T14" s="40">
        <v>2</v>
      </c>
    </row>
    <row r="15" spans="2:20">
      <c r="B15" s="10" t="s">
        <v>32</v>
      </c>
      <c r="C15" s="11"/>
      <c r="D15" s="12">
        <f>SUM(D16:D20)</f>
        <v>7</v>
      </c>
      <c r="F15" s="12">
        <f>SUM(F16:F20)</f>
        <v>8</v>
      </c>
      <c r="G15" s="12">
        <f>SUM(G16:G20)</f>
        <v>2</v>
      </c>
      <c r="H15" s="2"/>
      <c r="I15" s="26"/>
      <c r="J15" s="26"/>
      <c r="K15" s="26"/>
      <c r="M15" s="26"/>
      <c r="N15" s="26"/>
      <c r="O15" s="26"/>
      <c r="Q15" s="26"/>
      <c r="R15" s="26"/>
      <c r="S15" s="26"/>
      <c r="T15" s="39"/>
    </row>
    <row r="16" spans="2:20">
      <c r="B16" s="25" t="s">
        <v>81</v>
      </c>
      <c r="C16" s="11" t="s">
        <v>34</v>
      </c>
      <c r="D16" s="26">
        <v>5</v>
      </c>
      <c r="F16" s="26">
        <v>5</v>
      </c>
      <c r="G16" s="26"/>
      <c r="I16" s="26"/>
      <c r="J16" s="26"/>
      <c r="K16" s="26"/>
      <c r="M16" s="26"/>
      <c r="N16" s="26"/>
      <c r="O16" s="26"/>
      <c r="Q16" s="26"/>
      <c r="R16" s="26"/>
      <c r="S16" s="26"/>
      <c r="T16" s="39"/>
    </row>
    <row r="17" spans="2:20">
      <c r="B17" s="10"/>
      <c r="C17" s="11" t="s">
        <v>36</v>
      </c>
      <c r="D17" s="26">
        <v>-5</v>
      </c>
      <c r="F17" s="26"/>
      <c r="G17" s="26">
        <f>D17</f>
        <v>-5</v>
      </c>
      <c r="I17" s="26"/>
      <c r="J17" s="26"/>
      <c r="K17" s="26"/>
      <c r="M17" s="26"/>
      <c r="N17" s="26"/>
      <c r="O17" s="26"/>
      <c r="Q17" s="26"/>
      <c r="R17" s="26"/>
      <c r="S17" s="26"/>
      <c r="T17" s="39"/>
    </row>
    <row r="18" spans="2:20">
      <c r="B18" s="10"/>
      <c r="C18" s="11" t="s">
        <v>37</v>
      </c>
      <c r="D18" s="26">
        <v>3</v>
      </c>
      <c r="F18" s="26">
        <v>3</v>
      </c>
      <c r="G18" s="26">
        <f>D18</f>
        <v>3</v>
      </c>
      <c r="I18" s="26"/>
      <c r="J18" s="26"/>
      <c r="K18" s="26"/>
      <c r="M18" s="26"/>
      <c r="N18" s="26"/>
      <c r="O18" s="26"/>
      <c r="Q18" s="26"/>
      <c r="R18" s="26"/>
      <c r="S18" s="26"/>
      <c r="T18" s="39"/>
    </row>
    <row r="19" spans="2:20">
      <c r="B19" s="10"/>
      <c r="C19" s="11" t="s">
        <v>38</v>
      </c>
      <c r="D19" s="26">
        <v>2</v>
      </c>
      <c r="F19" s="26"/>
      <c r="G19" s="26">
        <f>D19</f>
        <v>2</v>
      </c>
      <c r="I19" s="26"/>
      <c r="J19" s="26"/>
      <c r="K19" s="26"/>
      <c r="M19" s="26"/>
      <c r="N19" s="26"/>
      <c r="O19" s="26"/>
      <c r="Q19" s="26"/>
      <c r="R19" s="26"/>
      <c r="S19" s="26"/>
      <c r="T19" s="39"/>
    </row>
    <row r="20" spans="2:20">
      <c r="B20" s="15"/>
      <c r="C20" s="16" t="s">
        <v>39</v>
      </c>
      <c r="D20" s="19">
        <v>2</v>
      </c>
      <c r="E20" s="18"/>
      <c r="F20" s="19"/>
      <c r="G20" s="19">
        <f>D20</f>
        <v>2</v>
      </c>
      <c r="H20" s="18"/>
      <c r="I20" s="19"/>
      <c r="J20" s="19"/>
      <c r="K20" s="19"/>
      <c r="L20" s="18"/>
      <c r="M20" s="19"/>
      <c r="N20" s="19"/>
      <c r="O20" s="19"/>
      <c r="P20" s="18"/>
      <c r="Q20" s="19"/>
      <c r="R20" s="19"/>
      <c r="S20" s="19"/>
      <c r="T20" s="40"/>
    </row>
    <row r="21" spans="2:20">
      <c r="B21" s="10" t="s">
        <v>40</v>
      </c>
      <c r="C21" s="11"/>
      <c r="D21" s="26">
        <v>-1</v>
      </c>
      <c r="F21" s="26"/>
      <c r="G21" s="26"/>
      <c r="I21" s="26"/>
      <c r="J21" s="26"/>
      <c r="K21" s="26"/>
      <c r="M21" s="26"/>
      <c r="N21" s="26"/>
      <c r="O21" s="26"/>
      <c r="Q21" s="26"/>
      <c r="R21" s="26"/>
      <c r="S21" s="26"/>
      <c r="T21" s="39"/>
    </row>
    <row r="22" spans="2:20">
      <c r="B22" s="10" t="s">
        <v>87</v>
      </c>
      <c r="C22" s="11"/>
      <c r="D22" s="26">
        <v>2</v>
      </c>
      <c r="F22" s="26">
        <f>D22</f>
        <v>2</v>
      </c>
      <c r="G22" s="26">
        <f>D22</f>
        <v>2</v>
      </c>
      <c r="I22" s="26"/>
      <c r="J22" s="26"/>
      <c r="K22" s="26"/>
      <c r="M22" s="26"/>
      <c r="N22" s="26"/>
      <c r="O22" s="26"/>
      <c r="Q22" s="26"/>
      <c r="R22" s="26"/>
      <c r="S22" s="26"/>
      <c r="T22" s="39"/>
    </row>
    <row r="23" ht="14.55" spans="2:20">
      <c r="B23" s="27" t="s">
        <v>41</v>
      </c>
      <c r="C23" s="28"/>
      <c r="D23" s="29">
        <f>D8-D9-D15-D21-D22</f>
        <v>17</v>
      </c>
      <c r="E23" s="30"/>
      <c r="F23" s="29">
        <f>F8-F9-F15-F21-F22</f>
        <v>16</v>
      </c>
      <c r="G23" s="29">
        <f>G8-G9-G15-G21-G22</f>
        <v>16</v>
      </c>
      <c r="H23" s="30"/>
      <c r="I23" s="35"/>
      <c r="J23" s="35"/>
      <c r="K23" s="35"/>
      <c r="L23" s="30"/>
      <c r="M23" s="35"/>
      <c r="N23" s="35"/>
      <c r="O23" s="35"/>
      <c r="P23" s="30"/>
      <c r="Q23" s="35"/>
      <c r="R23" s="35"/>
      <c r="S23" s="35"/>
      <c r="T23" s="42"/>
    </row>
    <row r="24" spans="4:4">
      <c r="D24" s="2"/>
    </row>
    <row r="25" spans="2:4">
      <c r="B25" s="2" t="s">
        <v>88</v>
      </c>
      <c r="D25" s="2"/>
    </row>
    <row r="26" spans="2:20">
      <c r="B26" s="31" t="s">
        <v>89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</row>
    <row r="27" spans="2:20">
      <c r="B27" s="31"/>
      <c r="C27" s="31" t="s">
        <v>90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</row>
    <row r="28" ht="3.45" customHeight="1" spans="2:20"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29" spans="2:20">
      <c r="B29" s="31" t="s">
        <v>91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</row>
    <row r="30" spans="2:20">
      <c r="B30" s="31"/>
      <c r="C30" s="31" t="s">
        <v>92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</row>
    <row r="31" ht="30" customHeight="1" spans="2:20">
      <c r="B31" s="31"/>
      <c r="C31" s="32" t="s">
        <v>93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</row>
    <row r="32" ht="4.5" customHeight="1" spans="2:20"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</row>
    <row r="33" spans="2:20">
      <c r="B33" s="31" t="s">
        <v>94</v>
      </c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</row>
    <row r="34" spans="2:20">
      <c r="B34" s="31"/>
      <c r="C34" s="31" t="s">
        <v>95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</row>
    <row r="35" ht="32.55" customHeight="1" spans="2:20">
      <c r="B35" s="31"/>
      <c r="C35" s="32" t="s">
        <v>96</v>
      </c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</row>
  </sheetData>
  <mergeCells count="9">
    <mergeCell ref="B2:T2"/>
    <mergeCell ref="F4:G4"/>
    <mergeCell ref="I4:K4"/>
    <mergeCell ref="M4:O4"/>
    <mergeCell ref="Q4:T4"/>
    <mergeCell ref="C31:T31"/>
    <mergeCell ref="C35:T35"/>
    <mergeCell ref="D4:D5"/>
    <mergeCell ref="B4:C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利润表汇总</vt:lpstr>
      <vt:lpstr>销售预算(从销售明细预算表中复制）</vt:lpstr>
      <vt:lpstr>“搓麻绳”利润表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陈东捷</cp:lastModifiedBy>
  <dcterms:created xsi:type="dcterms:W3CDTF">2021-09-27T03:35:00Z</dcterms:created>
  <dcterms:modified xsi:type="dcterms:W3CDTF">2021-11-21T16:33:34Z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F8FFCB86DEAF4AEA8DC3C7A221DC1B2F</vt:lpwstr>
  </property>
  <property fmtid="{D5CDD505-2E9C-101B-9397-08002B2CF9AE}" pid="3" name="KSOProductBuildVer">
    <vt:lpwstr>2052-11.1.0.11045</vt:lpwstr>
  </property>
</Properties>
</file>