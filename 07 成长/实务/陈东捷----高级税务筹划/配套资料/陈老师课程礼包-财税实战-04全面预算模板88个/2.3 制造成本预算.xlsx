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65" activeTab="10"/>
  </bookViews>
  <sheets>
    <sheet name="制造成本" sheetId="1" r:id="rId1"/>
    <sheet name="人工" sheetId="6" r:id="rId2"/>
    <sheet name="Sheet4" sheetId="4" state="hidden" r:id="rId3"/>
    <sheet name="变动制造费用" sheetId="7" r:id="rId4"/>
    <sheet name="固定制造费用" sheetId="12" r:id="rId5"/>
    <sheet name="销售标准成本" sheetId="2" r:id="rId6"/>
    <sheet name="单位标准成本" sheetId="8" r:id="rId7"/>
    <sheet name="标准材料" sheetId="10" r:id="rId8"/>
    <sheet name="标准采购价格" sheetId="11" r:id="rId9"/>
    <sheet name="标准工费" sheetId="9" r:id="rId10"/>
    <sheet name="标实差异" sheetId="3" r:id="rId11"/>
  </sheets>
  <calcPr calcId="144525"/>
</workbook>
</file>

<file path=xl/sharedStrings.xml><?xml version="1.0" encoding="utf-8"?>
<sst xmlns="http://schemas.openxmlformats.org/spreadsheetml/2006/main" count="191" uniqueCount="139">
  <si>
    <t>项目</t>
  </si>
  <si>
    <t>金额</t>
  </si>
  <si>
    <t>理论公式</t>
  </si>
  <si>
    <t>预算方法</t>
  </si>
  <si>
    <t>方法1：基于标准成本快速推算</t>
  </si>
  <si>
    <t>标准制造成本</t>
  </si>
  <si>
    <t>=∑产量*单位标准成本</t>
  </si>
  <si>
    <t>先假设存货水平不变化，产量=销量</t>
  </si>
  <si>
    <t>预实差异</t>
  </si>
  <si>
    <t>一般情况下，预算时不会出现这类差异。在预算的“标准用量”、“标准单价”、“标准工时”、”标准费率“等标准的计算基础不是来自于最终预算时会出现这种差异</t>
  </si>
  <si>
    <t>直接材料</t>
  </si>
  <si>
    <t>材料用量差异</t>
  </si>
  <si>
    <t>=∑（实际材料用量-标准材料用量）*标准材料单价</t>
  </si>
  <si>
    <t>逐项检视分析改变材料消耗量变化因素对材料成本的影响</t>
  </si>
  <si>
    <t>材料价格差异</t>
  </si>
  <si>
    <t>=∑（实际材料价格-标准材料价格）*实际材料用量</t>
  </si>
  <si>
    <t>逐项检视分析材料价格变化因素对成本的影响</t>
  </si>
  <si>
    <t>直接人工</t>
  </si>
  <si>
    <t>标准工费率=人工费预算总额/预算产量下的标准总工时</t>
  </si>
  <si>
    <t>人工费率差异</t>
  </si>
  <si>
    <t>=实际薪酬福利总额-∑标准工费率*实际工时</t>
  </si>
  <si>
    <t>逐项检视分析改变人工效率变化因素对人工成本的影响</t>
  </si>
  <si>
    <t>人工效率差异</t>
  </si>
  <si>
    <t>=（实际工时总额-∑产品标准工时*实际产量）*标准工费率</t>
  </si>
  <si>
    <t>逐项检视分析改变人工费率变化因素对人工成本的影响</t>
  </si>
  <si>
    <t>变动制造费用</t>
  </si>
  <si>
    <t>标准变动制费率=变动制造费用预算总额/预算产量下的标准总工时</t>
  </si>
  <si>
    <t>耗费差异</t>
  </si>
  <si>
    <t>=实际变动制费总额-∑标准费率*产品标准工时*实际产量</t>
  </si>
  <si>
    <t>逐项分析列举可能的差异影响因素</t>
  </si>
  <si>
    <t>效率差异</t>
  </si>
  <si>
    <t>=∑（实际总工时-实际产量*产品标准工时）*标准费率</t>
  </si>
  <si>
    <t>固定制造费用差异</t>
  </si>
  <si>
    <t>标准固定制费率=固定制造费用预算总额/预算产量下的标准总工时</t>
  </si>
  <si>
    <t>管理差异</t>
  </si>
  <si>
    <t>=费用实际数-费用预算数</t>
  </si>
  <si>
    <t>产能利用差异</t>
  </si>
  <si>
    <t>=（实际产量-预算产量）*产品标准工时*标准费率</t>
  </si>
  <si>
    <t>=实际工时总额-实际产量*产品标准工时*标准费率</t>
  </si>
  <si>
    <t>制造成本合计</t>
  </si>
  <si>
    <t>方法2：逐项详细计算后归集汇总</t>
  </si>
  <si>
    <t>材料成本总额</t>
  </si>
  <si>
    <t>=∑BOM用量*材料价格</t>
  </si>
  <si>
    <t>用BOM和产量套算，得到材料用量；再用材料用量乘以材料价格；再求和</t>
  </si>
  <si>
    <t>人工成本总额</t>
  </si>
  <si>
    <t>=∑人工数*薪酬福利</t>
  </si>
  <si>
    <t>根据产量推算出工人数；再按薪酬福利标准套算出人工成本总额</t>
  </si>
  <si>
    <t>制造费用总额</t>
  </si>
  <si>
    <r>
      <rPr>
        <sz val="10"/>
        <color theme="1"/>
        <rFont val="等线"/>
        <charset val="134"/>
        <scheme val="minor"/>
      </rPr>
      <t>=</t>
    </r>
    <r>
      <rPr>
        <sz val="10"/>
        <color theme="1"/>
        <rFont val="等线"/>
        <charset val="134"/>
      </rPr>
      <t>∑各种制造费用</t>
    </r>
  </si>
  <si>
    <t>汇总制造过程中消耗的各种其他费用，材料、人工除外</t>
  </si>
  <si>
    <t>数据验证</t>
  </si>
  <si>
    <t>方法1计算的制造成本合计</t>
  </si>
  <si>
    <t>方法2计算的制造成本合计</t>
  </si>
  <si>
    <t>两种方法的差异</t>
  </si>
  <si>
    <t>其中：</t>
  </si>
  <si>
    <t>差异原因1：预算标实差异</t>
  </si>
  <si>
    <t>差异原因2</t>
  </si>
  <si>
    <t>差异原因3</t>
  </si>
  <si>
    <t>1.假设预算年度生产量=销量，将销量用BOM里的标准工艺工时进行套算，得出需要预算产量的总标准工时</t>
  </si>
  <si>
    <t>2.将当年的生产量用BOM里的标准工艺工时进行套算，得出当年产出产品的总标准工时</t>
  </si>
  <si>
    <t>3. 预算人工数=当年人工数*预算总标准工时/当年总标准工时</t>
  </si>
  <si>
    <t>4.考虑可能的生产效率变化因素，对预算人工数进行调整</t>
  </si>
  <si>
    <t>工作中心</t>
  </si>
  <si>
    <t>工种</t>
  </si>
  <si>
    <t>当年产出总标准工时</t>
  </si>
  <si>
    <t>当年工人数</t>
  </si>
  <si>
    <t>预算产出总标准工时</t>
  </si>
  <si>
    <t>预算工人数</t>
  </si>
  <si>
    <t>平均薪酬福利</t>
  </si>
  <si>
    <t>薪酬福利总额</t>
  </si>
  <si>
    <t>成品组装</t>
  </si>
  <si>
    <t>装配工</t>
  </si>
  <si>
    <t>金属件加工</t>
  </si>
  <si>
    <t>车工</t>
  </si>
  <si>
    <t>注塑</t>
  </si>
  <si>
    <t>注塑技工</t>
  </si>
  <si>
    <t>费用项目</t>
  </si>
  <si>
    <t>费用金额</t>
  </si>
  <si>
    <t>说明</t>
  </si>
  <si>
    <t>水电</t>
  </si>
  <si>
    <t>辅料</t>
  </si>
  <si>
    <t>机器社保折旧</t>
  </si>
  <si>
    <t>其他折旧</t>
  </si>
  <si>
    <t>数据来自于销售预算</t>
  </si>
  <si>
    <t>产品</t>
  </si>
  <si>
    <t>销售量</t>
  </si>
  <si>
    <t>销售单价</t>
  </si>
  <si>
    <t>销售额</t>
  </si>
  <si>
    <t>单位标准成本</t>
  </si>
  <si>
    <t>销售成本</t>
  </si>
  <si>
    <t>销售毛利</t>
  </si>
  <si>
    <t>毛利率</t>
  </si>
  <si>
    <t>注：销售成本和毛利均基于标准成本计算</t>
  </si>
  <si>
    <t>A</t>
  </si>
  <si>
    <t>B</t>
  </si>
  <si>
    <t>C</t>
  </si>
  <si>
    <t>有ERP系统时，直接用ERP系统计算结果</t>
  </si>
  <si>
    <t>标准材料</t>
  </si>
  <si>
    <t>标准工费</t>
  </si>
  <si>
    <t>标准成本</t>
  </si>
  <si>
    <t>BOM(产品的材料用量清单）由技术部门提供。如果缺失，也可以暂时凭经验推算。</t>
  </si>
  <si>
    <t>材料</t>
  </si>
  <si>
    <t>单位产品材料用量</t>
  </si>
  <si>
    <t>标准材料单价</t>
  </si>
  <si>
    <t>预算材料用量</t>
  </si>
  <si>
    <t>预算材料成本</t>
  </si>
  <si>
    <t>单位产品材料成本</t>
  </si>
  <si>
    <t>产量</t>
  </si>
  <si>
    <t>A1</t>
  </si>
  <si>
    <t>A2</t>
  </si>
  <si>
    <t>A3</t>
  </si>
  <si>
    <t>B1</t>
  </si>
  <si>
    <t>B2</t>
  </si>
  <si>
    <t>C1</t>
  </si>
  <si>
    <t>C2</t>
  </si>
  <si>
    <t>1.假设生产量=销量，将销量用BOM套算，即可计算出材料消耗量</t>
  </si>
  <si>
    <t>2. 假设预算年度材料价格保持不变，则材料单价可采用预算的采购价格</t>
  </si>
  <si>
    <t>根据对预算年度价格走势的判断，基于历史价格，推测预算价格</t>
  </si>
  <si>
    <t>当年材料平均单价</t>
  </si>
  <si>
    <t>预算材料单价</t>
  </si>
  <si>
    <t>产品的标准工时根据技术资料测算。如果没有技术资料，可以凭经验估算。由于此处的标准工时只用于计算分摊工费的小时工费率，因此，标准工时不“标准”，只要的偏差幅度不要巨大到存在结构性问题，一般不会影响成本计算的准确性。</t>
  </si>
  <si>
    <t>小时工费率=</t>
  </si>
  <si>
    <t>单位标准工时</t>
  </si>
  <si>
    <t>标准工时</t>
  </si>
  <si>
    <t>单位标准工费</t>
  </si>
  <si>
    <t>逐个项目测算，列出对预算年度成本的影响数。仅罗列没有被考虑到标准成本的差异。</t>
  </si>
  <si>
    <t>差异事项</t>
  </si>
  <si>
    <t>OTR编号</t>
  </si>
  <si>
    <t>差异类型</t>
  </si>
  <si>
    <t>差异额</t>
  </si>
  <si>
    <t>差异说明</t>
  </si>
  <si>
    <t>附表</t>
  </si>
  <si>
    <t>供应商谈判降价</t>
  </si>
  <si>
    <t>要求塑料件供应商降价5%</t>
  </si>
  <si>
    <t>NTC</t>
  </si>
  <si>
    <t>改进注塑生产工艺降低损耗</t>
  </si>
  <si>
    <t>详见项目计划书</t>
  </si>
  <si>
    <t>培养多能工</t>
  </si>
  <si>
    <t>装配车间试行一件流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</si>
</sst>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%"/>
  </numFmts>
  <fonts count="32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0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0"/>
      <color theme="1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14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4" borderId="13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5" fillId="15" borderId="17" applyNumberFormat="0" applyAlignment="0" applyProtection="0">
      <alignment vertical="center"/>
    </xf>
    <xf numFmtId="0" fontId="18" fillId="15" borderId="14" applyNumberFormat="0" applyAlignment="0" applyProtection="0">
      <alignment vertical="center"/>
    </xf>
    <xf numFmtId="0" fontId="27" fillId="22" borderId="19" applyNumberForma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176" fontId="0" fillId="0" borderId="0" xfId="11" applyNumberFormat="1" applyFont="1">
      <alignment vertical="center"/>
    </xf>
    <xf numFmtId="0" fontId="3" fillId="0" borderId="0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>
      <alignment vertical="center"/>
    </xf>
    <xf numFmtId="0" fontId="5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3" fillId="0" borderId="4" xfId="0" applyFont="1" applyBorder="1">
      <alignment vertical="center"/>
    </xf>
    <xf numFmtId="43" fontId="0" fillId="0" borderId="5" xfId="8" applyFont="1" applyBorder="1">
      <alignment vertical="center"/>
    </xf>
    <xf numFmtId="0" fontId="5" fillId="0" borderId="6" xfId="0" applyFont="1" applyBorder="1">
      <alignment vertical="center"/>
    </xf>
    <xf numFmtId="0" fontId="3" fillId="0" borderId="7" xfId="0" applyFont="1" applyBorder="1">
      <alignment vertical="center"/>
    </xf>
    <xf numFmtId="43" fontId="0" fillId="0" borderId="8" xfId="8" applyFont="1" applyBorder="1">
      <alignment vertical="center"/>
    </xf>
    <xf numFmtId="0" fontId="5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3" fillId="0" borderId="11" xfId="0" applyFont="1" applyBorder="1">
      <alignment vertical="center"/>
    </xf>
    <xf numFmtId="43" fontId="0" fillId="0" borderId="12" xfId="8" applyFont="1" applyBorder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12" xfId="0" applyBorder="1">
      <alignment vertic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3" xfId="0" applyFont="1" applyBorder="1">
      <alignment vertical="center"/>
    </xf>
    <xf numFmtId="43" fontId="0" fillId="0" borderId="4" xfId="0" applyNumberFormat="1" applyBorder="1">
      <alignment vertical="center"/>
    </xf>
    <xf numFmtId="43" fontId="0" fillId="0" borderId="7" xfId="8" applyFont="1" applyBorder="1">
      <alignment vertical="center"/>
    </xf>
    <xf numFmtId="0" fontId="3" fillId="0" borderId="10" xfId="0" applyFont="1" applyBorder="1">
      <alignment vertical="center"/>
    </xf>
    <xf numFmtId="43" fontId="0" fillId="0" borderId="11" xfId="0" applyNumberFormat="1" applyBorder="1">
      <alignment vertical="center"/>
    </xf>
    <xf numFmtId="43" fontId="0" fillId="0" borderId="1" xfId="0" applyNumberFormat="1" applyBorder="1">
      <alignment vertical="center"/>
    </xf>
    <xf numFmtId="0" fontId="7" fillId="0" borderId="0" xfId="0" applyFo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33"/>
  <sheetViews>
    <sheetView showGridLines="0" workbookViewId="0">
      <pane xSplit="5" ySplit="1" topLeftCell="F2" activePane="bottomRight" state="frozen"/>
      <selection/>
      <selection pane="topRight"/>
      <selection pane="bottomLeft"/>
      <selection pane="bottomRight" activeCell="G21" sqref="G21"/>
    </sheetView>
  </sheetViews>
  <sheetFormatPr defaultColWidth="9" defaultRowHeight="15.75" outlineLevelCol="7"/>
  <cols>
    <col min="2" max="2" width="4.10833333333333" style="8" customWidth="1"/>
    <col min="3" max="3" width="3.775" style="9" customWidth="1"/>
    <col min="4" max="4" width="3.66666666666667" style="10" customWidth="1"/>
    <col min="5" max="5" width="16.4416666666667" style="11" customWidth="1"/>
    <col min="6" max="6" width="17.775" customWidth="1"/>
    <col min="7" max="7" width="46.8833333333333" style="12" customWidth="1"/>
    <col min="8" max="8" width="63.775" style="12" customWidth="1"/>
    <col min="9" max="10" width="12.3333333333333" customWidth="1"/>
    <col min="11" max="11" width="16.2166666666667" customWidth="1"/>
  </cols>
  <sheetData>
    <row r="1" spans="2:8">
      <c r="B1" s="13" t="s">
        <v>0</v>
      </c>
      <c r="C1" s="13"/>
      <c r="D1" s="13"/>
      <c r="E1" s="13"/>
      <c r="F1" s="14" t="s">
        <v>1</v>
      </c>
      <c r="G1" s="15" t="s">
        <v>2</v>
      </c>
      <c r="H1" s="15" t="s">
        <v>3</v>
      </c>
    </row>
    <row r="2" ht="16.5" spans="2:2">
      <c r="B2" s="8" t="s">
        <v>4</v>
      </c>
    </row>
    <row r="3" spans="3:8">
      <c r="C3" s="16" t="s">
        <v>5</v>
      </c>
      <c r="D3" s="17"/>
      <c r="E3" s="18"/>
      <c r="F3" s="19">
        <f>SUM(销售标准成本!G:G)</f>
        <v>282940</v>
      </c>
      <c r="G3" s="38" t="s">
        <v>6</v>
      </c>
      <c r="H3" s="12" t="s">
        <v>7</v>
      </c>
    </row>
    <row r="4" spans="3:8">
      <c r="C4" s="20" t="s">
        <v>8</v>
      </c>
      <c r="E4" s="21"/>
      <c r="F4" s="22"/>
      <c r="H4" s="12" t="s">
        <v>9</v>
      </c>
    </row>
    <row r="5" spans="3:6">
      <c r="C5" s="20"/>
      <c r="D5" s="10" t="s">
        <v>10</v>
      </c>
      <c r="E5" s="21"/>
      <c r="F5" s="22"/>
    </row>
    <row r="6" spans="3:8">
      <c r="C6" s="20"/>
      <c r="E6" s="21" t="s">
        <v>11</v>
      </c>
      <c r="F6" s="22">
        <f>SUMIFS(标实差异!E:E,标实差异!D:D,$E6)</f>
        <v>-5000</v>
      </c>
      <c r="G6" s="38" t="s">
        <v>12</v>
      </c>
      <c r="H6" s="12" t="s">
        <v>13</v>
      </c>
    </row>
    <row r="7" spans="3:8">
      <c r="C7" s="20"/>
      <c r="E7" s="21" t="s">
        <v>14</v>
      </c>
      <c r="F7" s="22">
        <f>SUMIFS(标实差异!E:E,标实差异!D:D,$E7)</f>
        <v>-3000</v>
      </c>
      <c r="G7" s="38" t="s">
        <v>15</v>
      </c>
      <c r="H7" s="12" t="s">
        <v>16</v>
      </c>
    </row>
    <row r="8" spans="3:8">
      <c r="C8" s="20"/>
      <c r="D8" s="10" t="s">
        <v>17</v>
      </c>
      <c r="E8" s="21"/>
      <c r="F8" s="22">
        <f>SUMIFS(标实差异!E:E,标实差异!D:D,$E8)</f>
        <v>0</v>
      </c>
      <c r="H8" s="12" t="s">
        <v>18</v>
      </c>
    </row>
    <row r="9" spans="3:8">
      <c r="C9" s="20"/>
      <c r="E9" s="21" t="s">
        <v>19</v>
      </c>
      <c r="F9" s="22">
        <f>SUMIFS(标实差异!E:E,标实差异!D:D,$E9)</f>
        <v>-4000</v>
      </c>
      <c r="G9" s="38" t="s">
        <v>20</v>
      </c>
      <c r="H9" s="12" t="s">
        <v>21</v>
      </c>
    </row>
    <row r="10" spans="3:8">
      <c r="C10" s="20"/>
      <c r="E10" s="21" t="s">
        <v>22</v>
      </c>
      <c r="F10" s="22">
        <f>SUMIFS(标实差异!E:E,标实差异!D:D,$E10)</f>
        <v>0</v>
      </c>
      <c r="G10" s="38" t="s">
        <v>23</v>
      </c>
      <c r="H10" s="12" t="s">
        <v>24</v>
      </c>
    </row>
    <row r="11" spans="3:8">
      <c r="C11" s="20"/>
      <c r="D11" s="10" t="s">
        <v>25</v>
      </c>
      <c r="E11" s="21"/>
      <c r="F11" s="22">
        <f>SUMIFS(标实差异!E:E,标实差异!D:D,$E11)</f>
        <v>0</v>
      </c>
      <c r="H11" s="12" t="s">
        <v>26</v>
      </c>
    </row>
    <row r="12" spans="3:8">
      <c r="C12" s="20"/>
      <c r="E12" s="21" t="s">
        <v>27</v>
      </c>
      <c r="F12" s="22">
        <f>SUMIFS(标实差异!E:E,标实差异!D:D,$E12)</f>
        <v>0</v>
      </c>
      <c r="G12" s="38" t="s">
        <v>28</v>
      </c>
      <c r="H12" s="12" t="s">
        <v>29</v>
      </c>
    </row>
    <row r="13" spans="3:8">
      <c r="C13" s="20"/>
      <c r="E13" s="21" t="s">
        <v>30</v>
      </c>
      <c r="F13" s="22">
        <f>SUMIFS(标实差异!E:E,标实差异!D:D,$E13)</f>
        <v>-6000</v>
      </c>
      <c r="G13" s="38" t="s">
        <v>31</v>
      </c>
      <c r="H13" s="12" t="s">
        <v>29</v>
      </c>
    </row>
    <row r="14" spans="3:8">
      <c r="C14" s="20"/>
      <c r="D14" s="10" t="s">
        <v>32</v>
      </c>
      <c r="E14" s="21"/>
      <c r="F14" s="22">
        <f>SUMIFS(标实差异!E:E,标实差异!D:D,$E14)</f>
        <v>0</v>
      </c>
      <c r="H14" s="12" t="s">
        <v>33</v>
      </c>
    </row>
    <row r="15" spans="3:8">
      <c r="C15" s="20"/>
      <c r="E15" s="21" t="s">
        <v>34</v>
      </c>
      <c r="F15" s="22">
        <f>SUMIFS(标实差异!E:E,标实差异!D:D,$E15)</f>
        <v>0</v>
      </c>
      <c r="G15" s="38" t="s">
        <v>35</v>
      </c>
      <c r="H15" s="12" t="s">
        <v>29</v>
      </c>
    </row>
    <row r="16" spans="3:8">
      <c r="C16" s="20"/>
      <c r="E16" s="21" t="s">
        <v>36</v>
      </c>
      <c r="F16" s="22">
        <f>SUMIFS(标实差异!E:E,标实差异!D:D,$E16)</f>
        <v>0</v>
      </c>
      <c r="G16" s="38" t="s">
        <v>37</v>
      </c>
      <c r="H16" s="12" t="s">
        <v>29</v>
      </c>
    </row>
    <row r="17" spans="3:8">
      <c r="C17" s="20"/>
      <c r="E17" s="21" t="s">
        <v>30</v>
      </c>
      <c r="F17" s="22">
        <f>SUMIFS(标实差异!E:E,标实差异!D:D,$E17)</f>
        <v>-6000</v>
      </c>
      <c r="G17" s="38" t="s">
        <v>38</v>
      </c>
      <c r="H17" s="12" t="s">
        <v>29</v>
      </c>
    </row>
    <row r="18" spans="3:6">
      <c r="C18" s="23" t="s">
        <v>39</v>
      </c>
      <c r="D18" s="24"/>
      <c r="E18" s="25"/>
      <c r="F18" s="26">
        <f>SUM(F3:F17)</f>
        <v>258940</v>
      </c>
    </row>
    <row r="20" ht="16.5" spans="2:2">
      <c r="B20" s="8" t="s">
        <v>40</v>
      </c>
    </row>
    <row r="21" spans="3:8">
      <c r="C21" s="16" t="s">
        <v>41</v>
      </c>
      <c r="D21" s="17"/>
      <c r="E21" s="18"/>
      <c r="F21" s="27">
        <f>SUM(标准材料!G:G)</f>
        <v>190940</v>
      </c>
      <c r="G21" s="38" t="s">
        <v>42</v>
      </c>
      <c r="H21" s="12" t="s">
        <v>43</v>
      </c>
    </row>
    <row r="22" spans="3:8">
      <c r="C22" s="20" t="s">
        <v>44</v>
      </c>
      <c r="E22" s="21"/>
      <c r="F22" s="28">
        <f>SUM(人工!I:I)</f>
        <v>50000</v>
      </c>
      <c r="G22" s="38" t="s">
        <v>45</v>
      </c>
      <c r="H22" s="12" t="s">
        <v>46</v>
      </c>
    </row>
    <row r="23" spans="3:8">
      <c r="C23" s="20" t="s">
        <v>47</v>
      </c>
      <c r="E23" s="21"/>
      <c r="F23" s="28">
        <f>SUM(变动制造费用!C:C)</f>
        <v>42000</v>
      </c>
      <c r="G23" s="38" t="s">
        <v>48</v>
      </c>
      <c r="H23" s="12" t="s">
        <v>49</v>
      </c>
    </row>
    <row r="24" spans="3:6">
      <c r="C24" s="23" t="s">
        <v>39</v>
      </c>
      <c r="D24" s="24"/>
      <c r="E24" s="25"/>
      <c r="F24" s="29">
        <f>SUM(F21:F23)</f>
        <v>282940</v>
      </c>
    </row>
    <row r="26" ht="16.5" spans="2:6">
      <c r="B26" s="8" t="s">
        <v>50</v>
      </c>
      <c r="E26" s="30"/>
      <c r="F26" s="31"/>
    </row>
    <row r="27" spans="3:6">
      <c r="C27" s="16" t="s">
        <v>51</v>
      </c>
      <c r="D27" s="17"/>
      <c r="E27" s="32"/>
      <c r="F27" s="33">
        <f>F18</f>
        <v>258940</v>
      </c>
    </row>
    <row r="28" spans="3:6">
      <c r="C28" s="20" t="s">
        <v>52</v>
      </c>
      <c r="F28" s="34">
        <f>F24</f>
        <v>282940</v>
      </c>
    </row>
    <row r="29" spans="3:6">
      <c r="C29" s="23" t="s">
        <v>53</v>
      </c>
      <c r="D29" s="24"/>
      <c r="E29" s="35"/>
      <c r="F29" s="36">
        <f>F27-F28</f>
        <v>-24000</v>
      </c>
    </row>
    <row r="30" spans="3:3">
      <c r="C30" s="9" t="s">
        <v>54</v>
      </c>
    </row>
    <row r="31" spans="4:6">
      <c r="D31" s="10" t="s">
        <v>55</v>
      </c>
      <c r="F31" s="37">
        <f>SUM(F6:F17)</f>
        <v>-24000</v>
      </c>
    </row>
    <row r="32" spans="4:6">
      <c r="D32" s="10" t="s">
        <v>56</v>
      </c>
      <c r="F32" s="4"/>
    </row>
    <row r="33" spans="4:6">
      <c r="D33" s="10" t="s">
        <v>57</v>
      </c>
      <c r="F33" s="4"/>
    </row>
  </sheetData>
  <mergeCells count="1">
    <mergeCell ref="B1:E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0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D8" sqref="D8"/>
    </sheetView>
  </sheetViews>
  <sheetFormatPr defaultColWidth="9" defaultRowHeight="14.25"/>
  <cols>
    <col min="2" max="2" width="13.775" customWidth="1"/>
    <col min="4" max="4" width="18.2166666666667" customWidth="1"/>
    <col min="5" max="5" width="10.4416666666667" customWidth="1"/>
    <col min="6" max="6" width="18.2166666666667" customWidth="1"/>
    <col min="7" max="7" width="10.4416666666667" customWidth="1"/>
    <col min="8" max="9" width="12.3333333333333" customWidth="1"/>
  </cols>
  <sheetData>
    <row r="2" spans="2:2">
      <c r="B2" t="s">
        <v>58</v>
      </c>
    </row>
    <row r="3" spans="2:2">
      <c r="B3" t="s">
        <v>59</v>
      </c>
    </row>
    <row r="4" spans="2:2">
      <c r="B4" t="s">
        <v>60</v>
      </c>
    </row>
    <row r="5" spans="2:2">
      <c r="B5" t="s">
        <v>61</v>
      </c>
    </row>
    <row r="7" spans="2:9">
      <c r="B7" s="1" t="s">
        <v>62</v>
      </c>
      <c r="C7" s="1" t="s">
        <v>63</v>
      </c>
      <c r="D7" s="2" t="s">
        <v>64</v>
      </c>
      <c r="E7" s="2" t="s">
        <v>65</v>
      </c>
      <c r="F7" s="2" t="s">
        <v>66</v>
      </c>
      <c r="G7" s="2" t="s">
        <v>67</v>
      </c>
      <c r="H7" s="2" t="s">
        <v>68</v>
      </c>
      <c r="I7" s="2" t="s">
        <v>69</v>
      </c>
    </row>
    <row r="8" spans="2:3">
      <c r="B8" t="s">
        <v>70</v>
      </c>
      <c r="C8" t="s">
        <v>71</v>
      </c>
    </row>
    <row r="9" spans="2:3">
      <c r="B9" t="s">
        <v>72</v>
      </c>
      <c r="C9" t="s">
        <v>73</v>
      </c>
    </row>
    <row r="10" spans="2:9">
      <c r="B10" t="s">
        <v>74</v>
      </c>
      <c r="C10" t="s">
        <v>75</v>
      </c>
      <c r="I10">
        <v>50000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C4" sqref="C4"/>
    </sheetView>
  </sheetViews>
  <sheetFormatPr defaultColWidth="9" defaultRowHeight="14.25"/>
  <cols>
    <col min="1" max="1" width="8.66666666666667" style="5"/>
  </cols>
  <sheetData>
    <row r="1" spans="1:1">
      <c r="A1" s="7" t="s">
        <v>11</v>
      </c>
    </row>
    <row r="2" spans="1:1">
      <c r="A2" s="7" t="s">
        <v>14</v>
      </c>
    </row>
    <row r="3" spans="1:1">
      <c r="A3" s="7" t="s">
        <v>19</v>
      </c>
    </row>
    <row r="4" spans="1:1">
      <c r="A4" s="7" t="s">
        <v>22</v>
      </c>
    </row>
    <row r="5" spans="1:1">
      <c r="A5" s="7" t="s">
        <v>27</v>
      </c>
    </row>
    <row r="6" spans="1:1">
      <c r="A6" s="7" t="s">
        <v>30</v>
      </c>
    </row>
    <row r="7" spans="1:1">
      <c r="A7" s="7" t="s">
        <v>34</v>
      </c>
    </row>
    <row r="8" spans="1:1">
      <c r="A8" s="7" t="s">
        <v>36</v>
      </c>
    </row>
    <row r="9" spans="1:1">
      <c r="A9" s="7" t="s">
        <v>30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4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14.25" outlineLevelRow="3" outlineLevelCol="3"/>
  <cols>
    <col min="3" max="3" width="12.1083333333333" customWidth="1"/>
    <col min="4" max="4" width="20.775" customWidth="1"/>
  </cols>
  <sheetData>
    <row r="2" spans="2:4">
      <c r="B2" s="1" t="s">
        <v>76</v>
      </c>
      <c r="C2" s="2" t="s">
        <v>77</v>
      </c>
      <c r="D2" s="2" t="s">
        <v>78</v>
      </c>
    </row>
    <row r="3" spans="2:3">
      <c r="B3" t="s">
        <v>79</v>
      </c>
      <c r="C3">
        <v>12000</v>
      </c>
    </row>
    <row r="4" spans="2:3">
      <c r="B4" t="s">
        <v>80</v>
      </c>
      <c r="C4">
        <v>30000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6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14.25" outlineLevelRow="5" outlineLevelCol="3"/>
  <cols>
    <col min="2" max="2" width="13.8833333333333" customWidth="1"/>
    <col min="3" max="3" width="12.1083333333333" customWidth="1"/>
    <col min="4" max="4" width="20.775" customWidth="1"/>
  </cols>
  <sheetData>
    <row r="2" spans="2:4">
      <c r="B2" s="1" t="s">
        <v>76</v>
      </c>
      <c r="C2" s="2" t="s">
        <v>77</v>
      </c>
      <c r="D2" s="2" t="s">
        <v>78</v>
      </c>
    </row>
    <row r="3" spans="2:3">
      <c r="B3" t="s">
        <v>79</v>
      </c>
      <c r="C3">
        <v>12000</v>
      </c>
    </row>
    <row r="4" spans="2:3">
      <c r="B4" t="s">
        <v>80</v>
      </c>
      <c r="C4">
        <v>30000</v>
      </c>
    </row>
    <row r="5" spans="2:3">
      <c r="B5" t="s">
        <v>81</v>
      </c>
      <c r="C5">
        <v>560000</v>
      </c>
    </row>
    <row r="6" spans="2:3">
      <c r="B6" t="s">
        <v>82</v>
      </c>
      <c r="C6">
        <v>4000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6"/>
  <sheetViews>
    <sheetView workbookViewId="0">
      <pane xSplit="5" ySplit="3" topLeftCell="F4" activePane="bottomRight" state="frozen"/>
      <selection/>
      <selection pane="topRight"/>
      <selection pane="bottomLeft"/>
      <selection pane="bottomRight" activeCell="J22" sqref="J22"/>
    </sheetView>
  </sheetViews>
  <sheetFormatPr defaultColWidth="9" defaultRowHeight="14.25" outlineLevelRow="5"/>
  <cols>
    <col min="6" max="6" width="12.3333333333333" customWidth="1"/>
  </cols>
  <sheetData>
    <row r="2" spans="2:2">
      <c r="B2" t="s">
        <v>83</v>
      </c>
    </row>
    <row r="3" spans="2:11">
      <c r="B3" s="1" t="s">
        <v>84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K3" t="s">
        <v>92</v>
      </c>
    </row>
    <row r="4" spans="2:9">
      <c r="B4" t="s">
        <v>93</v>
      </c>
      <c r="C4">
        <v>3000</v>
      </c>
      <c r="D4">
        <v>30</v>
      </c>
      <c r="E4">
        <f>C4*D4</f>
        <v>90000</v>
      </c>
      <c r="F4">
        <f>INDEX(单位标准成本!E:E,MATCH(B4,单位标准成本!B:B,0),1)</f>
        <v>43.5022421524664</v>
      </c>
      <c r="G4">
        <f>C4*F4</f>
        <v>130506.726457399</v>
      </c>
      <c r="H4">
        <f>E4-G4</f>
        <v>-40506.7264573991</v>
      </c>
      <c r="I4" s="6">
        <f>H4/E4</f>
        <v>-0.450074738415546</v>
      </c>
    </row>
    <row r="5" spans="2:9">
      <c r="B5" t="s">
        <v>94</v>
      </c>
      <c r="C5">
        <v>1200</v>
      </c>
      <c r="D5">
        <v>50</v>
      </c>
      <c r="E5">
        <f>C5*D5</f>
        <v>60000</v>
      </c>
      <c r="F5">
        <f>INDEX(单位标准成本!E:E,MATCH(B5,单位标准成本!B:B,0),1)</f>
        <v>97.8774289985052</v>
      </c>
      <c r="G5">
        <f>C5*F5</f>
        <v>117452.914798206</v>
      </c>
      <c r="H5">
        <f>E5-G5</f>
        <v>-57452.9147982063</v>
      </c>
      <c r="I5" s="6">
        <f>H5/E5</f>
        <v>-0.957548579970105</v>
      </c>
    </row>
    <row r="6" spans="2:9">
      <c r="B6" t="s">
        <v>95</v>
      </c>
      <c r="C6">
        <v>340</v>
      </c>
      <c r="D6">
        <v>80</v>
      </c>
      <c r="E6">
        <f>C6*D6</f>
        <v>27200</v>
      </c>
      <c r="F6">
        <f>INDEX(单位标准成本!E:E,MATCH(B6,单位标准成本!B:B,0),1)</f>
        <v>102.883408071749</v>
      </c>
      <c r="G6">
        <f>C6*F6</f>
        <v>34980.3587443946</v>
      </c>
      <c r="H6">
        <f>E6-G6</f>
        <v>-7780.35874439462</v>
      </c>
      <c r="I6" s="6">
        <f>H6/E6</f>
        <v>-0.286042600896861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6"/>
  <sheetViews>
    <sheetView workbookViewId="0">
      <pane xSplit="4" ySplit="3" topLeftCell="E4" activePane="bottomRight" state="frozen"/>
      <selection/>
      <selection pane="topRight"/>
      <selection pane="bottomLeft"/>
      <selection pane="bottomRight" activeCell="E4" sqref="E4"/>
    </sheetView>
  </sheetViews>
  <sheetFormatPr defaultColWidth="9" defaultRowHeight="14.25" outlineLevelRow="5" outlineLevelCol="4"/>
  <cols>
    <col min="5" max="5" width="12.3333333333333" customWidth="1"/>
  </cols>
  <sheetData>
    <row r="2" spans="2:2">
      <c r="B2" t="s">
        <v>96</v>
      </c>
    </row>
    <row r="3" spans="2:5">
      <c r="B3" s="1" t="s">
        <v>84</v>
      </c>
      <c r="C3" s="2" t="s">
        <v>97</v>
      </c>
      <c r="D3" s="2" t="s">
        <v>98</v>
      </c>
      <c r="E3" s="2" t="s">
        <v>99</v>
      </c>
    </row>
    <row r="4" spans="2:5">
      <c r="B4" t="s">
        <v>93</v>
      </c>
      <c r="C4">
        <f>SUMIFS(标准材料!H:H,标准材料!B:B,B4)</f>
        <v>27</v>
      </c>
      <c r="D4">
        <f>INDEX(标准工费!F:F,MATCH(B4,标准工费!B:B,0),1)</f>
        <v>16.5022421524664</v>
      </c>
      <c r="E4">
        <f>C4+D4</f>
        <v>43.5022421524664</v>
      </c>
    </row>
    <row r="5" spans="2:5">
      <c r="B5" t="s">
        <v>94</v>
      </c>
      <c r="C5">
        <f>SUMIFS(标准材料!H:H,标准材料!B:B,B5)</f>
        <v>80</v>
      </c>
      <c r="D5">
        <f>INDEX(标准工费!F:F,MATCH(B5,标准工费!B:B,0),1)</f>
        <v>17.8774289985052</v>
      </c>
      <c r="E5">
        <f>C5+D5</f>
        <v>97.8774289985052</v>
      </c>
    </row>
    <row r="6" spans="2:5">
      <c r="B6" t="s">
        <v>95</v>
      </c>
      <c r="C6">
        <f>SUMIFS(标准材料!H:H,标准材料!B:B,B6)</f>
        <v>41</v>
      </c>
      <c r="D6">
        <f>INDEX(标准工费!F:F,MATCH(B6,标准工费!B:B,0),1)</f>
        <v>61.8834080717489</v>
      </c>
      <c r="E6">
        <f>C6+D6</f>
        <v>102.883408071749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7"/>
  <sheetViews>
    <sheetView workbookViewId="0">
      <pane xSplit="4" ySplit="4" topLeftCell="E5" activePane="bottomRight" state="frozen"/>
      <selection/>
      <selection pane="topRight"/>
      <selection pane="bottomLeft"/>
      <selection pane="bottomRight" activeCell="H23" sqref="H23"/>
    </sheetView>
  </sheetViews>
  <sheetFormatPr defaultColWidth="9" defaultRowHeight="14.25"/>
  <cols>
    <col min="4" max="4" width="16.2166666666667" customWidth="1"/>
    <col min="5" max="7" width="12.3333333333333" customWidth="1"/>
    <col min="8" max="8" width="16.2166666666667" customWidth="1"/>
    <col min="10" max="10" width="12.3333333333333" customWidth="1"/>
  </cols>
  <sheetData>
    <row r="2" spans="2:2">
      <c r="B2" t="s">
        <v>100</v>
      </c>
    </row>
    <row r="3" spans="2:2">
      <c r="B3" t="s">
        <v>96</v>
      </c>
    </row>
    <row r="4" spans="2:10">
      <c r="B4" s="1" t="s">
        <v>84</v>
      </c>
      <c r="C4" s="2" t="s">
        <v>101</v>
      </c>
      <c r="D4" s="2" t="s">
        <v>102</v>
      </c>
      <c r="E4" s="2" t="s">
        <v>103</v>
      </c>
      <c r="F4" s="2" t="s">
        <v>104</v>
      </c>
      <c r="G4" s="2" t="s">
        <v>105</v>
      </c>
      <c r="H4" s="2" t="s">
        <v>106</v>
      </c>
      <c r="I4" s="2" t="s">
        <v>107</v>
      </c>
      <c r="J4" s="2" t="s">
        <v>105</v>
      </c>
    </row>
    <row r="5" spans="2:10">
      <c r="B5" t="s">
        <v>93</v>
      </c>
      <c r="C5" t="s">
        <v>108</v>
      </c>
      <c r="D5">
        <v>3</v>
      </c>
      <c r="E5">
        <f>INDEX(标准采购价格!C:C,MATCH(C5,标准采购价格!B:B,0),1)</f>
        <v>3</v>
      </c>
      <c r="F5">
        <f>D5*I5</f>
        <v>9000</v>
      </c>
      <c r="G5">
        <f>F5*E5</f>
        <v>27000</v>
      </c>
      <c r="H5">
        <f>D5*E5</f>
        <v>9</v>
      </c>
      <c r="I5">
        <f>INDEX(销售标准成本!C:C,MATCH(B5,销售标准成本!B:B,0),1)</f>
        <v>3000</v>
      </c>
      <c r="J5">
        <f>H5*I5</f>
        <v>27000</v>
      </c>
    </row>
    <row r="6" spans="2:10">
      <c r="B6" t="s">
        <v>93</v>
      </c>
      <c r="C6" t="s">
        <v>109</v>
      </c>
      <c r="D6">
        <v>2</v>
      </c>
      <c r="E6">
        <f>INDEX(标准采购价格!C:C,MATCH(C6,标准采购价格!B:B,0),1)</f>
        <v>5</v>
      </c>
      <c r="F6">
        <f t="shared" ref="F6:F11" si="0">D6*I6</f>
        <v>6000</v>
      </c>
      <c r="G6">
        <f t="shared" ref="G6:G11" si="1">F6*E6</f>
        <v>30000</v>
      </c>
      <c r="H6">
        <f t="shared" ref="H6:H11" si="2">D6*E6</f>
        <v>10</v>
      </c>
      <c r="I6">
        <f>INDEX(销售标准成本!C:C,MATCH(B6,销售标准成本!B:B,0),1)</f>
        <v>3000</v>
      </c>
      <c r="J6">
        <f t="shared" ref="J6:J11" si="3">H6*I6</f>
        <v>30000</v>
      </c>
    </row>
    <row r="7" spans="2:10">
      <c r="B7" t="s">
        <v>93</v>
      </c>
      <c r="C7" t="s">
        <v>110</v>
      </c>
      <c r="D7">
        <v>4</v>
      </c>
      <c r="E7">
        <f>INDEX(标准采购价格!C:C,MATCH(C7,标准采购价格!B:B,0),1)</f>
        <v>2</v>
      </c>
      <c r="F7">
        <f t="shared" si="0"/>
        <v>12000</v>
      </c>
      <c r="G7">
        <f t="shared" si="1"/>
        <v>24000</v>
      </c>
      <c r="H7">
        <f t="shared" si="2"/>
        <v>8</v>
      </c>
      <c r="I7">
        <f>INDEX(销售标准成本!C:C,MATCH(B7,销售标准成本!B:B,0),1)</f>
        <v>3000</v>
      </c>
      <c r="J7">
        <f t="shared" si="3"/>
        <v>24000</v>
      </c>
    </row>
    <row r="8" spans="2:10">
      <c r="B8" t="s">
        <v>94</v>
      </c>
      <c r="C8" t="s">
        <v>111</v>
      </c>
      <c r="D8">
        <v>6</v>
      </c>
      <c r="E8">
        <f>INDEX(标准采购价格!C:C,MATCH(C8,标准采购价格!B:B,0),1)</f>
        <v>4</v>
      </c>
      <c r="F8">
        <f t="shared" si="0"/>
        <v>7200</v>
      </c>
      <c r="G8">
        <f t="shared" si="1"/>
        <v>28800</v>
      </c>
      <c r="H8">
        <f t="shared" si="2"/>
        <v>24</v>
      </c>
      <c r="I8">
        <f>INDEX(销售标准成本!C:C,MATCH(B8,销售标准成本!B:B,0),1)</f>
        <v>1200</v>
      </c>
      <c r="J8">
        <f t="shared" si="3"/>
        <v>28800</v>
      </c>
    </row>
    <row r="9" spans="2:10">
      <c r="B9" t="s">
        <v>94</v>
      </c>
      <c r="C9" t="s">
        <v>112</v>
      </c>
      <c r="D9">
        <v>8</v>
      </c>
      <c r="E9">
        <f>INDEX(标准采购价格!C:C,MATCH(C9,标准采购价格!B:B,0),1)</f>
        <v>7</v>
      </c>
      <c r="F9">
        <f t="shared" si="0"/>
        <v>9600</v>
      </c>
      <c r="G9">
        <f t="shared" si="1"/>
        <v>67200</v>
      </c>
      <c r="H9">
        <f t="shared" si="2"/>
        <v>56</v>
      </c>
      <c r="I9">
        <f>INDEX(销售标准成本!C:C,MATCH(B9,销售标准成本!B:B,0),1)</f>
        <v>1200</v>
      </c>
      <c r="J9">
        <f t="shared" si="3"/>
        <v>67200</v>
      </c>
    </row>
    <row r="10" spans="2:10">
      <c r="B10" t="s">
        <v>95</v>
      </c>
      <c r="C10" t="s">
        <v>113</v>
      </c>
      <c r="D10">
        <v>5</v>
      </c>
      <c r="E10">
        <f>INDEX(标准采购价格!C:C,MATCH(C10,标准采购价格!B:B,0),1)</f>
        <v>1</v>
      </c>
      <c r="F10">
        <f t="shared" si="0"/>
        <v>1700</v>
      </c>
      <c r="G10">
        <f t="shared" si="1"/>
        <v>1700</v>
      </c>
      <c r="H10">
        <f t="shared" si="2"/>
        <v>5</v>
      </c>
      <c r="I10">
        <f>INDEX(销售标准成本!C:C,MATCH(B10,销售标准成本!B:B,0),1)</f>
        <v>340</v>
      </c>
      <c r="J10">
        <f t="shared" si="3"/>
        <v>1700</v>
      </c>
    </row>
    <row r="11" spans="2:10">
      <c r="B11" t="s">
        <v>95</v>
      </c>
      <c r="C11" t="s">
        <v>114</v>
      </c>
      <c r="D11">
        <v>4</v>
      </c>
      <c r="E11">
        <f>INDEX(标准采购价格!C:C,MATCH(C11,标准采购价格!B:B,0),1)</f>
        <v>9</v>
      </c>
      <c r="F11">
        <f t="shared" si="0"/>
        <v>1360</v>
      </c>
      <c r="G11">
        <f t="shared" si="1"/>
        <v>12240</v>
      </c>
      <c r="H11">
        <f t="shared" si="2"/>
        <v>36</v>
      </c>
      <c r="I11">
        <f>INDEX(销售标准成本!C:C,MATCH(B11,销售标准成本!B:B,0),1)</f>
        <v>340</v>
      </c>
      <c r="J11">
        <f t="shared" si="3"/>
        <v>12240</v>
      </c>
    </row>
    <row r="16" spans="2:2">
      <c r="B16" t="s">
        <v>115</v>
      </c>
    </row>
    <row r="17" spans="2:2">
      <c r="B17" t="s">
        <v>116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0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D4" sqref="D4"/>
    </sheetView>
  </sheetViews>
  <sheetFormatPr defaultColWidth="9" defaultRowHeight="14.25" outlineLevelCol="3"/>
  <cols>
    <col min="3" max="3" width="16.2166666666667" customWidth="1"/>
    <col min="4" max="4" width="12.3333333333333" customWidth="1"/>
  </cols>
  <sheetData>
    <row r="2" spans="2:2">
      <c r="B2" t="s">
        <v>117</v>
      </c>
    </row>
    <row r="3" spans="2:4">
      <c r="B3" s="1" t="s">
        <v>101</v>
      </c>
      <c r="C3" s="2" t="s">
        <v>118</v>
      </c>
      <c r="D3" s="2" t="s">
        <v>119</v>
      </c>
    </row>
    <row r="4" spans="2:4">
      <c r="B4" t="s">
        <v>108</v>
      </c>
      <c r="C4">
        <v>3</v>
      </c>
      <c r="D4">
        <v>3</v>
      </c>
    </row>
    <row r="5" spans="2:4">
      <c r="B5" t="s">
        <v>109</v>
      </c>
      <c r="C5">
        <v>5</v>
      </c>
      <c r="D5">
        <v>5</v>
      </c>
    </row>
    <row r="6" spans="2:4">
      <c r="B6" t="s">
        <v>110</v>
      </c>
      <c r="C6">
        <v>2</v>
      </c>
      <c r="D6">
        <v>2</v>
      </c>
    </row>
    <row r="7" spans="2:4">
      <c r="B7" t="s">
        <v>111</v>
      </c>
      <c r="C7">
        <v>4</v>
      </c>
      <c r="D7">
        <v>4</v>
      </c>
    </row>
    <row r="8" spans="2:4">
      <c r="B8" t="s">
        <v>112</v>
      </c>
      <c r="C8">
        <v>7</v>
      </c>
      <c r="D8">
        <v>7</v>
      </c>
    </row>
    <row r="9" spans="2:4">
      <c r="B9" t="s">
        <v>113</v>
      </c>
      <c r="C9">
        <v>1</v>
      </c>
      <c r="D9">
        <v>1</v>
      </c>
    </row>
    <row r="10" spans="2:4">
      <c r="B10" t="s">
        <v>114</v>
      </c>
      <c r="C10">
        <v>9</v>
      </c>
      <c r="D10">
        <v>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8"/>
  <sheetViews>
    <sheetView workbookViewId="0">
      <pane xSplit="4" ySplit="5" topLeftCell="E6" activePane="bottomRight" state="frozen"/>
      <selection/>
      <selection pane="topRight"/>
      <selection pane="bottomLeft"/>
      <selection pane="bottomRight" activeCell="E6" sqref="E6"/>
    </sheetView>
  </sheetViews>
  <sheetFormatPr defaultColWidth="9" defaultRowHeight="14.25" outlineLevelRow="7" outlineLevelCol="6"/>
  <cols>
    <col min="4" max="4" width="12.3333333333333" customWidth="1"/>
    <col min="6" max="6" width="12.3333333333333" customWidth="1"/>
  </cols>
  <sheetData>
    <row r="1" spans="2:2">
      <c r="B1" t="s">
        <v>120</v>
      </c>
    </row>
    <row r="3" spans="3:4">
      <c r="C3" s="3" t="s">
        <v>121</v>
      </c>
      <c r="D3" s="4">
        <f>(SUM(变动制造费用!C:C)+SUM(人工!I:I))/SUM(标准工费!E:E)</f>
        <v>1.37518684603886</v>
      </c>
    </row>
    <row r="4" spans="3:4">
      <c r="C4" s="3"/>
      <c r="D4" s="5"/>
    </row>
    <row r="5" spans="2:7">
      <c r="B5" s="1" t="s">
        <v>84</v>
      </c>
      <c r="C5" s="2" t="s">
        <v>107</v>
      </c>
      <c r="D5" s="2" t="s">
        <v>122</v>
      </c>
      <c r="E5" s="2" t="s">
        <v>123</v>
      </c>
      <c r="F5" s="2" t="s">
        <v>124</v>
      </c>
      <c r="G5" s="2" t="s">
        <v>98</v>
      </c>
    </row>
    <row r="6" spans="2:7">
      <c r="B6" t="s">
        <v>93</v>
      </c>
      <c r="C6">
        <f>INDEX(销售标准成本!C:C,MATCH(B6,销售标准成本!B:B,0),1)</f>
        <v>3000</v>
      </c>
      <c r="D6">
        <v>12</v>
      </c>
      <c r="E6">
        <f>C6*D6</f>
        <v>36000</v>
      </c>
      <c r="F6">
        <f>D6*$D$3</f>
        <v>16.5022421524664</v>
      </c>
      <c r="G6">
        <f>E6*$D$3</f>
        <v>49506.7264573991</v>
      </c>
    </row>
    <row r="7" spans="2:7">
      <c r="B7" t="s">
        <v>94</v>
      </c>
      <c r="C7">
        <f>INDEX(销售标准成本!C:C,MATCH(B7,销售标准成本!B:B,0),1)</f>
        <v>1200</v>
      </c>
      <c r="D7">
        <v>13</v>
      </c>
      <c r="E7">
        <f t="shared" ref="E7:E8" si="0">C7*D7</f>
        <v>15600</v>
      </c>
      <c r="F7">
        <f t="shared" ref="F7:F8" si="1">D7*$D$3</f>
        <v>17.8774289985052</v>
      </c>
      <c r="G7">
        <f t="shared" ref="G7:G8" si="2">E7*$D$3</f>
        <v>21452.9147982063</v>
      </c>
    </row>
    <row r="8" spans="2:7">
      <c r="B8" t="s">
        <v>95</v>
      </c>
      <c r="C8">
        <f>INDEX(销售标准成本!C:C,MATCH(B8,销售标准成本!B:B,0),1)</f>
        <v>340</v>
      </c>
      <c r="D8">
        <v>45</v>
      </c>
      <c r="E8">
        <f t="shared" si="0"/>
        <v>15300</v>
      </c>
      <c r="F8">
        <f t="shared" si="1"/>
        <v>61.8834080717489</v>
      </c>
      <c r="G8">
        <f t="shared" si="2"/>
        <v>21040.3587443946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7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F25" sqref="F25"/>
    </sheetView>
  </sheetViews>
  <sheetFormatPr defaultColWidth="9" defaultRowHeight="14.25" outlineLevelRow="6" outlineLevelCol="6"/>
  <cols>
    <col min="2" max="2" width="24.1083333333333" customWidth="1"/>
    <col min="3" max="3" width="8.21666666666667" customWidth="1"/>
    <col min="4" max="4" width="12.3333333333333" customWidth="1"/>
    <col min="6" max="6" width="22.2166666666667" customWidth="1"/>
  </cols>
  <sheetData>
    <row r="2" spans="2:2">
      <c r="B2" t="s">
        <v>125</v>
      </c>
    </row>
    <row r="3" spans="2:7">
      <c r="B3" s="1" t="s">
        <v>126</v>
      </c>
      <c r="C3" s="2" t="s">
        <v>127</v>
      </c>
      <c r="D3" s="2" t="s">
        <v>128</v>
      </c>
      <c r="E3" s="2" t="s">
        <v>129</v>
      </c>
      <c r="F3" s="2" t="s">
        <v>130</v>
      </c>
      <c r="G3" s="2" t="s">
        <v>131</v>
      </c>
    </row>
    <row r="4" spans="2:7">
      <c r="B4" t="s">
        <v>132</v>
      </c>
      <c r="D4" t="s">
        <v>14</v>
      </c>
      <c r="E4">
        <v>-3000</v>
      </c>
      <c r="F4" t="s">
        <v>133</v>
      </c>
      <c r="G4" t="s">
        <v>134</v>
      </c>
    </row>
    <row r="5" spans="2:6">
      <c r="B5" t="s">
        <v>135</v>
      </c>
      <c r="D5" t="s">
        <v>11</v>
      </c>
      <c r="E5">
        <v>-5000</v>
      </c>
      <c r="F5" t="s">
        <v>136</v>
      </c>
    </row>
    <row r="6" spans="2:5">
      <c r="B6" t="s">
        <v>137</v>
      </c>
      <c r="D6" t="s">
        <v>19</v>
      </c>
      <c r="E6">
        <v>-4000</v>
      </c>
    </row>
    <row r="7" spans="2:5">
      <c r="B7" t="s">
        <v>138</v>
      </c>
      <c r="D7" t="s">
        <v>30</v>
      </c>
      <c r="E7">
        <v>-6000</v>
      </c>
    </row>
  </sheetData>
  <dataValidations count="1">
    <dataValidation type="list" allowBlank="1" showInputMessage="1" showErrorMessage="1" sqref="D4:D21">
      <formula1>Sheet4!$A$1:$A$9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制造成本</vt:lpstr>
      <vt:lpstr>人工</vt:lpstr>
      <vt:lpstr>Sheet4</vt:lpstr>
      <vt:lpstr>变动制造费用</vt:lpstr>
      <vt:lpstr>固定制造费用</vt:lpstr>
      <vt:lpstr>销售标准成本</vt:lpstr>
      <vt:lpstr>单位标准成本</vt:lpstr>
      <vt:lpstr>标准材料</vt:lpstr>
      <vt:lpstr>标准采购价格</vt:lpstr>
      <vt:lpstr>标准工费</vt:lpstr>
      <vt:lpstr>标实差异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陈东捷</cp:lastModifiedBy>
  <dcterms:created xsi:type="dcterms:W3CDTF">2021-09-21T08:43:00Z</dcterms:created>
  <dcterms:modified xsi:type="dcterms:W3CDTF">2021-11-22T01:12:05Z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D0C7FCC2734946B48E6963B5073A21B6</vt:lpwstr>
  </property>
  <property fmtid="{D5CDD505-2E9C-101B-9397-08002B2CF9AE}" pid="3" name="KSOProductBuildVer">
    <vt:lpwstr>2052-11.1.0.11045</vt:lpwstr>
  </property>
</Properties>
</file>