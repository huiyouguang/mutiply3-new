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000"/>
  </bookViews>
  <sheets>
    <sheet name="主页" sheetId="5" r:id="rId1"/>
    <sheet name=" 利润表" sheetId="1" r:id="rId2"/>
    <sheet name="现金流" sheetId="9" r:id="rId3"/>
    <sheet name="资产" sheetId="3" r:id="rId4"/>
    <sheet name="税金" sheetId="10" r:id="rId5"/>
    <sheet name="其他" sheetId="14" r:id="rId6"/>
    <sheet name="销售收入及毛利" sheetId="6" r:id="rId7"/>
    <sheet name="销售及收现" sheetId="4" r:id="rId8"/>
    <sheet name="销售差异分析底稿" sheetId="8" r:id="rId9"/>
    <sheet name="生产、采购及付现" sheetId="7" r:id="rId10"/>
    <sheet name="人力资源" sheetId="11" r:id="rId11"/>
    <sheet name="财务折旧" sheetId="13" r:id="rId12"/>
    <sheet name="日常费用" sheetId="12" r:id="rId13"/>
    <sheet name="长期资产" sheetId="15" r:id="rId14"/>
  </sheets>
  <externalReferences>
    <externalReference r:id="rId15"/>
    <externalReference r:id="rId16"/>
  </externalReferences>
  <definedNames>
    <definedName name="BM">#REF!</definedName>
    <definedName name="Database">#REF!</definedName>
    <definedName name="GL_accvouch">#REF!</definedName>
    <definedName name="UFPrn20091118105414">#REF!</definedName>
    <definedName name="UFPrn20091118105431">#REF!</definedName>
    <definedName name="UFPrn20091118112339">#REF!</definedName>
    <definedName name="UFPrn20091118135707">#REF!</definedName>
    <definedName name="UFPrn20091119090711">#REF!</definedName>
    <definedName name="UFPrn20091119093632">#REF!</definedName>
    <definedName name="销售">'F:\金财\课程研发\财务军团\财务军团D3练习资料\2.0 销售数据（原始数据）.xlsx'!sales[#Data]</definedName>
  </definedNames>
  <calcPr calcId="144525"/>
</workbook>
</file>

<file path=xl/sharedStrings.xml><?xml version="1.0" encoding="utf-8"?>
<sst xmlns="http://schemas.openxmlformats.org/spreadsheetml/2006/main" count="709" uniqueCount="269">
  <si>
    <t>预算编制年度实际数截止日期</t>
  </si>
  <si>
    <t>注意检查表格之间数据取数期间是否一致！</t>
  </si>
  <si>
    <t>编制说明：</t>
  </si>
  <si>
    <t>1. 利润表预算：</t>
  </si>
  <si>
    <t>1.1 利润表的源数据全部取自于其他表格。</t>
  </si>
  <si>
    <t>1.2 注意检查数据源是否正确，取数公式是否正确。</t>
  </si>
  <si>
    <t>2.现金流预算</t>
  </si>
  <si>
    <t>2.1 先做销售及收现预算，根据应收账款管理策略的变化和销售数据预计期末的应收账款余额，反推当期收现金额</t>
  </si>
  <si>
    <t>2.2 再做采购及付现预算，根据应付账款管理策略的变化和采购数据预计期末的应付账款余额，反推当期付现金额</t>
  </si>
  <si>
    <t>2.3 员工薪酬和日常费用假设产生当期即付现，则可简化为付现额=费用额</t>
  </si>
  <si>
    <t>2.4 税金根据销售、采购、利润数据推算。为了简化，如果年度之间变化幅度不大，可以忽略实际发生、申报和实缴的时间差对现金流的影响。反之，则需要考虑。</t>
  </si>
  <si>
    <t>2.5 购置资产对现金流的影响一般比较大，需要根据资产预算数据尽量准确估计发生时间和金额。</t>
  </si>
  <si>
    <t>2.6 缺口如何补？富余的资金如何用？资金的缺口和结余在预算时就要有计划。</t>
  </si>
  <si>
    <t>3.资产负债表预算</t>
  </si>
  <si>
    <t>3.1 所有资产科目都可以用公式 期末=期初+变动额 推算出来。</t>
  </si>
  <si>
    <t>3.2 一般企业，资产负债表不是特别必要做。</t>
  </si>
  <si>
    <t>3.3 企业可根据实际需要，决定是否做资产负债表或是否做完整的预算资产负债表</t>
  </si>
  <si>
    <t>　　　　　　　　　　　　　　　　　　　　　　　　　　　　　　　　　　　　　　　　</t>
  </si>
  <si>
    <t>金额单位：万元</t>
  </si>
  <si>
    <t>金额</t>
  </si>
  <si>
    <t>占营收%</t>
  </si>
  <si>
    <t>主营业务收入</t>
  </si>
  <si>
    <t>数据来自于销售及毛利预算表</t>
  </si>
  <si>
    <t>主营业务成本</t>
  </si>
  <si>
    <t>毛利</t>
  </si>
  <si>
    <t>销售及管理费用</t>
  </si>
  <si>
    <t>人力资源费用</t>
  </si>
  <si>
    <t>数据来自于人力资源预算表</t>
  </si>
  <si>
    <t>折旧摊销</t>
  </si>
  <si>
    <t>数据来自于长期资产折旧摊销预算表</t>
  </si>
  <si>
    <t>其他费用</t>
  </si>
  <si>
    <t>数据来自于日常经营费用预算表</t>
  </si>
  <si>
    <t>其他收支</t>
  </si>
  <si>
    <t>数据来自于其他损益科目预算表</t>
  </si>
  <si>
    <t>经营利润</t>
  </si>
  <si>
    <t>财务费用</t>
  </si>
  <si>
    <t>投资收益</t>
  </si>
  <si>
    <t>补贴收入</t>
  </si>
  <si>
    <t>税前利润</t>
  </si>
  <si>
    <t>税金</t>
  </si>
  <si>
    <t>所得税</t>
  </si>
  <si>
    <t>数据来自与税金预算</t>
  </si>
  <si>
    <t>其他税金</t>
  </si>
  <si>
    <t>净利润</t>
  </si>
  <si>
    <t>现金流除了做预算之外，也有必要每个月做预测，及时规划。</t>
  </si>
  <si>
    <t>上期资金结余</t>
  </si>
  <si>
    <t>预计资金流入</t>
  </si>
  <si>
    <t>销售回款</t>
  </si>
  <si>
    <t>数据来自于销售收入及收现预算</t>
  </si>
  <si>
    <t>其他资金流入</t>
  </si>
  <si>
    <t>手工填列</t>
  </si>
  <si>
    <t>…</t>
  </si>
  <si>
    <t>预计资金消耗</t>
  </si>
  <si>
    <t>付到期货款</t>
  </si>
  <si>
    <t>数据来自于采购及付现预算</t>
  </si>
  <si>
    <t>付员工薪酬</t>
  </si>
  <si>
    <t>数据来自于人力资源预算</t>
  </si>
  <si>
    <t>日常费用</t>
  </si>
  <si>
    <t>数据来自于日常费用预算</t>
  </si>
  <si>
    <t>支付税金</t>
  </si>
  <si>
    <t>数据来自于税金预算。为了简便，忽略了纳税申报期和实缴期之间的时间差。</t>
  </si>
  <si>
    <t>购置资产付款</t>
  </si>
  <si>
    <t>数据来自于资产预算</t>
  </si>
  <si>
    <t>资金盈余或缺口</t>
  </si>
  <si>
    <t>资金补充计划</t>
  </si>
  <si>
    <t>供应链融资</t>
  </si>
  <si>
    <t>向员工及合作伙伴融资</t>
  </si>
  <si>
    <t>向金融机构融资</t>
  </si>
  <si>
    <t>负数表示还款</t>
  </si>
  <si>
    <t>股东投入</t>
  </si>
  <si>
    <t>负数表示股东抽出资金</t>
  </si>
  <si>
    <t>本期资金结余</t>
  </si>
  <si>
    <t>期初</t>
  </si>
  <si>
    <t>期末</t>
  </si>
  <si>
    <t>变动</t>
  </si>
  <si>
    <t>货币资金</t>
  </si>
  <si>
    <t>应收账款</t>
  </si>
  <si>
    <t>存货</t>
  </si>
  <si>
    <t>长期资产</t>
  </si>
  <si>
    <t>应付账款</t>
  </si>
  <si>
    <t>本年利润</t>
  </si>
  <si>
    <t>所有资产科目都可以用公式 期末=期初+变动额 推算出来。</t>
  </si>
  <si>
    <t>一般企业，资产负债表不是特别必要做。</t>
  </si>
  <si>
    <t>企业，根据实际需要，决定是否做资产负债表或是否做完整的预算资产负债表</t>
  </si>
  <si>
    <t>增值税</t>
  </si>
  <si>
    <t>销项税额</t>
  </si>
  <si>
    <t>其中：</t>
  </si>
  <si>
    <t>正常销售的销项</t>
  </si>
  <si>
    <t>视同销售或其他销售的销项</t>
  </si>
  <si>
    <t>进项税额</t>
  </si>
  <si>
    <t>有专票采购的进项</t>
  </si>
  <si>
    <t>减：无票采购的进项</t>
  </si>
  <si>
    <t>加：费用中的可抵扣进项</t>
  </si>
  <si>
    <t>上期留抵的进项</t>
  </si>
  <si>
    <t>期末留抵的进项</t>
  </si>
  <si>
    <t>所得税率=</t>
  </si>
  <si>
    <t>不能在税前列支的费用</t>
  </si>
  <si>
    <t>以前年底可弥补亏损</t>
  </si>
  <si>
    <t>应纳税所得</t>
  </si>
  <si>
    <t>以后年度可弥补亏损</t>
  </si>
  <si>
    <t>城建税及教育附加， 税率</t>
  </si>
  <si>
    <t>印花税</t>
  </si>
  <si>
    <t>税金合计</t>
  </si>
  <si>
    <t>实际2020全年</t>
  </si>
  <si>
    <t>实际截止2020年10月</t>
  </si>
  <si>
    <t>估计从2020年11月到年底</t>
  </si>
  <si>
    <t>估计2021全年</t>
  </si>
  <si>
    <t>预算2022全年</t>
  </si>
  <si>
    <t>A2020FY</t>
  </si>
  <si>
    <t>A202110YTD</t>
  </si>
  <si>
    <t>E202110YTG</t>
  </si>
  <si>
    <t>E2021FY</t>
  </si>
  <si>
    <t>B2022FY</t>
  </si>
  <si>
    <t>其他业务收入</t>
  </si>
  <si>
    <t>废料销售</t>
  </si>
  <si>
    <t>其他业务支出</t>
  </si>
  <si>
    <t>其他材料消耗</t>
  </si>
  <si>
    <t>收支净额</t>
  </si>
  <si>
    <t>利息收入</t>
  </si>
  <si>
    <t>利息支出</t>
  </si>
  <si>
    <t>银行手续费及其他</t>
  </si>
  <si>
    <t>销售数据来源：销售收入及毛利预算</t>
  </si>
  <si>
    <t>外购成品</t>
  </si>
  <si>
    <t>销售收入</t>
  </si>
  <si>
    <t>销售成本</t>
  </si>
  <si>
    <t>毛利率</t>
  </si>
  <si>
    <t>自制成品</t>
  </si>
  <si>
    <t>设计服务</t>
  </si>
  <si>
    <t>合计</t>
  </si>
  <si>
    <t>产品分类
（按不同增值税率）</t>
  </si>
  <si>
    <t>不含税销售额</t>
  </si>
  <si>
    <t>税率</t>
  </si>
  <si>
    <t>含税销售额</t>
  </si>
  <si>
    <t>自制</t>
  </si>
  <si>
    <t>xx产品</t>
  </si>
  <si>
    <t>外购</t>
  </si>
  <si>
    <t>安装服务</t>
  </si>
  <si>
    <t>xx工程安装</t>
  </si>
  <si>
    <t>xx设计</t>
  </si>
  <si>
    <t>其中：销售回款收现</t>
  </si>
  <si>
    <t>期初应收账款</t>
  </si>
  <si>
    <t>数据取于营运资金预算表-&gt;</t>
  </si>
  <si>
    <t>期末应收账款</t>
  </si>
  <si>
    <t>应收余额增（+）减（-）</t>
  </si>
  <si>
    <t>应收款控制策略说明：</t>
  </si>
  <si>
    <t>产品名称</t>
  </si>
  <si>
    <t>产品大类</t>
  </si>
  <si>
    <t>产品子类</t>
  </si>
  <si>
    <t>产品类型</t>
  </si>
  <si>
    <t>A202109YTD</t>
  </si>
  <si>
    <t>E202109YTG</t>
  </si>
  <si>
    <t>E2021/A2020</t>
  </si>
  <si>
    <t>B2022/E2021</t>
  </si>
  <si>
    <t>销量</t>
  </si>
  <si>
    <t>销售额</t>
  </si>
  <si>
    <t>p1</t>
  </si>
  <si>
    <t>p2</t>
  </si>
  <si>
    <t>q2*p1</t>
  </si>
  <si>
    <t>量差</t>
  </si>
  <si>
    <t>价差</t>
  </si>
  <si>
    <t>STV</t>
  </si>
  <si>
    <t>c1</t>
  </si>
  <si>
    <t>c2</t>
  </si>
  <si>
    <t>q2*c1</t>
  </si>
  <si>
    <t>量差c</t>
  </si>
  <si>
    <t>成本差</t>
  </si>
  <si>
    <t>CTV</t>
  </si>
  <si>
    <t>结构差</t>
  </si>
  <si>
    <t>量差p</t>
  </si>
  <si>
    <t>A0111</t>
  </si>
  <si>
    <t>PA</t>
  </si>
  <si>
    <t>PA01</t>
  </si>
  <si>
    <t>B0122</t>
  </si>
  <si>
    <t>PB</t>
  </si>
  <si>
    <t>PB01</t>
  </si>
  <si>
    <t>C0122</t>
  </si>
  <si>
    <t>PC</t>
  </si>
  <si>
    <t>PC01</t>
  </si>
  <si>
    <t>C0199</t>
  </si>
  <si>
    <t>SE</t>
  </si>
  <si>
    <t>SE99</t>
  </si>
  <si>
    <t>na</t>
  </si>
  <si>
    <t>NA</t>
  </si>
  <si>
    <t>期初库存</t>
  </si>
  <si>
    <t>数据取于营运资金预算表</t>
  </si>
  <si>
    <t>外购成品销售成本</t>
  </si>
  <si>
    <t>数据来自于销售成本预算</t>
  </si>
  <si>
    <t>领用损耗</t>
  </si>
  <si>
    <t>根据经验估计</t>
  </si>
  <si>
    <t>期末库存</t>
  </si>
  <si>
    <t>本期采购额</t>
  </si>
  <si>
    <t>自动计算</t>
  </si>
  <si>
    <t>自制产品</t>
  </si>
  <si>
    <t>自制产品销售成本</t>
  </si>
  <si>
    <t>本期生产成本</t>
  </si>
  <si>
    <t>自制成品的材料成本</t>
  </si>
  <si>
    <t>数据来自于制造成本实际核算和预算</t>
  </si>
  <si>
    <t>外协加工费</t>
  </si>
  <si>
    <t>人工及制造费用</t>
  </si>
  <si>
    <t>材料及半成品</t>
  </si>
  <si>
    <t>生产消耗</t>
  </si>
  <si>
    <t>其中：采购付现</t>
  </si>
  <si>
    <t>期初应付账款</t>
  </si>
  <si>
    <t>期末应付账款</t>
  </si>
  <si>
    <t>应付账款增（+）减（-）</t>
  </si>
  <si>
    <t>应付款控制策略说明：</t>
  </si>
  <si>
    <t>人力资源分类汇总表</t>
  </si>
  <si>
    <t>当年实际截止月份</t>
  </si>
  <si>
    <t>注册人数</t>
  </si>
  <si>
    <t>*</t>
  </si>
  <si>
    <t>流程中心</t>
  </si>
  <si>
    <t>销售中心</t>
  </si>
  <si>
    <t>制造中心</t>
  </si>
  <si>
    <t>创新中心</t>
  </si>
  <si>
    <t>产品
研发部</t>
  </si>
  <si>
    <t>XX
试验室</t>
  </si>
  <si>
    <t>XX
孵化业务</t>
  </si>
  <si>
    <t>支持中心</t>
  </si>
  <si>
    <t>财务部</t>
  </si>
  <si>
    <t>人力资源部</t>
  </si>
  <si>
    <t>IT部</t>
  </si>
  <si>
    <t>总经办</t>
  </si>
  <si>
    <t>平均人数</t>
  </si>
  <si>
    <t>固定工资</t>
  </si>
  <si>
    <t>变动薪酬</t>
  </si>
  <si>
    <t>其他薪酬</t>
  </si>
  <si>
    <t>薪酬合计</t>
  </si>
  <si>
    <t>社保</t>
  </si>
  <si>
    <t>福利费</t>
  </si>
  <si>
    <t>培训费</t>
  </si>
  <si>
    <t>招聘费</t>
  </si>
  <si>
    <t>改善中心</t>
  </si>
  <si>
    <t>流程优化项目小组</t>
  </si>
  <si>
    <t>战略预算项目小组</t>
  </si>
  <si>
    <t>产品研发部</t>
  </si>
  <si>
    <t>XX试验室</t>
  </si>
  <si>
    <t>XX孵化业务</t>
  </si>
  <si>
    <t>行政部</t>
  </si>
  <si>
    <t>日常运营费预算校准表</t>
  </si>
  <si>
    <t>责任中心\部门\预算科目</t>
  </si>
  <si>
    <t>校准状态</t>
  </si>
  <si>
    <t>(大帐)</t>
  </si>
  <si>
    <t>(细账)</t>
  </si>
  <si>
    <t>YTD</t>
  </si>
  <si>
    <t>YTG</t>
  </si>
  <si>
    <t>差异</t>
  </si>
  <si>
    <t>%</t>
  </si>
  <si>
    <t>说明</t>
  </si>
  <si>
    <t>营业收入</t>
  </si>
  <si>
    <t>毛利额</t>
  </si>
  <si>
    <t>日常运营费用合计</t>
  </si>
  <si>
    <t>A:实际数  E:估计数  B:预算数   YTD：从年初到当年实际截止日   YTG：当年实际截止日次日到年底</t>
  </si>
  <si>
    <t>需要手工填入数据</t>
  </si>
  <si>
    <t>可接受</t>
  </si>
  <si>
    <t>上级预算与下级预算未校准，但差异不影响战略落地。可接受</t>
  </si>
  <si>
    <t>未校准</t>
  </si>
  <si>
    <t>上级预算与下级预算的差异幅度超过可接受幅度，需要调整预算</t>
  </si>
  <si>
    <t>已校准</t>
  </si>
  <si>
    <t>上级预算与下级预算的差异幅度在可接受幅度范围内。</t>
  </si>
  <si>
    <t>表格中有隐藏的公式。需要添加责任中心、部门、科目时，请采用复制某现有行插入表格再修改的方式。</t>
  </si>
  <si>
    <t>长期资产原值</t>
  </si>
  <si>
    <t>年初</t>
  </si>
  <si>
    <t>增加</t>
  </si>
  <si>
    <t>减少</t>
  </si>
  <si>
    <t>年末</t>
  </si>
  <si>
    <t>校验</t>
  </si>
  <si>
    <t>累计折旧摊销</t>
  </si>
  <si>
    <t>技术折旧</t>
  </si>
  <si>
    <t>生产车间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</si>
</sst>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_ ;_ * \-#,##0.0_ ;_ * &quot;-&quot;?_ ;_ @_ "/>
    <numFmt numFmtId="177" formatCode="_ * #,##0.0_ ;_ * \-#,##0.0_ ;_ * &quot;-&quot;??_ ;_ @_ "/>
    <numFmt numFmtId="178" formatCode="_ * #,##0_ ;_ * \-#,##0_ ;_ * &quot;-&quot;?_ ;_ @_ "/>
    <numFmt numFmtId="179" formatCode="_ * #,##0_ ;_ * \-#,##0_ ;_ * &quot;-&quot;??_ ;_ @_ "/>
    <numFmt numFmtId="180" formatCode="0.0%"/>
  </numFmts>
  <fonts count="66">
    <font>
      <sz val="12"/>
      <name val="宋体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149998474074526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b/>
      <sz val="14"/>
      <color theme="0" tint="-0.14999847407452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0" tint="-0.149998474074526"/>
      <name val="微软雅黑"/>
      <charset val="134"/>
    </font>
    <font>
      <sz val="8"/>
      <color theme="1"/>
      <name val="微软雅黑"/>
      <charset val="134"/>
    </font>
    <font>
      <b/>
      <sz val="10"/>
      <color theme="1"/>
      <name val="Microsoft YaHei Light"/>
      <charset val="134"/>
    </font>
    <font>
      <b/>
      <sz val="10"/>
      <color theme="0"/>
      <name val="微软雅黑"/>
      <charset val="134"/>
    </font>
    <font>
      <sz val="10"/>
      <color theme="0"/>
      <name val="等线"/>
      <charset val="134"/>
      <scheme val="minor"/>
    </font>
    <font>
      <sz val="10"/>
      <color theme="0"/>
      <name val="微软雅黑"/>
      <charset val="134"/>
    </font>
    <font>
      <sz val="10"/>
      <color theme="0" tint="-0.149998474074526"/>
      <name val="微软雅黑"/>
      <charset val="134"/>
    </font>
    <font>
      <sz val="10"/>
      <color theme="0" tint="-0.149998474074526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b/>
      <sz val="8"/>
      <color theme="0" tint="-0.149998474074526"/>
      <name val="微软雅黑"/>
      <charset val="134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8"/>
      <color theme="0" tint="-0.149998474074526"/>
      <name val="微软雅黑"/>
      <charset val="134"/>
    </font>
    <font>
      <sz val="12"/>
      <color theme="0"/>
      <name val="等线"/>
      <charset val="134"/>
      <scheme val="minor"/>
    </font>
    <font>
      <sz val="8"/>
      <color theme="0" tint="-0.149998474074526"/>
      <name val="等线"/>
      <charset val="134"/>
      <scheme val="minor"/>
    </font>
    <font>
      <b/>
      <sz val="8"/>
      <color theme="0" tint="-0.149998474074526"/>
      <name val="等线"/>
      <charset val="134"/>
      <scheme val="minor"/>
    </font>
    <font>
      <b/>
      <sz val="18"/>
      <color theme="1"/>
      <name val="微软雅黑"/>
      <charset val="134"/>
    </font>
    <font>
      <sz val="12"/>
      <name val="微软雅黑"/>
      <charset val="134"/>
    </font>
    <font>
      <sz val="10"/>
      <name val="宋体"/>
      <charset val="134"/>
    </font>
    <font>
      <b/>
      <sz val="12"/>
      <color theme="0"/>
      <name val="微软雅黑"/>
      <charset val="134"/>
    </font>
    <font>
      <sz val="10"/>
      <name val="微软雅黑"/>
      <charset val="134"/>
    </font>
    <font>
      <b/>
      <sz val="14"/>
      <color theme="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Calibri"/>
      <charset val="134"/>
    </font>
    <font>
      <sz val="12"/>
      <color theme="0" tint="-0.249977111117893"/>
      <name val="微软雅黑"/>
      <charset val="134"/>
    </font>
    <font>
      <b/>
      <sz val="12"/>
      <name val="微软雅黑"/>
      <charset val="134"/>
    </font>
    <font>
      <sz val="9"/>
      <name val="微软雅黑"/>
      <charset val="134"/>
    </font>
    <font>
      <sz val="16"/>
      <name val="微软雅黑"/>
      <charset val="134"/>
    </font>
    <font>
      <b/>
      <sz val="14"/>
      <name val="微软雅黑"/>
      <charset val="134"/>
    </font>
    <font>
      <b/>
      <sz val="16"/>
      <name val="微软雅黑"/>
      <charset val="134"/>
    </font>
    <font>
      <u/>
      <sz val="12"/>
      <color theme="10"/>
      <name val="宋体"/>
      <charset val="134"/>
    </font>
    <font>
      <b/>
      <sz val="1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5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17" borderId="55" applyNumberFormat="0" applyFont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56" applyNumberFormat="0" applyFill="0" applyAlignment="0" applyProtection="0">
      <alignment vertical="center"/>
    </xf>
    <xf numFmtId="0" fontId="58" fillId="0" borderId="56" applyNumberFormat="0" applyFill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0" borderId="57" applyNumberFormat="0" applyFill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9" fillId="21" borderId="58" applyNumberFormat="0" applyAlignment="0" applyProtection="0">
      <alignment vertical="center"/>
    </xf>
    <xf numFmtId="0" fontId="60" fillId="21" borderId="54" applyNumberFormat="0" applyAlignment="0" applyProtection="0">
      <alignment vertical="center"/>
    </xf>
    <xf numFmtId="0" fontId="61" fillId="22" borderId="59" applyNumberFormat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62" fillId="0" borderId="60" applyNumberFormat="0" applyFill="0" applyAlignment="0" applyProtection="0">
      <alignment vertical="center"/>
    </xf>
    <xf numFmtId="0" fontId="63" fillId="0" borderId="61" applyNumberFormat="0" applyFill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344">
    <xf numFmtId="0" fontId="0" fillId="0" borderId="0" xfId="0">
      <alignment vertical="center"/>
    </xf>
    <xf numFmtId="0" fontId="1" fillId="0" borderId="0" xfId="50" applyFont="1">
      <alignment vertical="center"/>
    </xf>
    <xf numFmtId="0" fontId="1" fillId="0" borderId="1" xfId="50" applyFont="1" applyBorder="1">
      <alignment vertical="center"/>
    </xf>
    <xf numFmtId="0" fontId="1" fillId="0" borderId="2" xfId="50" applyFont="1" applyBorder="1">
      <alignment vertical="center"/>
    </xf>
    <xf numFmtId="0" fontId="2" fillId="2" borderId="1" xfId="50" applyFont="1" applyFill="1" applyBorder="1">
      <alignment vertical="center"/>
    </xf>
    <xf numFmtId="0" fontId="3" fillId="0" borderId="3" xfId="50" applyFont="1" applyBorder="1">
      <alignment vertical="center"/>
    </xf>
    <xf numFmtId="0" fontId="1" fillId="0" borderId="4" xfId="50" applyFont="1" applyBorder="1">
      <alignment vertical="center"/>
    </xf>
    <xf numFmtId="0" fontId="1" fillId="0" borderId="3" xfId="50" applyFont="1" applyBorder="1">
      <alignment vertical="center"/>
    </xf>
    <xf numFmtId="0" fontId="3" fillId="0" borderId="0" xfId="50" applyFont="1">
      <alignment vertical="center"/>
    </xf>
    <xf numFmtId="0" fontId="1" fillId="0" borderId="5" xfId="50" applyFont="1" applyBorder="1">
      <alignment vertical="center"/>
    </xf>
    <xf numFmtId="177" fontId="1" fillId="0" borderId="0" xfId="51" applyNumberFormat="1" applyFont="1" applyFill="1" applyBorder="1">
      <alignment vertical="center"/>
    </xf>
    <xf numFmtId="177" fontId="1" fillId="3" borderId="0" xfId="51" applyNumberFormat="1" applyFont="1" applyFill="1" applyBorder="1">
      <alignment vertical="center"/>
    </xf>
    <xf numFmtId="0" fontId="3" fillId="0" borderId="6" xfId="50" applyFont="1" applyBorder="1">
      <alignment vertical="center"/>
    </xf>
    <xf numFmtId="0" fontId="4" fillId="0" borderId="7" xfId="50" applyFont="1" applyBorder="1">
      <alignment vertical="center"/>
    </xf>
    <xf numFmtId="177" fontId="4" fillId="0" borderId="6" xfId="51" applyNumberFormat="1" applyFont="1" applyFill="1" applyBorder="1">
      <alignment vertical="center"/>
    </xf>
    <xf numFmtId="177" fontId="4" fillId="3" borderId="6" xfId="51" applyNumberFormat="1" applyFont="1" applyFill="1" applyBorder="1">
      <alignment vertical="center"/>
    </xf>
    <xf numFmtId="177" fontId="1" fillId="0" borderId="3" xfId="51" applyNumberFormat="1" applyFont="1" applyFill="1" applyBorder="1">
      <alignment vertical="center"/>
    </xf>
    <xf numFmtId="177" fontId="1" fillId="0" borderId="3" xfId="51" applyNumberFormat="1" applyFont="1" applyBorder="1">
      <alignment vertical="center"/>
    </xf>
    <xf numFmtId="177" fontId="1" fillId="0" borderId="6" xfId="51" applyNumberFormat="1" applyFont="1" applyFill="1" applyBorder="1">
      <alignment vertical="center"/>
    </xf>
    <xf numFmtId="177" fontId="1" fillId="3" borderId="3" xfId="51" applyNumberFormat="1" applyFont="1" applyFill="1" applyBorder="1">
      <alignment vertical="center"/>
    </xf>
    <xf numFmtId="0" fontId="5" fillId="0" borderId="0" xfId="50" applyFont="1">
      <alignment vertical="center"/>
    </xf>
    <xf numFmtId="0" fontId="6" fillId="0" borderId="5" xfId="50" applyBorder="1" applyProtection="1">
      <alignment vertical="center"/>
      <protection locked="0"/>
    </xf>
    <xf numFmtId="177" fontId="7" fillId="0" borderId="0" xfId="51" applyNumberFormat="1" applyFont="1" applyFill="1" applyBorder="1">
      <alignment vertical="center"/>
    </xf>
    <xf numFmtId="177" fontId="7" fillId="3" borderId="0" xfId="51" applyNumberFormat="1" applyFont="1" applyFill="1" applyBorder="1">
      <alignment vertical="center"/>
    </xf>
    <xf numFmtId="0" fontId="6" fillId="0" borderId="7" xfId="50" applyBorder="1" applyProtection="1">
      <alignment vertical="center"/>
      <protection locked="0"/>
    </xf>
    <xf numFmtId="177" fontId="7" fillId="3" borderId="6" xfId="51" applyNumberFormat="1" applyFont="1" applyFill="1" applyBorder="1">
      <alignment vertical="center"/>
    </xf>
    <xf numFmtId="177" fontId="7" fillId="0" borderId="6" xfId="51" applyNumberFormat="1" applyFont="1" applyFill="1" applyBorder="1">
      <alignment vertical="center"/>
    </xf>
    <xf numFmtId="177" fontId="1" fillId="0" borderId="0" xfId="51" applyNumberFormat="1" applyFont="1" applyFill="1">
      <alignment vertical="center"/>
    </xf>
    <xf numFmtId="177" fontId="1" fillId="0" borderId="0" xfId="51" applyNumberFormat="1" applyFont="1">
      <alignment vertical="center"/>
    </xf>
    <xf numFmtId="176" fontId="4" fillId="0" borderId="0" xfId="50" applyNumberFormat="1" applyFont="1">
      <alignment vertical="center"/>
    </xf>
    <xf numFmtId="177" fontId="1" fillId="3" borderId="6" xfId="51" applyNumberFormat="1" applyFont="1" applyFill="1" applyBorder="1">
      <alignment vertical="center"/>
    </xf>
    <xf numFmtId="0" fontId="8" fillId="0" borderId="0" xfId="50" applyFont="1">
      <alignment vertical="center"/>
    </xf>
    <xf numFmtId="0" fontId="6" fillId="4" borderId="0" xfId="50" applyFill="1">
      <alignment vertical="center"/>
    </xf>
    <xf numFmtId="0" fontId="6" fillId="0" borderId="0" xfId="50">
      <alignment vertical="center"/>
    </xf>
    <xf numFmtId="0" fontId="9" fillId="0" borderId="0" xfId="50" applyFont="1">
      <alignment vertical="center"/>
    </xf>
    <xf numFmtId="0" fontId="10" fillId="0" borderId="0" xfId="50" applyFont="1">
      <alignment vertical="center"/>
    </xf>
    <xf numFmtId="0" fontId="11" fillId="0" borderId="0" xfId="50" applyFont="1">
      <alignment vertical="center"/>
    </xf>
    <xf numFmtId="0" fontId="11" fillId="4" borderId="0" xfId="50" applyFont="1" applyFill="1">
      <alignment vertical="center"/>
    </xf>
    <xf numFmtId="0" fontId="12" fillId="4" borderId="0" xfId="50" applyFont="1" applyFill="1">
      <alignment vertical="center"/>
    </xf>
    <xf numFmtId="0" fontId="11" fillId="0" borderId="0" xfId="50" applyFont="1" applyAlignment="1">
      <alignment horizontal="center" vertical="center"/>
    </xf>
    <xf numFmtId="0" fontId="11" fillId="4" borderId="0" xfId="50" applyFont="1" applyFill="1" applyAlignment="1">
      <alignment horizontal="center" vertical="center"/>
    </xf>
    <xf numFmtId="0" fontId="12" fillId="4" borderId="0" xfId="50" applyFont="1" applyFill="1" applyAlignment="1">
      <alignment horizontal="center" vertical="center"/>
    </xf>
    <xf numFmtId="0" fontId="13" fillId="0" borderId="0" xfId="50" applyFont="1" applyAlignment="1">
      <alignment horizontal="right" vertical="center"/>
    </xf>
    <xf numFmtId="0" fontId="14" fillId="0" borderId="0" xfId="50" applyFont="1" applyAlignment="1">
      <alignment horizontal="right" vertical="center"/>
    </xf>
    <xf numFmtId="0" fontId="6" fillId="0" borderId="8" xfId="50" applyBorder="1">
      <alignment vertical="center"/>
    </xf>
    <xf numFmtId="0" fontId="6" fillId="0" borderId="9" xfId="50" applyBorder="1">
      <alignment vertical="center"/>
    </xf>
    <xf numFmtId="0" fontId="6" fillId="0" borderId="10" xfId="50" applyBorder="1">
      <alignment vertical="center"/>
    </xf>
    <xf numFmtId="0" fontId="6" fillId="0" borderId="11" xfId="50" applyBorder="1">
      <alignment vertical="center"/>
    </xf>
    <xf numFmtId="0" fontId="6" fillId="0" borderId="12" xfId="50" applyBorder="1">
      <alignment vertical="center"/>
    </xf>
    <xf numFmtId="0" fontId="6" fillId="0" borderId="13" xfId="50" applyBorder="1">
      <alignment vertical="center"/>
    </xf>
    <xf numFmtId="0" fontId="8" fillId="4" borderId="0" xfId="50" applyFont="1" applyFill="1">
      <alignment vertical="center"/>
    </xf>
    <xf numFmtId="0" fontId="5" fillId="0" borderId="14" xfId="50" applyFont="1" applyBorder="1">
      <alignment vertical="center"/>
    </xf>
    <xf numFmtId="0" fontId="6" fillId="0" borderId="15" xfId="50" applyBorder="1">
      <alignment vertical="center"/>
    </xf>
    <xf numFmtId="0" fontId="6" fillId="0" borderId="16" xfId="50" applyBorder="1">
      <alignment vertical="center"/>
    </xf>
    <xf numFmtId="0" fontId="8" fillId="0" borderId="16" xfId="50" applyFont="1" applyBorder="1">
      <alignment vertical="center"/>
    </xf>
    <xf numFmtId="0" fontId="5" fillId="0" borderId="17" xfId="50" applyFont="1" applyBorder="1">
      <alignment vertical="center"/>
    </xf>
    <xf numFmtId="0" fontId="6" fillId="0" borderId="18" xfId="50" applyBorder="1">
      <alignment vertical="center"/>
    </xf>
    <xf numFmtId="0" fontId="6" fillId="0" borderId="19" xfId="50" applyBorder="1">
      <alignment vertical="center"/>
    </xf>
    <xf numFmtId="0" fontId="8" fillId="0" borderId="19" xfId="50" applyFont="1" applyBorder="1">
      <alignment vertical="center"/>
    </xf>
    <xf numFmtId="0" fontId="6" fillId="0" borderId="14" xfId="50" applyBorder="1">
      <alignment vertical="center"/>
    </xf>
    <xf numFmtId="0" fontId="6" fillId="0" borderId="20" xfId="50" applyBorder="1">
      <alignment vertical="center"/>
    </xf>
    <xf numFmtId="0" fontId="8" fillId="0" borderId="20" xfId="50" applyFont="1" applyBorder="1">
      <alignment vertical="center"/>
    </xf>
    <xf numFmtId="0" fontId="6" fillId="0" borderId="21" xfId="50" applyBorder="1">
      <alignment vertical="center"/>
    </xf>
    <xf numFmtId="0" fontId="6" fillId="0" borderId="22" xfId="50" applyBorder="1">
      <alignment vertical="center"/>
    </xf>
    <xf numFmtId="0" fontId="6" fillId="0" borderId="5" xfId="50" applyBorder="1">
      <alignment vertical="center"/>
    </xf>
    <xf numFmtId="0" fontId="8" fillId="0" borderId="5" xfId="50" applyFont="1" applyBorder="1">
      <alignment vertical="center"/>
    </xf>
    <xf numFmtId="0" fontId="6" fillId="0" borderId="23" xfId="50" applyBorder="1">
      <alignment vertical="center"/>
    </xf>
    <xf numFmtId="0" fontId="6" fillId="0" borderId="24" xfId="50" applyBorder="1">
      <alignment vertical="center"/>
    </xf>
    <xf numFmtId="0" fontId="6" fillId="0" borderId="6" xfId="50" applyBorder="1">
      <alignment vertical="center"/>
    </xf>
    <xf numFmtId="0" fontId="6" fillId="0" borderId="7" xfId="50" applyBorder="1">
      <alignment vertical="center"/>
    </xf>
    <xf numFmtId="0" fontId="8" fillId="0" borderId="7" xfId="50" applyFont="1" applyBorder="1">
      <alignment vertical="center"/>
    </xf>
    <xf numFmtId="0" fontId="15" fillId="0" borderId="0" xfId="50" applyFont="1">
      <alignment vertical="center"/>
    </xf>
    <xf numFmtId="0" fontId="15" fillId="0" borderId="0" xfId="50" applyFont="1" applyAlignment="1">
      <alignment horizontal="center" vertical="center"/>
    </xf>
    <xf numFmtId="178" fontId="5" fillId="5" borderId="25" xfId="50" applyNumberFormat="1" applyFont="1" applyFill="1" applyBorder="1" applyAlignment="1" applyProtection="1">
      <alignment horizontal="center" vertical="center"/>
      <protection locked="0"/>
    </xf>
    <xf numFmtId="178" fontId="5" fillId="5" borderId="26" xfId="50" applyNumberFormat="1" applyFont="1" applyFill="1" applyBorder="1" applyAlignment="1" applyProtection="1">
      <alignment horizontal="center" vertical="center"/>
      <protection locked="0"/>
    </xf>
    <xf numFmtId="178" fontId="5" fillId="5" borderId="27" xfId="50" applyNumberFormat="1" applyFont="1" applyFill="1" applyBorder="1" applyAlignment="1" applyProtection="1">
      <alignment horizontal="center" vertical="center"/>
      <protection locked="0"/>
    </xf>
    <xf numFmtId="0" fontId="15" fillId="0" borderId="0" xfId="50" applyFont="1" applyAlignment="1">
      <alignment horizontal="left" vertical="center"/>
    </xf>
    <xf numFmtId="179" fontId="16" fillId="4" borderId="0" xfId="51" applyNumberFormat="1" applyFont="1" applyFill="1" applyBorder="1" applyAlignment="1">
      <alignment horizontal="center" vertical="center"/>
    </xf>
    <xf numFmtId="0" fontId="13" fillId="4" borderId="0" xfId="50" applyFont="1" applyFill="1">
      <alignment vertical="center"/>
    </xf>
    <xf numFmtId="0" fontId="13" fillId="4" borderId="0" xfId="50" applyFont="1" applyFill="1" applyAlignment="1">
      <alignment horizontal="center" vertical="center"/>
    </xf>
    <xf numFmtId="14" fontId="5" fillId="5" borderId="0" xfId="50" applyNumberFormat="1" applyFont="1" applyFill="1" applyAlignment="1" applyProtection="1">
      <alignment horizontal="left" vertical="center"/>
      <protection locked="0"/>
    </xf>
    <xf numFmtId="14" fontId="5" fillId="0" borderId="12" xfId="50" applyNumberFormat="1" applyFont="1" applyBorder="1" applyProtection="1">
      <alignment vertical="center"/>
      <protection locked="0"/>
    </xf>
    <xf numFmtId="0" fontId="17" fillId="6" borderId="28" xfId="50" applyFont="1" applyFill="1" applyBorder="1" applyAlignment="1">
      <alignment horizontal="center" vertical="center" wrapText="1"/>
    </xf>
    <xf numFmtId="0" fontId="18" fillId="7" borderId="29" xfId="50" applyFont="1" applyFill="1" applyBorder="1" applyAlignment="1">
      <alignment horizontal="center" vertical="center" wrapText="1"/>
    </xf>
    <xf numFmtId="0" fontId="19" fillId="6" borderId="30" xfId="50" applyFont="1" applyFill="1" applyBorder="1" applyAlignment="1">
      <alignment horizontal="center" vertical="center" wrapText="1"/>
    </xf>
    <xf numFmtId="0" fontId="18" fillId="7" borderId="31" xfId="50" applyFont="1" applyFill="1" applyBorder="1" applyAlignment="1">
      <alignment horizontal="center" vertical="center" wrapText="1"/>
    </xf>
    <xf numFmtId="0" fontId="17" fillId="6" borderId="30" xfId="50" applyFont="1" applyFill="1" applyBorder="1" applyAlignment="1">
      <alignment horizontal="center" vertical="center" wrapText="1"/>
    </xf>
    <xf numFmtId="0" fontId="20" fillId="0" borderId="0" xfId="50" applyFont="1" applyAlignment="1">
      <alignment horizontal="center" vertical="center" wrapText="1"/>
    </xf>
    <xf numFmtId="0" fontId="14" fillId="0" borderId="0" xfId="50" applyFont="1" applyAlignment="1">
      <alignment horizontal="center" vertical="center" wrapText="1"/>
    </xf>
    <xf numFmtId="14" fontId="8" fillId="0" borderId="0" xfId="50" applyNumberFormat="1" applyFont="1" applyAlignment="1">
      <alignment horizontal="center" vertical="center"/>
    </xf>
    <xf numFmtId="14" fontId="21" fillId="0" borderId="0" xfId="50" applyNumberFormat="1" applyFont="1" applyAlignment="1">
      <alignment horizontal="center" vertical="center"/>
    </xf>
    <xf numFmtId="0" fontId="8" fillId="0" borderId="0" xfId="50" applyFont="1" applyAlignment="1">
      <alignment horizontal="center" vertical="center"/>
    </xf>
    <xf numFmtId="0" fontId="9" fillId="4" borderId="0" xfId="50" applyFont="1" applyFill="1">
      <alignment vertical="center"/>
    </xf>
    <xf numFmtId="0" fontId="22" fillId="4" borderId="0" xfId="50" applyFont="1" applyFill="1" applyAlignment="1">
      <alignment horizontal="center" vertical="center"/>
    </xf>
    <xf numFmtId="0" fontId="18" fillId="4" borderId="0" xfId="50" applyFont="1" applyFill="1" applyAlignment="1">
      <alignment horizontal="center" vertical="center"/>
    </xf>
    <xf numFmtId="0" fontId="22" fillId="0" borderId="0" xfId="50" applyFont="1" applyAlignment="1">
      <alignment horizontal="center" vertical="center"/>
    </xf>
    <xf numFmtId="179" fontId="5" fillId="5" borderId="32" xfId="51" applyNumberFormat="1" applyFont="1" applyFill="1" applyBorder="1" applyAlignment="1" applyProtection="1">
      <alignment horizontal="right" vertical="center"/>
      <protection locked="0"/>
    </xf>
    <xf numFmtId="179" fontId="16" fillId="4" borderId="32" xfId="51" applyNumberFormat="1" applyFont="1" applyFill="1" applyBorder="1" applyAlignment="1">
      <alignment horizontal="center" vertical="center"/>
    </xf>
    <xf numFmtId="179" fontId="5" fillId="5" borderId="16" xfId="51" applyNumberFormat="1" applyFont="1" applyFill="1" applyBorder="1" applyAlignment="1" applyProtection="1">
      <alignment horizontal="right" vertical="center"/>
      <protection locked="0"/>
    </xf>
    <xf numFmtId="179" fontId="5" fillId="0" borderId="0" xfId="51" applyNumberFormat="1" applyFont="1" applyFill="1" applyBorder="1" applyAlignment="1" applyProtection="1">
      <alignment horizontal="right" vertical="center"/>
      <protection locked="0"/>
    </xf>
    <xf numFmtId="179" fontId="5" fillId="8" borderId="33" xfId="51" applyNumberFormat="1" applyFont="1" applyFill="1" applyBorder="1" applyAlignment="1">
      <alignment horizontal="right" vertical="center"/>
    </xf>
    <xf numFmtId="9" fontId="5" fillId="5" borderId="33" xfId="50" applyNumberFormat="1" applyFont="1" applyFill="1" applyBorder="1" applyAlignment="1" applyProtection="1">
      <alignment horizontal="right" vertical="center"/>
      <protection locked="0"/>
    </xf>
    <xf numFmtId="179" fontId="16" fillId="4" borderId="33" xfId="51" applyNumberFormat="1" applyFont="1" applyFill="1" applyBorder="1" applyAlignment="1">
      <alignment horizontal="center" vertical="center"/>
    </xf>
    <xf numFmtId="179" fontId="5" fillId="8" borderId="19" xfId="51" applyNumberFormat="1" applyFont="1" applyFill="1" applyBorder="1" applyAlignment="1">
      <alignment horizontal="right" vertical="center"/>
    </xf>
    <xf numFmtId="180" fontId="5" fillId="5" borderId="19" xfId="50" applyNumberFormat="1" applyFont="1" applyFill="1" applyBorder="1" applyAlignment="1" applyProtection="1">
      <alignment horizontal="right" vertical="center"/>
      <protection locked="0"/>
    </xf>
    <xf numFmtId="179" fontId="5" fillId="0" borderId="0" xfId="51" applyNumberFormat="1" applyFont="1" applyFill="1" applyBorder="1" applyAlignment="1">
      <alignment horizontal="right" vertical="center"/>
    </xf>
    <xf numFmtId="0" fontId="6" fillId="5" borderId="20" xfId="50" applyFill="1" applyBorder="1" applyProtection="1">
      <alignment vertical="center"/>
      <protection locked="0"/>
    </xf>
    <xf numFmtId="180" fontId="9" fillId="0" borderId="34" xfId="13" applyNumberFormat="1" applyFont="1" applyBorder="1">
      <alignment vertical="center"/>
    </xf>
    <xf numFmtId="43" fontId="0" fillId="0" borderId="20" xfId="51" applyFont="1" applyBorder="1">
      <alignment vertical="center"/>
    </xf>
    <xf numFmtId="180" fontId="9" fillId="0" borderId="35" xfId="13" applyNumberFormat="1" applyFont="1" applyBorder="1">
      <alignment vertical="center"/>
    </xf>
    <xf numFmtId="0" fontId="6" fillId="0" borderId="35" xfId="50" applyBorder="1">
      <alignment vertical="center"/>
    </xf>
    <xf numFmtId="43" fontId="0" fillId="0" borderId="35" xfId="51" applyFont="1" applyBorder="1">
      <alignment vertical="center"/>
    </xf>
    <xf numFmtId="0" fontId="6" fillId="5" borderId="5" xfId="50" applyFill="1" applyBorder="1" applyProtection="1">
      <alignment vertical="center"/>
      <protection locked="0"/>
    </xf>
    <xf numFmtId="180" fontId="9" fillId="0" borderId="22" xfId="13" applyNumberFormat="1" applyFont="1" applyBorder="1">
      <alignment vertical="center"/>
    </xf>
    <xf numFmtId="179" fontId="16" fillId="4" borderId="36" xfId="51" applyNumberFormat="1" applyFont="1" applyFill="1" applyBorder="1" applyAlignment="1">
      <alignment horizontal="center" vertical="center"/>
    </xf>
    <xf numFmtId="43" fontId="0" fillId="0" borderId="5" xfId="51" applyFont="1" applyBorder="1">
      <alignment vertical="center"/>
    </xf>
    <xf numFmtId="180" fontId="9" fillId="0" borderId="37" xfId="13" applyNumberFormat="1" applyFont="1" applyBorder="1">
      <alignment vertical="center"/>
    </xf>
    <xf numFmtId="0" fontId="6" fillId="0" borderId="37" xfId="50" applyBorder="1">
      <alignment vertical="center"/>
    </xf>
    <xf numFmtId="43" fontId="0" fillId="0" borderId="37" xfId="51" applyFont="1" applyBorder="1">
      <alignment vertical="center"/>
    </xf>
    <xf numFmtId="0" fontId="6" fillId="0" borderId="36" xfId="50" applyBorder="1">
      <alignment vertical="center"/>
    </xf>
    <xf numFmtId="0" fontId="9" fillId="0" borderId="37" xfId="50" applyFont="1" applyBorder="1">
      <alignment vertical="center"/>
    </xf>
    <xf numFmtId="0" fontId="9" fillId="0" borderId="6" xfId="50" applyFont="1" applyBorder="1">
      <alignment vertical="center"/>
    </xf>
    <xf numFmtId="0" fontId="6" fillId="0" borderId="33" xfId="50" applyBorder="1">
      <alignment vertical="center"/>
    </xf>
    <xf numFmtId="0" fontId="9" fillId="0" borderId="38" xfId="50" applyFont="1" applyBorder="1">
      <alignment vertical="center"/>
    </xf>
    <xf numFmtId="0" fontId="6" fillId="0" borderId="38" xfId="50" applyBorder="1">
      <alignment vertical="center"/>
    </xf>
    <xf numFmtId="14" fontId="5" fillId="0" borderId="0" xfId="50" applyNumberFormat="1" applyFont="1" applyProtection="1">
      <alignment vertical="center"/>
      <protection locked="0"/>
    </xf>
    <xf numFmtId="0" fontId="22" fillId="2" borderId="39" xfId="50" applyFont="1" applyFill="1" applyBorder="1" applyAlignment="1">
      <alignment horizontal="center" vertical="center"/>
    </xf>
    <xf numFmtId="0" fontId="22" fillId="0" borderId="39" xfId="50" applyFont="1" applyBorder="1" applyAlignment="1">
      <alignment horizontal="center" vertical="center"/>
    </xf>
    <xf numFmtId="0" fontId="22" fillId="2" borderId="40" xfId="50" applyFont="1" applyFill="1" applyBorder="1" applyAlignment="1">
      <alignment horizontal="center" vertical="center"/>
    </xf>
    <xf numFmtId="0" fontId="22" fillId="0" borderId="40" xfId="50" applyFont="1" applyBorder="1" applyAlignment="1">
      <alignment horizontal="center" vertical="center"/>
    </xf>
    <xf numFmtId="0" fontId="21" fillId="0" borderId="0" xfId="50" applyFont="1" applyAlignment="1">
      <alignment horizontal="center" vertical="center"/>
    </xf>
    <xf numFmtId="179" fontId="5" fillId="8" borderId="32" xfId="51" applyNumberFormat="1" applyFont="1" applyFill="1" applyBorder="1" applyAlignment="1" applyProtection="1">
      <alignment horizontal="right" vertical="center"/>
      <protection locked="0"/>
    </xf>
    <xf numFmtId="179" fontId="6" fillId="0" borderId="32" xfId="50" applyNumberFormat="1" applyFont="1" applyBorder="1" applyAlignment="1">
      <alignment horizontal="right" vertical="center"/>
    </xf>
    <xf numFmtId="180" fontId="6" fillId="0" borderId="32" xfId="13" applyNumberFormat="1" applyFont="1" applyFill="1" applyBorder="1" applyAlignment="1">
      <alignment horizontal="right" vertical="center"/>
    </xf>
    <xf numFmtId="0" fontId="6" fillId="0" borderId="16" xfId="50" applyFont="1" applyBorder="1" applyAlignment="1">
      <alignment horizontal="center" vertical="center"/>
    </xf>
    <xf numFmtId="9" fontId="5" fillId="8" borderId="33" xfId="50" applyNumberFormat="1" applyFont="1" applyFill="1" applyBorder="1" applyAlignment="1" applyProtection="1">
      <alignment horizontal="right" vertical="center"/>
      <protection locked="0"/>
    </xf>
    <xf numFmtId="179" fontId="6" fillId="0" borderId="33" xfId="51" applyNumberFormat="1" applyFont="1" applyFill="1" applyBorder="1" applyAlignment="1">
      <alignment horizontal="right" vertical="center"/>
    </xf>
    <xf numFmtId="180" fontId="6" fillId="0" borderId="33" xfId="13" applyNumberFormat="1" applyFont="1" applyFill="1" applyBorder="1" applyAlignment="1">
      <alignment horizontal="right" vertical="center"/>
    </xf>
    <xf numFmtId="0" fontId="6" fillId="0" borderId="19" xfId="50" applyFont="1" applyBorder="1" applyAlignment="1">
      <alignment horizontal="center" vertical="center"/>
    </xf>
    <xf numFmtId="43" fontId="6" fillId="0" borderId="35" xfId="50" applyNumberFormat="1" applyBorder="1">
      <alignment vertical="center"/>
    </xf>
    <xf numFmtId="179" fontId="6" fillId="0" borderId="14" xfId="50" applyNumberFormat="1" applyFont="1" applyBorder="1" applyAlignment="1">
      <alignment horizontal="right" vertical="center"/>
    </xf>
    <xf numFmtId="180" fontId="0" fillId="0" borderId="32" xfId="13" applyNumberFormat="1" applyFont="1" applyBorder="1">
      <alignment vertical="center"/>
    </xf>
    <xf numFmtId="179" fontId="6" fillId="0" borderId="21" xfId="50" applyNumberFormat="1" applyFont="1" applyBorder="1" applyAlignment="1">
      <alignment horizontal="right" vertical="center"/>
    </xf>
    <xf numFmtId="180" fontId="0" fillId="0" borderId="36" xfId="13" applyNumberFormat="1" applyFont="1" applyBorder="1">
      <alignment vertical="center"/>
    </xf>
    <xf numFmtId="0" fontId="9" fillId="0" borderId="22" xfId="50" applyFont="1" applyBorder="1">
      <alignment vertical="center"/>
    </xf>
    <xf numFmtId="0" fontId="9" fillId="0" borderId="24" xfId="50" applyFont="1" applyBorder="1">
      <alignment vertical="center"/>
    </xf>
    <xf numFmtId="0" fontId="6" fillId="0" borderId="17" xfId="50" applyBorder="1">
      <alignment vertical="center"/>
    </xf>
    <xf numFmtId="0" fontId="22" fillId="2" borderId="41" xfId="50" applyFont="1" applyFill="1" applyBorder="1" applyAlignment="1">
      <alignment horizontal="center" vertical="center"/>
    </xf>
    <xf numFmtId="0" fontId="22" fillId="2" borderId="42" xfId="50" applyFont="1" applyFill="1" applyBorder="1" applyAlignment="1">
      <alignment horizontal="center" vertical="center"/>
    </xf>
    <xf numFmtId="0" fontId="6" fillId="0" borderId="43" xfId="50" applyBorder="1">
      <alignment vertical="center"/>
    </xf>
    <xf numFmtId="14" fontId="19" fillId="9" borderId="0" xfId="50" applyNumberFormat="1" applyFont="1" applyFill="1" applyAlignment="1">
      <alignment horizontal="center" vertical="center" shrinkToFit="1"/>
    </xf>
    <xf numFmtId="14" fontId="23" fillId="9" borderId="0" xfId="50" applyNumberFormat="1" applyFont="1" applyFill="1" applyAlignment="1">
      <alignment horizontal="center" vertical="center"/>
    </xf>
    <xf numFmtId="14" fontId="2" fillId="9" borderId="0" xfId="50" applyNumberFormat="1" applyFont="1" applyFill="1" applyAlignment="1">
      <alignment horizontal="center" vertical="center"/>
    </xf>
    <xf numFmtId="0" fontId="24" fillId="0" borderId="0" xfId="50" applyFont="1">
      <alignment vertical="center"/>
    </xf>
    <xf numFmtId="0" fontId="25" fillId="0" borderId="0" xfId="50" applyFont="1">
      <alignment vertical="center"/>
    </xf>
    <xf numFmtId="177" fontId="26" fillId="0" borderId="0" xfId="51" applyNumberFormat="1" applyFont="1" applyBorder="1">
      <alignment vertical="center"/>
    </xf>
    <xf numFmtId="0" fontId="27" fillId="0" borderId="0" xfId="50" applyFont="1">
      <alignment vertical="center"/>
    </xf>
    <xf numFmtId="0" fontId="28" fillId="0" borderId="0" xfId="50" applyFont="1">
      <alignment vertical="center"/>
    </xf>
    <xf numFmtId="0" fontId="29" fillId="0" borderId="0" xfId="50" applyFont="1">
      <alignment vertical="center"/>
    </xf>
    <xf numFmtId="0" fontId="6" fillId="0" borderId="0" xfId="50" applyProtection="1">
      <alignment vertical="center"/>
      <protection locked="0"/>
    </xf>
    <xf numFmtId="179" fontId="26" fillId="0" borderId="0" xfId="51" applyNumberFormat="1" applyFont="1" applyBorder="1">
      <alignment vertical="center"/>
    </xf>
    <xf numFmtId="0" fontId="5" fillId="0" borderId="0" xfId="50" applyFont="1" applyAlignment="1">
      <alignment horizontal="center" vertical="center"/>
    </xf>
    <xf numFmtId="0" fontId="13" fillId="0" borderId="0" xfId="50" applyFont="1" applyAlignment="1">
      <alignment horizontal="center" vertical="center" wrapText="1"/>
    </xf>
    <xf numFmtId="0" fontId="30" fillId="0" borderId="0" xfId="50" applyFont="1">
      <alignment vertical="center"/>
    </xf>
    <xf numFmtId="0" fontId="31" fillId="0" borderId="0" xfId="50" applyFont="1">
      <alignment vertical="center"/>
    </xf>
    <xf numFmtId="0" fontId="32" fillId="0" borderId="0" xfId="50" applyFont="1" applyAlignment="1">
      <alignment horizontal="left" vertical="center"/>
    </xf>
    <xf numFmtId="0" fontId="13" fillId="0" borderId="0" xfId="50" applyFont="1" applyAlignment="1">
      <alignment horizontal="center" vertical="center"/>
    </xf>
    <xf numFmtId="0" fontId="25" fillId="0" borderId="0" xfId="50" applyFont="1" applyAlignment="1">
      <alignment horizontal="center" vertical="center"/>
    </xf>
    <xf numFmtId="14" fontId="5" fillId="0" borderId="0" xfId="50" applyNumberFormat="1" applyFont="1">
      <alignment vertical="center"/>
    </xf>
    <xf numFmtId="0" fontId="17" fillId="10" borderId="0" xfId="50" applyFont="1" applyFill="1" applyAlignment="1">
      <alignment horizontal="center" vertical="center" wrapText="1"/>
    </xf>
    <xf numFmtId="0" fontId="17" fillId="10" borderId="44" xfId="50" applyFont="1" applyFill="1" applyBorder="1" applyAlignment="1">
      <alignment horizontal="center" vertical="center" wrapText="1"/>
    </xf>
    <xf numFmtId="14" fontId="17" fillId="10" borderId="45" xfId="50" applyNumberFormat="1" applyFont="1" applyFill="1" applyBorder="1" applyAlignment="1">
      <alignment horizontal="center" vertical="center"/>
    </xf>
    <xf numFmtId="14" fontId="17" fillId="10" borderId="25" xfId="50" applyNumberFormat="1" applyFont="1" applyFill="1" applyBorder="1" applyAlignment="1">
      <alignment horizontal="left" vertical="center"/>
    </xf>
    <xf numFmtId="0" fontId="5" fillId="10" borderId="0" xfId="50" applyFont="1" applyFill="1" applyAlignment="1">
      <alignment horizontal="center" vertical="center"/>
    </xf>
    <xf numFmtId="0" fontId="5" fillId="10" borderId="44" xfId="50" applyFont="1" applyFill="1" applyBorder="1" applyAlignment="1">
      <alignment horizontal="center" vertical="center"/>
    </xf>
    <xf numFmtId="14" fontId="17" fillId="10" borderId="14" xfId="50" applyNumberFormat="1" applyFont="1" applyFill="1" applyBorder="1" applyAlignment="1">
      <alignment horizontal="center" vertical="center"/>
    </xf>
    <xf numFmtId="0" fontId="17" fillId="10" borderId="32" xfId="50" applyFont="1" applyFill="1" applyBorder="1" applyAlignment="1">
      <alignment horizontal="center" vertical="center" wrapText="1"/>
    </xf>
    <xf numFmtId="0" fontId="17" fillId="10" borderId="14" xfId="51" applyNumberFormat="1" applyFont="1" applyFill="1" applyBorder="1" applyAlignment="1">
      <alignment horizontal="center" vertical="center" wrapText="1"/>
    </xf>
    <xf numFmtId="0" fontId="17" fillId="10" borderId="33" xfId="50" applyFont="1" applyFill="1" applyBorder="1" applyAlignment="1">
      <alignment horizontal="center" vertical="center" wrapText="1"/>
    </xf>
    <xf numFmtId="0" fontId="17" fillId="10" borderId="14" xfId="50" applyFont="1" applyFill="1" applyBorder="1" applyAlignment="1">
      <alignment horizontal="center" vertical="center" wrapText="1"/>
    </xf>
    <xf numFmtId="14" fontId="28" fillId="0" borderId="0" xfId="50" applyNumberFormat="1" applyFont="1">
      <alignment vertical="center"/>
    </xf>
    <xf numFmtId="177" fontId="24" fillId="0" borderId="0" xfId="51" applyNumberFormat="1" applyFont="1">
      <alignment vertical="center"/>
    </xf>
    <xf numFmtId="177" fontId="7" fillId="0" borderId="0" xfId="51" applyNumberFormat="1" applyFont="1">
      <alignment vertical="center"/>
    </xf>
    <xf numFmtId="14" fontId="17" fillId="10" borderId="26" xfId="50" applyNumberFormat="1" applyFont="1" applyFill="1" applyBorder="1" applyAlignment="1">
      <alignment horizontal="left" vertical="center"/>
    </xf>
    <xf numFmtId="14" fontId="17" fillId="10" borderId="27" xfId="50" applyNumberFormat="1" applyFont="1" applyFill="1" applyBorder="1" applyAlignment="1">
      <alignment horizontal="left" vertical="center"/>
    </xf>
    <xf numFmtId="43" fontId="24" fillId="0" borderId="0" xfId="50" applyNumberFormat="1" applyFont="1">
      <alignment vertical="center"/>
    </xf>
    <xf numFmtId="43" fontId="7" fillId="0" borderId="0" xfId="50" applyNumberFormat="1" applyFont="1">
      <alignment vertical="center"/>
    </xf>
    <xf numFmtId="0" fontId="33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34" fillId="0" borderId="0" xfId="0" applyFont="1">
      <alignment vertical="center"/>
    </xf>
    <xf numFmtId="0" fontId="35" fillId="9" borderId="15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14" fontId="19" fillId="9" borderId="0" xfId="0" applyNumberFormat="1" applyFont="1" applyFill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5" fillId="9" borderId="0" xfId="0" applyFont="1" applyFill="1" applyBorder="1" applyAlignment="1">
      <alignment horizontal="center" vertical="center" wrapText="1"/>
    </xf>
    <xf numFmtId="14" fontId="37" fillId="9" borderId="0" xfId="0" applyNumberFormat="1" applyFont="1" applyFill="1" applyBorder="1" applyAlignment="1">
      <alignment horizontal="center" vertical="center"/>
    </xf>
    <xf numFmtId="14" fontId="37" fillId="0" borderId="0" xfId="0" applyNumberFormat="1" applyFont="1" applyFill="1" applyBorder="1" applyAlignment="1">
      <alignment horizontal="center" vertical="center"/>
    </xf>
    <xf numFmtId="0" fontId="33" fillId="0" borderId="0" xfId="0" applyFont="1" applyBorder="1">
      <alignment vertical="center"/>
    </xf>
    <xf numFmtId="0" fontId="33" fillId="0" borderId="0" xfId="0" applyFont="1" applyFill="1" applyBorder="1">
      <alignment vertical="center"/>
    </xf>
    <xf numFmtId="0" fontId="33" fillId="0" borderId="0" xfId="0" applyFont="1" applyFill="1">
      <alignment vertical="center"/>
    </xf>
    <xf numFmtId="179" fontId="33" fillId="3" borderId="0" xfId="8" applyNumberFormat="1" applyFont="1" applyFill="1" applyBorder="1">
      <alignment vertical="center"/>
    </xf>
    <xf numFmtId="179" fontId="33" fillId="0" borderId="0" xfId="8" applyNumberFormat="1" applyFont="1" applyFill="1" applyBorder="1">
      <alignment vertical="center"/>
    </xf>
    <xf numFmtId="179" fontId="33" fillId="0" borderId="0" xfId="8" applyNumberFormat="1" applyFont="1" applyBorder="1">
      <alignment vertical="center"/>
    </xf>
    <xf numFmtId="0" fontId="36" fillId="0" borderId="0" xfId="0" applyFont="1" applyBorder="1" applyAlignment="1">
      <alignment vertical="center" wrapText="1"/>
    </xf>
    <xf numFmtId="0" fontId="36" fillId="0" borderId="0" xfId="0" applyFont="1" applyFill="1" applyBorder="1" applyAlignment="1">
      <alignment vertical="center" wrapText="1"/>
    </xf>
    <xf numFmtId="179" fontId="33" fillId="4" borderId="0" xfId="8" applyNumberFormat="1" applyFont="1" applyFill="1" applyBorder="1">
      <alignment vertical="center"/>
    </xf>
    <xf numFmtId="0" fontId="36" fillId="0" borderId="0" xfId="0" applyFont="1" applyBorder="1" applyAlignment="1">
      <alignment vertical="center"/>
    </xf>
    <xf numFmtId="0" fontId="36" fillId="0" borderId="0" xfId="0" applyFont="1" applyFill="1" applyBorder="1" applyAlignment="1">
      <alignment vertical="center"/>
    </xf>
    <xf numFmtId="0" fontId="33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Border="1">
      <alignment vertical="center"/>
    </xf>
    <xf numFmtId="0" fontId="38" fillId="0" borderId="0" xfId="0" applyFont="1">
      <alignment vertical="center"/>
    </xf>
    <xf numFmtId="0" fontId="0" fillId="0" borderId="0" xfId="0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39" fillId="0" borderId="0" xfId="0" applyFont="1">
      <alignment vertical="center"/>
    </xf>
    <xf numFmtId="0" fontId="22" fillId="2" borderId="0" xfId="0" applyFont="1" applyFill="1" applyAlignment="1">
      <alignment horizontal="center" vertical="center" wrapText="1"/>
    </xf>
    <xf numFmtId="43" fontId="0" fillId="0" borderId="0" xfId="8" applyFont="1">
      <alignment vertical="center"/>
    </xf>
    <xf numFmtId="0" fontId="35" fillId="9" borderId="46" xfId="0" applyFont="1" applyFill="1" applyBorder="1" applyAlignment="1">
      <alignment horizontal="center" vertical="center" wrapText="1"/>
    </xf>
    <xf numFmtId="0" fontId="35" fillId="9" borderId="3" xfId="0" applyFont="1" applyFill="1" applyBorder="1" applyAlignment="1">
      <alignment horizontal="center" vertical="center" wrapText="1"/>
    </xf>
    <xf numFmtId="0" fontId="35" fillId="9" borderId="4" xfId="0" applyFont="1" applyFill="1" applyBorder="1" applyAlignment="1">
      <alignment horizontal="center" vertical="center" wrapText="1"/>
    </xf>
    <xf numFmtId="14" fontId="17" fillId="9" borderId="0" xfId="0" applyNumberFormat="1" applyFont="1" applyFill="1" applyBorder="1" applyAlignment="1">
      <alignment horizontal="center" vertical="center" shrinkToFit="1"/>
    </xf>
    <xf numFmtId="0" fontId="35" fillId="9" borderId="22" xfId="0" applyFont="1" applyFill="1" applyBorder="1" applyAlignment="1">
      <alignment horizontal="center" vertical="center" wrapText="1"/>
    </xf>
    <xf numFmtId="0" fontId="35" fillId="9" borderId="5" xfId="0" applyFont="1" applyFill="1" applyBorder="1" applyAlignment="1">
      <alignment horizontal="center" vertical="center" wrapText="1"/>
    </xf>
    <xf numFmtId="14" fontId="23" fillId="9" borderId="0" xfId="0" applyNumberFormat="1" applyFont="1" applyFill="1" applyBorder="1" applyAlignment="1">
      <alignment horizontal="center" vertical="center"/>
    </xf>
    <xf numFmtId="0" fontId="35" fillId="9" borderId="24" xfId="0" applyFont="1" applyFill="1" applyBorder="1" applyAlignment="1">
      <alignment horizontal="center" vertical="center" wrapText="1"/>
    </xf>
    <xf numFmtId="0" fontId="35" fillId="9" borderId="6" xfId="0" applyFont="1" applyFill="1" applyBorder="1" applyAlignment="1">
      <alignment horizontal="center" vertical="center" wrapText="1"/>
    </xf>
    <xf numFmtId="0" fontId="35" fillId="9" borderId="7" xfId="0" applyFont="1" applyFill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/>
    </xf>
    <xf numFmtId="0" fontId="35" fillId="9" borderId="48" xfId="0" applyFont="1" applyFill="1" applyBorder="1" applyAlignment="1">
      <alignment horizontal="center" vertical="center"/>
    </xf>
    <xf numFmtId="0" fontId="33" fillId="0" borderId="21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43" fontId="33" fillId="5" borderId="5" xfId="8" applyFont="1" applyFill="1" applyBorder="1">
      <alignment vertical="center"/>
    </xf>
    <xf numFmtId="9" fontId="33" fillId="0" borderId="37" xfId="0" applyNumberFormat="1" applyFont="1" applyBorder="1">
      <alignment vertical="center"/>
    </xf>
    <xf numFmtId="43" fontId="33" fillId="5" borderId="37" xfId="8" applyFont="1" applyFill="1" applyBorder="1">
      <alignment vertical="center"/>
    </xf>
    <xf numFmtId="43" fontId="33" fillId="0" borderId="5" xfId="8" applyFont="1" applyBorder="1">
      <alignment vertical="center"/>
    </xf>
    <xf numFmtId="9" fontId="33" fillId="0" borderId="37" xfId="0" applyNumberFormat="1" applyFont="1" applyFill="1" applyBorder="1">
      <alignment vertical="center"/>
    </xf>
    <xf numFmtId="0" fontId="33" fillId="0" borderId="17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40" fillId="0" borderId="0" xfId="0" applyFont="1">
      <alignment vertical="center"/>
    </xf>
    <xf numFmtId="0" fontId="41" fillId="0" borderId="24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43" fontId="41" fillId="5" borderId="2" xfId="8" applyFont="1" applyFill="1" applyBorder="1">
      <alignment vertical="center"/>
    </xf>
    <xf numFmtId="0" fontId="41" fillId="0" borderId="49" xfId="0" applyFont="1" applyBorder="1">
      <alignment vertical="center"/>
    </xf>
    <xf numFmtId="43" fontId="41" fillId="5" borderId="49" xfId="8" applyFont="1" applyFill="1" applyBorder="1">
      <alignment vertical="center"/>
    </xf>
    <xf numFmtId="43" fontId="33" fillId="5" borderId="0" xfId="0" applyNumberFormat="1" applyFont="1" applyFill="1">
      <alignment vertical="center"/>
    </xf>
    <xf numFmtId="0" fontId="33" fillId="0" borderId="46" xfId="0" applyFont="1" applyBorder="1">
      <alignment vertical="center"/>
    </xf>
    <xf numFmtId="0" fontId="33" fillId="0" borderId="3" xfId="0" applyFont="1" applyBorder="1">
      <alignment vertical="center"/>
    </xf>
    <xf numFmtId="0" fontId="33" fillId="0" borderId="4" xfId="0" applyFont="1" applyBorder="1">
      <alignment vertical="center"/>
    </xf>
    <xf numFmtId="0" fontId="42" fillId="0" borderId="46" xfId="0" applyFont="1" applyBorder="1">
      <alignment vertical="center"/>
    </xf>
    <xf numFmtId="43" fontId="33" fillId="5" borderId="4" xfId="0" applyNumberFormat="1" applyFont="1" applyFill="1" applyBorder="1">
      <alignment vertical="center"/>
    </xf>
    <xf numFmtId="0" fontId="33" fillId="0" borderId="22" xfId="0" applyFont="1" applyBorder="1">
      <alignment vertical="center"/>
    </xf>
    <xf numFmtId="0" fontId="33" fillId="0" borderId="5" xfId="0" applyFont="1" applyBorder="1">
      <alignment vertical="center"/>
    </xf>
    <xf numFmtId="0" fontId="42" fillId="0" borderId="22" xfId="0" applyFont="1" applyBorder="1">
      <alignment vertical="center"/>
    </xf>
    <xf numFmtId="43" fontId="33" fillId="5" borderId="5" xfId="0" applyNumberFormat="1" applyFont="1" applyFill="1" applyBorder="1">
      <alignment vertical="center"/>
    </xf>
    <xf numFmtId="0" fontId="33" fillId="0" borderId="24" xfId="0" applyFont="1" applyBorder="1">
      <alignment vertical="center"/>
    </xf>
    <xf numFmtId="0" fontId="33" fillId="0" borderId="6" xfId="0" applyFont="1" applyBorder="1">
      <alignment vertical="center"/>
    </xf>
    <xf numFmtId="0" fontId="33" fillId="0" borderId="7" xfId="0" applyFont="1" applyBorder="1">
      <alignment vertical="center"/>
    </xf>
    <xf numFmtId="0" fontId="43" fillId="0" borderId="0" xfId="0" applyFont="1">
      <alignment vertical="center"/>
    </xf>
    <xf numFmtId="14" fontId="23" fillId="9" borderId="50" xfId="0" applyNumberFormat="1" applyFont="1" applyFill="1" applyBorder="1" applyAlignment="1">
      <alignment horizontal="center" vertical="center"/>
    </xf>
    <xf numFmtId="0" fontId="43" fillId="0" borderId="0" xfId="0" applyFont="1" applyBorder="1">
      <alignment vertical="center"/>
    </xf>
    <xf numFmtId="0" fontId="35" fillId="9" borderId="51" xfId="0" applyFont="1" applyFill="1" applyBorder="1" applyAlignment="1">
      <alignment horizontal="center" vertical="center"/>
    </xf>
    <xf numFmtId="0" fontId="35" fillId="9" borderId="52" xfId="0" applyFont="1" applyFill="1" applyBorder="1" applyAlignment="1">
      <alignment horizontal="center" vertical="center"/>
    </xf>
    <xf numFmtId="0" fontId="35" fillId="9" borderId="53" xfId="0" applyFont="1" applyFill="1" applyBorder="1" applyAlignment="1">
      <alignment horizontal="center" vertical="center"/>
    </xf>
    <xf numFmtId="0" fontId="42" fillId="0" borderId="14" xfId="0" applyFont="1" applyBorder="1">
      <alignment vertical="center"/>
    </xf>
    <xf numFmtId="0" fontId="33" fillId="0" borderId="15" xfId="0" applyFont="1" applyBorder="1">
      <alignment vertical="center"/>
    </xf>
    <xf numFmtId="43" fontId="33" fillId="5" borderId="16" xfId="0" applyNumberFormat="1" applyFont="1" applyFill="1" applyBorder="1">
      <alignment vertical="center"/>
    </xf>
    <xf numFmtId="0" fontId="42" fillId="0" borderId="21" xfId="0" applyFont="1" applyBorder="1">
      <alignment vertical="center"/>
    </xf>
    <xf numFmtId="43" fontId="33" fillId="5" borderId="44" xfId="0" applyNumberFormat="1" applyFont="1" applyFill="1" applyBorder="1">
      <alignment vertical="center"/>
    </xf>
    <xf numFmtId="0" fontId="33" fillId="0" borderId="21" xfId="0" applyFont="1" applyBorder="1">
      <alignment vertical="center"/>
    </xf>
    <xf numFmtId="0" fontId="33" fillId="0" borderId="44" xfId="0" applyFont="1" applyBorder="1">
      <alignment vertical="center"/>
    </xf>
    <xf numFmtId="0" fontId="33" fillId="0" borderId="17" xfId="0" applyFont="1" applyBorder="1">
      <alignment vertical="center"/>
    </xf>
    <xf numFmtId="0" fontId="33" fillId="0" borderId="18" xfId="0" applyFont="1" applyBorder="1">
      <alignment vertical="center"/>
    </xf>
    <xf numFmtId="0" fontId="33" fillId="0" borderId="19" xfId="0" applyFont="1" applyBorder="1">
      <alignment vertical="center"/>
    </xf>
    <xf numFmtId="9" fontId="33" fillId="5" borderId="37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35" fillId="9" borderId="0" xfId="0" applyFont="1" applyFill="1" applyAlignment="1">
      <alignment horizontal="center" vertical="center"/>
    </xf>
    <xf numFmtId="0" fontId="35" fillId="0" borderId="0" xfId="0" applyFont="1" applyFill="1" applyBorder="1" applyAlignment="1">
      <alignment vertical="center" wrapText="1"/>
    </xf>
    <xf numFmtId="14" fontId="35" fillId="9" borderId="0" xfId="0" applyNumberFormat="1" applyFont="1" applyFill="1" applyBorder="1" applyAlignment="1">
      <alignment horizontal="center" vertical="center"/>
    </xf>
    <xf numFmtId="0" fontId="41" fillId="0" borderId="0" xfId="0" applyFont="1" applyFill="1" applyBorder="1">
      <alignment vertical="center"/>
    </xf>
    <xf numFmtId="179" fontId="33" fillId="5" borderId="0" xfId="8" applyNumberFormat="1" applyFont="1" applyFill="1">
      <alignment vertical="center"/>
    </xf>
    <xf numFmtId="179" fontId="33" fillId="5" borderId="0" xfId="0" applyNumberFormat="1" applyFont="1" applyFill="1">
      <alignment vertical="center"/>
    </xf>
    <xf numFmtId="180" fontId="33" fillId="5" borderId="0" xfId="11" applyNumberFormat="1" applyFont="1" applyFill="1">
      <alignment vertical="center"/>
    </xf>
    <xf numFmtId="179" fontId="33" fillId="0" borderId="0" xfId="8" applyNumberFormat="1" applyFont="1">
      <alignment vertical="center"/>
    </xf>
    <xf numFmtId="0" fontId="41" fillId="0" borderId="0" xfId="0" applyFont="1" applyFill="1" applyBorder="1" applyAlignment="1">
      <alignment vertical="center" wrapText="1"/>
    </xf>
    <xf numFmtId="0" fontId="33" fillId="0" borderId="0" xfId="0" applyFont="1" applyAlignment="1">
      <alignment vertical="center"/>
    </xf>
    <xf numFmtId="179" fontId="33" fillId="0" borderId="0" xfId="8" applyNumberFormat="1" applyFont="1" applyFill="1">
      <alignment vertical="center"/>
    </xf>
    <xf numFmtId="43" fontId="33" fillId="0" borderId="0" xfId="0" applyNumberFormat="1" applyFont="1" applyFill="1">
      <alignment vertical="center"/>
    </xf>
    <xf numFmtId="0" fontId="41" fillId="0" borderId="0" xfId="50" applyFont="1">
      <alignment vertical="center"/>
    </xf>
    <xf numFmtId="0" fontId="41" fillId="9" borderId="0" xfId="50" applyFont="1" applyFill="1">
      <alignment vertical="center"/>
    </xf>
    <xf numFmtId="0" fontId="6" fillId="9" borderId="0" xfId="50" applyFill="1">
      <alignment vertical="center"/>
    </xf>
    <xf numFmtId="0" fontId="35" fillId="9" borderId="0" xfId="0" applyFont="1" applyFill="1" applyBorder="1" applyAlignment="1">
      <alignment horizontal="left" vertical="center"/>
    </xf>
    <xf numFmtId="177" fontId="27" fillId="0" borderId="0" xfId="51" applyNumberFormat="1" applyFont="1" applyBorder="1">
      <alignment vertical="center"/>
    </xf>
    <xf numFmtId="179" fontId="27" fillId="0" borderId="0" xfId="51" applyNumberFormat="1" applyFont="1" applyBorder="1">
      <alignment vertical="center"/>
    </xf>
    <xf numFmtId="0" fontId="44" fillId="0" borderId="0" xfId="0" applyFont="1">
      <alignment vertical="center"/>
    </xf>
    <xf numFmtId="0" fontId="44" fillId="9" borderId="0" xfId="0" applyFont="1" applyFill="1">
      <alignment vertical="center"/>
    </xf>
    <xf numFmtId="0" fontId="33" fillId="9" borderId="0" xfId="0" applyFont="1" applyFill="1" applyBorder="1">
      <alignment vertical="center"/>
    </xf>
    <xf numFmtId="14" fontId="2" fillId="9" borderId="0" xfId="0" applyNumberFormat="1" applyFont="1" applyFill="1" applyBorder="1" applyAlignment="1">
      <alignment horizontal="center" vertical="center"/>
    </xf>
    <xf numFmtId="9" fontId="33" fillId="0" borderId="0" xfId="0" applyNumberFormat="1" applyFont="1">
      <alignment vertical="center"/>
    </xf>
    <xf numFmtId="179" fontId="33" fillId="11" borderId="0" xfId="0" applyNumberFormat="1" applyFont="1" applyFill="1">
      <alignment vertical="center"/>
    </xf>
    <xf numFmtId="179" fontId="33" fillId="11" borderId="0" xfId="8" applyNumberFormat="1" applyFont="1" applyFill="1">
      <alignment vertical="center"/>
    </xf>
    <xf numFmtId="43" fontId="33" fillId="11" borderId="0" xfId="0" applyNumberFormat="1" applyFont="1" applyFill="1">
      <alignment vertical="center"/>
    </xf>
    <xf numFmtId="0" fontId="45" fillId="0" borderId="0" xfId="0" applyFont="1" applyBorder="1">
      <alignment vertical="center"/>
    </xf>
    <xf numFmtId="0" fontId="45" fillId="9" borderId="0" xfId="0" applyFont="1" applyFill="1" applyBorder="1">
      <alignment vertical="center"/>
    </xf>
    <xf numFmtId="0" fontId="24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33" fillId="0" borderId="49" xfId="0" applyFont="1" applyBorder="1">
      <alignment vertical="center"/>
    </xf>
    <xf numFmtId="179" fontId="33" fillId="3" borderId="0" xfId="0" applyNumberFormat="1" applyFont="1" applyFill="1">
      <alignment vertical="center"/>
    </xf>
    <xf numFmtId="0" fontId="7" fillId="0" borderId="0" xfId="0" applyFont="1" applyBorder="1" applyAlignment="1">
      <alignment vertical="center" wrapText="1"/>
    </xf>
    <xf numFmtId="179" fontId="41" fillId="3" borderId="0" xfId="8" applyNumberFormat="1" applyFont="1" applyFill="1">
      <alignment vertical="center"/>
    </xf>
    <xf numFmtId="0" fontId="7" fillId="0" borderId="0" xfId="0" applyFont="1" applyFill="1" applyBorder="1">
      <alignment vertical="center"/>
    </xf>
    <xf numFmtId="179" fontId="33" fillId="3" borderId="0" xfId="8" applyNumberFormat="1" applyFont="1" applyFill="1">
      <alignment vertical="center"/>
    </xf>
    <xf numFmtId="179" fontId="33" fillId="0" borderId="49" xfId="8" applyNumberFormat="1" applyFont="1" applyBorder="1">
      <alignment vertical="center"/>
    </xf>
    <xf numFmtId="179" fontId="41" fillId="3" borderId="0" xfId="0" applyNumberFormat="1" applyFont="1" applyFill="1">
      <alignment vertical="center"/>
    </xf>
    <xf numFmtId="0" fontId="46" fillId="0" borderId="0" xfId="10">
      <alignment vertical="center"/>
    </xf>
    <xf numFmtId="0" fontId="41" fillId="0" borderId="0" xfId="0" applyFont="1" applyBorder="1">
      <alignment vertical="center"/>
    </xf>
    <xf numFmtId="0" fontId="33" fillId="9" borderId="0" xfId="0" applyFont="1" applyFill="1" applyBorder="1" applyAlignment="1">
      <alignment horizontal="justify" vertical="center"/>
    </xf>
    <xf numFmtId="0" fontId="33" fillId="9" borderId="0" xfId="0" applyFont="1" applyFill="1" applyBorder="1" applyAlignment="1">
      <alignment horizontal="center" vertical="center" wrapText="1"/>
    </xf>
    <xf numFmtId="14" fontId="23" fillId="0" borderId="0" xfId="0" applyNumberFormat="1" applyFont="1" applyFill="1" applyBorder="1" applyAlignment="1">
      <alignment horizontal="center" vertical="center"/>
    </xf>
    <xf numFmtId="0" fontId="33" fillId="9" borderId="0" xfId="0" applyFont="1" applyFill="1" applyBorder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 vertical="center"/>
    </xf>
    <xf numFmtId="14" fontId="19" fillId="9" borderId="0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vertical="center"/>
    </xf>
    <xf numFmtId="43" fontId="41" fillId="0" borderId="0" xfId="8" applyFont="1" applyBorder="1">
      <alignment vertical="center"/>
    </xf>
    <xf numFmtId="43" fontId="41" fillId="3" borderId="0" xfId="8" applyFont="1" applyFill="1" applyBorder="1" applyAlignment="1">
      <alignment vertical="center" wrapText="1"/>
    </xf>
    <xf numFmtId="180" fontId="47" fillId="3" borderId="0" xfId="11" applyNumberFormat="1" applyFont="1" applyFill="1" applyBorder="1" applyAlignment="1">
      <alignment vertical="center" wrapText="1"/>
    </xf>
    <xf numFmtId="0" fontId="33" fillId="0" borderId="0" xfId="0" applyFont="1" applyBorder="1" applyAlignment="1">
      <alignment vertical="center" wrapText="1"/>
    </xf>
    <xf numFmtId="43" fontId="33" fillId="0" borderId="0" xfId="8" applyFont="1" applyBorder="1">
      <alignment vertical="center"/>
    </xf>
    <xf numFmtId="43" fontId="33" fillId="3" borderId="0" xfId="8" applyFont="1" applyFill="1" applyBorder="1" applyAlignment="1">
      <alignment horizontal="center" vertical="center" wrapText="1"/>
    </xf>
    <xf numFmtId="180" fontId="36" fillId="3" borderId="0" xfId="11" applyNumberFormat="1" applyFont="1" applyFill="1" applyBorder="1" applyAlignment="1">
      <alignment vertical="center" wrapText="1"/>
    </xf>
    <xf numFmtId="43" fontId="41" fillId="3" borderId="0" xfId="8" applyFont="1" applyFill="1" applyBorder="1">
      <alignment vertical="center"/>
    </xf>
    <xf numFmtId="43" fontId="33" fillId="3" borderId="0" xfId="8" applyFont="1" applyFill="1" applyBorder="1">
      <alignment vertical="center"/>
    </xf>
    <xf numFmtId="0" fontId="41" fillId="0" borderId="0" xfId="0" applyFont="1" applyBorder="1" applyAlignment="1">
      <alignment vertical="center" wrapText="1"/>
    </xf>
    <xf numFmtId="43" fontId="41" fillId="3" borderId="0" xfId="8" applyFont="1" applyFill="1" applyBorder="1" applyAlignment="1">
      <alignment horizontal="center" vertical="center" wrapText="1"/>
    </xf>
    <xf numFmtId="43" fontId="33" fillId="0" borderId="0" xfId="8" applyFont="1" applyBorder="1" applyAlignment="1">
      <alignment horizontal="center" vertical="center" wrapText="1"/>
    </xf>
    <xf numFmtId="14" fontId="35" fillId="0" borderId="0" xfId="0" applyNumberFormat="1" applyFont="1" applyFill="1" applyBorder="1" applyAlignment="1">
      <alignment horizontal="center" vertical="center"/>
    </xf>
    <xf numFmtId="0" fontId="46" fillId="0" borderId="0" xfId="10" applyBorder="1">
      <alignment vertical="center"/>
    </xf>
    <xf numFmtId="14" fontId="33" fillId="0" borderId="0" xfId="0" applyNumberFormat="1" applyFont="1">
      <alignment vertical="center"/>
    </xf>
    <xf numFmtId="0" fontId="4" fillId="0" borderId="0" xfId="0" applyFont="1">
      <alignment vertical="center"/>
    </xf>
    <xf numFmtId="0" fontId="24" fillId="0" borderId="0" xfId="0" applyFont="1" applyBorder="1" quotePrefix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千位分隔 2" xfId="51"/>
  </cellStyles>
  <dxfs count="4">
    <dxf>
      <fill>
        <patternFill patternType="solid">
          <bgColor rgb="FFFF0000"/>
        </patternFill>
      </fill>
    </dxf>
    <dxf>
      <font>
        <b val="1"/>
        <i val="0"/>
        <color rgb="FFFF0000"/>
      </font>
      <fill>
        <patternFill patternType="none"/>
      </fill>
    </dxf>
    <dxf>
      <font>
        <b val="1"/>
        <i val="0"/>
        <color rgb="FF0070C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NetdiskWorkspace\OTR-BE&#39044;&#31639;&#24037;&#20855;&#28165;&#21333;\&#24037;&#20855;&#34920;&#26684;\&#39044;&#31639;\2.2.1%20&#33829;&#36816;&#36164;&#37329;&#21344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NetdiskWorkspace\OTR-BE&#39044;&#31639;&#24037;&#20855;&#28165;&#21333;\&#24037;&#20855;&#34920;&#26684;\&#39044;&#31639;\2.4%20&#38271;&#26399;&#36164;&#20135;&#39044;&#3163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应收账款"/>
      <sheetName val="应付账款"/>
      <sheetName val="存货"/>
      <sheetName val="长期资产"/>
      <sheetName val="营运资金占用预算校准"/>
    </sheetNames>
    <sheetDataSet>
      <sheetData sheetId="0" refreshError="1"/>
      <sheetData sheetId="1">
        <row r="3">
          <cell r="B3" t="str">
            <v>项   目</v>
          </cell>
        </row>
        <row r="3">
          <cell r="E3" t="str">
            <v>年初</v>
          </cell>
          <cell r="F3">
            <v>1</v>
          </cell>
          <cell r="G3">
            <v>2</v>
          </cell>
          <cell r="H3">
            <v>3</v>
          </cell>
          <cell r="I3">
            <v>4</v>
          </cell>
          <cell r="J3">
            <v>5</v>
          </cell>
          <cell r="K3">
            <v>6</v>
          </cell>
          <cell r="L3">
            <v>7</v>
          </cell>
          <cell r="M3">
            <v>8</v>
          </cell>
          <cell r="N3">
            <v>9</v>
          </cell>
          <cell r="O3">
            <v>10</v>
          </cell>
          <cell r="P3">
            <v>11</v>
          </cell>
          <cell r="Q3">
            <v>12</v>
          </cell>
          <cell r="R3" t="str">
            <v>合计</v>
          </cell>
          <cell r="S3" t="str">
            <v>平均 </v>
          </cell>
        </row>
        <row r="7">
          <cell r="E7">
            <v>3245</v>
          </cell>
        </row>
        <row r="7">
          <cell r="Q7">
            <v>3593</v>
          </cell>
        </row>
        <row r="12">
          <cell r="C12" t="str">
            <v>应收账款余额</v>
          </cell>
        </row>
        <row r="12">
          <cell r="E12">
            <v>3593</v>
          </cell>
          <cell r="F12">
            <v>4468</v>
          </cell>
          <cell r="G12">
            <v>4705</v>
          </cell>
          <cell r="H12">
            <v>3458</v>
          </cell>
          <cell r="I12">
            <v>4517</v>
          </cell>
          <cell r="J12">
            <v>4420</v>
          </cell>
          <cell r="K12">
            <v>4495</v>
          </cell>
          <cell r="L12">
            <v>3256</v>
          </cell>
          <cell r="M12">
            <v>3173</v>
          </cell>
          <cell r="N12">
            <v>3195</v>
          </cell>
          <cell r="O12">
            <v>3850</v>
          </cell>
          <cell r="P12">
            <v>3664</v>
          </cell>
          <cell r="Q12">
            <v>3064</v>
          </cell>
          <cell r="R12" t="str">
            <v>—</v>
          </cell>
          <cell r="S12">
            <v>3877.45833333333</v>
          </cell>
        </row>
        <row r="17">
          <cell r="Q17">
            <v>4599</v>
          </cell>
        </row>
      </sheetData>
      <sheetData sheetId="2">
        <row r="3">
          <cell r="B3" t="str">
            <v>项   目</v>
          </cell>
        </row>
        <row r="3">
          <cell r="E3" t="str">
            <v>年初</v>
          </cell>
          <cell r="F3">
            <v>1</v>
          </cell>
          <cell r="G3">
            <v>2</v>
          </cell>
          <cell r="H3">
            <v>3</v>
          </cell>
          <cell r="I3">
            <v>4</v>
          </cell>
          <cell r="J3">
            <v>5</v>
          </cell>
          <cell r="K3">
            <v>6</v>
          </cell>
          <cell r="L3">
            <v>7</v>
          </cell>
          <cell r="M3">
            <v>8</v>
          </cell>
          <cell r="N3">
            <v>9</v>
          </cell>
          <cell r="O3">
            <v>10</v>
          </cell>
          <cell r="P3">
            <v>11</v>
          </cell>
          <cell r="Q3">
            <v>12</v>
          </cell>
          <cell r="R3" t="str">
            <v>合计</v>
          </cell>
          <cell r="S3" t="str">
            <v>平均 </v>
          </cell>
        </row>
        <row r="7">
          <cell r="E7">
            <v>2044</v>
          </cell>
        </row>
        <row r="7">
          <cell r="Q7">
            <v>2155.8</v>
          </cell>
        </row>
        <row r="12">
          <cell r="C12" t="str">
            <v>应付账款余额</v>
          </cell>
        </row>
        <row r="12">
          <cell r="E12">
            <v>2155.8</v>
          </cell>
          <cell r="F12">
            <v>2680.8</v>
          </cell>
          <cell r="G12">
            <v>2823</v>
          </cell>
          <cell r="H12">
            <v>2074.8</v>
          </cell>
          <cell r="I12">
            <v>2710.2</v>
          </cell>
          <cell r="J12">
            <v>2652</v>
          </cell>
          <cell r="K12">
            <v>2697</v>
          </cell>
          <cell r="L12">
            <v>1953.6</v>
          </cell>
          <cell r="M12">
            <v>1903.8</v>
          </cell>
          <cell r="N12">
            <v>1917</v>
          </cell>
          <cell r="O12">
            <v>2310</v>
          </cell>
          <cell r="P12">
            <v>2198.4</v>
          </cell>
          <cell r="Q12">
            <v>1838.4</v>
          </cell>
          <cell r="R12" t="str">
            <v>—</v>
          </cell>
          <cell r="S12">
            <v>2326.475</v>
          </cell>
        </row>
        <row r="17">
          <cell r="Q17">
            <v>2759.4</v>
          </cell>
        </row>
      </sheetData>
      <sheetData sheetId="3">
        <row r="3">
          <cell r="B3" t="str">
            <v>项   目</v>
          </cell>
        </row>
        <row r="3">
          <cell r="F3" t="str">
            <v>年初</v>
          </cell>
          <cell r="G3">
            <v>1</v>
          </cell>
          <cell r="H3">
            <v>2</v>
          </cell>
          <cell r="I3">
            <v>3</v>
          </cell>
          <cell r="J3">
            <v>4</v>
          </cell>
          <cell r="K3">
            <v>5</v>
          </cell>
          <cell r="L3">
            <v>6</v>
          </cell>
          <cell r="M3">
            <v>7</v>
          </cell>
          <cell r="N3">
            <v>8</v>
          </cell>
          <cell r="O3">
            <v>9</v>
          </cell>
          <cell r="P3">
            <v>10</v>
          </cell>
          <cell r="Q3">
            <v>11</v>
          </cell>
          <cell r="R3">
            <v>12</v>
          </cell>
          <cell r="S3" t="str">
            <v>合计</v>
          </cell>
          <cell r="T3" t="str">
            <v>平均 </v>
          </cell>
        </row>
        <row r="4">
          <cell r="B4" t="str">
            <v>资金占用利率=</v>
          </cell>
        </row>
        <row r="4">
          <cell r="E4">
            <v>0.12</v>
          </cell>
        </row>
        <row r="5">
          <cell r="B5" t="str">
            <v>实际2020</v>
          </cell>
        </row>
        <row r="6">
          <cell r="C6" t="str">
            <v>销售成本</v>
          </cell>
        </row>
        <row r="6">
          <cell r="G6">
            <v>8400</v>
          </cell>
          <cell r="H6">
            <v>7960.8</v>
          </cell>
          <cell r="I6">
            <v>8793.6</v>
          </cell>
          <cell r="J6">
            <v>7406.4</v>
          </cell>
          <cell r="K6">
            <v>9234.4</v>
          </cell>
          <cell r="L6">
            <v>7676.8</v>
          </cell>
          <cell r="M6">
            <v>8732</v>
          </cell>
          <cell r="N6">
            <v>7518.4</v>
          </cell>
          <cell r="O6">
            <v>8717.6</v>
          </cell>
          <cell r="P6">
            <v>8681.6</v>
          </cell>
          <cell r="Q6">
            <v>7959.2</v>
          </cell>
          <cell r="R6">
            <v>9173.6</v>
          </cell>
          <cell r="S6">
            <v>100254.4</v>
          </cell>
          <cell r="T6" t="str">
            <v>—</v>
          </cell>
        </row>
        <row r="7">
          <cell r="C7" t="str">
            <v>存货</v>
          </cell>
        </row>
        <row r="7">
          <cell r="F7">
            <v>2978.01</v>
          </cell>
          <cell r="G7">
            <v>3092.85</v>
          </cell>
          <cell r="H7">
            <v>2884.92</v>
          </cell>
          <cell r="I7">
            <v>4115.97</v>
          </cell>
          <cell r="J7">
            <v>4244.73</v>
          </cell>
          <cell r="K7">
            <v>3316.44</v>
          </cell>
          <cell r="L7">
            <v>4082.04</v>
          </cell>
          <cell r="M7">
            <v>3007.59</v>
          </cell>
          <cell r="N7">
            <v>3328.62</v>
          </cell>
          <cell r="O7">
            <v>2750.94</v>
          </cell>
          <cell r="P7">
            <v>3340.8</v>
          </cell>
          <cell r="Q7">
            <v>3857.58</v>
          </cell>
          <cell r="R7">
            <v>3125.91</v>
          </cell>
          <cell r="S7" t="str">
            <v>—</v>
          </cell>
          <cell r="T7">
            <v>3422.87</v>
          </cell>
        </row>
        <row r="8">
          <cell r="C8" t="str">
            <v>其中:</v>
          </cell>
          <cell r="D8" t="str">
            <v>外购成品</v>
          </cell>
        </row>
        <row r="8">
          <cell r="F8">
            <v>1026.9</v>
          </cell>
          <cell r="G8">
            <v>1066.5</v>
          </cell>
          <cell r="H8">
            <v>994.8</v>
          </cell>
          <cell r="I8">
            <v>1419.3</v>
          </cell>
          <cell r="J8">
            <v>1463.7</v>
          </cell>
          <cell r="K8">
            <v>1143.6</v>
          </cell>
          <cell r="L8">
            <v>1407.6</v>
          </cell>
          <cell r="M8">
            <v>1037.1</v>
          </cell>
          <cell r="N8">
            <v>1147.8</v>
          </cell>
          <cell r="O8">
            <v>948.6</v>
          </cell>
          <cell r="P8">
            <v>1152</v>
          </cell>
          <cell r="Q8">
            <v>1330.2</v>
          </cell>
          <cell r="R8">
            <v>1077.9</v>
          </cell>
          <cell r="S8" t="str">
            <v>—</v>
          </cell>
          <cell r="T8">
            <v>1180.3</v>
          </cell>
        </row>
        <row r="9">
          <cell r="D9" t="str">
            <v>材料及半成品</v>
          </cell>
        </row>
        <row r="9">
          <cell r="F9">
            <v>1711.5</v>
          </cell>
          <cell r="G9">
            <v>1315.35</v>
          </cell>
          <cell r="H9">
            <v>1226.92</v>
          </cell>
          <cell r="I9">
            <v>1750.47</v>
          </cell>
          <cell r="J9">
            <v>1805.23</v>
          </cell>
          <cell r="K9">
            <v>1410.44</v>
          </cell>
          <cell r="L9">
            <v>1736.04</v>
          </cell>
          <cell r="M9">
            <v>1279.09</v>
          </cell>
          <cell r="N9">
            <v>1415.62</v>
          </cell>
          <cell r="O9">
            <v>1169.94</v>
          </cell>
          <cell r="P9">
            <v>1420.8</v>
          </cell>
          <cell r="Q9">
            <v>1640.58</v>
          </cell>
          <cell r="R9">
            <v>1329.41</v>
          </cell>
          <cell r="S9" t="str">
            <v>—</v>
          </cell>
          <cell r="T9">
            <v>1474.24458333333</v>
          </cell>
        </row>
        <row r="10">
          <cell r="D10" t="str">
            <v>自制成品</v>
          </cell>
        </row>
        <row r="10">
          <cell r="F10">
            <v>684.6</v>
          </cell>
          <cell r="G10">
            <v>711</v>
          </cell>
          <cell r="H10">
            <v>663.2</v>
          </cell>
          <cell r="I10">
            <v>946.2</v>
          </cell>
          <cell r="J10">
            <v>975.8</v>
          </cell>
          <cell r="K10">
            <v>762.4</v>
          </cell>
          <cell r="L10">
            <v>938.4</v>
          </cell>
          <cell r="M10">
            <v>691.4</v>
          </cell>
          <cell r="N10">
            <v>765.2</v>
          </cell>
          <cell r="O10">
            <v>632.4</v>
          </cell>
          <cell r="P10">
            <v>768</v>
          </cell>
          <cell r="Q10">
            <v>886.8</v>
          </cell>
          <cell r="R10">
            <v>718.6</v>
          </cell>
          <cell r="S10" t="str">
            <v>—</v>
          </cell>
          <cell r="T10">
            <v>786.866666666666</v>
          </cell>
        </row>
        <row r="11">
          <cell r="C11" t="str">
            <v>存货周转天数</v>
          </cell>
        </row>
        <row r="11">
          <cell r="G11">
            <v>10.8408214285714</v>
          </cell>
          <cell r="H11">
            <v>11.2635099487489</v>
          </cell>
          <cell r="I11">
            <v>11.9420203329694</v>
          </cell>
          <cell r="J11">
            <v>16.9327203499676</v>
          </cell>
          <cell r="K11">
            <v>12.2820703023477</v>
          </cell>
          <cell r="L11">
            <v>14.4561796581909</v>
          </cell>
          <cell r="M11">
            <v>12.1787047640861</v>
          </cell>
          <cell r="N11">
            <v>12.6414064162588</v>
          </cell>
          <cell r="O11">
            <v>10.4608378452785</v>
          </cell>
          <cell r="P11">
            <v>10.5252603206782</v>
          </cell>
          <cell r="Q11">
            <v>13.566149864308</v>
          </cell>
          <cell r="R11">
            <v>11.4188922560391</v>
          </cell>
          <cell r="S11" t="str">
            <v>—</v>
          </cell>
          <cell r="T11">
            <v>12.2910635343686</v>
          </cell>
        </row>
        <row r="12">
          <cell r="C12" t="str">
            <v>存货占用资金成本</v>
          </cell>
        </row>
        <row r="12">
          <cell r="G12">
            <v>30.9285</v>
          </cell>
          <cell r="H12">
            <v>28.8492</v>
          </cell>
          <cell r="I12">
            <v>41.1597</v>
          </cell>
          <cell r="J12">
            <v>42.4473</v>
          </cell>
          <cell r="K12">
            <v>33.1644</v>
          </cell>
          <cell r="L12">
            <v>40.8204</v>
          </cell>
          <cell r="M12">
            <v>30.0759</v>
          </cell>
          <cell r="N12">
            <v>33.2862</v>
          </cell>
          <cell r="O12">
            <v>27.5094</v>
          </cell>
          <cell r="P12">
            <v>33.408</v>
          </cell>
          <cell r="Q12">
            <v>38.5758</v>
          </cell>
          <cell r="R12">
            <v>31.2591</v>
          </cell>
          <cell r="S12">
            <v>411.4839</v>
          </cell>
          <cell r="T12" t="str">
            <v>—</v>
          </cell>
        </row>
        <row r="13">
          <cell r="B13" t="str">
            <v>实际/估计2021</v>
          </cell>
        </row>
        <row r="14">
          <cell r="C14" t="str">
            <v>销售成本</v>
          </cell>
        </row>
        <row r="14">
          <cell r="G14">
            <v>9144.8</v>
          </cell>
          <cell r="H14">
            <v>8951.2</v>
          </cell>
          <cell r="I14">
            <v>7680</v>
          </cell>
          <cell r="J14">
            <v>7336</v>
          </cell>
          <cell r="K14">
            <v>7608.8</v>
          </cell>
          <cell r="L14">
            <v>7887.2</v>
          </cell>
          <cell r="M14">
            <v>8568.8</v>
          </cell>
          <cell r="N14">
            <v>8757.6</v>
          </cell>
          <cell r="O14">
            <v>9104</v>
          </cell>
          <cell r="P14">
            <v>8613.6</v>
          </cell>
          <cell r="Q14">
            <v>8500.8</v>
          </cell>
          <cell r="R14">
            <v>8527.2</v>
          </cell>
          <cell r="S14">
            <v>100680</v>
          </cell>
          <cell r="T14" t="str">
            <v>—</v>
          </cell>
        </row>
        <row r="15">
          <cell r="C15" t="str">
            <v>存货</v>
          </cell>
        </row>
        <row r="15">
          <cell r="F15">
            <v>3125.91</v>
          </cell>
          <cell r="G15">
            <v>4468</v>
          </cell>
          <cell r="H15">
            <v>4705</v>
          </cell>
          <cell r="I15">
            <v>3458</v>
          </cell>
          <cell r="J15">
            <v>4517</v>
          </cell>
          <cell r="K15">
            <v>4420</v>
          </cell>
          <cell r="L15">
            <v>4495</v>
          </cell>
          <cell r="M15">
            <v>3256</v>
          </cell>
          <cell r="N15">
            <v>3173</v>
          </cell>
          <cell r="O15">
            <v>3195</v>
          </cell>
          <cell r="P15">
            <v>3850</v>
          </cell>
          <cell r="Q15">
            <v>3664</v>
          </cell>
          <cell r="R15">
            <v>3064</v>
          </cell>
          <cell r="S15" t="str">
            <v>—</v>
          </cell>
          <cell r="T15">
            <v>3857.99625</v>
          </cell>
        </row>
        <row r="16">
          <cell r="C16" t="str">
            <v>其中:</v>
          </cell>
          <cell r="D16" t="str">
            <v>外购成品</v>
          </cell>
        </row>
        <row r="16">
          <cell r="F16">
            <v>1077.9</v>
          </cell>
          <cell r="G16">
            <v>1340.4</v>
          </cell>
          <cell r="H16">
            <v>1411.5</v>
          </cell>
          <cell r="I16">
            <v>1037.4</v>
          </cell>
          <cell r="J16">
            <v>1355.1</v>
          </cell>
          <cell r="K16">
            <v>1326</v>
          </cell>
          <cell r="L16">
            <v>1348.5</v>
          </cell>
          <cell r="M16">
            <v>976.8</v>
          </cell>
          <cell r="N16">
            <v>951.9</v>
          </cell>
          <cell r="O16">
            <v>958.5</v>
          </cell>
          <cell r="P16">
            <v>1155</v>
          </cell>
          <cell r="Q16">
            <v>1099.2</v>
          </cell>
          <cell r="R16">
            <v>919.2</v>
          </cell>
          <cell r="S16" t="str">
            <v>—</v>
          </cell>
          <cell r="T16">
            <v>1163.2375</v>
          </cell>
        </row>
        <row r="17">
          <cell r="D17" t="str">
            <v>材料及半成品</v>
          </cell>
        </row>
        <row r="17">
          <cell r="F17">
            <v>1329.41</v>
          </cell>
          <cell r="G17">
            <v>2234</v>
          </cell>
          <cell r="H17">
            <v>2352.5</v>
          </cell>
          <cell r="I17">
            <v>1729</v>
          </cell>
          <cell r="J17">
            <v>2258.5</v>
          </cell>
          <cell r="K17">
            <v>2210</v>
          </cell>
          <cell r="L17">
            <v>2247.5</v>
          </cell>
          <cell r="M17">
            <v>1628</v>
          </cell>
          <cell r="N17">
            <v>1586.5</v>
          </cell>
          <cell r="O17">
            <v>1597.5</v>
          </cell>
          <cell r="P17">
            <v>1925</v>
          </cell>
          <cell r="Q17">
            <v>1832</v>
          </cell>
          <cell r="R17">
            <v>1532</v>
          </cell>
          <cell r="S17" t="str">
            <v>—</v>
          </cell>
          <cell r="T17">
            <v>1919.26708333333</v>
          </cell>
        </row>
        <row r="18">
          <cell r="D18" t="str">
            <v>自制成品</v>
          </cell>
        </row>
        <row r="18">
          <cell r="F18">
            <v>718.6</v>
          </cell>
          <cell r="G18">
            <v>893.6</v>
          </cell>
          <cell r="H18">
            <v>941</v>
          </cell>
          <cell r="I18">
            <v>691.6</v>
          </cell>
          <cell r="J18">
            <v>903.4</v>
          </cell>
          <cell r="K18">
            <v>884</v>
          </cell>
          <cell r="L18">
            <v>899</v>
          </cell>
          <cell r="M18">
            <v>651.2</v>
          </cell>
          <cell r="N18">
            <v>634.6</v>
          </cell>
          <cell r="O18">
            <v>639</v>
          </cell>
          <cell r="P18">
            <v>770</v>
          </cell>
          <cell r="Q18">
            <v>732.8</v>
          </cell>
          <cell r="R18">
            <v>612.8</v>
          </cell>
          <cell r="S18" t="str">
            <v>—</v>
          </cell>
          <cell r="T18">
            <v>775.491666666667</v>
          </cell>
        </row>
        <row r="24">
          <cell r="R24">
            <v>1048.572</v>
          </cell>
        </row>
        <row r="25">
          <cell r="R25">
            <v>1747.62</v>
          </cell>
        </row>
        <row r="26">
          <cell r="R26">
            <v>699.048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上年"/>
      <sheetName val="当年"/>
      <sheetName val="下年"/>
      <sheetName val="预算校准"/>
      <sheetName val="财务折旧"/>
      <sheetName val="财务折旧年限"/>
    </sheetNames>
    <sheetDataSet>
      <sheetData sheetId="0">
        <row r="9">
          <cell r="D9">
            <v>44500</v>
          </cell>
        </row>
      </sheetData>
      <sheetData sheetId="1">
        <row r="1">
          <cell r="G1" t="str">
            <v>使用部门</v>
          </cell>
        </row>
        <row r="1">
          <cell r="O1" t="str">
            <v>年初原值</v>
          </cell>
          <cell r="P1" t="str">
            <v>原值增加</v>
          </cell>
          <cell r="Q1" t="str">
            <v>原值减少</v>
          </cell>
          <cell r="R1" t="str">
            <v>年末原值</v>
          </cell>
        </row>
        <row r="1">
          <cell r="T1" t="str">
            <v>年初累计折旧</v>
          </cell>
          <cell r="U1" t="str">
            <v>本年增加折旧</v>
          </cell>
          <cell r="V1" t="str">
            <v>折旧减少</v>
          </cell>
          <cell r="W1" t="str">
            <v>期末累计折旧</v>
          </cell>
        </row>
        <row r="1">
          <cell r="AB1" t="str">
            <v>当年技术折旧</v>
          </cell>
        </row>
        <row r="2">
          <cell r="G2" t="str">
            <v>生产车间</v>
          </cell>
        </row>
        <row r="2">
          <cell r="O2">
            <v>12000000</v>
          </cell>
          <cell r="P2">
            <v>0</v>
          </cell>
          <cell r="Q2">
            <v>0</v>
          </cell>
          <cell r="R2">
            <v>12000000</v>
          </cell>
        </row>
        <row r="2">
          <cell r="T2">
            <v>1330000</v>
          </cell>
          <cell r="U2">
            <v>1140000</v>
          </cell>
          <cell r="V2">
            <v>0</v>
          </cell>
          <cell r="W2">
            <v>2470000</v>
          </cell>
        </row>
        <row r="2">
          <cell r="AB2">
            <v>1200000</v>
          </cell>
        </row>
        <row r="3">
          <cell r="G3" t="str">
            <v>生产车间</v>
          </cell>
        </row>
        <row r="3"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3">
          <cell r="T3">
            <v>0</v>
          </cell>
          <cell r="U3">
            <v>0</v>
          </cell>
          <cell r="V3">
            <v>0</v>
          </cell>
          <cell r="W3">
            <v>0</v>
          </cell>
        </row>
        <row r="3">
          <cell r="AB3">
            <v>1750000</v>
          </cell>
        </row>
        <row r="4">
          <cell r="G4" t="str">
            <v>生产车间</v>
          </cell>
        </row>
        <row r="4">
          <cell r="O4">
            <v>300000</v>
          </cell>
          <cell r="P4">
            <v>0</v>
          </cell>
          <cell r="Q4">
            <v>0</v>
          </cell>
          <cell r="R4">
            <v>300000</v>
          </cell>
        </row>
        <row r="4">
          <cell r="T4">
            <v>121125</v>
          </cell>
          <cell r="U4">
            <v>28500</v>
          </cell>
          <cell r="V4">
            <v>0</v>
          </cell>
          <cell r="W4">
            <v>149625</v>
          </cell>
        </row>
        <row r="4">
          <cell r="AB4">
            <v>30000</v>
          </cell>
        </row>
        <row r="5">
          <cell r="G5" t="str">
            <v>生产车间</v>
          </cell>
        </row>
        <row r="5">
          <cell r="O5">
            <v>350000</v>
          </cell>
          <cell r="P5">
            <v>0</v>
          </cell>
          <cell r="Q5">
            <v>350000</v>
          </cell>
          <cell r="R5">
            <v>0</v>
          </cell>
        </row>
        <row r="5">
          <cell r="T5">
            <v>207812.5</v>
          </cell>
          <cell r="U5">
            <v>33250</v>
          </cell>
          <cell r="V5">
            <v>241062.5</v>
          </cell>
          <cell r="W5">
            <v>0</v>
          </cell>
        </row>
        <row r="5">
          <cell r="AB5">
            <v>35000</v>
          </cell>
        </row>
        <row r="6">
          <cell r="G6" t="str">
            <v>生产车间</v>
          </cell>
        </row>
        <row r="6">
          <cell r="O6">
            <v>50000</v>
          </cell>
          <cell r="P6">
            <v>0</v>
          </cell>
          <cell r="Q6">
            <v>0</v>
          </cell>
          <cell r="R6">
            <v>50000</v>
          </cell>
        </row>
        <row r="6">
          <cell r="T6">
            <v>47500</v>
          </cell>
          <cell r="U6">
            <v>0</v>
          </cell>
          <cell r="V6">
            <v>0</v>
          </cell>
          <cell r="W6">
            <v>47500</v>
          </cell>
        </row>
        <row r="6">
          <cell r="AB6">
            <v>5000</v>
          </cell>
        </row>
        <row r="7">
          <cell r="G7" t="str">
            <v>财务部</v>
          </cell>
        </row>
        <row r="7"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7"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7">
          <cell r="AB7">
            <v>0</v>
          </cell>
        </row>
        <row r="8">
          <cell r="G8" t="str">
            <v>财务部</v>
          </cell>
        </row>
        <row r="8"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8"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8">
          <cell r="AB8">
            <v>0</v>
          </cell>
        </row>
        <row r="9">
          <cell r="G9" t="str">
            <v>财务部</v>
          </cell>
        </row>
        <row r="9">
          <cell r="O9">
            <v>0</v>
          </cell>
          <cell r="P9">
            <v>9800</v>
          </cell>
          <cell r="Q9">
            <v>0</v>
          </cell>
          <cell r="R9">
            <v>9800</v>
          </cell>
        </row>
        <row r="9">
          <cell r="T9">
            <v>0</v>
          </cell>
          <cell r="U9">
            <v>9800</v>
          </cell>
          <cell r="V9">
            <v>0</v>
          </cell>
          <cell r="W9">
            <v>9800</v>
          </cell>
        </row>
        <row r="9">
          <cell r="AB9">
            <v>0</v>
          </cell>
        </row>
        <row r="10">
          <cell r="G10" t="str">
            <v>财务部</v>
          </cell>
        </row>
        <row r="10">
          <cell r="O10">
            <v>0</v>
          </cell>
          <cell r="P10">
            <v>9800</v>
          </cell>
          <cell r="Q10">
            <v>0</v>
          </cell>
          <cell r="R10">
            <v>9800</v>
          </cell>
        </row>
        <row r="10">
          <cell r="T10">
            <v>0</v>
          </cell>
          <cell r="U10">
            <v>9800</v>
          </cell>
          <cell r="V10">
            <v>0</v>
          </cell>
          <cell r="W10">
            <v>9800</v>
          </cell>
        </row>
        <row r="10">
          <cell r="AB10">
            <v>0</v>
          </cell>
        </row>
        <row r="11"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1">
          <cell r="T11">
            <v>0</v>
          </cell>
          <cell r="U11">
            <v>0</v>
          </cell>
          <cell r="V11">
            <v>0</v>
          </cell>
          <cell r="W11">
            <v>0</v>
          </cell>
        </row>
        <row r="11">
          <cell r="AB11">
            <v>0</v>
          </cell>
        </row>
      </sheetData>
      <sheetData sheetId="2">
        <row r="1">
          <cell r="G1" t="str">
            <v>使用部门</v>
          </cell>
        </row>
        <row r="1">
          <cell r="O1" t="str">
            <v>年初原值</v>
          </cell>
          <cell r="P1" t="str">
            <v>原值增加</v>
          </cell>
          <cell r="Q1" t="str">
            <v>原值减少</v>
          </cell>
          <cell r="R1" t="str">
            <v>年末原值</v>
          </cell>
        </row>
        <row r="1">
          <cell r="T1" t="str">
            <v>年初累计折旧</v>
          </cell>
          <cell r="U1" t="str">
            <v>本年增加折旧</v>
          </cell>
          <cell r="V1" t="str">
            <v>折旧减少</v>
          </cell>
          <cell r="W1" t="str">
            <v>期末累计折旧</v>
          </cell>
        </row>
        <row r="1">
          <cell r="AB1" t="str">
            <v>当年技术折旧</v>
          </cell>
        </row>
        <row r="2">
          <cell r="G2" t="str">
            <v>生产车间</v>
          </cell>
        </row>
        <row r="2">
          <cell r="O2">
            <v>12000000</v>
          </cell>
          <cell r="P2">
            <v>0</v>
          </cell>
          <cell r="Q2">
            <v>0</v>
          </cell>
          <cell r="R2">
            <v>12000000</v>
          </cell>
        </row>
        <row r="2">
          <cell r="T2">
            <v>2470000</v>
          </cell>
          <cell r="U2">
            <v>1140000</v>
          </cell>
          <cell r="V2">
            <v>0</v>
          </cell>
          <cell r="W2">
            <v>3610000</v>
          </cell>
        </row>
        <row r="2">
          <cell r="AB2">
            <v>1200000</v>
          </cell>
        </row>
        <row r="3">
          <cell r="G3" t="str">
            <v>生产车间</v>
          </cell>
        </row>
        <row r="3">
          <cell r="O3">
            <v>0</v>
          </cell>
          <cell r="P3">
            <v>35000000</v>
          </cell>
          <cell r="Q3">
            <v>0</v>
          </cell>
          <cell r="R3">
            <v>35000000</v>
          </cell>
        </row>
        <row r="3">
          <cell r="T3">
            <v>0</v>
          </cell>
          <cell r="U3">
            <v>831250</v>
          </cell>
          <cell r="V3">
            <v>0</v>
          </cell>
          <cell r="W3">
            <v>831250</v>
          </cell>
        </row>
        <row r="3">
          <cell r="AB3">
            <v>1750000</v>
          </cell>
        </row>
        <row r="4">
          <cell r="G4" t="str">
            <v>生产车间</v>
          </cell>
        </row>
        <row r="4">
          <cell r="O4">
            <v>300000</v>
          </cell>
          <cell r="P4">
            <v>0</v>
          </cell>
          <cell r="Q4">
            <v>300000</v>
          </cell>
          <cell r="R4">
            <v>0</v>
          </cell>
        </row>
        <row r="4">
          <cell r="T4">
            <v>149625</v>
          </cell>
          <cell r="U4">
            <v>28500</v>
          </cell>
          <cell r="V4">
            <v>178125</v>
          </cell>
          <cell r="W4">
            <v>0</v>
          </cell>
        </row>
        <row r="4">
          <cell r="AB4">
            <v>30000</v>
          </cell>
        </row>
        <row r="5">
          <cell r="G5" t="str">
            <v>生产车间</v>
          </cell>
        </row>
        <row r="5"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5"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5">
          <cell r="AB5">
            <v>35000</v>
          </cell>
        </row>
        <row r="6">
          <cell r="G6" t="str">
            <v>生产车间</v>
          </cell>
        </row>
        <row r="6">
          <cell r="O6">
            <v>50000</v>
          </cell>
          <cell r="P6">
            <v>0</v>
          </cell>
          <cell r="Q6">
            <v>0</v>
          </cell>
          <cell r="R6">
            <v>50000</v>
          </cell>
        </row>
        <row r="6">
          <cell r="T6">
            <v>47500</v>
          </cell>
          <cell r="U6">
            <v>0</v>
          </cell>
          <cell r="V6">
            <v>0</v>
          </cell>
          <cell r="W6">
            <v>47500</v>
          </cell>
        </row>
        <row r="6">
          <cell r="AB6">
            <v>5000</v>
          </cell>
        </row>
        <row r="7">
          <cell r="G7" t="str">
            <v>财务部</v>
          </cell>
        </row>
        <row r="7"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7"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7">
          <cell r="AB7">
            <v>3266.66666666667</v>
          </cell>
        </row>
        <row r="8">
          <cell r="G8" t="str">
            <v>财务部</v>
          </cell>
        </row>
        <row r="8">
          <cell r="O8">
            <v>0</v>
          </cell>
          <cell r="P8">
            <v>9800</v>
          </cell>
          <cell r="Q8">
            <v>0</v>
          </cell>
          <cell r="R8">
            <v>9800</v>
          </cell>
        </row>
        <row r="8">
          <cell r="T8">
            <v>0</v>
          </cell>
          <cell r="U8">
            <v>4900</v>
          </cell>
          <cell r="V8">
            <v>0</v>
          </cell>
          <cell r="W8">
            <v>4900</v>
          </cell>
        </row>
        <row r="8">
          <cell r="AB8">
            <v>3266.66666666667</v>
          </cell>
        </row>
        <row r="9">
          <cell r="G9" t="str">
            <v>财务部</v>
          </cell>
        </row>
        <row r="9">
          <cell r="O9">
            <v>9800</v>
          </cell>
          <cell r="P9">
            <v>0</v>
          </cell>
          <cell r="Q9">
            <v>0</v>
          </cell>
          <cell r="R9">
            <v>9800</v>
          </cell>
        </row>
        <row r="9">
          <cell r="T9">
            <v>9800</v>
          </cell>
          <cell r="U9">
            <v>0</v>
          </cell>
          <cell r="V9">
            <v>0</v>
          </cell>
          <cell r="W9">
            <v>9800</v>
          </cell>
        </row>
        <row r="9">
          <cell r="AB9">
            <v>3266.66666666667</v>
          </cell>
        </row>
        <row r="10">
          <cell r="G10" t="str">
            <v>财务部</v>
          </cell>
        </row>
        <row r="10">
          <cell r="O10">
            <v>9800</v>
          </cell>
          <cell r="P10">
            <v>0</v>
          </cell>
          <cell r="Q10">
            <v>0</v>
          </cell>
          <cell r="R10">
            <v>9800</v>
          </cell>
        </row>
        <row r="10">
          <cell r="T10">
            <v>9800</v>
          </cell>
          <cell r="U10">
            <v>0</v>
          </cell>
          <cell r="V10">
            <v>0</v>
          </cell>
          <cell r="W10">
            <v>9800</v>
          </cell>
        </row>
        <row r="10">
          <cell r="AB10">
            <v>3266.66666666667</v>
          </cell>
        </row>
        <row r="11">
          <cell r="G11" t="str">
            <v>行政部</v>
          </cell>
        </row>
        <row r="11">
          <cell r="O11">
            <v>0</v>
          </cell>
          <cell r="P11">
            <v>23000</v>
          </cell>
          <cell r="Q11">
            <v>0</v>
          </cell>
          <cell r="R11">
            <v>23000</v>
          </cell>
        </row>
        <row r="11">
          <cell r="T11">
            <v>0</v>
          </cell>
          <cell r="U11">
            <v>23000</v>
          </cell>
          <cell r="V11">
            <v>0</v>
          </cell>
          <cell r="W11">
            <v>23000</v>
          </cell>
        </row>
        <row r="11">
          <cell r="AB11">
            <v>7666.66666666667</v>
          </cell>
        </row>
      </sheetData>
      <sheetData sheetId="3">
        <row r="1">
          <cell r="G1" t="str">
            <v>使用部门</v>
          </cell>
        </row>
        <row r="1">
          <cell r="O1" t="str">
            <v>年初原值</v>
          </cell>
          <cell r="P1" t="str">
            <v>原值增加</v>
          </cell>
          <cell r="Q1" t="str">
            <v>原值减少</v>
          </cell>
          <cell r="R1" t="str">
            <v>年末原值</v>
          </cell>
        </row>
        <row r="1">
          <cell r="T1" t="str">
            <v>年初累计折旧</v>
          </cell>
          <cell r="U1" t="str">
            <v>本年增加折旧</v>
          </cell>
          <cell r="V1" t="str">
            <v>折旧减少</v>
          </cell>
          <cell r="W1" t="str">
            <v>期末累计折旧</v>
          </cell>
        </row>
        <row r="1">
          <cell r="AB1" t="str">
            <v>当年技术折旧</v>
          </cell>
        </row>
        <row r="2">
          <cell r="G2" t="str">
            <v>生产车间</v>
          </cell>
        </row>
        <row r="2">
          <cell r="O2">
            <v>12000000</v>
          </cell>
          <cell r="P2">
            <v>0</v>
          </cell>
          <cell r="Q2">
            <v>0</v>
          </cell>
          <cell r="R2">
            <v>12000000</v>
          </cell>
        </row>
        <row r="2">
          <cell r="T2">
            <v>3610000</v>
          </cell>
          <cell r="U2">
            <v>1140000</v>
          </cell>
          <cell r="V2">
            <v>0</v>
          </cell>
          <cell r="W2">
            <v>4750000</v>
          </cell>
        </row>
        <row r="2">
          <cell r="AB2">
            <v>1200000</v>
          </cell>
        </row>
        <row r="3">
          <cell r="G3" t="str">
            <v>生产车间</v>
          </cell>
        </row>
        <row r="3">
          <cell r="O3">
            <v>35000000</v>
          </cell>
          <cell r="P3">
            <v>0</v>
          </cell>
          <cell r="Q3">
            <v>0</v>
          </cell>
          <cell r="R3">
            <v>35000000</v>
          </cell>
        </row>
        <row r="3">
          <cell r="T3">
            <v>831250</v>
          </cell>
          <cell r="U3">
            <v>1662500</v>
          </cell>
          <cell r="V3">
            <v>0</v>
          </cell>
          <cell r="W3">
            <v>2493750</v>
          </cell>
        </row>
        <row r="3">
          <cell r="AB3">
            <v>1750000</v>
          </cell>
        </row>
        <row r="4">
          <cell r="G4" t="str">
            <v>生产车间</v>
          </cell>
        </row>
        <row r="4"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4">
          <cell r="T4">
            <v>0</v>
          </cell>
          <cell r="U4">
            <v>0</v>
          </cell>
          <cell r="V4">
            <v>0</v>
          </cell>
          <cell r="W4">
            <v>0</v>
          </cell>
        </row>
        <row r="4">
          <cell r="AB4">
            <v>30000</v>
          </cell>
        </row>
        <row r="5">
          <cell r="G5" t="str">
            <v>生产车间</v>
          </cell>
        </row>
        <row r="5"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5"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5">
          <cell r="AB5">
            <v>35000</v>
          </cell>
        </row>
        <row r="6">
          <cell r="G6" t="str">
            <v>生产车间</v>
          </cell>
        </row>
        <row r="6">
          <cell r="O6">
            <v>50000</v>
          </cell>
          <cell r="P6">
            <v>0</v>
          </cell>
          <cell r="Q6">
            <v>50000</v>
          </cell>
          <cell r="R6">
            <v>0</v>
          </cell>
        </row>
        <row r="6">
          <cell r="T6">
            <v>47500</v>
          </cell>
          <cell r="U6">
            <v>0</v>
          </cell>
          <cell r="V6">
            <v>0</v>
          </cell>
          <cell r="W6">
            <v>47500</v>
          </cell>
        </row>
        <row r="6">
          <cell r="AB6">
            <v>5000</v>
          </cell>
        </row>
        <row r="7">
          <cell r="G7" t="str">
            <v>财务部</v>
          </cell>
        </row>
        <row r="7">
          <cell r="O7">
            <v>0</v>
          </cell>
          <cell r="P7">
            <v>9800</v>
          </cell>
          <cell r="Q7">
            <v>0</v>
          </cell>
          <cell r="R7">
            <v>9800</v>
          </cell>
        </row>
        <row r="7">
          <cell r="T7">
            <v>0</v>
          </cell>
          <cell r="U7">
            <v>9800</v>
          </cell>
          <cell r="V7">
            <v>0</v>
          </cell>
          <cell r="W7">
            <v>9800</v>
          </cell>
        </row>
        <row r="7">
          <cell r="AB7">
            <v>3266.66666666667</v>
          </cell>
        </row>
        <row r="8">
          <cell r="G8" t="str">
            <v>财务部</v>
          </cell>
        </row>
        <row r="8">
          <cell r="O8">
            <v>9800</v>
          </cell>
          <cell r="P8">
            <v>0</v>
          </cell>
          <cell r="Q8">
            <v>0</v>
          </cell>
          <cell r="R8">
            <v>9800</v>
          </cell>
        </row>
        <row r="8">
          <cell r="T8">
            <v>4900</v>
          </cell>
          <cell r="U8">
            <v>4900</v>
          </cell>
          <cell r="V8">
            <v>0</v>
          </cell>
          <cell r="W8">
            <v>9800</v>
          </cell>
        </row>
        <row r="8">
          <cell r="AB8">
            <v>3266.66666666667</v>
          </cell>
        </row>
        <row r="9">
          <cell r="G9" t="str">
            <v>财务部</v>
          </cell>
        </row>
        <row r="9">
          <cell r="O9">
            <v>9800</v>
          </cell>
          <cell r="P9">
            <v>0</v>
          </cell>
          <cell r="Q9">
            <v>0</v>
          </cell>
          <cell r="R9">
            <v>9800</v>
          </cell>
        </row>
        <row r="9">
          <cell r="T9">
            <v>9800</v>
          </cell>
          <cell r="U9">
            <v>0</v>
          </cell>
          <cell r="V9">
            <v>0</v>
          </cell>
          <cell r="W9">
            <v>9800</v>
          </cell>
        </row>
        <row r="9">
          <cell r="AB9">
            <v>3266.66666666667</v>
          </cell>
        </row>
        <row r="10">
          <cell r="G10" t="str">
            <v>财务部</v>
          </cell>
        </row>
        <row r="10">
          <cell r="O10">
            <v>9800</v>
          </cell>
          <cell r="P10">
            <v>0</v>
          </cell>
          <cell r="Q10">
            <v>0</v>
          </cell>
          <cell r="R10">
            <v>9800</v>
          </cell>
        </row>
        <row r="10">
          <cell r="T10">
            <v>9800</v>
          </cell>
          <cell r="U10">
            <v>0</v>
          </cell>
          <cell r="V10">
            <v>0</v>
          </cell>
          <cell r="W10">
            <v>9800</v>
          </cell>
        </row>
        <row r="10">
          <cell r="AB10">
            <v>3266.66666666667</v>
          </cell>
        </row>
        <row r="11">
          <cell r="G11" t="str">
            <v>行政部</v>
          </cell>
        </row>
        <row r="11">
          <cell r="O11">
            <v>23000</v>
          </cell>
          <cell r="P11">
            <v>0</v>
          </cell>
          <cell r="Q11">
            <v>0</v>
          </cell>
          <cell r="R11">
            <v>23000</v>
          </cell>
        </row>
        <row r="11">
          <cell r="T11">
            <v>23000</v>
          </cell>
          <cell r="U11">
            <v>0</v>
          </cell>
          <cell r="V11">
            <v>0</v>
          </cell>
          <cell r="W11">
            <v>23000</v>
          </cell>
        </row>
        <row r="11">
          <cell r="AB11">
            <v>7666.66666666667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22"/>
  <sheetViews>
    <sheetView showGridLines="0" tabSelected="1" topLeftCell="A3" workbookViewId="0">
      <selection activeCell="J8" sqref="J8"/>
    </sheetView>
  </sheetViews>
  <sheetFormatPr defaultColWidth="9" defaultRowHeight="17.4" outlineLevelCol="3"/>
  <cols>
    <col min="1" max="1" width="8.8" style="187"/>
    <col min="2" max="2" width="3.3" style="187" customWidth="1"/>
    <col min="3" max="3" width="28.9" style="187" customWidth="1"/>
    <col min="4" max="4" width="11.7" style="187" customWidth="1"/>
    <col min="5" max="16384" width="8.8" style="187"/>
  </cols>
  <sheetData>
    <row r="5" spans="3:4">
      <c r="C5" s="187" t="s">
        <v>0</v>
      </c>
      <c r="D5" s="342">
        <v>44469</v>
      </c>
    </row>
    <row r="6" spans="3:3">
      <c r="C6" s="343" t="s">
        <v>1</v>
      </c>
    </row>
    <row r="8" spans="2:2">
      <c r="B8" s="187" t="s">
        <v>2</v>
      </c>
    </row>
    <row r="9" spans="2:2">
      <c r="B9" s="187" t="s">
        <v>3</v>
      </c>
    </row>
    <row r="10" spans="3:3">
      <c r="C10" s="187" t="s">
        <v>4</v>
      </c>
    </row>
    <row r="11" spans="3:3">
      <c r="C11" s="187" t="s">
        <v>5</v>
      </c>
    </row>
    <row r="12" spans="2:2">
      <c r="B12" s="187" t="s">
        <v>6</v>
      </c>
    </row>
    <row r="13" spans="3:3">
      <c r="C13" s="187" t="s">
        <v>7</v>
      </c>
    </row>
    <row r="14" spans="3:3">
      <c r="C14" s="187" t="s">
        <v>8</v>
      </c>
    </row>
    <row r="15" spans="3:3">
      <c r="C15" s="187" t="s">
        <v>9</v>
      </c>
    </row>
    <row r="16" spans="3:3">
      <c r="C16" s="187" t="s">
        <v>10</v>
      </c>
    </row>
    <row r="17" spans="3:3">
      <c r="C17" s="187" t="s">
        <v>11</v>
      </c>
    </row>
    <row r="18" spans="3:3">
      <c r="C18" s="187" t="s">
        <v>12</v>
      </c>
    </row>
    <row r="19" spans="2:2">
      <c r="B19" s="187" t="s">
        <v>13</v>
      </c>
    </row>
    <row r="20" spans="3:3">
      <c r="C20" s="187" t="s">
        <v>14</v>
      </c>
    </row>
    <row r="21" spans="3:3">
      <c r="C21" s="187" t="s">
        <v>15</v>
      </c>
    </row>
    <row r="22" spans="3:3">
      <c r="C22" s="187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25"/>
  <sheetViews>
    <sheetView showGridLines="0" zoomScale="85" zoomScaleNormal="85" workbookViewId="0">
      <pane xSplit="4" ySplit="4" topLeftCell="E5" activePane="bottomRight" state="frozen"/>
      <selection/>
      <selection pane="topRight"/>
      <selection pane="bottomLeft"/>
      <selection pane="bottomRight" activeCell="S23" sqref="S23"/>
    </sheetView>
  </sheetViews>
  <sheetFormatPr defaultColWidth="9" defaultRowHeight="17.4"/>
  <cols>
    <col min="1" max="1" width="8.8" style="199"/>
    <col min="2" max="2" width="3.2" style="233" customWidth="1"/>
    <col min="3" max="3" width="16.9" style="199" customWidth="1"/>
    <col min="4" max="4" width="1.1" style="199" customWidth="1"/>
    <col min="5" max="5" width="12.4" style="199" customWidth="1"/>
    <col min="6" max="6" width="9.3" style="199" customWidth="1"/>
    <col min="7" max="7" width="1.1" style="199" customWidth="1"/>
    <col min="8" max="8" width="10.9" style="199" customWidth="1"/>
    <col min="9" max="9" width="9.3" style="199" customWidth="1"/>
    <col min="10" max="10" width="1.1" style="199" customWidth="1"/>
    <col min="11" max="11" width="10.9" style="199" customWidth="1"/>
    <col min="12" max="12" width="9.3" style="199" customWidth="1"/>
    <col min="13" max="13" width="1.1" style="199" customWidth="1"/>
    <col min="14" max="14" width="12.2" style="199" customWidth="1"/>
    <col min="15" max="15" width="9.3" style="199" customWidth="1"/>
    <col min="16" max="16" width="1.1" style="199" customWidth="1"/>
    <col min="17" max="17" width="12.2" style="199" customWidth="1"/>
    <col min="18" max="18" width="9.3" style="199" customWidth="1"/>
    <col min="19" max="19" width="35.5" style="199" customWidth="1"/>
    <col min="20" max="16384" width="8.8" style="199"/>
  </cols>
  <sheetData>
    <row r="2" spans="2:19">
      <c r="B2" s="321" t="s">
        <v>17</v>
      </c>
      <c r="C2" s="321"/>
      <c r="D2" s="195"/>
      <c r="E2" s="194" t="str">
        <f>"实际"&amp;YEAR(主页!$D$5)-1&amp;"全年"</f>
        <v>实际2020全年</v>
      </c>
      <c r="F2" s="194"/>
      <c r="G2" s="195"/>
      <c r="H2" s="194" t="str">
        <f>"实际"&amp;"截止"&amp;YEAR(主页!$D$5)-1&amp;"年"&amp;MONTH(主页!$D$5)&amp;"月"</f>
        <v>实际截止2020年9月</v>
      </c>
      <c r="I2" s="194"/>
      <c r="J2" s="195"/>
      <c r="K2" s="194" t="str">
        <f>"估计"&amp;"从"&amp;YEAR(主页!$D$5)-1&amp;"年"&amp;MONTH(主页!$D$5)+1&amp;"月到年底"</f>
        <v>估计从2020年10月到年底</v>
      </c>
      <c r="L2" s="194"/>
      <c r="M2" s="195"/>
      <c r="N2" s="194" t="str">
        <f>"估计"&amp;YEAR(主页!$D$5)&amp;"全年"</f>
        <v>估计2021全年</v>
      </c>
      <c r="O2" s="194"/>
      <c r="P2" s="195"/>
      <c r="Q2" s="194" t="str">
        <f>"预算"&amp;YEAR(主页!$D$5)+1&amp;"全年"</f>
        <v>预算2022全年</v>
      </c>
      <c r="R2" s="194"/>
      <c r="S2" s="210"/>
    </row>
    <row r="3" ht="23.4" spans="2:19">
      <c r="B3" s="296" t="s">
        <v>18</v>
      </c>
      <c r="C3" s="322"/>
      <c r="D3" s="323"/>
      <c r="E3" s="226" t="str">
        <f>"A"&amp;YEAR(主页!$D$5)-1&amp;"FY"</f>
        <v>A2020FY</v>
      </c>
      <c r="F3" s="226"/>
      <c r="G3" s="323"/>
      <c r="H3" s="226" t="str">
        <f>"A"&amp;YEAR(主页!$D$5)&amp;TEXT(MONTH(主页!$D$5),"00")&amp;"YTD"</f>
        <v>A202109YTD</v>
      </c>
      <c r="I3" s="226"/>
      <c r="J3" s="323"/>
      <c r="K3" s="226" t="str">
        <f>"E"&amp;YEAR(主页!$D$5)&amp;TEXT(MONTH(主页!$D$5),"00")&amp;"YTG"</f>
        <v>E202109YTG</v>
      </c>
      <c r="L3" s="226"/>
      <c r="M3" s="323"/>
      <c r="N3" s="226" t="str">
        <f>"E"&amp;YEAR(主页!$D$5)&amp;"FY"</f>
        <v>E2021FY</v>
      </c>
      <c r="O3" s="226"/>
      <c r="P3" s="323"/>
      <c r="Q3" s="226" t="str">
        <f>"B"&amp;YEAR(主页!$D$5)+1&amp;"FY"</f>
        <v>B2022FY</v>
      </c>
      <c r="R3" s="226"/>
      <c r="S3" s="340"/>
    </row>
    <row r="4" spans="2:18">
      <c r="B4" s="324"/>
      <c r="C4" s="322"/>
      <c r="D4" s="325"/>
      <c r="E4" s="302" t="s">
        <v>19</v>
      </c>
      <c r="F4" s="326" t="s">
        <v>20</v>
      </c>
      <c r="G4" s="325"/>
      <c r="H4" s="302" t="s">
        <v>19</v>
      </c>
      <c r="I4" s="326" t="s">
        <v>20</v>
      </c>
      <c r="J4" s="325"/>
      <c r="K4" s="302" t="s">
        <v>19</v>
      </c>
      <c r="L4" s="326" t="s">
        <v>20</v>
      </c>
      <c r="M4" s="325"/>
      <c r="N4" s="302" t="s">
        <v>19</v>
      </c>
      <c r="O4" s="326" t="s">
        <v>20</v>
      </c>
      <c r="P4" s="325"/>
      <c r="Q4" s="302" t="s">
        <v>19</v>
      </c>
      <c r="R4" s="326" t="s">
        <v>20</v>
      </c>
    </row>
    <row r="5" s="320" customFormat="1" ht="27.9" customHeight="1" spans="2:19">
      <c r="B5" s="327" t="s">
        <v>21</v>
      </c>
      <c r="D5" s="328"/>
      <c r="E5" s="329">
        <f>INDEX(销售收入及毛利!$1:$1048576,MATCH($B5,销售收入及毛利!$A:$A,0),MATCH(E$3,销售收入及毛利!$4:$4,0))</f>
        <v>10046.0377358491</v>
      </c>
      <c r="F5" s="330">
        <f>E5/E$5</f>
        <v>1</v>
      </c>
      <c r="G5" s="328"/>
      <c r="H5" s="329">
        <f>INDEX(销售收入及毛利!$1:$1048576,MATCH($B5,销售收入及毛利!$A:$A,0),MATCH(H$3,销售收入及毛利!$4:$4,0))</f>
        <v>5000</v>
      </c>
      <c r="I5" s="330">
        <f>H5/H$5</f>
        <v>1</v>
      </c>
      <c r="J5" s="328"/>
      <c r="K5" s="329">
        <f>INDEX(销售收入及毛利!$1:$1048576,MATCH($B5,销售收入及毛利!$A:$A,0),MATCH(K$3,销售收入及毛利!$4:$4,0))</f>
        <v>9857.35849056604</v>
      </c>
      <c r="L5" s="330">
        <f>K5/K$5</f>
        <v>1</v>
      </c>
      <c r="M5" s="328"/>
      <c r="N5" s="329">
        <f>INDEX(销售收入及毛利!$1:$1048576,MATCH($B5,销售收入及毛利!$A:$A,0),MATCH(N$3,销售收入及毛利!$4:$4,0))</f>
        <v>14857.358490566</v>
      </c>
      <c r="O5" s="330">
        <f>N5/N$5</f>
        <v>1</v>
      </c>
      <c r="P5" s="328"/>
      <c r="Q5" s="329">
        <f>INDEX(销售收入及毛利!$1:$1048576,MATCH($B5,销售收入及毛利!$A:$A,0),MATCH(Q$3,销售收入及毛利!$4:$4,0))</f>
        <v>26600</v>
      </c>
      <c r="R5" s="330">
        <f>Q5/Q$5</f>
        <v>1</v>
      </c>
      <c r="S5" s="341" t="s">
        <v>22</v>
      </c>
    </row>
    <row r="6" ht="27.9" customHeight="1" spans="2:19">
      <c r="B6" s="233" t="s">
        <v>23</v>
      </c>
      <c r="C6" s="331"/>
      <c r="D6" s="332"/>
      <c r="E6" s="333">
        <f>INDEX(销售收入及毛利!$1:$1048576,MATCH($B6,销售收入及毛利!$A:$A,0),MATCH(E$3,销售收入及毛利!$4:$4,0))</f>
        <v>8160</v>
      </c>
      <c r="F6" s="334">
        <f t="shared" ref="F6:F21" si="0">E6/E$5</f>
        <v>0.812260536398467</v>
      </c>
      <c r="G6" s="332"/>
      <c r="H6" s="333">
        <f>INDEX(销售收入及毛利!$1:$1048576,MATCH($B6,销售收入及毛利!$A:$A,0),MATCH(H$3,销售收入及毛利!$4:$4,0))</f>
        <v>4020</v>
      </c>
      <c r="I6" s="334">
        <f t="shared" ref="I6:I21" si="1">H6/H$5</f>
        <v>0.804</v>
      </c>
      <c r="J6" s="332"/>
      <c r="K6" s="333">
        <f>INDEX(销售收入及毛利!$1:$1048576,MATCH($B6,销售收入及毛利!$A:$A,0),MATCH(K$3,销售收入及毛利!$4:$4,0))</f>
        <v>5751</v>
      </c>
      <c r="L6" s="334">
        <f t="shared" ref="L6:L21" si="2">K6/K$5</f>
        <v>0.583422019753465</v>
      </c>
      <c r="M6" s="332"/>
      <c r="N6" s="333">
        <f>INDEX(销售收入及毛利!$1:$1048576,MATCH($B6,销售收入及毛利!$A:$A,0),MATCH(N$3,销售收入及毛利!$4:$4,0))</f>
        <v>9771</v>
      </c>
      <c r="O6" s="334">
        <f t="shared" ref="O6:O21" si="3">N6/N$5</f>
        <v>0.657653916488875</v>
      </c>
      <c r="P6" s="332"/>
      <c r="Q6" s="333">
        <f>INDEX(销售收入及毛利!$1:$1048576,MATCH($B6,销售收入及毛利!$A:$A,0),MATCH(Q$3,销售收入及毛利!$4:$4,0))</f>
        <v>21809</v>
      </c>
      <c r="R6" s="334">
        <f t="shared" ref="R6:R21" si="4">Q6/Q$5</f>
        <v>0.819887218045113</v>
      </c>
      <c r="S6" s="341" t="s">
        <v>22</v>
      </c>
    </row>
    <row r="7" s="320" customFormat="1" ht="19.2" customHeight="1" spans="2:18">
      <c r="B7" s="327" t="s">
        <v>24</v>
      </c>
      <c r="D7" s="328"/>
      <c r="E7" s="335">
        <f>E5-E6</f>
        <v>1886.03773584906</v>
      </c>
      <c r="F7" s="330">
        <f t="shared" si="0"/>
        <v>0.187739463601533</v>
      </c>
      <c r="G7" s="328"/>
      <c r="H7" s="335">
        <f>H5-H6</f>
        <v>980</v>
      </c>
      <c r="I7" s="330">
        <f t="shared" si="1"/>
        <v>0.196</v>
      </c>
      <c r="J7" s="328"/>
      <c r="K7" s="335">
        <f>K5-K6</f>
        <v>4106.35849056604</v>
      </c>
      <c r="L7" s="330">
        <f t="shared" si="2"/>
        <v>0.416577980246535</v>
      </c>
      <c r="M7" s="328"/>
      <c r="N7" s="335">
        <f>N5-N6</f>
        <v>5086.35849056604</v>
      </c>
      <c r="O7" s="330">
        <f t="shared" si="3"/>
        <v>0.342346083511125</v>
      </c>
      <c r="P7" s="328"/>
      <c r="Q7" s="335">
        <f>Q5-Q6</f>
        <v>4791</v>
      </c>
      <c r="R7" s="330">
        <f t="shared" si="4"/>
        <v>0.180112781954887</v>
      </c>
    </row>
    <row r="8" ht="19.2" customHeight="1" spans="2:18">
      <c r="B8" s="233" t="s">
        <v>25</v>
      </c>
      <c r="C8" s="331"/>
      <c r="D8" s="332"/>
      <c r="E8" s="333">
        <f>SUM(E9:E11)</f>
        <v>2005.340449</v>
      </c>
      <c r="F8" s="334">
        <f t="shared" si="0"/>
        <v>0.199615062348809</v>
      </c>
      <c r="G8" s="332"/>
      <c r="H8" s="333">
        <f>SUM(H9:H11)</f>
        <v>1472.7682212126</v>
      </c>
      <c r="I8" s="334">
        <f t="shared" si="1"/>
        <v>0.29455364424252</v>
      </c>
      <c r="J8" s="332"/>
      <c r="K8" s="333">
        <f>SUM(K9:K11)</f>
        <v>570.614707</v>
      </c>
      <c r="L8" s="334">
        <f t="shared" si="2"/>
        <v>0.0578871822046551</v>
      </c>
      <c r="M8" s="332"/>
      <c r="N8" s="333">
        <f>SUM(N9:N11)</f>
        <v>2043.3829282126</v>
      </c>
      <c r="O8" s="334">
        <f t="shared" si="3"/>
        <v>0.137533393268399</v>
      </c>
      <c r="P8" s="332"/>
      <c r="Q8" s="333">
        <f>SUM(Q9:Q11)</f>
        <v>2767.8810752126</v>
      </c>
      <c r="R8" s="334">
        <f t="shared" si="4"/>
        <v>0.104055679519271</v>
      </c>
    </row>
    <row r="9" ht="19.2" customHeight="1" spans="3:19">
      <c r="C9" s="331" t="s">
        <v>26</v>
      </c>
      <c r="D9" s="332"/>
      <c r="E9" s="333">
        <f>SUMIFS(人力资源!$G:$G,人力资源!$A:$A,$B$8)</f>
        <v>1333.774939</v>
      </c>
      <c r="F9" s="334">
        <f t="shared" si="0"/>
        <v>0.132766268062129</v>
      </c>
      <c r="G9" s="332"/>
      <c r="H9" s="333">
        <f>SUMIFS(人力资源!U:U,人力资源!$A:$A,$B$8)</f>
        <v>1008.929907</v>
      </c>
      <c r="I9" s="334">
        <f t="shared" si="1"/>
        <v>0.2017859814</v>
      </c>
      <c r="J9" s="332"/>
      <c r="K9" s="333">
        <f>SUMIFS(人力资源!AH:AH,人力资源!$A:$A,$B$8)</f>
        <v>340.405474</v>
      </c>
      <c r="L9" s="334">
        <f t="shared" si="2"/>
        <v>0.0345331332248679</v>
      </c>
      <c r="M9" s="332"/>
      <c r="N9" s="333">
        <f>SUMIFS(人力资源!T:T,人力资源!$A:$A,$B$8)</f>
        <v>1349.335381</v>
      </c>
      <c r="O9" s="334">
        <f t="shared" si="3"/>
        <v>0.0908193325116834</v>
      </c>
      <c r="P9" s="332"/>
      <c r="Q9" s="333">
        <f>SUMIFS(人力资源!AU:AU,人力资源!$A:$A,$B$8)</f>
        <v>1361.248018</v>
      </c>
      <c r="R9" s="334">
        <f t="shared" si="4"/>
        <v>0.051174737518797</v>
      </c>
      <c r="S9" s="341" t="s">
        <v>27</v>
      </c>
    </row>
    <row r="10" ht="19.2" customHeight="1" spans="3:19">
      <c r="C10" s="331" t="s">
        <v>28</v>
      </c>
      <c r="D10" s="332"/>
      <c r="E10" s="333">
        <f>SUMIFS(财务折旧!G:G,财务折旧!$A:$A,$B$8)</f>
        <v>1.96</v>
      </c>
      <c r="F10" s="334">
        <f t="shared" si="0"/>
        <v>0.000195101795507475</v>
      </c>
      <c r="G10" s="332"/>
      <c r="H10" s="333">
        <f>SUMIFS(财务折旧!I:I,财务折旧!$A:$A,$B$8)</f>
        <v>2.3</v>
      </c>
      <c r="I10" s="334">
        <f t="shared" si="1"/>
        <v>0.00046</v>
      </c>
      <c r="J10" s="332"/>
      <c r="K10" s="333">
        <f>SUMIFS(财务折旧!K:K,财务折旧!$A:$A,$B$8)</f>
        <v>0.49</v>
      </c>
      <c r="L10" s="334">
        <f t="shared" si="2"/>
        <v>4.97090574994258e-5</v>
      </c>
      <c r="M10" s="332"/>
      <c r="N10" s="333">
        <f>SUMIFS(财务折旧!M:M,财务折旧!$A:$A,$B$8)</f>
        <v>2.79</v>
      </c>
      <c r="O10" s="334">
        <f t="shared" si="3"/>
        <v>0.00018778573605608</v>
      </c>
      <c r="P10" s="332"/>
      <c r="Q10" s="333">
        <f>SUMIFS(财务折旧!O:O,财务折旧!$A:$A,$B$8)</f>
        <v>3.77</v>
      </c>
      <c r="R10" s="334">
        <f t="shared" si="4"/>
        <v>0.000141729323308271</v>
      </c>
      <c r="S10" s="341" t="s">
        <v>29</v>
      </c>
    </row>
    <row r="11" ht="19.2" customHeight="1" spans="3:19">
      <c r="C11" s="331" t="s">
        <v>30</v>
      </c>
      <c r="D11" s="332"/>
      <c r="E11" s="333">
        <f>SUMIFS(日常费用!L:L,日常费用!$A:$A,$B$8)</f>
        <v>669.60551</v>
      </c>
      <c r="F11" s="334">
        <f t="shared" si="0"/>
        <v>0.0666536924911727</v>
      </c>
      <c r="G11" s="332"/>
      <c r="H11" s="333">
        <f>SUMIFS(日常费用!O:O,日常费用!$A:$A,$B$8)</f>
        <v>461.538314212601</v>
      </c>
      <c r="I11" s="334">
        <f t="shared" si="1"/>
        <v>0.0923076628425201</v>
      </c>
      <c r="J11" s="332"/>
      <c r="K11" s="333">
        <f>SUMIFS(日常费用!Q:Q,日常费用!$A:$A,$B$8)</f>
        <v>229.719233</v>
      </c>
      <c r="L11" s="334">
        <f t="shared" si="2"/>
        <v>0.0233043399222877</v>
      </c>
      <c r="M11" s="332"/>
      <c r="N11" s="333">
        <f>SUMIFS(日常费用!S:S,日常费用!$A:$A,$B$8)</f>
        <v>691.2575472126</v>
      </c>
      <c r="O11" s="334">
        <f t="shared" si="3"/>
        <v>0.0465262750206591</v>
      </c>
      <c r="P11" s="332"/>
      <c r="Q11" s="333">
        <f>SUMIFS(日常费用!Y:Y,日常费用!$A:$A,$B$8)</f>
        <v>1402.8630572126</v>
      </c>
      <c r="R11" s="334">
        <f t="shared" si="4"/>
        <v>0.0527392126771654</v>
      </c>
      <c r="S11" s="341" t="s">
        <v>31</v>
      </c>
    </row>
    <row r="12" ht="19.2" customHeight="1" spans="2:19">
      <c r="B12" s="233" t="s">
        <v>32</v>
      </c>
      <c r="C12" s="331"/>
      <c r="D12" s="332"/>
      <c r="E12" s="333">
        <f>其他!G14</f>
        <v>1</v>
      </c>
      <c r="F12" s="334">
        <f t="shared" si="0"/>
        <v>9.9541732401773e-5</v>
      </c>
      <c r="G12" s="332"/>
      <c r="H12" s="336">
        <f>其他!I14</f>
        <v>1</v>
      </c>
      <c r="I12" s="334">
        <f t="shared" si="1"/>
        <v>0.0002</v>
      </c>
      <c r="J12" s="332"/>
      <c r="K12" s="336">
        <f>其他!K14</f>
        <v>0.5</v>
      </c>
      <c r="L12" s="334">
        <f t="shared" si="2"/>
        <v>5.07235280606385e-5</v>
      </c>
      <c r="M12" s="332"/>
      <c r="N12" s="336">
        <f>其他!M14</f>
        <v>1.5</v>
      </c>
      <c r="O12" s="334">
        <f t="shared" si="3"/>
        <v>0.00010096007314843</v>
      </c>
      <c r="P12" s="332"/>
      <c r="Q12" s="336">
        <f>其他!O14</f>
        <v>1</v>
      </c>
      <c r="R12" s="334">
        <f t="shared" si="4"/>
        <v>3.7593984962406e-5</v>
      </c>
      <c r="S12" s="341" t="s">
        <v>33</v>
      </c>
    </row>
    <row r="13" s="320" customFormat="1" ht="19.2" customHeight="1" spans="2:18">
      <c r="B13" s="327" t="s">
        <v>34</v>
      </c>
      <c r="C13" s="337"/>
      <c r="D13" s="328"/>
      <c r="E13" s="338">
        <f>E7-E8-E12</f>
        <v>-120.302713150943</v>
      </c>
      <c r="F13" s="330">
        <f t="shared" si="0"/>
        <v>-0.0119751404796784</v>
      </c>
      <c r="G13" s="328"/>
      <c r="H13" s="338">
        <f>H7-H8-H12</f>
        <v>-493.768221212601</v>
      </c>
      <c r="I13" s="330">
        <f t="shared" si="1"/>
        <v>-0.0987536442425201</v>
      </c>
      <c r="J13" s="328"/>
      <c r="K13" s="338">
        <f>K7-K8-K12</f>
        <v>3535.24378356604</v>
      </c>
      <c r="L13" s="330">
        <f t="shared" si="2"/>
        <v>0.35864007451382</v>
      </c>
      <c r="M13" s="328"/>
      <c r="N13" s="338">
        <f>N7-N8-N12</f>
        <v>3041.47556235344</v>
      </c>
      <c r="O13" s="330">
        <f t="shared" si="3"/>
        <v>0.204711730169578</v>
      </c>
      <c r="P13" s="328"/>
      <c r="Q13" s="338">
        <f>Q7-Q8-Q12</f>
        <v>2022.1189247874</v>
      </c>
      <c r="R13" s="330">
        <f t="shared" si="4"/>
        <v>0.0760195084506542</v>
      </c>
    </row>
    <row r="14" ht="19.2" customHeight="1" spans="2:19">
      <c r="B14" s="233" t="s">
        <v>35</v>
      </c>
      <c r="C14" s="331"/>
      <c r="D14" s="332"/>
      <c r="E14" s="333">
        <f>其他!G17</f>
        <v>1.9</v>
      </c>
      <c r="F14" s="334">
        <f t="shared" si="0"/>
        <v>0.000189129291563369</v>
      </c>
      <c r="G14" s="332"/>
      <c r="H14" s="336">
        <f>其他!I17</f>
        <v>1.5</v>
      </c>
      <c r="I14" s="334">
        <f t="shared" si="1"/>
        <v>0.0003</v>
      </c>
      <c r="J14" s="332"/>
      <c r="K14" s="336">
        <f>其他!K17</f>
        <v>2.4</v>
      </c>
      <c r="L14" s="334">
        <f t="shared" si="2"/>
        <v>0.000243472934691065</v>
      </c>
      <c r="M14" s="332"/>
      <c r="N14" s="336">
        <f>其他!M17</f>
        <v>3.9</v>
      </c>
      <c r="O14" s="334">
        <f t="shared" si="3"/>
        <v>0.000262496190185919</v>
      </c>
      <c r="P14" s="332"/>
      <c r="Q14" s="336">
        <f>其他!O17</f>
        <v>-0.5</v>
      </c>
      <c r="R14" s="334">
        <f t="shared" si="4"/>
        <v>-1.8796992481203e-5</v>
      </c>
      <c r="S14" s="341" t="s">
        <v>33</v>
      </c>
    </row>
    <row r="15" ht="19.2" customHeight="1" spans="2:19">
      <c r="B15" s="233" t="s">
        <v>36</v>
      </c>
      <c r="C15" s="331"/>
      <c r="D15" s="332"/>
      <c r="E15" s="339"/>
      <c r="F15" s="334">
        <f t="shared" si="0"/>
        <v>0</v>
      </c>
      <c r="G15" s="332"/>
      <c r="H15" s="332"/>
      <c r="I15" s="334">
        <f t="shared" si="1"/>
        <v>0</v>
      </c>
      <c r="J15" s="332"/>
      <c r="K15" s="332"/>
      <c r="L15" s="334">
        <f t="shared" si="2"/>
        <v>0</v>
      </c>
      <c r="M15" s="332"/>
      <c r="N15" s="332"/>
      <c r="O15" s="334">
        <f t="shared" si="3"/>
        <v>0</v>
      </c>
      <c r="P15" s="332"/>
      <c r="Q15" s="332"/>
      <c r="R15" s="334">
        <f t="shared" si="4"/>
        <v>0</v>
      </c>
      <c r="S15" s="341" t="s">
        <v>33</v>
      </c>
    </row>
    <row r="16" ht="19.2" customHeight="1" spans="2:19">
      <c r="B16" s="233" t="s">
        <v>37</v>
      </c>
      <c r="C16" s="331"/>
      <c r="D16" s="332"/>
      <c r="E16" s="339"/>
      <c r="F16" s="334">
        <f t="shared" si="0"/>
        <v>0</v>
      </c>
      <c r="G16" s="332"/>
      <c r="H16" s="332"/>
      <c r="I16" s="334">
        <f t="shared" si="1"/>
        <v>0</v>
      </c>
      <c r="J16" s="332"/>
      <c r="K16" s="332"/>
      <c r="L16" s="334">
        <f t="shared" si="2"/>
        <v>0</v>
      </c>
      <c r="M16" s="332"/>
      <c r="N16" s="332"/>
      <c r="O16" s="334">
        <f t="shared" si="3"/>
        <v>0</v>
      </c>
      <c r="P16" s="332"/>
      <c r="Q16" s="332"/>
      <c r="R16" s="334">
        <f t="shared" si="4"/>
        <v>0</v>
      </c>
      <c r="S16" s="341" t="s">
        <v>33</v>
      </c>
    </row>
    <row r="17" s="320" customFormat="1" ht="19.2" customHeight="1" spans="2:18">
      <c r="B17" s="327" t="s">
        <v>38</v>
      </c>
      <c r="C17" s="337"/>
      <c r="D17" s="328"/>
      <c r="E17" s="338">
        <f>E13-E14+E15+E16</f>
        <v>-122.202713150943</v>
      </c>
      <c r="F17" s="330">
        <f t="shared" si="0"/>
        <v>-0.0121642697712418</v>
      </c>
      <c r="G17" s="328"/>
      <c r="H17" s="338">
        <f>H13-H14+H15+H16</f>
        <v>-495.268221212601</v>
      </c>
      <c r="I17" s="330">
        <f t="shared" si="1"/>
        <v>-0.0990536442425201</v>
      </c>
      <c r="J17" s="328"/>
      <c r="K17" s="338">
        <f>K13-K14+K15+K16</f>
        <v>3532.84378356604</v>
      </c>
      <c r="L17" s="330">
        <f t="shared" si="2"/>
        <v>0.358396601579129</v>
      </c>
      <c r="M17" s="328"/>
      <c r="N17" s="338">
        <f>N13-N14+N15+N16</f>
        <v>3037.57556235344</v>
      </c>
      <c r="O17" s="330">
        <f t="shared" si="3"/>
        <v>0.204449233979392</v>
      </c>
      <c r="P17" s="328"/>
      <c r="Q17" s="338">
        <f>Q13-Q14+Q15+Q16</f>
        <v>2022.6189247874</v>
      </c>
      <c r="R17" s="330">
        <f t="shared" si="4"/>
        <v>0.0760383054431354</v>
      </c>
    </row>
    <row r="18" ht="19.2" customHeight="1" spans="2:18">
      <c r="B18" s="233" t="s">
        <v>39</v>
      </c>
      <c r="C18" s="331"/>
      <c r="D18" s="332"/>
      <c r="E18" s="333">
        <f>E19+E20</f>
        <v>38.5433360566037</v>
      </c>
      <c r="F18" s="334">
        <f t="shared" si="0"/>
        <v>0.00383667044361805</v>
      </c>
      <c r="G18" s="332"/>
      <c r="H18" s="333">
        <f>H19+H20</f>
        <v>17.6020129999999</v>
      </c>
      <c r="I18" s="334">
        <f t="shared" si="1"/>
        <v>0.00352040259999998</v>
      </c>
      <c r="J18" s="332"/>
      <c r="K18" s="333">
        <f>K19+K20</f>
        <v>801.401178338359</v>
      </c>
      <c r="L18" s="334">
        <f t="shared" si="2"/>
        <v>0.0812997903145491</v>
      </c>
      <c r="M18" s="332"/>
      <c r="N18" s="333">
        <f>N19+N20</f>
        <v>819.00319133836</v>
      </c>
      <c r="O18" s="334">
        <f t="shared" si="3"/>
        <v>0.0551244147375458</v>
      </c>
      <c r="P18" s="332"/>
      <c r="Q18" s="333">
        <f>Q19+Q20</f>
        <v>587.29139919685</v>
      </c>
      <c r="R18" s="334">
        <f t="shared" si="4"/>
        <v>0.0220786240299568</v>
      </c>
    </row>
    <row r="19" ht="19.2" customHeight="1" spans="3:19">
      <c r="C19" s="331" t="s">
        <v>40</v>
      </c>
      <c r="D19" s="332"/>
      <c r="E19" s="333">
        <f>INDEX(税金!$1:$1048576,MATCH($C19,税金!$A:$A,0),MATCH(E$3,税金!$4:$4,0))</f>
        <v>0</v>
      </c>
      <c r="F19" s="334">
        <f t="shared" si="0"/>
        <v>0</v>
      </c>
      <c r="G19" s="332"/>
      <c r="H19" s="333">
        <f>INDEX(税金!$1:$1048576,MATCH($C19,税金!$A:$A,0),MATCH(H$3,税金!$4:$4,0))</f>
        <v>0</v>
      </c>
      <c r="I19" s="334">
        <f t="shared" si="1"/>
        <v>0</v>
      </c>
      <c r="J19" s="332"/>
      <c r="K19" s="333">
        <f>INDEX(税金!$1:$1048576,MATCH($C19,税金!$A:$A,0),MATCH(K$3,税金!$4:$4,0))</f>
        <v>738.593212300624</v>
      </c>
      <c r="L19" s="334">
        <f t="shared" si="2"/>
        <v>0.0749281070590557</v>
      </c>
      <c r="M19" s="332"/>
      <c r="N19" s="333">
        <f>INDEX(税金!$1:$1048576,MATCH($C19,税金!$A:$A,0),MATCH(N$3,税金!$4:$4,0))</f>
        <v>738.593212300624</v>
      </c>
      <c r="O19" s="334">
        <f t="shared" si="3"/>
        <v>0.0497122831605367</v>
      </c>
      <c r="P19" s="332"/>
      <c r="Q19" s="333">
        <f>INDEX(税金!$1:$1048576,MATCH($C19,税金!$A:$A,0),MATCH(Q$3,税金!$4:$4,0))</f>
        <v>511.40473119685</v>
      </c>
      <c r="R19" s="334">
        <f t="shared" si="4"/>
        <v>0.0192257417743177</v>
      </c>
      <c r="S19" s="341" t="s">
        <v>41</v>
      </c>
    </row>
    <row r="20" ht="19.2" customHeight="1" spans="3:19">
      <c r="C20" s="331" t="s">
        <v>42</v>
      </c>
      <c r="D20" s="332"/>
      <c r="E20" s="333">
        <f>INDEX(税金!$1:$1048576,MATCH($C20,税金!$A:$A,0),MATCH(E$3,税金!$4:$4,0))</f>
        <v>38.5433360566037</v>
      </c>
      <c r="F20" s="334">
        <f t="shared" si="0"/>
        <v>0.00383667044361805</v>
      </c>
      <c r="G20" s="332"/>
      <c r="H20" s="333">
        <f>INDEX(税金!$1:$1048576,MATCH($C20,税金!$A:$A,0),MATCH(H$3,税金!$4:$4,0))</f>
        <v>17.6020129999999</v>
      </c>
      <c r="I20" s="334">
        <f t="shared" si="1"/>
        <v>0.00352040259999998</v>
      </c>
      <c r="J20" s="332"/>
      <c r="K20" s="333">
        <f>INDEX(税金!$1:$1048576,MATCH($C20,税金!$A:$A,0),MATCH(K$3,税金!$4:$4,0))</f>
        <v>62.8079660377359</v>
      </c>
      <c r="L20" s="334">
        <f t="shared" si="2"/>
        <v>0.00637168325549345</v>
      </c>
      <c r="M20" s="332"/>
      <c r="N20" s="333">
        <f>INDEX(税金!$1:$1048576,MATCH($C20,税金!$A:$A,0),MATCH(N$3,税金!$4:$4,0))</f>
        <v>80.4099790377361</v>
      </c>
      <c r="O20" s="334">
        <f t="shared" si="3"/>
        <v>0.00541213157700906</v>
      </c>
      <c r="P20" s="332"/>
      <c r="Q20" s="333">
        <f>INDEX(税金!$1:$1048576,MATCH($C20,税金!$A:$A,0),MATCH(Q$3,税金!$4:$4,0))</f>
        <v>75.8866679999996</v>
      </c>
      <c r="R20" s="334">
        <f t="shared" si="4"/>
        <v>0.00285288225563908</v>
      </c>
      <c r="S20" s="341" t="s">
        <v>41</v>
      </c>
    </row>
    <row r="21" s="320" customFormat="1" ht="19.2" customHeight="1" spans="2:18">
      <c r="B21" s="327" t="s">
        <v>43</v>
      </c>
      <c r="D21" s="328"/>
      <c r="E21" s="335">
        <f>E17-E18</f>
        <v>-160.746049207546</v>
      </c>
      <c r="F21" s="330">
        <f t="shared" si="0"/>
        <v>-0.0160009402148598</v>
      </c>
      <c r="G21" s="328"/>
      <c r="H21" s="335">
        <f>H17-H18</f>
        <v>-512.870234212601</v>
      </c>
      <c r="I21" s="330">
        <f t="shared" si="1"/>
        <v>-0.10257404684252</v>
      </c>
      <c r="J21" s="328"/>
      <c r="K21" s="335">
        <f>K17-K18</f>
        <v>2731.44260522768</v>
      </c>
      <c r="L21" s="330">
        <f t="shared" si="2"/>
        <v>0.27709681126458</v>
      </c>
      <c r="M21" s="328"/>
      <c r="N21" s="335">
        <f>N17-N18</f>
        <v>2218.57237101508</v>
      </c>
      <c r="O21" s="330">
        <f t="shared" si="3"/>
        <v>0.149324819241846</v>
      </c>
      <c r="P21" s="328"/>
      <c r="Q21" s="335">
        <f>Q17-Q18</f>
        <v>1435.32752559055</v>
      </c>
      <c r="R21" s="330">
        <f t="shared" si="4"/>
        <v>0.0539596814131786</v>
      </c>
    </row>
    <row r="22" spans="4:17">
      <c r="D22" s="332"/>
      <c r="E22" s="332"/>
      <c r="F22" s="332"/>
      <c r="G22" s="332"/>
      <c r="H22" s="332"/>
      <c r="I22" s="332"/>
      <c r="J22" s="332"/>
      <c r="K22" s="332"/>
      <c r="L22" s="332"/>
      <c r="M22" s="332"/>
      <c r="N22" s="332"/>
      <c r="O22" s="332"/>
      <c r="P22" s="332"/>
      <c r="Q22" s="332"/>
    </row>
    <row r="23" spans="4:17"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</row>
    <row r="24" spans="4:17"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2"/>
      <c r="Q24" s="332"/>
    </row>
    <row r="25" spans="5:5">
      <c r="E25" s="332"/>
    </row>
  </sheetData>
  <mergeCells count="10">
    <mergeCell ref="E2:F2"/>
    <mergeCell ref="H2:I2"/>
    <mergeCell ref="K2:L2"/>
    <mergeCell ref="N2:O2"/>
    <mergeCell ref="Q2:R2"/>
    <mergeCell ref="E3:F3"/>
    <mergeCell ref="H3:I3"/>
    <mergeCell ref="K3:L3"/>
    <mergeCell ref="N3:O3"/>
    <mergeCell ref="Q3:R3"/>
  </mergeCells>
  <hyperlinks>
    <hyperlink ref="S5" location="销售收入及毛利!A1" display="数据来自于销售及毛利预算表"/>
    <hyperlink ref="S6" location="销售收入及毛利!A1" display="数据来自于销售及毛利预算表"/>
    <hyperlink ref="S9" location="人力资源!A1" display="数据来自于人力资源预算表"/>
    <hyperlink ref="S10" location="财务折旧!A1" display="数据来自于长期资产折旧摊销预算表"/>
    <hyperlink ref="S11" location="日常费用!A1" display="数据来自于日常经营费用预算表"/>
    <hyperlink ref="S14" location="其他!A1" display="数据来自于其他损益科目预算表"/>
    <hyperlink ref="S12" location="其他!A1" display="数据来自于其他损益科目预算表"/>
    <hyperlink ref="S15" location="其他!A1" display="数据来自于其他损益科目预算表"/>
    <hyperlink ref="S16" location="其他!A1" display="数据来自于其他损益科目预算表"/>
    <hyperlink ref="S19" location="税金!A1" display="数据来自与税金预算"/>
    <hyperlink ref="S20" location="税金!A1" display="数据来自与税金预算"/>
  </hyperlinks>
  <pageMargins left="0.75" right="0.75" top="1" bottom="1" header="0.5" footer="0.5"/>
  <pageSetup paperSize="8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9"/>
  <sheetViews>
    <sheetView showGridLines="0" zoomScale="85" zoomScaleNormal="85" workbookViewId="0">
      <pane xSplit="4" ySplit="4" topLeftCell="E5" activePane="bottomRight" state="frozen"/>
      <selection/>
      <selection pane="topRight"/>
      <selection pane="bottomLeft"/>
      <selection pane="bottomRight" activeCell="P9" sqref="P9"/>
    </sheetView>
  </sheetViews>
  <sheetFormatPr defaultColWidth="9" defaultRowHeight="23.4"/>
  <cols>
    <col min="1" max="1" width="8.8" style="187"/>
    <col min="2" max="2" width="3.7" style="307" customWidth="1"/>
    <col min="3" max="3" width="20.2" style="199" customWidth="1"/>
    <col min="4" max="4" width="1.7" style="187" customWidth="1"/>
    <col min="5" max="5" width="14.2" style="187" customWidth="1"/>
    <col min="6" max="6" width="1.7" style="187" customWidth="1"/>
    <col min="7" max="7" width="13.7" style="187" customWidth="1"/>
    <col min="8" max="8" width="1.7" style="187" customWidth="1"/>
    <col min="9" max="9" width="14" style="187" customWidth="1"/>
    <col min="10" max="16384" width="8.8" style="187"/>
  </cols>
  <sheetData>
    <row r="1" ht="12" customHeight="1"/>
    <row r="2" spans="2:11">
      <c r="B2" s="308"/>
      <c r="C2" s="301"/>
      <c r="E2" s="194" t="str">
        <f>"实际"&amp;YEAR(主页!$D$5)-1&amp;"全年"</f>
        <v>实际2020全年</v>
      </c>
      <c r="G2" s="194" t="str">
        <f>"估计"&amp;YEAR(主页!$D$5)&amp;"全年"</f>
        <v>估计2021全年</v>
      </c>
      <c r="I2" s="194" t="str">
        <f>"预算"&amp;YEAR(主页!$D$5)+1&amp;"全年"</f>
        <v>预算2022全年</v>
      </c>
      <c r="K2" s="187" t="s">
        <v>44</v>
      </c>
    </row>
    <row r="3" spans="2:9">
      <c r="B3" s="296" t="s">
        <v>18</v>
      </c>
      <c r="C3" s="301"/>
      <c r="E3" s="226" t="str">
        <f>"A"&amp;YEAR(主页!$D$5)-1&amp;"FY"</f>
        <v>A2020FY</v>
      </c>
      <c r="G3" s="226" t="str">
        <f>"E"&amp;YEAR(主页!$D$5)&amp;"FY"</f>
        <v>E2021FY</v>
      </c>
      <c r="I3" s="226" t="str">
        <f>"B"&amp;YEAR(主页!$D$5)+1&amp;"FY"</f>
        <v>B2022FY</v>
      </c>
    </row>
    <row r="4" spans="2:9">
      <c r="B4" s="308"/>
      <c r="C4" s="301"/>
      <c r="E4" s="302" t="s">
        <v>19</v>
      </c>
      <c r="G4" s="302" t="s">
        <v>19</v>
      </c>
      <c r="I4" s="302" t="s">
        <v>19</v>
      </c>
    </row>
    <row r="5" ht="17.4" spans="2:9">
      <c r="B5" s="309" t="s">
        <v>45</v>
      </c>
      <c r="C5" s="310"/>
      <c r="E5" s="311">
        <v>23</v>
      </c>
      <c r="G5" s="312">
        <f>E29</f>
        <v>5876.41225079245</v>
      </c>
      <c r="I5" s="312">
        <f>G29</f>
        <v>2220.74632180753</v>
      </c>
    </row>
    <row r="6" ht="17.4" spans="2:9">
      <c r="B6" s="309"/>
      <c r="C6" s="313"/>
      <c r="E6" s="288"/>
      <c r="G6" s="288"/>
      <c r="I6" s="288"/>
    </row>
    <row r="7" ht="17.4" spans="2:9">
      <c r="B7" s="344" t="s">
        <v>46</v>
      </c>
      <c r="C7" s="310"/>
      <c r="E7" s="314">
        <f>SUM(E8:E10)</f>
        <v>11264.4</v>
      </c>
      <c r="G7" s="314">
        <f>SUM(G8:G10)</f>
        <v>17491.4</v>
      </c>
      <c r="I7" s="314">
        <f>SUM(I8:I10)</f>
        <v>30636</v>
      </c>
    </row>
    <row r="8" ht="17.4" spans="2:10">
      <c r="B8" s="309"/>
      <c r="C8" s="315" t="s">
        <v>47</v>
      </c>
      <c r="E8" s="316">
        <f>销售及收现!H15</f>
        <v>10964.4</v>
      </c>
      <c r="G8" s="316">
        <f>销售及收现!T15</f>
        <v>17291.4</v>
      </c>
      <c r="I8" s="316">
        <f>销售及收现!X15</f>
        <v>30536</v>
      </c>
      <c r="J8" s="319" t="s">
        <v>48</v>
      </c>
    </row>
    <row r="9" ht="17.4" spans="2:10">
      <c r="B9" s="309"/>
      <c r="C9" s="310" t="s">
        <v>49</v>
      </c>
      <c r="E9" s="317">
        <v>300</v>
      </c>
      <c r="G9" s="317">
        <v>200</v>
      </c>
      <c r="I9" s="317">
        <v>100</v>
      </c>
      <c r="J9" s="187" t="s">
        <v>50</v>
      </c>
    </row>
    <row r="10" ht="16.2" spans="2:3">
      <c r="B10" s="309"/>
      <c r="C10" s="313" t="s">
        <v>51</v>
      </c>
    </row>
    <row r="11" ht="16.2" spans="2:3">
      <c r="B11" s="309"/>
      <c r="C11" s="310"/>
    </row>
    <row r="12" ht="17.4" spans="2:9">
      <c r="B12" s="309" t="s">
        <v>52</v>
      </c>
      <c r="C12" s="310"/>
      <c r="E12" s="318">
        <f>SUM(E13:E18)</f>
        <v>5410.98774920755</v>
      </c>
      <c r="G12" s="318">
        <f>SUM(G13:G18)</f>
        <v>13147.0659289849</v>
      </c>
      <c r="I12" s="318">
        <f>SUM(I13:I18)</f>
        <v>15361.1292744094</v>
      </c>
    </row>
    <row r="13" ht="17.4" spans="2:10">
      <c r="B13" s="309"/>
      <c r="C13" s="315" t="s">
        <v>53</v>
      </c>
      <c r="E13" s="316">
        <f>生产、采购及付现!F28</f>
        <v>3011.11</v>
      </c>
      <c r="G13" s="316">
        <f>生产、采购及付现!L28</f>
        <v>6053.19</v>
      </c>
      <c r="I13" s="316">
        <f>生产、采购及付现!N28</f>
        <v>11318.868</v>
      </c>
      <c r="J13" s="319" t="s">
        <v>54</v>
      </c>
    </row>
    <row r="14" ht="17.4" spans="2:10">
      <c r="B14" s="309"/>
      <c r="C14" s="310" t="s">
        <v>55</v>
      </c>
      <c r="E14" s="316">
        <f>人力资源!G87+人力资源!G102+人力资源!G117+人力资源!G132+人力资源!G147</f>
        <v>1333.774939</v>
      </c>
      <c r="G14" s="316">
        <f>人力资源!T87+人力资源!T102+人力资源!T117+人力资源!T132+人力资源!T147</f>
        <v>1349.335381</v>
      </c>
      <c r="I14" s="316">
        <f>人力资源!AU87+人力资源!AU102+人力资源!AU117+人力资源!AU132+人力资源!AU147</f>
        <v>1361.248018</v>
      </c>
      <c r="J14" s="319" t="s">
        <v>56</v>
      </c>
    </row>
    <row r="15" ht="17.4" spans="2:10">
      <c r="B15" s="309"/>
      <c r="C15" s="310" t="s">
        <v>57</v>
      </c>
      <c r="E15" s="316">
        <f>日常费用!L14</f>
        <v>675.20551</v>
      </c>
      <c r="G15" s="316">
        <f>日常费用!S14</f>
        <v>691.2575472126</v>
      </c>
      <c r="I15" s="316">
        <f>日常费用!Y14</f>
        <v>1402.8630572126</v>
      </c>
      <c r="J15" s="319" t="s">
        <v>58</v>
      </c>
    </row>
    <row r="16" ht="17.4" spans="2:10">
      <c r="B16" s="309"/>
      <c r="C16" s="310" t="s">
        <v>59</v>
      </c>
      <c r="E16" s="316">
        <f>税金!F28</f>
        <v>388.937300207547</v>
      </c>
      <c r="F16" s="288"/>
      <c r="G16" s="316">
        <f>税金!L28</f>
        <v>1550.00300077232</v>
      </c>
      <c r="H16" s="288"/>
      <c r="I16" s="316">
        <f>税金!N28</f>
        <v>1277.17019919685</v>
      </c>
      <c r="J16" s="319" t="s">
        <v>60</v>
      </c>
    </row>
    <row r="17" ht="17.4" spans="2:10">
      <c r="B17" s="309"/>
      <c r="C17" s="310" t="s">
        <v>61</v>
      </c>
      <c r="E17" s="316">
        <f>长期资产!E7</f>
        <v>1.96</v>
      </c>
      <c r="F17" s="288"/>
      <c r="G17" s="316">
        <f>长期资产!G7</f>
        <v>3503.28</v>
      </c>
      <c r="H17" s="288"/>
      <c r="I17" s="316">
        <f>长期资产!I7</f>
        <v>0.98</v>
      </c>
      <c r="J17" s="319" t="s">
        <v>62</v>
      </c>
    </row>
    <row r="18" ht="16.2" spans="2:3">
      <c r="B18" s="309"/>
      <c r="C18" s="310" t="s">
        <v>51</v>
      </c>
    </row>
    <row r="19" ht="16.2" spans="2:3">
      <c r="B19" s="309"/>
      <c r="C19" s="310"/>
    </row>
    <row r="20" ht="17.4" spans="2:9">
      <c r="B20" s="309" t="s">
        <v>63</v>
      </c>
      <c r="C20" s="310"/>
      <c r="E20" s="318">
        <f>E5+E7-E12</f>
        <v>5876.41225079245</v>
      </c>
      <c r="G20" s="318">
        <f>G5+G7-G12</f>
        <v>10220.7463218075</v>
      </c>
      <c r="I20" s="318">
        <f>I5+I7-I12</f>
        <v>17495.6170473981</v>
      </c>
    </row>
    <row r="21" ht="16.2" spans="2:3">
      <c r="B21" s="309"/>
      <c r="C21" s="310"/>
    </row>
    <row r="22" ht="17.4" spans="2:9">
      <c r="B22" s="309" t="s">
        <v>64</v>
      </c>
      <c r="C22" s="310"/>
      <c r="E22" s="318">
        <f>SUM(E23:E27)</f>
        <v>0</v>
      </c>
      <c r="G22" s="318">
        <f>SUM(G23:G27)</f>
        <v>-8000</v>
      </c>
      <c r="I22" s="318">
        <f>SUM(I23:I27)</f>
        <v>-10000</v>
      </c>
    </row>
    <row r="23" ht="17.4" spans="2:9">
      <c r="B23" s="310"/>
      <c r="C23" s="310" t="s">
        <v>65</v>
      </c>
      <c r="E23" s="311"/>
      <c r="G23" s="311"/>
      <c r="I23" s="311"/>
    </row>
    <row r="24" ht="17.4" spans="2:9">
      <c r="B24" s="310"/>
      <c r="C24" s="310" t="s">
        <v>66</v>
      </c>
      <c r="E24" s="311"/>
      <c r="G24" s="311"/>
      <c r="I24" s="311"/>
    </row>
    <row r="25" ht="17.4" spans="2:10">
      <c r="B25" s="310"/>
      <c r="C25" s="310" t="s">
        <v>67</v>
      </c>
      <c r="E25" s="311"/>
      <c r="G25" s="317">
        <v>-8000</v>
      </c>
      <c r="I25" s="311"/>
      <c r="J25" s="187" t="s">
        <v>68</v>
      </c>
    </row>
    <row r="26" ht="17.4" spans="2:10">
      <c r="B26" s="310"/>
      <c r="C26" s="310" t="s">
        <v>69</v>
      </c>
      <c r="E26" s="311"/>
      <c r="G26" s="311"/>
      <c r="I26" s="311">
        <v>-10000</v>
      </c>
      <c r="J26" s="187" t="s">
        <v>70</v>
      </c>
    </row>
    <row r="27" ht="17.4" spans="2:9">
      <c r="B27" s="310"/>
      <c r="C27" s="310" t="s">
        <v>51</v>
      </c>
      <c r="E27" s="311"/>
      <c r="G27" s="311"/>
      <c r="I27" s="311"/>
    </row>
    <row r="28" ht="15" customHeight="1"/>
    <row r="29" ht="17.4" spans="2:9">
      <c r="B29" s="309" t="s">
        <v>71</v>
      </c>
      <c r="C29" s="310"/>
      <c r="E29" s="318">
        <f>E20+E22</f>
        <v>5876.41225079245</v>
      </c>
      <c r="G29" s="318">
        <f>G20+G22</f>
        <v>2220.74632180753</v>
      </c>
      <c r="I29" s="318">
        <f>I20+I22</f>
        <v>7495.61704739809</v>
      </c>
    </row>
  </sheetData>
  <hyperlinks>
    <hyperlink ref="J13" location="生产、采购及付现!A1" display="数据来自于采购及付现预算"/>
    <hyperlink ref="J8" location="销售收入及收现!A1" display="数据来自于销售收入及收现预算"/>
    <hyperlink ref="J14" location="人力资源!A1" display="数据来自于人力资源预算"/>
    <hyperlink ref="J15" location="日常费用!A1" display="数据来自于日常费用预算"/>
    <hyperlink ref="J16" location="税金!A1" display="数据来自于税金预算。为了简便，忽略了纳税申报期和实缴期之间的时间差。"/>
    <hyperlink ref="J17" location="资产!A1" display="数据来自于资产预算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9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E5" sqref="E5"/>
    </sheetView>
  </sheetViews>
  <sheetFormatPr defaultColWidth="9" defaultRowHeight="17.4"/>
  <cols>
    <col min="1" max="1" width="8.8" style="187"/>
    <col min="2" max="3" width="11.5" style="187" customWidth="1"/>
    <col min="4" max="4" width="1.4" style="187" customWidth="1"/>
    <col min="5" max="5" width="11" style="187" customWidth="1"/>
    <col min="6" max="6" width="10.9" style="187" customWidth="1"/>
    <col min="7" max="7" width="7.9" style="187" customWidth="1"/>
    <col min="8" max="8" width="1.4" style="187" customWidth="1"/>
    <col min="9" max="10" width="10.9" style="187" customWidth="1"/>
    <col min="11" max="11" width="8.8" style="187"/>
    <col min="12" max="12" width="1.4" style="187" customWidth="1"/>
    <col min="13" max="14" width="10.9" style="187" customWidth="1"/>
    <col min="15" max="16384" width="8.8" style="187"/>
  </cols>
  <sheetData>
    <row r="2" spans="5:15">
      <c r="E2" s="223" t="str">
        <f>"实际"&amp;YEAR(主页!$D$5)-1&amp;"全年"</f>
        <v>实际2020全年</v>
      </c>
      <c r="F2" s="223"/>
      <c r="G2" s="223"/>
      <c r="I2" s="223" t="str">
        <f>"估计"&amp;YEAR(主页!$D$5)&amp;"全年"</f>
        <v>估计2021全年</v>
      </c>
      <c r="J2" s="223"/>
      <c r="K2" s="223"/>
      <c r="M2" s="223" t="str">
        <f>"预算"&amp;YEAR(主页!$D$5)+1&amp;"全年"</f>
        <v>预算2022全年</v>
      </c>
      <c r="N2" s="223"/>
      <c r="O2" s="223"/>
    </row>
    <row r="3" ht="23.4" spans="4:15">
      <c r="D3" s="263"/>
      <c r="E3" s="226" t="str">
        <f>"A"&amp;YEAR(主页!$D$5)-1&amp;"FY"</f>
        <v>A2020FY</v>
      </c>
      <c r="F3" s="226"/>
      <c r="G3" s="226"/>
      <c r="H3" s="263"/>
      <c r="I3" s="264" t="str">
        <f>"E"&amp;YEAR(主页!$D$5)&amp;"FY"</f>
        <v>E2021FY</v>
      </c>
      <c r="J3" s="264"/>
      <c r="K3" s="264"/>
      <c r="L3" s="263"/>
      <c r="M3" s="264" t="str">
        <f>"B"&amp;YEAR(主页!$D$5)+1&amp;"FY"</f>
        <v>B2022FY</v>
      </c>
      <c r="N3" s="264"/>
      <c r="O3" s="264"/>
    </row>
    <row r="4" spans="5:15">
      <c r="E4" s="230" t="s">
        <v>72</v>
      </c>
      <c r="F4" s="231" t="s">
        <v>73</v>
      </c>
      <c r="G4" s="231" t="s">
        <v>74</v>
      </c>
      <c r="I4" s="230" t="s">
        <v>72</v>
      </c>
      <c r="J4" s="231" t="s">
        <v>73</v>
      </c>
      <c r="K4" s="231" t="s">
        <v>74</v>
      </c>
      <c r="M4" s="230" t="s">
        <v>72</v>
      </c>
      <c r="N4" s="231" t="s">
        <v>73</v>
      </c>
      <c r="O4" s="231" t="s">
        <v>74</v>
      </c>
    </row>
    <row r="5" spans="2:15">
      <c r="B5" s="187" t="s">
        <v>75</v>
      </c>
      <c r="E5" s="304">
        <f>现金流!E5</f>
        <v>23</v>
      </c>
      <c r="F5" s="304">
        <f>现金流!E29</f>
        <v>5876.41225079245</v>
      </c>
      <c r="G5" s="304">
        <f>F5-E5</f>
        <v>5853.41225079245</v>
      </c>
      <c r="I5" s="304">
        <f>现金流!G5</f>
        <v>5876.41225079245</v>
      </c>
      <c r="J5" s="304">
        <f>现金流!G29</f>
        <v>2220.74632180753</v>
      </c>
      <c r="K5" s="304">
        <f>J5-I5</f>
        <v>-3655.66592898492</v>
      </c>
      <c r="M5" s="304">
        <f>现金流!I5</f>
        <v>2220.74632180753</v>
      </c>
      <c r="N5" s="304">
        <f>现金流!I29</f>
        <v>7495.61704739809</v>
      </c>
      <c r="O5" s="304">
        <f>N5-M5</f>
        <v>5274.87072559056</v>
      </c>
    </row>
    <row r="7" spans="2:15">
      <c r="B7" s="187" t="s">
        <v>76</v>
      </c>
      <c r="E7" s="304">
        <f>销售及收现!H17</f>
        <v>3245</v>
      </c>
      <c r="F7" s="304">
        <f>销售及收现!H18</f>
        <v>3593</v>
      </c>
      <c r="G7" s="304">
        <f>F7-E7</f>
        <v>348</v>
      </c>
      <c r="I7" s="304">
        <f>销售及收现!T17</f>
        <v>3593</v>
      </c>
      <c r="J7" s="304">
        <f>销售及收现!T18</f>
        <v>3064</v>
      </c>
      <c r="K7" s="304">
        <f>J7-I7</f>
        <v>-529</v>
      </c>
      <c r="M7" s="304">
        <f>销售及收现!X17</f>
        <v>3064</v>
      </c>
      <c r="N7" s="304">
        <f>销售及收现!X18</f>
        <v>4599</v>
      </c>
      <c r="O7" s="304">
        <f>N7-M7</f>
        <v>1535</v>
      </c>
    </row>
    <row r="9" spans="2:15">
      <c r="B9" s="187" t="s">
        <v>77</v>
      </c>
      <c r="E9" s="304">
        <f>生产、采购及付现!F5+生产、采购及付现!F12+生产、采购及付现!F22</f>
        <v>3423</v>
      </c>
      <c r="F9" s="304">
        <f>生产、采购及付现!F8+生产、采购及付现!F15+生产、采购及付现!F25</f>
        <v>3125.91</v>
      </c>
      <c r="G9" s="304">
        <f>F9-E9</f>
        <v>-297.09</v>
      </c>
      <c r="I9" s="304">
        <f>生产、采购及付现!L5+生产、采购及付现!L12+生产、采购及付现!L22</f>
        <v>3125.91</v>
      </c>
      <c r="J9" s="304">
        <f>生产、采购及付现!L8+生产、采购及付现!L15+生产、采购及付现!L25</f>
        <v>3064</v>
      </c>
      <c r="K9" s="304">
        <f>J9-I9</f>
        <v>-61.9100000000003</v>
      </c>
      <c r="M9" s="304">
        <f>生产、采购及付现!N5+生产、采购及付现!N12+生产、采购及付现!N22</f>
        <v>3064</v>
      </c>
      <c r="N9" s="304">
        <f>生产、采购及付现!N8+生产、采购及付现!N15+生产、采购及付现!N25</f>
        <v>3495.24</v>
      </c>
      <c r="O9" s="304">
        <f>N9-M9</f>
        <v>431.24</v>
      </c>
    </row>
    <row r="11" spans="2:15">
      <c r="B11" s="187" t="s">
        <v>78</v>
      </c>
      <c r="E11" s="305">
        <f>长期资产!E6-长期资产!E12</f>
        <v>1099.35625</v>
      </c>
      <c r="F11" s="305">
        <f>长期资产!E9-长期资产!E15</f>
        <v>968.2875</v>
      </c>
      <c r="G11" s="304">
        <f>F11-E11</f>
        <v>-131.06875</v>
      </c>
      <c r="I11" s="305">
        <f>长期资产!G6-长期资产!G12</f>
        <v>968.2875</v>
      </c>
      <c r="J11" s="305">
        <f>长期资产!G9-长期资产!G15</f>
        <v>4256.615</v>
      </c>
      <c r="K11" s="304">
        <f>J11-I11</f>
        <v>3288.3275</v>
      </c>
      <c r="M11" s="305">
        <f>长期资产!I6-长期资产!G15</f>
        <v>4256.615</v>
      </c>
      <c r="N11" s="305">
        <f>长期资产!I9-长期资产!I15</f>
        <v>3970.875</v>
      </c>
      <c r="O11" s="304">
        <f>N11-M11</f>
        <v>-285.74</v>
      </c>
    </row>
    <row r="13" spans="2:15">
      <c r="B13" s="187" t="s">
        <v>79</v>
      </c>
      <c r="E13" s="304">
        <f>生产、采购及付现!F30</f>
        <v>2044</v>
      </c>
      <c r="F13" s="304">
        <f>生产、采购及付现!F31</f>
        <v>2155.8</v>
      </c>
      <c r="G13" s="304">
        <f>F13-E13</f>
        <v>111.8</v>
      </c>
      <c r="I13" s="304">
        <f>生产、采购及付现!L30</f>
        <v>2155.8</v>
      </c>
      <c r="J13" s="304">
        <f>生产、采购及付现!L31</f>
        <v>1838.4</v>
      </c>
      <c r="K13" s="304">
        <f>J13-I13</f>
        <v>-317.4</v>
      </c>
      <c r="M13" s="304">
        <f>生产、采购及付现!N30</f>
        <v>1838.4</v>
      </c>
      <c r="N13" s="304">
        <f>生产、采购及付现!N31</f>
        <v>2759.4</v>
      </c>
      <c r="O13" s="304">
        <f>N13-M13</f>
        <v>921</v>
      </c>
    </row>
    <row r="15" spans="2:15">
      <c r="B15" s="187" t="s">
        <v>80</v>
      </c>
      <c r="F15" s="304">
        <f>' 利润表'!E21</f>
        <v>-160.746049207546</v>
      </c>
      <c r="G15" s="304">
        <f>F15-E15</f>
        <v>-160.746049207546</v>
      </c>
      <c r="J15" s="306">
        <f>' 利润表'!N21</f>
        <v>2218.57237101508</v>
      </c>
      <c r="K15" s="304">
        <f>J15-I15</f>
        <v>2218.57237101508</v>
      </c>
      <c r="N15" s="306">
        <f>' 利润表'!Q21</f>
        <v>1435.32752559055</v>
      </c>
      <c r="O15" s="304">
        <f>N15-M15</f>
        <v>1435.32752559055</v>
      </c>
    </row>
    <row r="17" spans="2:2">
      <c r="B17" s="187" t="s">
        <v>81</v>
      </c>
    </row>
    <row r="18" spans="2:2">
      <c r="B18" s="187" t="s">
        <v>82</v>
      </c>
    </row>
    <row r="19" spans="2:2">
      <c r="B19" s="187" t="s">
        <v>83</v>
      </c>
    </row>
  </sheetData>
  <mergeCells count="6">
    <mergeCell ref="E2:G2"/>
    <mergeCell ref="I2:K2"/>
    <mergeCell ref="M2:O2"/>
    <mergeCell ref="E3:G3"/>
    <mergeCell ref="I3:K3"/>
    <mergeCell ref="M3:O3"/>
  </mergeCells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28"/>
  <sheetViews>
    <sheetView showGridLines="0" zoomScale="70" zoomScaleNormal="70" workbookViewId="0">
      <pane xSplit="9" ySplit="5" topLeftCell="J6" activePane="bottomRight" state="frozen"/>
      <selection/>
      <selection pane="topRight"/>
      <selection pane="bottomLeft"/>
      <selection pane="bottomRight" activeCell="J6" sqref="J6"/>
    </sheetView>
  </sheetViews>
  <sheetFormatPr defaultColWidth="9" defaultRowHeight="20.4"/>
  <cols>
    <col min="1" max="1" width="8.8" style="187"/>
    <col min="2" max="2" width="3" style="299" customWidth="1"/>
    <col min="3" max="3" width="6.3" style="187" customWidth="1"/>
    <col min="4" max="4" width="24.6" style="187" customWidth="1"/>
    <col min="5" max="5" width="5.6" style="187" customWidth="1"/>
    <col min="6" max="6" width="14.2" style="187" customWidth="1"/>
    <col min="7" max="7" width="1.9" style="187" customWidth="1"/>
    <col min="8" max="8" width="20.4" style="187" customWidth="1"/>
    <col min="9" max="9" width="1.9" style="187" customWidth="1"/>
    <col min="10" max="10" width="22" style="187" customWidth="1"/>
    <col min="11" max="11" width="1.9" style="187" customWidth="1"/>
    <col min="12" max="12" width="13.7" style="187" customWidth="1"/>
    <col min="13" max="13" width="1.9" style="187" customWidth="1"/>
    <col min="14" max="14" width="14" style="187" customWidth="1"/>
    <col min="15" max="16384" width="8.8" style="187"/>
  </cols>
  <sheetData>
    <row r="3" spans="2:14">
      <c r="B3" s="300"/>
      <c r="C3" s="301"/>
      <c r="D3" s="301"/>
      <c r="F3" s="194" t="str">
        <f>"实际"&amp;YEAR(主页!$D$5)-1&amp;"全年"</f>
        <v>实际2020全年</v>
      </c>
      <c r="H3" s="194" t="str">
        <f>"实际"&amp;"截止"&amp;YEAR(主页!$D$5)-1&amp;"年"&amp;MONTH(主页!$D$5)&amp;"月"</f>
        <v>实际截止2020年9月</v>
      </c>
      <c r="J3" s="194" t="str">
        <f>"估计"&amp;"从"&amp;YEAR(主页!$D$5)-1&amp;"年"&amp;MONTH(主页!$D$5)+1&amp;"月到年底"</f>
        <v>估计从2020年10月到年底</v>
      </c>
      <c r="L3" s="194" t="str">
        <f>"估计"&amp;YEAR(主页!$D$5)&amp;"全年"</f>
        <v>估计2021全年</v>
      </c>
      <c r="N3" s="194" t="str">
        <f>"预算"&amp;YEAR(主页!$D$5)+1&amp;"全年"</f>
        <v>预算2022全年</v>
      </c>
    </row>
    <row r="4" ht="23.4" spans="2:14">
      <c r="B4" s="296" t="s">
        <v>18</v>
      </c>
      <c r="C4" s="301"/>
      <c r="D4" s="301"/>
      <c r="F4" s="226" t="str">
        <f>"A"&amp;YEAR(主页!$D$5)-1&amp;"FY"</f>
        <v>A2020FY</v>
      </c>
      <c r="H4" s="226" t="str">
        <f>"A"&amp;YEAR(主页!$D$5)&amp;TEXT(MONTH(主页!$D$5),"00")&amp;"YTD"</f>
        <v>A202109YTD</v>
      </c>
      <c r="J4" s="226" t="str">
        <f>"E"&amp;YEAR(主页!$D$5)&amp;TEXT(MONTH(主页!$D$5),"00")&amp;"YTG"</f>
        <v>E202109YTG</v>
      </c>
      <c r="L4" s="226" t="str">
        <f>"E"&amp;YEAR(主页!$D$5)&amp;"FY"</f>
        <v>E2021FY</v>
      </c>
      <c r="N4" s="226" t="str">
        <f>"B"&amp;YEAR(主页!$D$5)+1&amp;"FY"</f>
        <v>B2022FY</v>
      </c>
    </row>
    <row r="5" spans="2:14">
      <c r="B5" s="300"/>
      <c r="C5" s="301"/>
      <c r="D5" s="301"/>
      <c r="F5" s="302" t="s">
        <v>19</v>
      </c>
      <c r="H5" s="302" t="s">
        <v>19</v>
      </c>
      <c r="J5" s="302" t="s">
        <v>19</v>
      </c>
      <c r="L5" s="302" t="s">
        <v>19</v>
      </c>
      <c r="N5" s="302" t="s">
        <v>19</v>
      </c>
    </row>
    <row r="6" spans="2:14">
      <c r="B6" s="299" t="s">
        <v>84</v>
      </c>
      <c r="F6" s="288">
        <f>IF(F7-F10-F14&gt;0,F7-F10-F14,0)</f>
        <v>350.393964150943</v>
      </c>
      <c r="G6" s="288"/>
      <c r="H6" s="288">
        <f>IF(H7-H10-H14&gt;0,H7-H10-H14,0)</f>
        <v>160.018299999999</v>
      </c>
      <c r="I6" s="288"/>
      <c r="J6" s="288">
        <f>IF(J7-J10-J14&gt;0,J7-J10-J14,0)</f>
        <v>570.981509433962</v>
      </c>
      <c r="K6" s="288"/>
      <c r="L6" s="288">
        <f>IF(L7-L10-L14&gt;0,L7-L10-L14,0)</f>
        <v>730.999809433964</v>
      </c>
      <c r="M6" s="288"/>
      <c r="N6" s="288">
        <f>IF(N7-N10-N14&gt;0,N7-N10-N14,0)</f>
        <v>689.878799999996</v>
      </c>
    </row>
    <row r="7" spans="3:14">
      <c r="C7" s="187" t="s">
        <v>85</v>
      </c>
      <c r="F7" s="288">
        <f>SUM(F8:F9)</f>
        <v>1266.36226415094</v>
      </c>
      <c r="G7" s="288"/>
      <c r="H7" s="288">
        <f>SUM(H8:H9)</f>
        <v>649.999999999999</v>
      </c>
      <c r="I7" s="288"/>
      <c r="J7" s="288">
        <f>SUM(J8:J9)</f>
        <v>1255.04150943396</v>
      </c>
      <c r="K7" s="288"/>
      <c r="L7" s="288">
        <f>SUM(L8:L9)</f>
        <v>1905.04150943396</v>
      </c>
      <c r="M7" s="288"/>
      <c r="N7" s="288">
        <f>SUM(N8:N9)</f>
        <v>3276</v>
      </c>
    </row>
    <row r="8" spans="3:14">
      <c r="C8" s="187" t="s">
        <v>86</v>
      </c>
      <c r="D8" s="187" t="s">
        <v>87</v>
      </c>
      <c r="F8" s="288">
        <f>销售及收现!H14-销售及收现!F14</f>
        <v>1266.36226415094</v>
      </c>
      <c r="G8" s="288"/>
      <c r="H8" s="288">
        <f>销售及收现!L14-销售及收现!J14</f>
        <v>649.999999999999</v>
      </c>
      <c r="I8" s="288"/>
      <c r="J8" s="288">
        <f>销售及收现!P14-销售及收现!N14</f>
        <v>1255.04150943396</v>
      </c>
      <c r="K8" s="288"/>
      <c r="L8" s="288">
        <f>销售及收现!T14-销售及收现!R14</f>
        <v>1905.04150943396</v>
      </c>
      <c r="M8" s="288"/>
      <c r="N8" s="288">
        <f>销售及收现!X14-销售及收现!V14</f>
        <v>3276</v>
      </c>
    </row>
    <row r="9" spans="4:14">
      <c r="D9" s="187" t="s">
        <v>88</v>
      </c>
      <c r="F9" s="288"/>
      <c r="G9" s="288"/>
      <c r="H9" s="288"/>
      <c r="I9" s="288"/>
      <c r="J9" s="288"/>
      <c r="K9" s="288"/>
      <c r="L9" s="288"/>
      <c r="M9" s="288"/>
      <c r="N9" s="288"/>
    </row>
    <row r="10" spans="3:14">
      <c r="C10" s="187" t="s">
        <v>89</v>
      </c>
      <c r="F10" s="288">
        <f>F11-F12+F13</f>
        <v>915.9683</v>
      </c>
      <c r="G10" s="288"/>
      <c r="H10" s="288">
        <f>H11-H12+H13</f>
        <v>489.9817</v>
      </c>
      <c r="I10" s="288"/>
      <c r="J10" s="288">
        <f>J11-J12+J13</f>
        <v>684.06</v>
      </c>
      <c r="K10" s="288"/>
      <c r="L10" s="288">
        <f>L11-L12+L13</f>
        <v>1174.0417</v>
      </c>
      <c r="M10" s="288"/>
      <c r="N10" s="288">
        <f>N11-N12+N13</f>
        <v>2586.1212</v>
      </c>
    </row>
    <row r="11" spans="3:14">
      <c r="C11" s="187" t="s">
        <v>86</v>
      </c>
      <c r="D11" s="187" t="s">
        <v>90</v>
      </c>
      <c r="F11" s="288">
        <f>(生产、采购及付现!F9+生产、采购及付现!F18+生产、采购及付现!F26)*0.13</f>
        <v>915.9683</v>
      </c>
      <c r="G11" s="288"/>
      <c r="H11" s="288">
        <f>(生产、采购及付现!H9+生产、采购及付现!H18+生产、采购及付现!H26)*0.13</f>
        <v>489.9817</v>
      </c>
      <c r="I11" s="288"/>
      <c r="J11" s="288">
        <f>(生产、采购及付现!J9+生产、采购及付现!J18+生产、采购及付现!J26)*0.13</f>
        <v>684.06</v>
      </c>
      <c r="K11" s="288"/>
      <c r="L11" s="288">
        <f>(生产、采购及付现!L9+生产、采购及付现!L18+生产、采购及付现!L26)*0.13</f>
        <v>1174.0417</v>
      </c>
      <c r="M11" s="288"/>
      <c r="N11" s="288">
        <f>(生产、采购及付现!N9+生产、采购及付现!N18+生产、采购及付现!N26)*0.13</f>
        <v>2586.1212</v>
      </c>
    </row>
    <row r="12" spans="4:14">
      <c r="D12" s="187" t="s">
        <v>91</v>
      </c>
      <c r="F12" s="288"/>
      <c r="G12" s="288"/>
      <c r="H12" s="288"/>
      <c r="I12" s="288"/>
      <c r="J12" s="288"/>
      <c r="K12" s="288"/>
      <c r="L12" s="288"/>
      <c r="M12" s="288"/>
      <c r="N12" s="288"/>
    </row>
    <row r="13" spans="4:14">
      <c r="D13" s="187" t="s">
        <v>92</v>
      </c>
      <c r="F13" s="288"/>
      <c r="G13" s="288"/>
      <c r="H13" s="288"/>
      <c r="I13" s="288"/>
      <c r="J13" s="288"/>
      <c r="K13" s="288"/>
      <c r="L13" s="288"/>
      <c r="M13" s="288"/>
      <c r="N13" s="288"/>
    </row>
    <row r="14" spans="3:14">
      <c r="C14" s="187" t="s">
        <v>93</v>
      </c>
      <c r="F14" s="288"/>
      <c r="G14" s="288"/>
      <c r="H14" s="288">
        <f>F15</f>
        <v>0</v>
      </c>
      <c r="I14" s="288"/>
      <c r="J14" s="288">
        <f>H15</f>
        <v>0</v>
      </c>
      <c r="K14" s="288"/>
      <c r="L14" s="288">
        <f>F15</f>
        <v>0</v>
      </c>
      <c r="M14" s="288"/>
      <c r="N14" s="288">
        <f>L15</f>
        <v>0</v>
      </c>
    </row>
    <row r="15" spans="3:14">
      <c r="C15" s="187" t="s">
        <v>94</v>
      </c>
      <c r="F15" s="288">
        <f>IF(F7-F10-F14&lt;=0,-(F7-F10-F14),0)</f>
        <v>0</v>
      </c>
      <c r="G15" s="288"/>
      <c r="H15" s="288">
        <f>IF(H7-H10-H14&lt;=0,-(H7-H10-H14),0)</f>
        <v>0</v>
      </c>
      <c r="I15" s="288"/>
      <c r="J15" s="288">
        <f>IF(J7-J10-J14&lt;=0,-(J7-J10-J14),0)</f>
        <v>0</v>
      </c>
      <c r="K15" s="288"/>
      <c r="L15" s="288">
        <f>IF(L7-L10-L14&lt;=0,-(L7-L10-L14),0)</f>
        <v>0</v>
      </c>
      <c r="M15" s="288"/>
      <c r="N15" s="288">
        <f>IF(N7-N10-N14&lt;=0,-(N7-N10-N14),0)</f>
        <v>0</v>
      </c>
    </row>
    <row r="16" spans="1:14">
      <c r="A16" s="242" t="s">
        <v>40</v>
      </c>
      <c r="B16" s="299" t="s">
        <v>40</v>
      </c>
      <c r="F16" s="288">
        <f>F21*$E$17</f>
        <v>0</v>
      </c>
      <c r="G16" s="288"/>
      <c r="H16" s="288">
        <f>H21*$E$17</f>
        <v>0</v>
      </c>
      <c r="I16" s="288"/>
      <c r="J16" s="288">
        <f>L16-H16</f>
        <v>738.593212300624</v>
      </c>
      <c r="K16" s="288"/>
      <c r="L16" s="288">
        <f>L21*$E$17</f>
        <v>738.593212300624</v>
      </c>
      <c r="M16" s="288"/>
      <c r="N16" s="288">
        <f>N21*$E$17</f>
        <v>511.40473119685</v>
      </c>
    </row>
    <row r="17" spans="1:5">
      <c r="A17" s="242"/>
      <c r="C17" s="187" t="s">
        <v>95</v>
      </c>
      <c r="E17" s="303">
        <v>0.25</v>
      </c>
    </row>
    <row r="18" spans="4:14">
      <c r="D18" s="187" t="s">
        <v>38</v>
      </c>
      <c r="F18" s="288">
        <f>' 利润表'!E7-' 利润表'!E8-' 利润表'!E12-' 利润表'!E14+' 利润表'!E15+' 利润表'!E16</f>
        <v>-122.202713150943</v>
      </c>
      <c r="G18" s="288"/>
      <c r="H18" s="288">
        <f>' 利润表'!H7-' 利润表'!H8-' 利润表'!H12-' 利润表'!H14+' 利润表'!H15+' 利润表'!H16</f>
        <v>-495.268221212601</v>
      </c>
      <c r="I18" s="288"/>
      <c r="J18" s="288">
        <f>' 利润表'!K7-' 利润表'!K8-' 利润表'!K12-' 利润表'!K14+' 利润表'!K15+' 利润表'!K16</f>
        <v>3532.84378356604</v>
      </c>
      <c r="K18" s="288"/>
      <c r="L18" s="288">
        <f>' 利润表'!N7-' 利润表'!N8-' 利润表'!N12-' 利润表'!N14+' 利润表'!N15+' 利润表'!N16</f>
        <v>3037.57556235344</v>
      </c>
      <c r="M18" s="288"/>
      <c r="N18" s="288">
        <f>' 利润表'!Q7-' 利润表'!Q8-' 利润表'!Q12-' 利润表'!Q14+' 利润表'!Q15+' 利润表'!Q16</f>
        <v>2022.6189247874</v>
      </c>
    </row>
    <row r="19" spans="4:14">
      <c r="D19" s="187" t="s">
        <v>96</v>
      </c>
      <c r="F19" s="288">
        <v>20</v>
      </c>
      <c r="G19" s="288"/>
      <c r="H19" s="288">
        <v>18</v>
      </c>
      <c r="I19" s="288"/>
      <c r="J19" s="288">
        <v>3</v>
      </c>
      <c r="K19" s="288"/>
      <c r="L19" s="288">
        <f>H19+J19</f>
        <v>21</v>
      </c>
      <c r="M19" s="288"/>
      <c r="N19" s="288">
        <v>23</v>
      </c>
    </row>
    <row r="20" spans="4:14">
      <c r="D20" s="187" t="s">
        <v>97</v>
      </c>
      <c r="F20" s="288">
        <v>2</v>
      </c>
      <c r="G20" s="288"/>
      <c r="H20" s="288"/>
      <c r="I20" s="288"/>
      <c r="J20" s="288"/>
      <c r="K20" s="288"/>
      <c r="L20" s="288">
        <f>F22</f>
        <v>104.202713150943</v>
      </c>
      <c r="M20" s="288"/>
      <c r="N20" s="288">
        <f>L22</f>
        <v>0</v>
      </c>
    </row>
    <row r="21" spans="4:14">
      <c r="D21" s="187" t="s">
        <v>98</v>
      </c>
      <c r="F21" s="288">
        <f>IF(F18+F19-F20&gt;0,F18+F19-F20,0)</f>
        <v>0</v>
      </c>
      <c r="G21" s="288"/>
      <c r="H21" s="288">
        <f>IF(H18+H19-H20&gt;0,H18+H19-H20,0)</f>
        <v>0</v>
      </c>
      <c r="I21" s="288"/>
      <c r="J21" s="288">
        <f>IF(J18+J19-J20&gt;0,J18+J19-J20,0)</f>
        <v>3535.84378356604</v>
      </c>
      <c r="K21" s="288"/>
      <c r="L21" s="288">
        <f>IF(L18+L19-L20&gt;0,L18+L19-L20,0)</f>
        <v>2954.37284920249</v>
      </c>
      <c r="M21" s="288"/>
      <c r="N21" s="288">
        <f>IF(N18+N19-N20&gt;0,N18+N19-N20,0)</f>
        <v>2045.6189247874</v>
      </c>
    </row>
    <row r="22" spans="4:14">
      <c r="D22" s="187" t="s">
        <v>99</v>
      </c>
      <c r="F22" s="288">
        <f>-IF(F18+F19-F20&lt;0,F18+F19-F20,0)</f>
        <v>104.202713150943</v>
      </c>
      <c r="G22" s="288"/>
      <c r="H22" s="288">
        <f>-IF(H18+H19-H20&lt;0,H18+H19-H20,0)</f>
        <v>477.268221212601</v>
      </c>
      <c r="I22" s="288"/>
      <c r="J22" s="288">
        <f>-IF(J18+J19-J20&lt;0,J18+J19-J20,0)</f>
        <v>0</v>
      </c>
      <c r="K22" s="288"/>
      <c r="L22" s="288">
        <f>-IF(L18+L19-L20&lt;0,L18+L19-L20,0)</f>
        <v>0</v>
      </c>
      <c r="M22" s="288"/>
      <c r="N22" s="288">
        <f>-IF(N18+N19-N20&lt;0,N18+N19-N20,0)</f>
        <v>0</v>
      </c>
    </row>
    <row r="23" spans="1:14">
      <c r="A23" s="187" t="s">
        <v>42</v>
      </c>
      <c r="B23" s="299" t="s">
        <v>42</v>
      </c>
      <c r="F23" s="288">
        <f>SUM(F24:F26)</f>
        <v>38.5433360566037</v>
      </c>
      <c r="G23" s="288"/>
      <c r="H23" s="288">
        <f>SUM(H24:H26)</f>
        <v>17.6020129999999</v>
      </c>
      <c r="I23" s="288"/>
      <c r="J23" s="288">
        <f>SUM(J24:J26)</f>
        <v>62.8079660377359</v>
      </c>
      <c r="K23" s="288"/>
      <c r="L23" s="288">
        <f>SUM(L24:L26)</f>
        <v>80.4099790377361</v>
      </c>
      <c r="M23" s="288"/>
      <c r="N23" s="288">
        <f>SUM(N24:N26)</f>
        <v>75.8866679999996</v>
      </c>
    </row>
    <row r="24" spans="3:14">
      <c r="C24" s="187" t="s">
        <v>100</v>
      </c>
      <c r="E24" s="303">
        <v>0.11</v>
      </c>
      <c r="F24" s="288">
        <f>F6*$E$24</f>
        <v>38.5433360566037</v>
      </c>
      <c r="G24" s="288"/>
      <c r="H24" s="288">
        <f>H6*$E$24</f>
        <v>17.6020129999999</v>
      </c>
      <c r="I24" s="288"/>
      <c r="J24" s="288">
        <f>J6*$E$24</f>
        <v>62.8079660377359</v>
      </c>
      <c r="K24" s="288"/>
      <c r="L24" s="288">
        <f>L6*$E$24</f>
        <v>80.4099790377361</v>
      </c>
      <c r="M24" s="288"/>
      <c r="N24" s="288">
        <f>N6*$E$24</f>
        <v>75.8866679999996</v>
      </c>
    </row>
    <row r="25" spans="3:14">
      <c r="C25" s="187" t="s">
        <v>101</v>
      </c>
      <c r="F25" s="288"/>
      <c r="G25" s="288"/>
      <c r="H25" s="288"/>
      <c r="I25" s="288"/>
      <c r="J25" s="288"/>
      <c r="K25" s="288"/>
      <c r="L25" s="288"/>
      <c r="M25" s="288"/>
      <c r="N25" s="288"/>
    </row>
    <row r="26" spans="3:14">
      <c r="C26" s="187" t="s">
        <v>51</v>
      </c>
      <c r="F26" s="288"/>
      <c r="G26" s="288"/>
      <c r="H26" s="288"/>
      <c r="I26" s="288"/>
      <c r="J26" s="288"/>
      <c r="K26" s="288"/>
      <c r="L26" s="288"/>
      <c r="M26" s="288"/>
      <c r="N26" s="288"/>
    </row>
    <row r="27" spans="6:14">
      <c r="F27" s="288"/>
      <c r="G27" s="288"/>
      <c r="H27" s="288"/>
      <c r="I27" s="288"/>
      <c r="J27" s="288"/>
      <c r="K27" s="288"/>
      <c r="L27" s="288"/>
      <c r="M27" s="288"/>
      <c r="N27" s="288"/>
    </row>
    <row r="28" spans="2:14">
      <c r="B28" s="299" t="s">
        <v>102</v>
      </c>
      <c r="F28" s="288">
        <f>SUM(F6,F16,F24:F26)</f>
        <v>388.937300207547</v>
      </c>
      <c r="G28" s="288"/>
      <c r="H28" s="288">
        <f>SUM(H6,H16,H24:H26)</f>
        <v>177.620312999999</v>
      </c>
      <c r="I28" s="288"/>
      <c r="J28" s="288">
        <f>SUM(J6,J16,J24:J26)</f>
        <v>1372.38268777232</v>
      </c>
      <c r="K28" s="288"/>
      <c r="L28" s="288">
        <f>SUM(L6,L16,L24:L26)</f>
        <v>1550.00300077232</v>
      </c>
      <c r="M28" s="288"/>
      <c r="N28" s="288">
        <f>SUM(N6,N16,N24:N26)</f>
        <v>1277.17019919685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2"/>
  <sheetViews>
    <sheetView showGridLines="0" workbookViewId="0">
      <pane xSplit="8" ySplit="4" topLeftCell="I5" activePane="bottomRight" state="frozen"/>
      <selection/>
      <selection pane="topRight"/>
      <selection pane="bottomLeft"/>
      <selection pane="bottomRight" activeCell="I5" sqref="I5"/>
    </sheetView>
  </sheetViews>
  <sheetFormatPr defaultColWidth="9" defaultRowHeight="17.4"/>
  <cols>
    <col min="1" max="1" width="8.8" style="33"/>
    <col min="2" max="2" width="2.4" style="33" customWidth="1"/>
    <col min="3" max="3" width="2.7" style="293" customWidth="1"/>
    <col min="4" max="4" width="16.5" style="33" customWidth="1"/>
    <col min="5" max="5" width="1" style="33" customWidth="1"/>
    <col min="6" max="6" width="2" style="33" customWidth="1"/>
    <col min="7" max="7" width="14.3" style="33" customWidth="1"/>
    <col min="8" max="8" width="2.1" style="33" customWidth="1"/>
    <col min="9" max="9" width="20.6" style="33" customWidth="1"/>
    <col min="10" max="10" width="2.1" style="33" customWidth="1"/>
    <col min="11" max="11" width="22.2" style="33" customWidth="1"/>
    <col min="12" max="12" width="2.1" style="33" customWidth="1"/>
    <col min="13" max="13" width="13.8" style="33" customWidth="1"/>
    <col min="14" max="14" width="2.1" style="33" customWidth="1"/>
    <col min="15" max="15" width="14.1" style="33" customWidth="1"/>
    <col min="16" max="16384" width="8.8" style="33"/>
  </cols>
  <sheetData>
    <row r="2" spans="3:15">
      <c r="C2" s="294"/>
      <c r="D2" s="295"/>
      <c r="G2" s="150" t="s">
        <v>103</v>
      </c>
      <c r="I2" s="150" t="s">
        <v>104</v>
      </c>
      <c r="K2" s="150" t="s">
        <v>105</v>
      </c>
      <c r="M2" s="150" t="s">
        <v>106</v>
      </c>
      <c r="O2" s="150" t="s">
        <v>107</v>
      </c>
    </row>
    <row r="3" ht="23.4" spans="3:15">
      <c r="C3" s="296" t="s">
        <v>18</v>
      </c>
      <c r="D3" s="295"/>
      <c r="G3" s="151" t="s">
        <v>108</v>
      </c>
      <c r="I3" s="151" t="s">
        <v>109</v>
      </c>
      <c r="K3" s="151" t="s">
        <v>110</v>
      </c>
      <c r="M3" s="151" t="s">
        <v>111</v>
      </c>
      <c r="O3" s="151" t="s">
        <v>112</v>
      </c>
    </row>
    <row r="4" spans="3:15">
      <c r="C4" s="294"/>
      <c r="D4" s="295"/>
      <c r="G4" s="152" t="s">
        <v>19</v>
      </c>
      <c r="I4" s="152" t="s">
        <v>19</v>
      </c>
      <c r="K4" s="152" t="s">
        <v>19</v>
      </c>
      <c r="M4" s="152" t="s">
        <v>19</v>
      </c>
      <c r="O4" s="152" t="s">
        <v>19</v>
      </c>
    </row>
    <row r="5" spans="2:15">
      <c r="B5" s="153"/>
      <c r="E5" s="154"/>
      <c r="F5" s="154"/>
      <c r="G5" s="297"/>
      <c r="H5" s="297"/>
      <c r="I5" s="297"/>
      <c r="J5" s="297"/>
      <c r="K5" s="297"/>
      <c r="L5" s="297"/>
      <c r="M5" s="297"/>
      <c r="N5" s="297"/>
      <c r="O5" s="297"/>
    </row>
    <row r="6" spans="3:15">
      <c r="C6" s="293" t="s">
        <v>113</v>
      </c>
      <c r="D6" s="154"/>
      <c r="E6" s="157"/>
      <c r="F6" s="157"/>
      <c r="G6" s="297">
        <f>SUM(G7:G8)</f>
        <v>3</v>
      </c>
      <c r="H6" s="297"/>
      <c r="I6" s="297">
        <f>SUM(I7:I8)</f>
        <v>2</v>
      </c>
      <c r="J6" s="297"/>
      <c r="K6" s="297">
        <f>SUM(K7:K8)</f>
        <v>1</v>
      </c>
      <c r="L6" s="297"/>
      <c r="M6" s="297">
        <f>SUM(M7:M8)</f>
        <v>3</v>
      </c>
      <c r="N6" s="297"/>
      <c r="O6" s="297">
        <f>SUM(O7:O8)</f>
        <v>4</v>
      </c>
    </row>
    <row r="7" spans="4:15">
      <c r="D7" s="156" t="s">
        <v>114</v>
      </c>
      <c r="E7" s="157"/>
      <c r="F7" s="157"/>
      <c r="G7" s="297">
        <v>3</v>
      </c>
      <c r="H7" s="297"/>
      <c r="I7" s="297">
        <v>2</v>
      </c>
      <c r="J7" s="297"/>
      <c r="K7" s="297">
        <v>1</v>
      </c>
      <c r="L7" s="297"/>
      <c r="M7" s="297">
        <f>I7+K7</f>
        <v>3</v>
      </c>
      <c r="N7" s="297"/>
      <c r="O7" s="297">
        <v>4</v>
      </c>
    </row>
    <row r="8" spans="4:15">
      <c r="D8" s="156" t="s">
        <v>51</v>
      </c>
      <c r="E8" s="157"/>
      <c r="F8" s="157"/>
      <c r="G8" s="297"/>
      <c r="H8" s="297"/>
      <c r="I8" s="297"/>
      <c r="J8" s="297"/>
      <c r="K8" s="297"/>
      <c r="L8" s="297"/>
      <c r="M8" s="297"/>
      <c r="N8" s="297"/>
      <c r="O8" s="297"/>
    </row>
    <row r="9" spans="4:15">
      <c r="D9" s="156"/>
      <c r="E9" s="157"/>
      <c r="F9" s="157"/>
      <c r="G9" s="297"/>
      <c r="H9" s="297"/>
      <c r="I9" s="297"/>
      <c r="J9" s="297"/>
      <c r="K9" s="297"/>
      <c r="L9" s="297"/>
      <c r="M9" s="297"/>
      <c r="N9" s="297"/>
      <c r="O9" s="297"/>
    </row>
    <row r="10" spans="3:15">
      <c r="C10" s="293" t="s">
        <v>115</v>
      </c>
      <c r="D10" s="156"/>
      <c r="E10" s="157"/>
      <c r="F10" s="157"/>
      <c r="G10" s="297">
        <f>SUM(G11:G12)</f>
        <v>2</v>
      </c>
      <c r="H10" s="297"/>
      <c r="I10" s="297">
        <f>SUM(I11:I12)</f>
        <v>1</v>
      </c>
      <c r="J10" s="297"/>
      <c r="K10" s="297">
        <f>SUM(K11:K12)</f>
        <v>0.5</v>
      </c>
      <c r="L10" s="297"/>
      <c r="M10" s="297">
        <f>SUM(M11:M12)</f>
        <v>1.5</v>
      </c>
      <c r="N10" s="297"/>
      <c r="O10" s="297">
        <f>SUM(O11:O12)</f>
        <v>3</v>
      </c>
    </row>
    <row r="11" spans="4:15">
      <c r="D11" s="156" t="s">
        <v>116</v>
      </c>
      <c r="E11" s="157"/>
      <c r="F11" s="157"/>
      <c r="G11" s="297">
        <v>2</v>
      </c>
      <c r="H11" s="297"/>
      <c r="I11" s="297">
        <v>1</v>
      </c>
      <c r="J11" s="297"/>
      <c r="K11" s="297">
        <v>0.5</v>
      </c>
      <c r="L11" s="297"/>
      <c r="M11" s="297">
        <f>I11+K11</f>
        <v>1.5</v>
      </c>
      <c r="N11" s="297"/>
      <c r="O11" s="297">
        <v>3</v>
      </c>
    </row>
    <row r="12" spans="4:15">
      <c r="D12" s="156" t="s">
        <v>51</v>
      </c>
      <c r="E12" s="157"/>
      <c r="F12" s="157"/>
      <c r="G12" s="297"/>
      <c r="H12" s="297"/>
      <c r="I12" s="297"/>
      <c r="J12" s="297"/>
      <c r="K12" s="297"/>
      <c r="L12" s="297"/>
      <c r="M12" s="297"/>
      <c r="N12" s="297"/>
      <c r="O12" s="297"/>
    </row>
    <row r="13" spans="4:15">
      <c r="D13" s="156"/>
      <c r="E13" s="157"/>
      <c r="F13" s="157"/>
      <c r="G13" s="297"/>
      <c r="H13" s="297"/>
      <c r="I13" s="297"/>
      <c r="J13" s="297"/>
      <c r="K13" s="297"/>
      <c r="L13" s="297"/>
      <c r="M13" s="297"/>
      <c r="N13" s="297"/>
      <c r="O13" s="297"/>
    </row>
    <row r="14" spans="3:15">
      <c r="C14" s="293" t="s">
        <v>117</v>
      </c>
      <c r="D14" s="156"/>
      <c r="E14" s="157"/>
      <c r="F14" s="157"/>
      <c r="G14" s="297">
        <f>G6-G10</f>
        <v>1</v>
      </c>
      <c r="H14" s="297"/>
      <c r="I14" s="297">
        <f>I6-I10</f>
        <v>1</v>
      </c>
      <c r="J14" s="297"/>
      <c r="K14" s="297">
        <f>K6-K10</f>
        <v>0.5</v>
      </c>
      <c r="L14" s="297"/>
      <c r="M14" s="297">
        <f>M6-M10</f>
        <v>1.5</v>
      </c>
      <c r="N14" s="297"/>
      <c r="O14" s="297">
        <f>O6-O10</f>
        <v>1</v>
      </c>
    </row>
    <row r="15" spans="4:15">
      <c r="D15" s="156"/>
      <c r="E15" s="157"/>
      <c r="F15" s="157"/>
      <c r="G15" s="297"/>
      <c r="H15" s="297"/>
      <c r="I15" s="297"/>
      <c r="J15" s="297"/>
      <c r="K15" s="297"/>
      <c r="L15" s="297"/>
      <c r="M15" s="297"/>
      <c r="N15" s="297"/>
      <c r="O15" s="297"/>
    </row>
    <row r="16" spans="4:15">
      <c r="D16" s="156"/>
      <c r="E16" s="157"/>
      <c r="F16" s="157"/>
      <c r="G16" s="297"/>
      <c r="H16" s="297"/>
      <c r="I16" s="297"/>
      <c r="J16" s="297"/>
      <c r="K16" s="297"/>
      <c r="L16" s="297"/>
      <c r="M16" s="297"/>
      <c r="N16" s="297"/>
      <c r="O16" s="297"/>
    </row>
    <row r="17" spans="3:15">
      <c r="C17" s="293" t="s">
        <v>35</v>
      </c>
      <c r="D17" s="156"/>
      <c r="E17" s="157"/>
      <c r="F17" s="157"/>
      <c r="G17" s="297">
        <f>-G18+G19+G20</f>
        <v>1.9</v>
      </c>
      <c r="H17" s="297"/>
      <c r="I17" s="297">
        <f>-I18+I19+I20</f>
        <v>1.5</v>
      </c>
      <c r="J17" s="297"/>
      <c r="K17" s="297">
        <f>-K18+K19+K20</f>
        <v>2.4</v>
      </c>
      <c r="L17" s="297"/>
      <c r="M17" s="297">
        <f>-M18+M19+M20</f>
        <v>3.9</v>
      </c>
      <c r="N17" s="297"/>
      <c r="O17" s="297">
        <f>-O18+O19+O20</f>
        <v>-0.5</v>
      </c>
    </row>
    <row r="18" spans="4:15">
      <c r="D18" s="156" t="s">
        <v>118</v>
      </c>
      <c r="E18" s="157"/>
      <c r="F18" s="157"/>
      <c r="G18" s="297">
        <v>2</v>
      </c>
      <c r="H18" s="297"/>
      <c r="I18" s="297">
        <v>1</v>
      </c>
      <c r="J18" s="297"/>
      <c r="K18" s="297">
        <v>1</v>
      </c>
      <c r="L18" s="297"/>
      <c r="M18" s="297">
        <f t="shared" ref="M18:M20" si="0">I18+K18</f>
        <v>2</v>
      </c>
      <c r="N18" s="297"/>
      <c r="O18" s="297">
        <v>3</v>
      </c>
    </row>
    <row r="19" spans="4:15">
      <c r="D19" s="156" t="s">
        <v>119</v>
      </c>
      <c r="E19" s="157"/>
      <c r="F19" s="157"/>
      <c r="G19" s="297">
        <v>3</v>
      </c>
      <c r="H19" s="297"/>
      <c r="I19" s="297">
        <v>2</v>
      </c>
      <c r="J19" s="297"/>
      <c r="K19" s="297">
        <v>3</v>
      </c>
      <c r="L19" s="297"/>
      <c r="M19" s="297">
        <f t="shared" si="0"/>
        <v>5</v>
      </c>
      <c r="N19" s="297"/>
      <c r="O19" s="297">
        <v>2</v>
      </c>
    </row>
    <row r="20" spans="4:15">
      <c r="D20" s="159" t="s">
        <v>120</v>
      </c>
      <c r="E20" s="157"/>
      <c r="F20" s="157"/>
      <c r="G20" s="297">
        <v>0.9</v>
      </c>
      <c r="H20" s="297"/>
      <c r="I20" s="297">
        <v>0.5</v>
      </c>
      <c r="J20" s="297"/>
      <c r="K20" s="297">
        <v>0.4</v>
      </c>
      <c r="L20" s="297"/>
      <c r="M20" s="297">
        <f t="shared" si="0"/>
        <v>0.9</v>
      </c>
      <c r="N20" s="297"/>
      <c r="O20" s="297">
        <v>0.5</v>
      </c>
    </row>
    <row r="21" spans="7:15">
      <c r="G21" s="298"/>
      <c r="H21" s="298"/>
      <c r="I21" s="298"/>
      <c r="J21" s="298"/>
      <c r="K21" s="298"/>
      <c r="L21" s="298"/>
      <c r="M21" s="298"/>
      <c r="N21" s="298"/>
      <c r="O21" s="298"/>
    </row>
    <row r="22" spans="3:3">
      <c r="C22" s="293" t="s">
        <v>36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showGridLines="0" zoomScale="85" zoomScaleNormal="85" workbookViewId="0">
      <pane xSplit="4" ySplit="4" topLeftCell="E5" activePane="bottomRight" state="frozen"/>
      <selection/>
      <selection pane="topRight"/>
      <selection pane="bottomLeft"/>
      <selection pane="bottomRight" activeCell="O16" sqref="O16"/>
    </sheetView>
  </sheetViews>
  <sheetFormatPr defaultColWidth="9" defaultRowHeight="17.4"/>
  <cols>
    <col min="1" max="1" width="13.7" style="187" customWidth="1"/>
    <col min="2" max="2" width="5.1" style="280" customWidth="1"/>
    <col min="3" max="3" width="17.3" style="187" customWidth="1"/>
    <col min="4" max="4" width="1.1" style="200" customWidth="1"/>
    <col min="5" max="5" width="11.8" style="187" customWidth="1"/>
    <col min="6" max="6" width="1.1" style="200" customWidth="1"/>
    <col min="7" max="7" width="15.1" style="187" customWidth="1"/>
    <col min="8" max="8" width="1.1" style="200" customWidth="1"/>
    <col min="9" max="9" width="15.1" style="187" customWidth="1"/>
    <col min="10" max="10" width="1.1" style="200" customWidth="1"/>
    <col min="11" max="11" width="15.1" style="187" customWidth="1"/>
    <col min="12" max="12" width="1.1" style="200" customWidth="1"/>
    <col min="13" max="13" width="15.1" style="187" customWidth="1"/>
    <col min="14" max="14" width="2.2" style="187" customWidth="1"/>
    <col min="15" max="16384" width="8.8" style="187"/>
  </cols>
  <sheetData>
    <row r="1" spans="2:2">
      <c r="B1" s="187"/>
    </row>
    <row r="2" spans="2:2">
      <c r="B2" s="187" t="s">
        <v>121</v>
      </c>
    </row>
    <row r="3" spans="2:13">
      <c r="B3" s="281" t="s">
        <v>18</v>
      </c>
      <c r="C3" s="281"/>
      <c r="E3" s="194" t="str">
        <f>"实际"&amp;YEAR(主页!$D$5)-1&amp;"全年"</f>
        <v>实际2020全年</v>
      </c>
      <c r="G3" s="194" t="str">
        <f>"实际"&amp;"截止"&amp;YEAR(主页!$D$5)-1&amp;"年"&amp;MONTH(主页!$D$5)&amp;"月"</f>
        <v>实际截止2020年9月</v>
      </c>
      <c r="I3" s="194" t="str">
        <f>"估计"&amp;"从"&amp;YEAR(主页!$D$5)-1&amp;"年"&amp;MONTH(主页!$D$5)+1&amp;"月到年底"</f>
        <v>估计从2020年10月到年底</v>
      </c>
      <c r="K3" s="194" t="str">
        <f>"估计"&amp;YEAR(主页!$D$5)&amp;"全年"</f>
        <v>估计2021全年</v>
      </c>
      <c r="M3" s="194" t="str">
        <f>"预算"&amp;YEAR(主页!$D$5)+1&amp;"全年"</f>
        <v>预算2022全年</v>
      </c>
    </row>
    <row r="4" customHeight="1" spans="2:18">
      <c r="B4" s="281"/>
      <c r="C4" s="281"/>
      <c r="D4" s="282"/>
      <c r="E4" s="283" t="str">
        <f>"A"&amp;YEAR(主页!$D$5)-1&amp;"FY"</f>
        <v>A2020FY</v>
      </c>
      <c r="F4" s="282"/>
      <c r="G4" s="283" t="str">
        <f>"A"&amp;YEAR(主页!$D$5)&amp;TEXT(MONTH(主页!$D$5),"00")&amp;"YTD"</f>
        <v>A202109YTD</v>
      </c>
      <c r="H4" s="282"/>
      <c r="I4" s="283" t="str">
        <f>"E"&amp;YEAR(主页!$D$5)&amp;TEXT(MONTH(主页!$D$5),"00")&amp;"YTG"</f>
        <v>E202109YTG</v>
      </c>
      <c r="J4" s="282"/>
      <c r="K4" s="283" t="str">
        <f>"E"&amp;YEAR(主页!$D$5)&amp;"FY"</f>
        <v>E2021FY</v>
      </c>
      <c r="L4" s="282"/>
      <c r="M4" s="283" t="str">
        <f>"B"&amp;YEAR(主页!$D$5)+1&amp;"FY"</f>
        <v>B2022FY</v>
      </c>
      <c r="N4" s="290"/>
      <c r="P4" s="290"/>
      <c r="Q4" s="290"/>
      <c r="R4" s="290"/>
    </row>
    <row r="5" spans="2:2">
      <c r="B5" s="284" t="s">
        <v>122</v>
      </c>
    </row>
    <row r="6" spans="3:13">
      <c r="C6" s="200" t="s">
        <v>123</v>
      </c>
      <c r="E6" s="285">
        <f>SUMIFS(销售差异分析底稿!$G:$G,销售差异分析底稿!$E:$E,LEFT($B$5,2))</f>
        <v>3300</v>
      </c>
      <c r="G6" s="285">
        <f>SUMIFS(销售差异分析底稿!J:J,销售差异分析底稿!$E:$E,LEFT($B$5,2))</f>
        <v>1800</v>
      </c>
      <c r="I6" s="285">
        <f>SUMIFS(销售差异分析底稿!M:M,销售差异分析底稿!$E:$E,LEFT($B$5,2))</f>
        <v>1800</v>
      </c>
      <c r="K6" s="285">
        <f>SUMIFS(销售差异分析底稿!P:P,销售差异分析底稿!$E:$E,LEFT($B$5,2))</f>
        <v>3600</v>
      </c>
      <c r="M6" s="285">
        <f>SUMIFS(销售差异分析底稿!AF:AF,销售差异分析底稿!$E:$E,LEFT($B$5,2))</f>
        <v>4800</v>
      </c>
    </row>
    <row r="7" spans="3:13">
      <c r="C7" s="187" t="s">
        <v>124</v>
      </c>
      <c r="E7" s="286">
        <f>E6-E8</f>
        <v>2970</v>
      </c>
      <c r="G7" s="286">
        <f>G6-G8</f>
        <v>1500</v>
      </c>
      <c r="I7" s="286">
        <f>I6-I8</f>
        <v>1050</v>
      </c>
      <c r="K7" s="286">
        <f>K6-K8</f>
        <v>2550</v>
      </c>
      <c r="M7" s="286">
        <f>M6-M8</f>
        <v>3920</v>
      </c>
    </row>
    <row r="8" spans="3:13">
      <c r="C8" s="200" t="s">
        <v>24</v>
      </c>
      <c r="E8" s="285">
        <f>SUMIFS(销售差异分析底稿!$H:$H,销售差异分析底稿!$E:$E,LEFT($B$5,2))</f>
        <v>330</v>
      </c>
      <c r="G8" s="285">
        <f>SUMIFS(销售差异分析底稿!K:K,销售差异分析底稿!$E:$E,LEFT($B$5,2))</f>
        <v>300</v>
      </c>
      <c r="I8" s="285">
        <f>SUMIFS(销售差异分析底稿!N:N,销售差异分析底稿!$E:$E,LEFT($B$5,2))</f>
        <v>750</v>
      </c>
      <c r="K8" s="285">
        <f>SUMIFS(销售差异分析底稿!Q:Q,销售差异分析底稿!$E:$E,LEFT($B$5,2))</f>
        <v>1050</v>
      </c>
      <c r="M8" s="285">
        <f>SUMIFS(销售差异分析底稿!AG:AG,销售差异分析底稿!$E:$E,LEFT($B$5,2))</f>
        <v>880</v>
      </c>
    </row>
    <row r="9" spans="3:13">
      <c r="C9" s="200" t="s">
        <v>125</v>
      </c>
      <c r="E9" s="287">
        <f>IFERROR(E8/E6,0)</f>
        <v>0.1</v>
      </c>
      <c r="G9" s="287">
        <f>IFERROR(G8/G6,0)</f>
        <v>0.166666666666667</v>
      </c>
      <c r="I9" s="287">
        <f>IFERROR(I8/I6,0)</f>
        <v>0.416666666666667</v>
      </c>
      <c r="K9" s="287">
        <f>IFERROR(K8/K6,0)</f>
        <v>0.291666666666667</v>
      </c>
      <c r="M9" s="287">
        <f>IFERROR(M8/M6,0)</f>
        <v>0.183333333333333</v>
      </c>
    </row>
    <row r="10" spans="3:13">
      <c r="C10" s="200"/>
      <c r="E10" s="288"/>
      <c r="G10" s="288"/>
      <c r="I10" s="288"/>
      <c r="K10" s="288"/>
      <c r="M10" s="288"/>
    </row>
    <row r="11" spans="2:13">
      <c r="B11" s="280" t="s">
        <v>126</v>
      </c>
      <c r="E11" s="288"/>
      <c r="G11" s="288"/>
      <c r="I11" s="288"/>
      <c r="K11" s="288"/>
      <c r="M11" s="288"/>
    </row>
    <row r="12" spans="3:13">
      <c r="C12" s="200" t="s">
        <v>123</v>
      </c>
      <c r="E12" s="285">
        <f>SUMIFS(销售差异分析底稿!$G:$G,销售差异分析底稿!$E:$E,LEFT($B$11,2))</f>
        <v>6180</v>
      </c>
      <c r="G12" s="285">
        <f>SUMIFS(销售差异分析底稿!J:J,销售差异分析底稿!$E:$E,LEFT($B$11,2))</f>
        <v>3200</v>
      </c>
      <c r="I12" s="285">
        <f>SUMIFS(销售差异分析底稿!M:M,销售差异分析底稿!$E:$E,LEFT($B$11,2))</f>
        <v>7680</v>
      </c>
      <c r="K12" s="285">
        <f>SUMIFS(销售差异分析底稿!P:P,销售差异分析底稿!$E:$E,LEFT($B$11,2))</f>
        <v>10880</v>
      </c>
      <c r="M12" s="285">
        <f>SUMIFS(销售差异分析底稿!AF:AF,销售差异分析底稿!$E:$E,LEFT($B$11,2))</f>
        <v>19200</v>
      </c>
    </row>
    <row r="13" spans="3:13">
      <c r="C13" s="200" t="s">
        <v>124</v>
      </c>
      <c r="E13" s="286">
        <f>E12-E14</f>
        <v>4830</v>
      </c>
      <c r="G13" s="286">
        <f>G12-G14</f>
        <v>2520</v>
      </c>
      <c r="I13" s="286">
        <f>I12-I14</f>
        <v>4461</v>
      </c>
      <c r="K13" s="286">
        <f>K12-K14</f>
        <v>6981</v>
      </c>
      <c r="M13" s="286">
        <f>M12-M14</f>
        <v>16827</v>
      </c>
    </row>
    <row r="14" spans="3:13">
      <c r="C14" s="200" t="s">
        <v>24</v>
      </c>
      <c r="E14" s="285">
        <f>SUMIFS(销售差异分析底稿!$H:$H,销售差异分析底稿!$E:$E,LEFT($B$11,2))</f>
        <v>1350</v>
      </c>
      <c r="G14" s="285">
        <f>SUMIFS(销售差异分析底稿!K:K,销售差异分析底稿!$E:$E,LEFT($B$11,2))</f>
        <v>680</v>
      </c>
      <c r="I14" s="285">
        <f>SUMIFS(销售差异分析底稿!N:N,销售差异分析底稿!$E:$E,LEFT($B$11,2))</f>
        <v>3219</v>
      </c>
      <c r="K14" s="285">
        <f>SUMIFS(销售差异分析底稿!Q:Q,销售差异分析底稿!$E:$E,LEFT($B$11,2))</f>
        <v>3899</v>
      </c>
      <c r="M14" s="285">
        <f>SUMIFS(销售差异分析底稿!AG:AG,销售差异分析底稿!$E:$E,LEFT($B$11,2))</f>
        <v>2373</v>
      </c>
    </row>
    <row r="15" spans="3:13">
      <c r="C15" s="200" t="s">
        <v>125</v>
      </c>
      <c r="E15" s="287">
        <f>IFERROR(E14/E12,0)</f>
        <v>0.218446601941748</v>
      </c>
      <c r="G15" s="287">
        <f>IFERROR(G14/G12,0)</f>
        <v>0.2125</v>
      </c>
      <c r="I15" s="287">
        <f>IFERROR(I14/I12,0)</f>
        <v>0.419140625</v>
      </c>
      <c r="K15" s="287">
        <f>IFERROR(K14/K12,0)</f>
        <v>0.358363970588235</v>
      </c>
      <c r="M15" s="287">
        <f>IFERROR(M14/M12,0)</f>
        <v>0.12359375</v>
      </c>
    </row>
    <row r="16" spans="3:13">
      <c r="C16" s="200"/>
      <c r="E16" s="288"/>
      <c r="G16" s="288"/>
      <c r="I16" s="288"/>
      <c r="K16" s="288"/>
      <c r="M16" s="288"/>
    </row>
    <row r="17" spans="2:13">
      <c r="B17" s="280" t="s">
        <v>127</v>
      </c>
      <c r="C17" s="200"/>
      <c r="E17" s="288"/>
      <c r="G17" s="288"/>
      <c r="I17" s="288"/>
      <c r="K17" s="288"/>
      <c r="M17" s="288"/>
    </row>
    <row r="18" spans="3:13">
      <c r="C18" s="187" t="s">
        <v>123</v>
      </c>
      <c r="E18" s="285">
        <f>SUMIFS(销售差异分析底稿!$G:$G,销售差异分析底稿!$E:$E,$B$17)</f>
        <v>566.037735849057</v>
      </c>
      <c r="G18" s="285">
        <f>SUMIFS(销售差异分析底稿!J:J,销售差异分析底稿!$E:$E,$B$17)</f>
        <v>0</v>
      </c>
      <c r="I18" s="285">
        <f>SUMIFS(销售差异分析底稿!M:M,销售差异分析底稿!$E:$E,$B$17)</f>
        <v>377.358490566038</v>
      </c>
      <c r="K18" s="285">
        <f>SUMIFS(销售差异分析底稿!P:P,销售差异分析底稿!$E:$E,$B$17)</f>
        <v>377.358490566038</v>
      </c>
      <c r="M18" s="285">
        <f>SUMIFS(销售差异分析底稿!AF:AF,销售差异分析底稿!$E:$E,$B$17)</f>
        <v>2600</v>
      </c>
    </row>
    <row r="19" spans="3:13">
      <c r="C19" s="200" t="s">
        <v>124</v>
      </c>
      <c r="E19" s="286">
        <f>E18-E20</f>
        <v>360</v>
      </c>
      <c r="G19" s="286">
        <f>G18-G20</f>
        <v>0</v>
      </c>
      <c r="I19" s="286">
        <f>I18-I20</f>
        <v>240</v>
      </c>
      <c r="K19" s="286">
        <f>K18-K20</f>
        <v>240</v>
      </c>
      <c r="M19" s="286">
        <f>M18-M20</f>
        <v>1062</v>
      </c>
    </row>
    <row r="20" spans="3:13">
      <c r="C20" s="200" t="s">
        <v>24</v>
      </c>
      <c r="E20" s="285">
        <f>SUMIFS(销售差异分析底稿!$H:$H,销售差异分析底稿!$E:$E,$B$17)</f>
        <v>206.037735849057</v>
      </c>
      <c r="G20" s="285">
        <f>SUMIFS(销售差异分析底稿!K:K,销售差异分析底稿!$E:$E,$B$17)</f>
        <v>0</v>
      </c>
      <c r="I20" s="285">
        <f>SUMIFS(销售差异分析底稿!N:N,销售差异分析底稿!$E:$E,$B$17)</f>
        <v>137.358490566038</v>
      </c>
      <c r="K20" s="285">
        <f>SUMIFS(销售差异分析底稿!Q:Q,销售差异分析底稿!$E:$E,$B$17)</f>
        <v>137.358490566038</v>
      </c>
      <c r="M20" s="285">
        <f>SUMIFS(销售差异分析底稿!AG:AG,销售差异分析底稿!$E:$E,$B$17)</f>
        <v>1538</v>
      </c>
    </row>
    <row r="21" spans="3:13">
      <c r="C21" s="200" t="s">
        <v>125</v>
      </c>
      <c r="E21" s="287">
        <f>IFERROR(E20/E18,0)</f>
        <v>0.364</v>
      </c>
      <c r="G21" s="287">
        <f>IFERROR(G20/G18,0)</f>
        <v>0</v>
      </c>
      <c r="I21" s="287">
        <f>IFERROR(I20/I18,0)</f>
        <v>0.364</v>
      </c>
      <c r="K21" s="287">
        <f>IFERROR(K20/K18,0)</f>
        <v>0.364</v>
      </c>
      <c r="M21" s="287">
        <f>IFERROR(M20/M18,0)</f>
        <v>0.591538461538462</v>
      </c>
    </row>
    <row r="22" spans="2:13">
      <c r="B22" s="289"/>
      <c r="E22" s="288"/>
      <c r="G22" s="288"/>
      <c r="I22" s="288"/>
      <c r="K22" s="288"/>
      <c r="M22" s="288"/>
    </row>
    <row r="23" spans="2:13">
      <c r="B23" s="289" t="s">
        <v>128</v>
      </c>
      <c r="E23" s="288"/>
      <c r="G23" s="288"/>
      <c r="I23" s="288"/>
      <c r="K23" s="288"/>
      <c r="M23" s="288"/>
    </row>
    <row r="24" spans="1:14">
      <c r="A24" s="242" t="s">
        <v>21</v>
      </c>
      <c r="C24" s="187" t="s">
        <v>123</v>
      </c>
      <c r="E24" s="285">
        <f>SUMIFS(销售差异分析底稿!$G:$G,销售差异分析底稿!$E:$E,"*")</f>
        <v>10046.0377358491</v>
      </c>
      <c r="G24" s="285">
        <f>SUMIFS(销售差异分析底稿!J:J,销售差异分析底稿!$E:$E,"*")</f>
        <v>5000</v>
      </c>
      <c r="I24" s="285">
        <f>SUMIFS(销售差异分析底稿!M:M,销售差异分析底稿!$E:$E,"*")</f>
        <v>9857.35849056604</v>
      </c>
      <c r="K24" s="285">
        <f>SUMIFS(销售差异分析底稿!P:P,销售差异分析底稿!$E:$E,"*")</f>
        <v>14857.358490566</v>
      </c>
      <c r="M24" s="285">
        <f>SUMIFS(销售差异分析底稿!AF:AF,销售差异分析底稿!$E:$E,"*")</f>
        <v>26600</v>
      </c>
      <c r="N24" s="291">
        <f>ROUND(M24-SUM(M6,M12,M18),0)</f>
        <v>0</v>
      </c>
    </row>
    <row r="25" spans="1:14">
      <c r="A25" s="242" t="s">
        <v>23</v>
      </c>
      <c r="C25" s="200" t="s">
        <v>124</v>
      </c>
      <c r="E25" s="286">
        <f>E24-E26</f>
        <v>8160</v>
      </c>
      <c r="G25" s="286">
        <f>G24-G26</f>
        <v>4020</v>
      </c>
      <c r="I25" s="286">
        <f>I24-I26</f>
        <v>5751</v>
      </c>
      <c r="K25" s="286">
        <f>K24-K26</f>
        <v>9771</v>
      </c>
      <c r="M25" s="286">
        <f>M24-M26</f>
        <v>21809</v>
      </c>
      <c r="N25" s="291">
        <f t="shared" ref="N25" si="0">ROUND(M25-SUM(M7,M13,M19),0)</f>
        <v>0</v>
      </c>
    </row>
    <row r="26" spans="3:14">
      <c r="C26" s="200" t="s">
        <v>24</v>
      </c>
      <c r="E26" s="285">
        <f>SUMIFS(销售差异分析底稿!$H:$H,销售差异分析底稿!$E:$E,"*")</f>
        <v>1886.03773584906</v>
      </c>
      <c r="G26" s="285">
        <f>SUMIFS(销售差异分析底稿!K:K,销售差异分析底稿!$E:$E,"*")</f>
        <v>980</v>
      </c>
      <c r="I26" s="285">
        <f>SUMIFS(销售差异分析底稿!N:N,销售差异分析底稿!$E:$E,"*")</f>
        <v>4106.35849056604</v>
      </c>
      <c r="K26" s="285">
        <f>SUMIFS(销售差异分析底稿!Q:Q,销售差异分析底稿!$E:$E,"*")</f>
        <v>5086.35849056604</v>
      </c>
      <c r="M26" s="285">
        <f>SUMIFS(销售差异分析底稿!AG:AG,销售差异分析底稿!$E:$E,"*")</f>
        <v>4791</v>
      </c>
      <c r="N26" s="291">
        <f t="shared" ref="N26" si="1">ROUND(M26-SUM(M8,M14,M20),0)</f>
        <v>0</v>
      </c>
    </row>
    <row r="27" spans="3:14">
      <c r="C27" s="200" t="s">
        <v>125</v>
      </c>
      <c r="E27" s="287">
        <f>IFERROR(E26/E24,0)</f>
        <v>0.187739463601533</v>
      </c>
      <c r="G27" s="287">
        <f>IFERROR(G26/G24,0)</f>
        <v>0.196</v>
      </c>
      <c r="I27" s="287">
        <f>IFERROR(I26/I24,0)</f>
        <v>0.416577980246535</v>
      </c>
      <c r="K27" s="287">
        <f>IFERROR(K26/K24,0)</f>
        <v>0.342346083511125</v>
      </c>
      <c r="M27" s="287">
        <f>IFERROR(M26/M24,0)</f>
        <v>0.180112781954887</v>
      </c>
      <c r="N27" s="292"/>
    </row>
  </sheetData>
  <mergeCells count="1">
    <mergeCell ref="B3:C4"/>
  </mergeCells>
  <conditionalFormatting sqref="N24:N27">
    <cfRule type="cellIs" dxfId="0" priority="4" stopIfTrue="1" operator="not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25"/>
  <sheetViews>
    <sheetView showGridLines="0" zoomScale="80" zoomScaleNormal="80" workbookViewId="0">
      <pane xSplit="9" ySplit="5" topLeftCell="J6" activePane="bottomRight" state="frozen"/>
      <selection/>
      <selection pane="topRight"/>
      <selection pane="bottomLeft"/>
      <selection pane="bottomRight" activeCell="X28" sqref="X28"/>
    </sheetView>
  </sheetViews>
  <sheetFormatPr defaultColWidth="9" defaultRowHeight="17.4"/>
  <cols>
    <col min="1" max="1" width="8.8" style="187"/>
    <col min="2" max="2" width="8.3" style="187" customWidth="1"/>
    <col min="3" max="3" width="5.2" style="187" customWidth="1"/>
    <col min="4" max="4" width="16.3" style="187" customWidth="1"/>
    <col min="5" max="5" width="0.8" style="200" customWidth="1"/>
    <col min="6" max="6" width="13.7" style="187" customWidth="1"/>
    <col min="7" max="7" width="5.6" style="187" customWidth="1"/>
    <col min="8" max="8" width="12.6" style="187" customWidth="1"/>
    <col min="9" max="9" width="1" style="187" customWidth="1"/>
    <col min="10" max="10" width="13.7" style="187" customWidth="1" outlineLevel="1"/>
    <col min="11" max="11" width="5.6" style="187" customWidth="1" outlineLevel="1"/>
    <col min="12" max="12" width="12.6" style="187" customWidth="1" outlineLevel="1"/>
    <col min="13" max="13" width="1" style="187" customWidth="1" outlineLevel="1"/>
    <col min="14" max="14" width="15.9" style="187" customWidth="1" outlineLevel="1"/>
    <col min="15" max="15" width="5.6" style="187" customWidth="1" outlineLevel="1"/>
    <col min="16" max="16" width="12.6" style="187" customWidth="1" outlineLevel="1"/>
    <col min="17" max="17" width="0.9" style="187" customWidth="1" outlineLevel="1"/>
    <col min="18" max="18" width="13.7" style="187" customWidth="1"/>
    <col min="19" max="19" width="5.6" style="187" customWidth="1"/>
    <col min="20" max="20" width="12.6" style="187" customWidth="1"/>
    <col min="21" max="21" width="1.8" style="187" customWidth="1"/>
    <col min="22" max="22" width="13.7" style="187" customWidth="1"/>
    <col min="23" max="23" width="8.8" style="187"/>
    <col min="24" max="24" width="12.6" style="187" customWidth="1"/>
    <col min="25" max="25" width="2.2" style="187" customWidth="1"/>
    <col min="26" max="16384" width="8.8" style="187"/>
  </cols>
  <sheetData>
    <row r="2" spans="2:2">
      <c r="B2" s="187" t="s">
        <v>121</v>
      </c>
    </row>
    <row r="3" spans="2:24">
      <c r="B3" s="220" t="s">
        <v>129</v>
      </c>
      <c r="C3" s="221"/>
      <c r="D3" s="222"/>
      <c r="E3" s="193"/>
      <c r="F3" s="223" t="str">
        <f>"实际"&amp;YEAR(主页!$D$5)-1&amp;"全年"</f>
        <v>实际2020全年</v>
      </c>
      <c r="G3" s="223"/>
      <c r="H3" s="223"/>
      <c r="J3" s="223" t="str">
        <f>"实际"&amp;"截止"&amp;YEAR(主页!$D$5)-1&amp;"年"&amp;MONTH(主页!$D$5)&amp;"月"</f>
        <v>实际截止2020年9月</v>
      </c>
      <c r="K3" s="223"/>
      <c r="L3" s="223"/>
      <c r="M3" s="199"/>
      <c r="N3" s="223" t="str">
        <f>"估计"&amp;"从"&amp;YEAR(主页!$D$5)-1&amp;"年"&amp;MONTH(主页!$D$5)+1&amp;"月到年底"</f>
        <v>估计从2020年10月到年底</v>
      </c>
      <c r="O3" s="223"/>
      <c r="P3" s="223"/>
      <c r="Q3" s="199"/>
      <c r="R3" s="223" t="str">
        <f>"估计"&amp;YEAR(主页!$D$5)&amp;"全年"</f>
        <v>估计2021全年</v>
      </c>
      <c r="S3" s="223"/>
      <c r="T3" s="223"/>
      <c r="U3" s="199"/>
      <c r="V3" s="223" t="str">
        <f>"预算"&amp;YEAR(主页!$D$5)+1&amp;"全年"</f>
        <v>预算2022全年</v>
      </c>
      <c r="W3" s="223"/>
      <c r="X3" s="223"/>
    </row>
    <row r="4" customHeight="1" spans="2:24">
      <c r="B4" s="224"/>
      <c r="C4" s="196"/>
      <c r="D4" s="225"/>
      <c r="E4" s="193"/>
      <c r="F4" s="226" t="str">
        <f>"A"&amp;YEAR(主页!$D$5)-1&amp;"FY"</f>
        <v>A2020FY</v>
      </c>
      <c r="G4" s="226"/>
      <c r="H4" s="226"/>
      <c r="I4" s="263"/>
      <c r="J4" s="264" t="str">
        <f>"A"&amp;YEAR(主页!$D$5)&amp;TEXT(MONTH(主页!$D$5),"00")&amp;"YTD"</f>
        <v>A202109YTD</v>
      </c>
      <c r="K4" s="264"/>
      <c r="L4" s="264"/>
      <c r="M4" s="265"/>
      <c r="N4" s="264" t="str">
        <f>"E"&amp;YEAR(主页!$D$5)&amp;TEXT(MONTH(主页!$D$5),"00")&amp;"YTG"</f>
        <v>E202109YTG</v>
      </c>
      <c r="O4" s="264"/>
      <c r="P4" s="264"/>
      <c r="Q4" s="265"/>
      <c r="R4" s="264" t="str">
        <f>"E"&amp;YEAR(主页!$D$5)&amp;"FY"</f>
        <v>E2021FY</v>
      </c>
      <c r="S4" s="264"/>
      <c r="T4" s="264"/>
      <c r="U4" s="265"/>
      <c r="V4" s="264" t="str">
        <f>"B"&amp;YEAR(主页!$D$5)+1&amp;"FY"</f>
        <v>B2022FY</v>
      </c>
      <c r="W4" s="264"/>
      <c r="X4" s="264"/>
    </row>
    <row r="5" spans="2:24">
      <c r="B5" s="227"/>
      <c r="C5" s="228"/>
      <c r="D5" s="229"/>
      <c r="E5" s="193"/>
      <c r="F5" s="230" t="s">
        <v>130</v>
      </c>
      <c r="G5" s="231" t="s">
        <v>131</v>
      </c>
      <c r="H5" s="231" t="s">
        <v>132</v>
      </c>
      <c r="J5" s="266" t="s">
        <v>130</v>
      </c>
      <c r="K5" s="267" t="s">
        <v>131</v>
      </c>
      <c r="L5" s="268" t="s">
        <v>132</v>
      </c>
      <c r="N5" s="266" t="s">
        <v>130</v>
      </c>
      <c r="O5" s="267" t="s">
        <v>131</v>
      </c>
      <c r="P5" s="268" t="s">
        <v>132</v>
      </c>
      <c r="R5" s="266" t="s">
        <v>130</v>
      </c>
      <c r="S5" s="267" t="s">
        <v>131</v>
      </c>
      <c r="T5" s="268" t="s">
        <v>132</v>
      </c>
      <c r="V5" s="266" t="s">
        <v>130</v>
      </c>
      <c r="W5" s="267" t="s">
        <v>131</v>
      </c>
      <c r="X5" s="268" t="s">
        <v>132</v>
      </c>
    </row>
    <row r="6" spans="2:24">
      <c r="B6" s="232" t="s">
        <v>133</v>
      </c>
      <c r="C6" s="233" t="s">
        <v>134</v>
      </c>
      <c r="D6" s="233"/>
      <c r="E6" s="234"/>
      <c r="F6" s="235">
        <f>SUMIFS(销售差异分析底稿!$G:$G,销售差异分析底稿!$E:$E,$B6&amp;"*")</f>
        <v>6180</v>
      </c>
      <c r="G6" s="236">
        <v>0.13</v>
      </c>
      <c r="H6" s="237">
        <f>F6*(1+G6)</f>
        <v>6983.4</v>
      </c>
      <c r="J6" s="235">
        <f>SUMIFS(销售差异分析底稿!$J:$J,销售差异分析底稿!$E:$E,$B6&amp;"*")</f>
        <v>3200</v>
      </c>
      <c r="K6" s="236">
        <v>0.13</v>
      </c>
      <c r="L6" s="237">
        <f>J6*(1+K6)</f>
        <v>3616</v>
      </c>
      <c r="N6" s="235">
        <f>SUMIFS(销售差异分析底稿!M:M,销售差异分析底稿!$E:$E,$B6&amp;"*")</f>
        <v>7680</v>
      </c>
      <c r="O6" s="236">
        <v>0.13</v>
      </c>
      <c r="P6" s="237">
        <f>N6*(1+O6)</f>
        <v>8678.4</v>
      </c>
      <c r="R6" s="235">
        <f>J6+N6</f>
        <v>10880</v>
      </c>
      <c r="S6" s="279">
        <f>IFERROR(T6/R6-1,"-")</f>
        <v>0.13</v>
      </c>
      <c r="T6" s="235">
        <f>L6+P6</f>
        <v>12294.4</v>
      </c>
      <c r="V6" s="235">
        <f>SUMIFS(销售差异分析底稿!AF:AF,销售差异分析底稿!$E:$E,$B6&amp;"*")</f>
        <v>19200</v>
      </c>
      <c r="W6" s="236">
        <v>0.13</v>
      </c>
      <c r="X6" s="237">
        <f>V6*(1+W6)</f>
        <v>21696</v>
      </c>
    </row>
    <row r="7" spans="2:24">
      <c r="B7" s="232" t="s">
        <v>135</v>
      </c>
      <c r="C7" s="233" t="s">
        <v>134</v>
      </c>
      <c r="D7" s="233"/>
      <c r="E7" s="234"/>
      <c r="F7" s="235">
        <f>SUMIFS(销售差异分析底稿!$G:$G,销售差异分析底稿!$E:$E,$B7&amp;"*")</f>
        <v>3300</v>
      </c>
      <c r="G7" s="236">
        <v>0.13</v>
      </c>
      <c r="H7" s="237">
        <f>F7*(1+G7)</f>
        <v>3729</v>
      </c>
      <c r="J7" s="235">
        <f>SUMIFS(销售差异分析底稿!$J:$J,销售差异分析底稿!$E:$E,$B7&amp;"*")</f>
        <v>1800</v>
      </c>
      <c r="K7" s="236">
        <v>0.13</v>
      </c>
      <c r="L7" s="237">
        <f>J7*(1+K7)</f>
        <v>2034</v>
      </c>
      <c r="N7" s="235">
        <f>SUMIFS(销售差异分析底稿!M:M,销售差异分析底稿!$E:$E,$B7&amp;"*")</f>
        <v>1800</v>
      </c>
      <c r="O7" s="236">
        <v>0.13</v>
      </c>
      <c r="P7" s="237">
        <f>N7*(1+O7)</f>
        <v>2034</v>
      </c>
      <c r="R7" s="235">
        <f t="shared" ref="R7:R13" si="0">J7+N7</f>
        <v>3600</v>
      </c>
      <c r="S7" s="279">
        <f t="shared" ref="S7:S13" si="1">IFERROR(T7/R7-1,"-")</f>
        <v>0.13</v>
      </c>
      <c r="T7" s="237">
        <f t="shared" ref="T7:T13" si="2">L7+P7</f>
        <v>4068</v>
      </c>
      <c r="V7" s="235">
        <f>SUMIFS(销售差异分析底稿!AF:AF,销售差异分析底稿!$E:$E,$B7&amp;"*")</f>
        <v>4800</v>
      </c>
      <c r="W7" s="236">
        <v>0.13</v>
      </c>
      <c r="X7" s="237">
        <f>V7*(1+W7)</f>
        <v>5424</v>
      </c>
    </row>
    <row r="8" spans="2:24">
      <c r="B8" s="232" t="s">
        <v>136</v>
      </c>
      <c r="C8" s="233" t="s">
        <v>137</v>
      </c>
      <c r="D8" s="233"/>
      <c r="E8" s="234"/>
      <c r="F8" s="235">
        <f>SUMIFS(销售差异分析底稿!$G:$G,销售差异分析底稿!$E:$E,$B8&amp;"*")</f>
        <v>0</v>
      </c>
      <c r="G8" s="236">
        <v>0.09</v>
      </c>
      <c r="H8" s="237">
        <f t="shared" ref="H8:H13" si="3">F8*(1+G8)</f>
        <v>0</v>
      </c>
      <c r="J8" s="235">
        <f>SUMIFS(销售差异分析底稿!$J:$J,销售差异分析底稿!$E:$E,$B8&amp;"*")</f>
        <v>0</v>
      </c>
      <c r="K8" s="236">
        <v>0.09</v>
      </c>
      <c r="L8" s="237">
        <f t="shared" ref="L8:L13" si="4">J8*(1+K8)</f>
        <v>0</v>
      </c>
      <c r="N8" s="235">
        <f>SUMIFS(销售差异分析底稿!M:M,销售差异分析底稿!$E:$E,$B8&amp;"*")</f>
        <v>0</v>
      </c>
      <c r="O8" s="236">
        <v>0.09</v>
      </c>
      <c r="P8" s="237">
        <f t="shared" ref="P8:P13" si="5">N8*(1+O8)</f>
        <v>0</v>
      </c>
      <c r="R8" s="235">
        <f t="shared" si="0"/>
        <v>0</v>
      </c>
      <c r="S8" s="279" t="str">
        <f t="shared" si="1"/>
        <v>-</v>
      </c>
      <c r="T8" s="237">
        <f t="shared" si="2"/>
        <v>0</v>
      </c>
      <c r="V8" s="235">
        <f>SUMIFS(销售差异分析底稿!AF:AF,销售差异分析底稿!$E:$E,$B8&amp;"*")</f>
        <v>0</v>
      </c>
      <c r="W8" s="236">
        <v>0.09</v>
      </c>
      <c r="X8" s="237">
        <f t="shared" ref="X8:X13" si="6">V8*(1+W8)</f>
        <v>0</v>
      </c>
    </row>
    <row r="9" spans="2:24">
      <c r="B9" s="232" t="s">
        <v>127</v>
      </c>
      <c r="C9" s="233" t="s">
        <v>138</v>
      </c>
      <c r="D9" s="233"/>
      <c r="E9" s="234"/>
      <c r="F9" s="235">
        <f>SUMIFS(销售差异分析底稿!$G:$G,销售差异分析底稿!$E:$E,$B9&amp;"*")</f>
        <v>566.037735849057</v>
      </c>
      <c r="G9" s="236">
        <v>0.06</v>
      </c>
      <c r="H9" s="237">
        <f t="shared" si="3"/>
        <v>600</v>
      </c>
      <c r="J9" s="235">
        <f>SUMIFS(销售差异分析底稿!$J:$J,销售差异分析底稿!$E:$E,$B9&amp;"*")</f>
        <v>0</v>
      </c>
      <c r="K9" s="236">
        <v>0.06</v>
      </c>
      <c r="L9" s="237">
        <f t="shared" si="4"/>
        <v>0</v>
      </c>
      <c r="N9" s="235">
        <f>SUMIFS(销售差异分析底稿!M:M,销售差异分析底稿!$E:$E,$B9&amp;"*")</f>
        <v>377.358490566038</v>
      </c>
      <c r="O9" s="236">
        <v>0.06</v>
      </c>
      <c r="P9" s="237">
        <f t="shared" si="5"/>
        <v>400</v>
      </c>
      <c r="R9" s="235">
        <f t="shared" si="0"/>
        <v>377.358490566038</v>
      </c>
      <c r="S9" s="279">
        <f t="shared" si="1"/>
        <v>0.0600000000000001</v>
      </c>
      <c r="T9" s="237">
        <f t="shared" si="2"/>
        <v>400</v>
      </c>
      <c r="V9" s="235">
        <f>SUMIFS(销售差异分析底稿!AF:AF,销售差异分析底稿!$E:$E,$B9&amp;"*")</f>
        <v>2600</v>
      </c>
      <c r="W9" s="236">
        <v>0.06</v>
      </c>
      <c r="X9" s="237">
        <f t="shared" si="6"/>
        <v>2756</v>
      </c>
    </row>
    <row r="10" spans="2:24">
      <c r="B10" s="232"/>
      <c r="C10" s="233"/>
      <c r="D10" s="233"/>
      <c r="E10" s="234"/>
      <c r="F10" s="238"/>
      <c r="G10" s="236">
        <v>0.05</v>
      </c>
      <c r="H10" s="237">
        <f t="shared" si="3"/>
        <v>0</v>
      </c>
      <c r="J10" s="238"/>
      <c r="K10" s="236">
        <v>0.05</v>
      </c>
      <c r="L10" s="237">
        <f t="shared" si="4"/>
        <v>0</v>
      </c>
      <c r="N10" s="238"/>
      <c r="O10" s="236">
        <v>0.05</v>
      </c>
      <c r="P10" s="237">
        <f t="shared" si="5"/>
        <v>0</v>
      </c>
      <c r="R10" s="235">
        <f t="shared" si="0"/>
        <v>0</v>
      </c>
      <c r="S10" s="279" t="str">
        <f t="shared" si="1"/>
        <v>-</v>
      </c>
      <c r="T10" s="237">
        <f t="shared" si="2"/>
        <v>0</v>
      </c>
      <c r="V10" s="238"/>
      <c r="W10" s="236">
        <v>0.05</v>
      </c>
      <c r="X10" s="237">
        <f t="shared" si="6"/>
        <v>0</v>
      </c>
    </row>
    <row r="11" spans="2:24">
      <c r="B11" s="232"/>
      <c r="C11" s="233"/>
      <c r="D11" s="233"/>
      <c r="E11" s="234"/>
      <c r="F11" s="238"/>
      <c r="G11" s="236">
        <v>0.03</v>
      </c>
      <c r="H11" s="237">
        <f t="shared" si="3"/>
        <v>0</v>
      </c>
      <c r="J11" s="238"/>
      <c r="K11" s="236">
        <v>0.03</v>
      </c>
      <c r="L11" s="237">
        <f t="shared" si="4"/>
        <v>0</v>
      </c>
      <c r="N11" s="238"/>
      <c r="O11" s="236">
        <v>0.03</v>
      </c>
      <c r="P11" s="237">
        <f t="shared" si="5"/>
        <v>0</v>
      </c>
      <c r="R11" s="235">
        <f t="shared" si="0"/>
        <v>0</v>
      </c>
      <c r="S11" s="279" t="str">
        <f t="shared" si="1"/>
        <v>-</v>
      </c>
      <c r="T11" s="237">
        <f t="shared" si="2"/>
        <v>0</v>
      </c>
      <c r="V11" s="238"/>
      <c r="W11" s="236">
        <v>0.03</v>
      </c>
      <c r="X11" s="237">
        <f t="shared" si="6"/>
        <v>0</v>
      </c>
    </row>
    <row r="12" spans="2:24">
      <c r="B12" s="232"/>
      <c r="C12" s="233"/>
      <c r="D12" s="233"/>
      <c r="E12" s="234"/>
      <c r="F12" s="238"/>
      <c r="G12" s="239">
        <v>0.01</v>
      </c>
      <c r="H12" s="237">
        <f t="shared" si="3"/>
        <v>0</v>
      </c>
      <c r="J12" s="238"/>
      <c r="K12" s="239">
        <v>0.01</v>
      </c>
      <c r="L12" s="237">
        <f t="shared" si="4"/>
        <v>0</v>
      </c>
      <c r="N12" s="238"/>
      <c r="O12" s="239">
        <v>0.01</v>
      </c>
      <c r="P12" s="237">
        <f t="shared" si="5"/>
        <v>0</v>
      </c>
      <c r="R12" s="235">
        <f t="shared" si="0"/>
        <v>0</v>
      </c>
      <c r="S12" s="279" t="str">
        <f t="shared" si="1"/>
        <v>-</v>
      </c>
      <c r="T12" s="237">
        <f t="shared" si="2"/>
        <v>0</v>
      </c>
      <c r="V12" s="238"/>
      <c r="W12" s="239">
        <v>0.01</v>
      </c>
      <c r="X12" s="237">
        <f t="shared" si="6"/>
        <v>0</v>
      </c>
    </row>
    <row r="13" spans="2:24">
      <c r="B13" s="240"/>
      <c r="C13" s="241"/>
      <c r="D13" s="241"/>
      <c r="E13" s="234"/>
      <c r="F13" s="238"/>
      <c r="G13" s="239">
        <v>0</v>
      </c>
      <c r="H13" s="237">
        <f t="shared" si="3"/>
        <v>0</v>
      </c>
      <c r="J13" s="238"/>
      <c r="K13" s="239">
        <v>0</v>
      </c>
      <c r="L13" s="237">
        <f t="shared" si="4"/>
        <v>0</v>
      </c>
      <c r="N13" s="238"/>
      <c r="O13" s="239">
        <v>0</v>
      </c>
      <c r="P13" s="237">
        <f t="shared" si="5"/>
        <v>0</v>
      </c>
      <c r="R13" s="235">
        <f t="shared" si="0"/>
        <v>0</v>
      </c>
      <c r="S13" s="279" t="str">
        <f t="shared" si="1"/>
        <v>-</v>
      </c>
      <c r="T13" s="237">
        <f t="shared" si="2"/>
        <v>0</v>
      </c>
      <c r="V13" s="238"/>
      <c r="W13" s="239">
        <v>0</v>
      </c>
      <c r="X13" s="237">
        <f t="shared" si="6"/>
        <v>0</v>
      </c>
    </row>
    <row r="14" spans="1:24">
      <c r="A14" s="242"/>
      <c r="B14" s="243" t="s">
        <v>128</v>
      </c>
      <c r="C14" s="244"/>
      <c r="D14" s="245"/>
      <c r="E14" s="246"/>
      <c r="F14" s="247">
        <f>SUM(F6:F12)</f>
        <v>10046.0377358491</v>
      </c>
      <c r="G14" s="248"/>
      <c r="H14" s="249">
        <f>SUM(H6:H13)</f>
        <v>11312.4</v>
      </c>
      <c r="J14" s="247">
        <f>SUM(J6:J12)</f>
        <v>5000</v>
      </c>
      <c r="K14" s="248"/>
      <c r="L14" s="249">
        <f>SUM(L6:L13)</f>
        <v>5650</v>
      </c>
      <c r="N14" s="247">
        <f>SUM(N6:N12)</f>
        <v>9857.35849056604</v>
      </c>
      <c r="O14" s="248"/>
      <c r="P14" s="249">
        <f>SUM(P6:P13)</f>
        <v>11112.4</v>
      </c>
      <c r="R14" s="247">
        <f>SUM(R6:R12)</f>
        <v>14857.358490566</v>
      </c>
      <c r="S14" s="248"/>
      <c r="T14" s="249">
        <f>SUM(T6:T13)</f>
        <v>16762.4</v>
      </c>
      <c r="V14" s="247">
        <f>SUM(V6:V12)</f>
        <v>26600</v>
      </c>
      <c r="W14" s="248"/>
      <c r="X14" s="249">
        <f>SUM(X6:X13)</f>
        <v>29876</v>
      </c>
    </row>
    <row r="15" spans="2:24">
      <c r="B15" s="187" t="s">
        <v>139</v>
      </c>
      <c r="H15" s="250">
        <f>H14-H19</f>
        <v>10964.4</v>
      </c>
      <c r="L15" s="250">
        <f>L14-L19</f>
        <v>6048</v>
      </c>
      <c r="P15" s="250">
        <f>P14-P19</f>
        <v>11243.4</v>
      </c>
      <c r="T15" s="250">
        <f>T14-T19</f>
        <v>17291.4</v>
      </c>
      <c r="X15" s="250">
        <f>X14-X19</f>
        <v>30536</v>
      </c>
    </row>
    <row r="17" spans="2:24">
      <c r="B17" s="251" t="s">
        <v>140</v>
      </c>
      <c r="C17" s="252"/>
      <c r="D17" s="253"/>
      <c r="F17" s="254" t="s">
        <v>141</v>
      </c>
      <c r="G17" s="252"/>
      <c r="H17" s="255">
        <f>[1]应收账款!$E$7</f>
        <v>3245</v>
      </c>
      <c r="J17" s="269" t="s">
        <v>141</v>
      </c>
      <c r="K17" s="270"/>
      <c r="L17" s="271">
        <f>H18</f>
        <v>3593</v>
      </c>
      <c r="N17" s="269" t="s">
        <v>141</v>
      </c>
      <c r="O17" s="270"/>
      <c r="P17" s="271">
        <f>L18</f>
        <v>3195</v>
      </c>
      <c r="R17" s="269" t="s">
        <v>141</v>
      </c>
      <c r="S17" s="270"/>
      <c r="T17" s="271">
        <f>H18</f>
        <v>3593</v>
      </c>
      <c r="V17" s="269" t="s">
        <v>141</v>
      </c>
      <c r="W17" s="270"/>
      <c r="X17" s="271">
        <f>T18</f>
        <v>3064</v>
      </c>
    </row>
    <row r="18" spans="2:24">
      <c r="B18" s="256" t="s">
        <v>142</v>
      </c>
      <c r="C18" s="199"/>
      <c r="D18" s="257"/>
      <c r="F18" s="258" t="s">
        <v>141</v>
      </c>
      <c r="G18" s="199"/>
      <c r="H18" s="259">
        <f>[1]应收账款!$Q$7</f>
        <v>3593</v>
      </c>
      <c r="J18" s="272" t="s">
        <v>141</v>
      </c>
      <c r="K18" s="199"/>
      <c r="L18" s="273">
        <f>INDEX([1]应收账款!$12:$12,1,MATCH(MONTH(主页!$D$5),[1]应收账款!$3:$3,0))</f>
        <v>3195</v>
      </c>
      <c r="N18" s="272" t="s">
        <v>141</v>
      </c>
      <c r="O18" s="199"/>
      <c r="P18" s="273">
        <f>[1]应收账款!$Q$12</f>
        <v>3064</v>
      </c>
      <c r="R18" s="272" t="s">
        <v>141</v>
      </c>
      <c r="S18" s="199"/>
      <c r="T18" s="273">
        <f>P18</f>
        <v>3064</v>
      </c>
      <c r="V18" s="272" t="s">
        <v>141</v>
      </c>
      <c r="W18" s="199"/>
      <c r="X18" s="273">
        <f>[1]应收账款!$Q$17</f>
        <v>4599</v>
      </c>
    </row>
    <row r="19" spans="2:24">
      <c r="B19" s="256" t="s">
        <v>143</v>
      </c>
      <c r="C19" s="199"/>
      <c r="D19" s="257"/>
      <c r="F19" s="256"/>
      <c r="G19" s="199"/>
      <c r="H19" s="259">
        <f>H18-H17</f>
        <v>348</v>
      </c>
      <c r="J19" s="274"/>
      <c r="K19" s="199"/>
      <c r="L19" s="273">
        <f>L18-L17</f>
        <v>-398</v>
      </c>
      <c r="N19" s="274"/>
      <c r="O19" s="199"/>
      <c r="P19" s="273">
        <f>P18-P17</f>
        <v>-131</v>
      </c>
      <c r="R19" s="274"/>
      <c r="S19" s="199"/>
      <c r="T19" s="273">
        <f>T18-T17</f>
        <v>-529</v>
      </c>
      <c r="V19" s="274"/>
      <c r="W19" s="199"/>
      <c r="X19" s="273">
        <f>P19+T19</f>
        <v>-660</v>
      </c>
    </row>
    <row r="20" spans="2:24">
      <c r="B20" s="256" t="s">
        <v>144</v>
      </c>
      <c r="C20" s="199"/>
      <c r="D20" s="257"/>
      <c r="F20" s="256"/>
      <c r="G20" s="199"/>
      <c r="H20" s="257"/>
      <c r="J20" s="274"/>
      <c r="K20" s="199"/>
      <c r="L20" s="275"/>
      <c r="N20" s="274"/>
      <c r="O20" s="199"/>
      <c r="P20" s="275"/>
      <c r="R20" s="274"/>
      <c r="S20" s="199"/>
      <c r="T20" s="275"/>
      <c r="V20" s="274"/>
      <c r="W20" s="199"/>
      <c r="X20" s="275"/>
    </row>
    <row r="21" spans="2:24">
      <c r="B21" s="256"/>
      <c r="C21" s="199"/>
      <c r="D21" s="257"/>
      <c r="F21" s="256"/>
      <c r="G21" s="199"/>
      <c r="H21" s="257"/>
      <c r="J21" s="274"/>
      <c r="K21" s="199"/>
      <c r="L21" s="275"/>
      <c r="N21" s="274"/>
      <c r="O21" s="199"/>
      <c r="P21" s="275"/>
      <c r="R21" s="274"/>
      <c r="S21" s="199"/>
      <c r="T21" s="275"/>
      <c r="V21" s="274"/>
      <c r="W21" s="199"/>
      <c r="X21" s="275"/>
    </row>
    <row r="22" spans="2:24">
      <c r="B22" s="256"/>
      <c r="C22" s="199"/>
      <c r="D22" s="257"/>
      <c r="F22" s="256"/>
      <c r="G22" s="199"/>
      <c r="H22" s="257"/>
      <c r="J22" s="274"/>
      <c r="K22" s="199"/>
      <c r="L22" s="275"/>
      <c r="N22" s="274"/>
      <c r="O22" s="199"/>
      <c r="P22" s="275"/>
      <c r="R22" s="274"/>
      <c r="S22" s="199"/>
      <c r="T22" s="275"/>
      <c r="V22" s="274"/>
      <c r="W22" s="199"/>
      <c r="X22" s="275"/>
    </row>
    <row r="23" spans="2:24">
      <c r="B23" s="256"/>
      <c r="C23" s="199"/>
      <c r="D23" s="257"/>
      <c r="F23" s="256"/>
      <c r="G23" s="199"/>
      <c r="H23" s="257"/>
      <c r="J23" s="274"/>
      <c r="K23" s="199"/>
      <c r="L23" s="275"/>
      <c r="N23" s="274"/>
      <c r="O23" s="199"/>
      <c r="P23" s="275"/>
      <c r="R23" s="274"/>
      <c r="S23" s="199"/>
      <c r="T23" s="275"/>
      <c r="V23" s="274"/>
      <c r="W23" s="199"/>
      <c r="X23" s="275"/>
    </row>
    <row r="24" spans="2:24">
      <c r="B24" s="256"/>
      <c r="C24" s="199"/>
      <c r="D24" s="257"/>
      <c r="F24" s="256"/>
      <c r="G24" s="199"/>
      <c r="H24" s="257"/>
      <c r="J24" s="274"/>
      <c r="K24" s="199"/>
      <c r="L24" s="275"/>
      <c r="N24" s="274"/>
      <c r="O24" s="199"/>
      <c r="P24" s="275"/>
      <c r="R24" s="274"/>
      <c r="S24" s="199"/>
      <c r="T24" s="275"/>
      <c r="V24" s="274"/>
      <c r="W24" s="199"/>
      <c r="X24" s="275"/>
    </row>
    <row r="25" spans="2:24">
      <c r="B25" s="260"/>
      <c r="C25" s="261"/>
      <c r="D25" s="262"/>
      <c r="F25" s="260"/>
      <c r="G25" s="261"/>
      <c r="H25" s="262"/>
      <c r="J25" s="276"/>
      <c r="K25" s="277"/>
      <c r="L25" s="278"/>
      <c r="N25" s="276"/>
      <c r="O25" s="277"/>
      <c r="P25" s="278"/>
      <c r="R25" s="276"/>
      <c r="S25" s="277"/>
      <c r="T25" s="278"/>
      <c r="V25" s="276"/>
      <c r="W25" s="277"/>
      <c r="X25" s="278"/>
    </row>
  </sheetData>
  <mergeCells count="12">
    <mergeCell ref="F3:H3"/>
    <mergeCell ref="J3:L3"/>
    <mergeCell ref="N3:P3"/>
    <mergeCell ref="R3:T3"/>
    <mergeCell ref="V3:X3"/>
    <mergeCell ref="F4:H4"/>
    <mergeCell ref="J4:L4"/>
    <mergeCell ref="N4:P4"/>
    <mergeCell ref="R4:T4"/>
    <mergeCell ref="V4:X4"/>
    <mergeCell ref="B14:D14"/>
    <mergeCell ref="B3:D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T12"/>
  <sheetViews>
    <sheetView workbookViewId="0">
      <pane xSplit="6" ySplit="2" topLeftCell="G3" activePane="bottomRight" state="frozen"/>
      <selection/>
      <selection pane="topRight"/>
      <selection pane="bottomLeft"/>
      <selection pane="bottomRight" activeCell="P12" sqref="P12"/>
    </sheetView>
  </sheetViews>
  <sheetFormatPr defaultColWidth="9" defaultRowHeight="15.6"/>
  <cols>
    <col min="5" max="8" width="8.6" customWidth="1"/>
    <col min="9" max="9" width="11.1" hidden="1" customWidth="1" outlineLevel="1"/>
    <col min="10" max="10" width="10.7" hidden="1" customWidth="1" outlineLevel="1"/>
    <col min="11" max="11" width="11.8" hidden="1" customWidth="1" outlineLevel="1"/>
    <col min="12" max="12" width="10.8" hidden="1" customWidth="1" outlineLevel="1"/>
    <col min="13" max="13" width="11.3" hidden="1" customWidth="1" outlineLevel="1"/>
    <col min="14" max="14" width="10.8" hidden="1" customWidth="1" outlineLevel="1"/>
    <col min="15" max="15" width="8.8" collapsed="1"/>
    <col min="18" max="19" width="9" hidden="1" customWidth="1" outlineLevel="1"/>
    <col min="20" max="20" width="8.6" hidden="1" customWidth="1" outlineLevel="1"/>
    <col min="21" max="21" width="8.2" hidden="1" customWidth="1" outlineLevel="1"/>
    <col min="22" max="25" width="9" hidden="1" customWidth="1" outlineLevel="1"/>
    <col min="26" max="26" width="8.6" hidden="1" customWidth="1" outlineLevel="1"/>
    <col min="27" max="30" width="8.2" hidden="1" customWidth="1" outlineLevel="1"/>
    <col min="31" max="31" width="8.8" collapsed="1"/>
    <col min="34" max="35" width="8.1" hidden="1" customWidth="1" outlineLevel="1"/>
    <col min="36" max="36" width="9.5" hidden="1" customWidth="1" outlineLevel="1"/>
    <col min="37" max="37" width="8.6" hidden="1" customWidth="1" outlineLevel="1"/>
    <col min="38" max="45" width="9.5" hidden="1" customWidth="1" outlineLevel="1"/>
    <col min="46" max="46" width="8.6" hidden="1" customWidth="1" outlineLevel="1"/>
    <col min="47" max="47" width="8.8" collapsed="1"/>
  </cols>
  <sheetData>
    <row r="2" ht="27.6" customHeight="1" spans="2:46">
      <c r="B2" s="215" t="s">
        <v>145</v>
      </c>
      <c r="C2" s="215" t="s">
        <v>146</v>
      </c>
      <c r="D2" s="215" t="s">
        <v>147</v>
      </c>
      <c r="E2" s="215" t="s">
        <v>148</v>
      </c>
      <c r="F2" s="215" t="s">
        <v>108</v>
      </c>
      <c r="G2" s="215" t="s">
        <v>108</v>
      </c>
      <c r="H2" s="215" t="s">
        <v>108</v>
      </c>
      <c r="I2" s="215" t="s">
        <v>149</v>
      </c>
      <c r="J2" s="215" t="s">
        <v>149</v>
      </c>
      <c r="K2" s="215" t="s">
        <v>149</v>
      </c>
      <c r="L2" s="215" t="s">
        <v>150</v>
      </c>
      <c r="M2" s="215" t="s">
        <v>150</v>
      </c>
      <c r="N2" s="215" t="s">
        <v>150</v>
      </c>
      <c r="O2" s="215" t="s">
        <v>111</v>
      </c>
      <c r="P2" s="215" t="s">
        <v>111</v>
      </c>
      <c r="Q2" s="215" t="s">
        <v>111</v>
      </c>
      <c r="R2" s="218" t="s">
        <v>151</v>
      </c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5" t="s">
        <v>112</v>
      </c>
      <c r="AF2" s="215" t="s">
        <v>112</v>
      </c>
      <c r="AG2" s="215" t="s">
        <v>112</v>
      </c>
      <c r="AH2" s="218" t="s">
        <v>152</v>
      </c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</row>
    <row r="3" s="214" customFormat="1" spans="6:46">
      <c r="F3" s="214" t="s">
        <v>153</v>
      </c>
      <c r="G3" s="214" t="s">
        <v>154</v>
      </c>
      <c r="H3" s="214" t="s">
        <v>24</v>
      </c>
      <c r="I3" s="214" t="s">
        <v>153</v>
      </c>
      <c r="J3" s="214" t="s">
        <v>154</v>
      </c>
      <c r="K3" s="214" t="s">
        <v>24</v>
      </c>
      <c r="L3" s="214" t="s">
        <v>153</v>
      </c>
      <c r="M3" s="214" t="s">
        <v>154</v>
      </c>
      <c r="N3" s="214" t="s">
        <v>24</v>
      </c>
      <c r="O3" s="214" t="s">
        <v>153</v>
      </c>
      <c r="P3" s="214" t="s">
        <v>154</v>
      </c>
      <c r="Q3" s="214" t="s">
        <v>24</v>
      </c>
      <c r="R3" s="214" t="s">
        <v>155</v>
      </c>
      <c r="S3" s="214" t="s">
        <v>156</v>
      </c>
      <c r="T3" s="214" t="s">
        <v>157</v>
      </c>
      <c r="U3" s="214" t="s">
        <v>158</v>
      </c>
      <c r="V3" s="214" t="s">
        <v>159</v>
      </c>
      <c r="W3" s="214" t="s">
        <v>160</v>
      </c>
      <c r="X3" s="214" t="s">
        <v>161</v>
      </c>
      <c r="Y3" s="214" t="s">
        <v>162</v>
      </c>
      <c r="Z3" s="214" t="s">
        <v>163</v>
      </c>
      <c r="AA3" s="214" t="s">
        <v>164</v>
      </c>
      <c r="AB3" s="214" t="s">
        <v>165</v>
      </c>
      <c r="AC3" s="214" t="s">
        <v>166</v>
      </c>
      <c r="AD3" s="214" t="s">
        <v>167</v>
      </c>
      <c r="AE3" s="214" t="s">
        <v>153</v>
      </c>
      <c r="AF3" s="214" t="s">
        <v>154</v>
      </c>
      <c r="AG3" s="214" t="s">
        <v>24</v>
      </c>
      <c r="AH3" s="214" t="s">
        <v>155</v>
      </c>
      <c r="AI3" s="214" t="s">
        <v>156</v>
      </c>
      <c r="AJ3" s="214" t="s">
        <v>157</v>
      </c>
      <c r="AK3" s="214" t="s">
        <v>168</v>
      </c>
      <c r="AL3" s="214" t="s">
        <v>159</v>
      </c>
      <c r="AM3" s="214" t="s">
        <v>160</v>
      </c>
      <c r="AN3" s="214" t="s">
        <v>161</v>
      </c>
      <c r="AO3" s="214" t="s">
        <v>162</v>
      </c>
      <c r="AP3" s="214" t="s">
        <v>163</v>
      </c>
      <c r="AQ3" s="214" t="s">
        <v>164</v>
      </c>
      <c r="AR3" s="214" t="s">
        <v>165</v>
      </c>
      <c r="AS3" s="214" t="s">
        <v>166</v>
      </c>
      <c r="AT3" s="214" t="s">
        <v>167</v>
      </c>
    </row>
    <row r="4" spans="2:46">
      <c r="B4" t="s">
        <v>169</v>
      </c>
      <c r="C4" t="s">
        <v>170</v>
      </c>
      <c r="D4" t="s">
        <v>171</v>
      </c>
      <c r="E4" t="s">
        <v>135</v>
      </c>
      <c r="F4">
        <v>198</v>
      </c>
      <c r="G4">
        <v>3300</v>
      </c>
      <c r="H4">
        <v>330</v>
      </c>
      <c r="I4">
        <v>100</v>
      </c>
      <c r="J4">
        <v>1800</v>
      </c>
      <c r="K4">
        <v>300</v>
      </c>
      <c r="L4">
        <v>70</v>
      </c>
      <c r="M4">
        <v>1800</v>
      </c>
      <c r="N4">
        <v>750</v>
      </c>
      <c r="O4">
        <v>170</v>
      </c>
      <c r="P4">
        <v>3600</v>
      </c>
      <c r="Q4">
        <v>1050</v>
      </c>
      <c r="R4" s="219">
        <v>16.6666666666667</v>
      </c>
      <c r="S4" s="219">
        <v>21.1764705882353</v>
      </c>
      <c r="T4" s="219">
        <v>2833.33333333333</v>
      </c>
      <c r="U4" s="219">
        <v>-466.666666666667</v>
      </c>
      <c r="V4" s="219">
        <v>766.666666666667</v>
      </c>
      <c r="W4" s="219">
        <v>300</v>
      </c>
      <c r="X4" s="219">
        <v>15</v>
      </c>
      <c r="Y4" s="219">
        <v>15</v>
      </c>
      <c r="Z4" s="219">
        <v>2550</v>
      </c>
      <c r="AA4" s="219">
        <v>-420</v>
      </c>
      <c r="AB4" s="219">
        <v>0</v>
      </c>
      <c r="AC4" s="219">
        <v>-420</v>
      </c>
      <c r="AD4" s="219">
        <v>-373.467432950192</v>
      </c>
      <c r="AE4">
        <v>280</v>
      </c>
      <c r="AF4">
        <v>4800</v>
      </c>
      <c r="AG4">
        <v>880</v>
      </c>
      <c r="AH4" s="219">
        <v>21.1764705882353</v>
      </c>
      <c r="AI4" s="219">
        <v>17.1428571428571</v>
      </c>
      <c r="AJ4" s="219">
        <v>5929.41176470588</v>
      </c>
      <c r="AK4" s="219">
        <v>2329.41176470588</v>
      </c>
      <c r="AL4" s="219">
        <v>-1129.41176470588</v>
      </c>
      <c r="AM4" s="219">
        <v>1200</v>
      </c>
      <c r="AN4" s="219">
        <v>15</v>
      </c>
      <c r="AO4" s="219">
        <v>14</v>
      </c>
      <c r="AP4" s="219">
        <v>4200</v>
      </c>
      <c r="AQ4" s="219">
        <v>1650</v>
      </c>
      <c r="AR4" s="219">
        <v>-280</v>
      </c>
      <c r="AS4" s="219">
        <v>1370</v>
      </c>
      <c r="AT4" s="219">
        <v>-301.636696129229</v>
      </c>
    </row>
    <row r="5" spans="2:46">
      <c r="B5" t="s">
        <v>172</v>
      </c>
      <c r="C5" t="s">
        <v>173</v>
      </c>
      <c r="D5" t="s">
        <v>174</v>
      </c>
      <c r="E5" t="s">
        <v>133</v>
      </c>
      <c r="F5">
        <v>245</v>
      </c>
      <c r="G5">
        <v>3980</v>
      </c>
      <c r="H5">
        <v>550</v>
      </c>
      <c r="I5">
        <v>124</v>
      </c>
      <c r="J5">
        <v>2000</v>
      </c>
      <c r="K5">
        <v>264</v>
      </c>
      <c r="L5">
        <v>178</v>
      </c>
      <c r="M5">
        <v>3980</v>
      </c>
      <c r="N5">
        <v>1488</v>
      </c>
      <c r="O5">
        <v>302</v>
      </c>
      <c r="P5">
        <v>5980</v>
      </c>
      <c r="Q5">
        <v>1752</v>
      </c>
      <c r="R5" s="219">
        <v>16.2448979591837</v>
      </c>
      <c r="S5" s="219">
        <v>19.8013245033113</v>
      </c>
      <c r="T5" s="219">
        <v>4905.95918367347</v>
      </c>
      <c r="U5" s="219">
        <v>925.95918367347</v>
      </c>
      <c r="V5" s="219">
        <v>1074.04081632653</v>
      </c>
      <c r="W5" s="219">
        <v>2000</v>
      </c>
      <c r="X5" s="219">
        <v>14</v>
      </c>
      <c r="Y5" s="219">
        <v>14</v>
      </c>
      <c r="Z5" s="219">
        <v>4228</v>
      </c>
      <c r="AA5" s="219">
        <v>798</v>
      </c>
      <c r="AB5" s="219">
        <v>0</v>
      </c>
      <c r="AC5" s="219">
        <v>798</v>
      </c>
      <c r="AD5" s="219">
        <v>27.5016337984853</v>
      </c>
      <c r="AE5">
        <v>640</v>
      </c>
      <c r="AF5">
        <v>10000</v>
      </c>
      <c r="AG5">
        <v>1040</v>
      </c>
      <c r="AH5" s="219">
        <v>19.8013245033113</v>
      </c>
      <c r="AI5" s="219">
        <v>15.625</v>
      </c>
      <c r="AJ5" s="219">
        <v>12672.8476821192</v>
      </c>
      <c r="AK5" s="219">
        <v>6692.84768211921</v>
      </c>
      <c r="AL5" s="219">
        <v>-2672.84768211921</v>
      </c>
      <c r="AM5" s="219">
        <v>4020</v>
      </c>
      <c r="AN5" s="219">
        <v>14</v>
      </c>
      <c r="AO5" s="219">
        <v>14</v>
      </c>
      <c r="AP5" s="219">
        <v>8960</v>
      </c>
      <c r="AQ5" s="219">
        <v>4732</v>
      </c>
      <c r="AR5" s="219">
        <v>0</v>
      </c>
      <c r="AS5" s="219">
        <v>4732</v>
      </c>
      <c r="AT5" s="219">
        <v>-73.4598394798334</v>
      </c>
    </row>
    <row r="6" spans="2:46">
      <c r="B6" t="s">
        <v>175</v>
      </c>
      <c r="C6" t="s">
        <v>176</v>
      </c>
      <c r="D6" t="s">
        <v>177</v>
      </c>
      <c r="E6" t="s">
        <v>133</v>
      </c>
      <c r="F6">
        <v>200</v>
      </c>
      <c r="G6">
        <v>2200</v>
      </c>
      <c r="H6">
        <v>800</v>
      </c>
      <c r="I6">
        <v>112</v>
      </c>
      <c r="J6">
        <v>1200</v>
      </c>
      <c r="K6">
        <v>416</v>
      </c>
      <c r="L6">
        <v>142</v>
      </c>
      <c r="M6">
        <v>2200</v>
      </c>
      <c r="N6">
        <v>1206</v>
      </c>
      <c r="O6">
        <v>254</v>
      </c>
      <c r="P6">
        <v>3400</v>
      </c>
      <c r="Q6">
        <v>1622</v>
      </c>
      <c r="R6" s="219">
        <v>11</v>
      </c>
      <c r="S6" s="219">
        <v>13.3858267716535</v>
      </c>
      <c r="T6" s="219">
        <v>2794</v>
      </c>
      <c r="U6" s="219">
        <v>594</v>
      </c>
      <c r="V6" s="219">
        <v>606</v>
      </c>
      <c r="W6" s="219">
        <v>1200</v>
      </c>
      <c r="X6" s="219">
        <v>7</v>
      </c>
      <c r="Y6" s="219">
        <v>7</v>
      </c>
      <c r="Z6" s="219">
        <v>1778</v>
      </c>
      <c r="AA6" s="219">
        <v>378</v>
      </c>
      <c r="AB6" s="219">
        <v>0</v>
      </c>
      <c r="AC6" s="219">
        <v>378</v>
      </c>
      <c r="AD6" s="219">
        <v>69.8224025242282</v>
      </c>
      <c r="AE6">
        <v>533</v>
      </c>
      <c r="AF6">
        <v>5200</v>
      </c>
      <c r="AG6">
        <v>693</v>
      </c>
      <c r="AH6" s="219">
        <v>13.3858267716535</v>
      </c>
      <c r="AI6" s="219">
        <v>9.75609756097561</v>
      </c>
      <c r="AJ6" s="219">
        <v>7134.64566929134</v>
      </c>
      <c r="AK6" s="219">
        <v>3734.64566929134</v>
      </c>
      <c r="AL6" s="219">
        <v>-1934.64566929134</v>
      </c>
      <c r="AM6" s="219">
        <v>1800</v>
      </c>
      <c r="AN6" s="219">
        <v>7</v>
      </c>
      <c r="AO6" s="219">
        <v>8.45590994371482</v>
      </c>
      <c r="AP6" s="219">
        <v>3731</v>
      </c>
      <c r="AQ6" s="219">
        <v>1953</v>
      </c>
      <c r="AR6" s="219">
        <v>776</v>
      </c>
      <c r="AS6" s="219">
        <v>2729</v>
      </c>
      <c r="AT6" s="219">
        <v>-118.239039457951</v>
      </c>
    </row>
    <row r="7" spans="2:46">
      <c r="B7" t="s">
        <v>178</v>
      </c>
      <c r="C7" t="s">
        <v>179</v>
      </c>
      <c r="D7" t="s">
        <v>180</v>
      </c>
      <c r="E7" s="216" t="s">
        <v>127</v>
      </c>
      <c r="F7">
        <v>3</v>
      </c>
      <c r="G7">
        <v>566.037735849057</v>
      </c>
      <c r="H7">
        <v>206.037735849057</v>
      </c>
      <c r="I7">
        <v>0</v>
      </c>
      <c r="J7">
        <v>0</v>
      </c>
      <c r="K7">
        <v>0</v>
      </c>
      <c r="L7">
        <v>2</v>
      </c>
      <c r="M7">
        <v>377.358490566038</v>
      </c>
      <c r="N7">
        <v>137.358490566038</v>
      </c>
      <c r="O7">
        <v>2</v>
      </c>
      <c r="P7">
        <v>377.358490566038</v>
      </c>
      <c r="Q7">
        <v>137.358490566038</v>
      </c>
      <c r="R7" s="219">
        <v>188.679245283019</v>
      </c>
      <c r="S7" s="219">
        <v>188.679245283019</v>
      </c>
      <c r="T7" s="219">
        <v>377.358490566038</v>
      </c>
      <c r="U7" s="219">
        <v>-188.679245283019</v>
      </c>
      <c r="V7" s="219">
        <v>0</v>
      </c>
      <c r="W7" s="219">
        <v>-188.679245283019</v>
      </c>
      <c r="X7" s="219">
        <v>120</v>
      </c>
      <c r="Y7" s="219">
        <v>120</v>
      </c>
      <c r="Z7" s="219">
        <v>240</v>
      </c>
      <c r="AA7" s="219">
        <v>-120</v>
      </c>
      <c r="AB7" s="219">
        <v>0</v>
      </c>
      <c r="AC7" s="219">
        <v>-120</v>
      </c>
      <c r="AD7" s="219">
        <v>-167.35632183908</v>
      </c>
      <c r="AE7">
        <v>9</v>
      </c>
      <c r="AF7">
        <v>2600</v>
      </c>
      <c r="AG7">
        <v>1538</v>
      </c>
      <c r="AH7" s="219">
        <v>188.679245283019</v>
      </c>
      <c r="AI7" s="219">
        <v>288.888888888889</v>
      </c>
      <c r="AJ7" s="219">
        <v>1698.11320754717</v>
      </c>
      <c r="AK7" s="219">
        <v>1320.75471698113</v>
      </c>
      <c r="AL7" s="219">
        <v>901.88679245283</v>
      </c>
      <c r="AM7" s="219">
        <v>2222.64150943396</v>
      </c>
      <c r="AN7" s="219">
        <v>120</v>
      </c>
      <c r="AO7" s="219">
        <v>118</v>
      </c>
      <c r="AP7" s="219">
        <v>1080</v>
      </c>
      <c r="AQ7" s="219">
        <v>840</v>
      </c>
      <c r="AR7" s="219">
        <v>-18</v>
      </c>
      <c r="AS7" s="219">
        <v>822</v>
      </c>
      <c r="AT7" s="219">
        <v>1138.35245664627</v>
      </c>
    </row>
    <row r="8" spans="2:46">
      <c r="B8" t="s">
        <v>169</v>
      </c>
      <c r="C8" t="s">
        <v>170</v>
      </c>
      <c r="D8" t="s">
        <v>171</v>
      </c>
      <c r="E8" t="s">
        <v>133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65</v>
      </c>
      <c r="M8">
        <v>1500</v>
      </c>
      <c r="N8">
        <v>525</v>
      </c>
      <c r="O8">
        <v>65</v>
      </c>
      <c r="P8">
        <v>1500</v>
      </c>
      <c r="Q8">
        <v>525</v>
      </c>
      <c r="R8" s="219" t="s">
        <v>181</v>
      </c>
      <c r="S8" s="219">
        <v>23.0769230769231</v>
      </c>
      <c r="T8" s="219">
        <v>1500</v>
      </c>
      <c r="U8" s="219">
        <v>1500</v>
      </c>
      <c r="V8" s="219">
        <v>0</v>
      </c>
      <c r="W8" s="219">
        <v>1500</v>
      </c>
      <c r="X8" s="219" t="s">
        <v>182</v>
      </c>
      <c r="Y8" s="219">
        <v>15</v>
      </c>
      <c r="Z8" s="219">
        <v>975</v>
      </c>
      <c r="AA8" s="219">
        <v>975</v>
      </c>
      <c r="AB8" s="219">
        <v>0</v>
      </c>
      <c r="AC8" s="219">
        <v>975</v>
      </c>
      <c r="AD8" s="219">
        <v>525</v>
      </c>
      <c r="AE8">
        <v>240</v>
      </c>
      <c r="AF8">
        <v>4000</v>
      </c>
      <c r="AG8">
        <v>640</v>
      </c>
      <c r="AH8" s="219">
        <v>23.0769230769231</v>
      </c>
      <c r="AI8" s="219">
        <v>16.6666666666667</v>
      </c>
      <c r="AJ8" s="219">
        <v>5538.46153846154</v>
      </c>
      <c r="AK8" s="219">
        <v>4038.46153846154</v>
      </c>
      <c r="AL8" s="219">
        <v>-1538.46153846154</v>
      </c>
      <c r="AM8" s="219">
        <v>2500</v>
      </c>
      <c r="AN8" s="219">
        <v>15</v>
      </c>
      <c r="AO8" s="219">
        <v>14</v>
      </c>
      <c r="AP8" s="219">
        <v>3600</v>
      </c>
      <c r="AQ8" s="219">
        <v>2625</v>
      </c>
      <c r="AR8" s="219">
        <v>-240</v>
      </c>
      <c r="AS8" s="219">
        <v>2385</v>
      </c>
      <c r="AT8" s="219">
        <v>210.31392868028</v>
      </c>
    </row>
    <row r="12" spans="12:12">
      <c r="L12" s="217"/>
    </row>
  </sheetData>
  <mergeCells count="2">
    <mergeCell ref="R2:AD2"/>
    <mergeCell ref="AH2:AT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5"/>
  <sheetViews>
    <sheetView showGridLines="0" zoomScale="70" zoomScaleNormal="70" topLeftCell="B1" workbookViewId="0">
      <pane xSplit="6" ySplit="3" topLeftCell="H4" activePane="bottomRight" state="frozen"/>
      <selection/>
      <selection pane="topRight"/>
      <selection pane="bottomLeft"/>
      <selection pane="bottomRight" activeCell="H4" sqref="H4"/>
    </sheetView>
  </sheetViews>
  <sheetFormatPr defaultColWidth="9" defaultRowHeight="15.6"/>
  <cols>
    <col min="2" max="2" width="5.1" style="188" customWidth="1"/>
    <col min="3" max="3" width="6.3" customWidth="1"/>
    <col min="4" max="4" width="17.3" customWidth="1"/>
    <col min="5" max="5" width="1.3" style="189" customWidth="1"/>
    <col min="6" max="6" width="11.8" customWidth="1"/>
    <col min="7" max="7" width="1.2" style="190" customWidth="1"/>
    <col min="8" max="8" width="17.2" customWidth="1"/>
    <col min="9" max="9" width="1.2" style="190" customWidth="1"/>
    <col min="10" max="10" width="15.1" customWidth="1"/>
    <col min="11" max="11" width="1.2" style="190" customWidth="1"/>
    <col min="12" max="12" width="15.1" customWidth="1"/>
    <col min="13" max="13" width="1.2" style="190" customWidth="1"/>
    <col min="14" max="14" width="15.1" customWidth="1"/>
    <col min="15" max="15" width="30.2" style="191" customWidth="1"/>
  </cols>
  <sheetData>
    <row r="2" s="187" customFormat="1" ht="34.8" customHeight="1" spans="2:15">
      <c r="B2" s="192" t="s">
        <v>18</v>
      </c>
      <c r="C2" s="192"/>
      <c r="D2" s="192"/>
      <c r="E2" s="193"/>
      <c r="F2" s="194" t="str">
        <f>"实际"&amp;YEAR(主页!$D$5)-1&amp;"全年"</f>
        <v>实际2020全年</v>
      </c>
      <c r="G2" s="195"/>
      <c r="H2" s="194" t="str">
        <f>"实际"&amp;"截止"&amp;YEAR(主页!$D$5)-1&amp;"年"&amp;MONTH(主页!$D$5)&amp;"月"</f>
        <v>实际截止2020年9月</v>
      </c>
      <c r="I2" s="210"/>
      <c r="J2" s="194" t="str">
        <f>"估计"&amp;"从"&amp;YEAR(主页!$D$5)-1&amp;"年"&amp;MONTH(主页!$D$5)+1&amp;"月到年底"</f>
        <v>估计从2020年10月到年底</v>
      </c>
      <c r="K2" s="210"/>
      <c r="L2" s="194" t="str">
        <f>"估计"&amp;YEAR(主页!$D$5)&amp;"全年"</f>
        <v>估计2021全年</v>
      </c>
      <c r="M2" s="210"/>
      <c r="N2" s="194" t="str">
        <f>"预算"&amp;YEAR(主页!$D$5)+1&amp;"全年"</f>
        <v>预算2022全年</v>
      </c>
      <c r="O2" s="211"/>
    </row>
    <row r="3" s="187" customFormat="1" ht="17.4" customHeight="1" spans="2:15">
      <c r="B3" s="196"/>
      <c r="C3" s="196"/>
      <c r="D3" s="196"/>
      <c r="E3" s="193"/>
      <c r="F3" s="197" t="str">
        <f>"A"&amp;YEAR(主页!$D$5)-1&amp;"FY"</f>
        <v>A2020FY</v>
      </c>
      <c r="G3" s="198"/>
      <c r="H3" s="197" t="str">
        <f>"A"&amp;YEAR(主页!$D$5)&amp;TEXT(MONTH(主页!$D$5),"00")&amp;"YTD"</f>
        <v>A202109YTD</v>
      </c>
      <c r="I3" s="198"/>
      <c r="J3" s="197" t="str">
        <f>"E"&amp;YEAR(主页!$D$5)&amp;TEXT(MONTH(主页!$D$5),"00")&amp;"YTG"</f>
        <v>E202109YTG</v>
      </c>
      <c r="K3" s="198"/>
      <c r="L3" s="197" t="str">
        <f>"E"&amp;YEAR(主页!$D$5)&amp;"FY"</f>
        <v>E2021FY</v>
      </c>
      <c r="M3" s="198"/>
      <c r="N3" s="197" t="str">
        <f>"B"&amp;YEAR(主页!$D$5)+1&amp;"FY"</f>
        <v>B2022FY</v>
      </c>
      <c r="O3" s="211"/>
    </row>
    <row r="4" ht="17.4" spans="2:15">
      <c r="B4" s="199" t="s">
        <v>122</v>
      </c>
      <c r="C4" s="187"/>
      <c r="D4" s="187"/>
      <c r="E4" s="200"/>
      <c r="F4" s="187"/>
      <c r="G4" s="201"/>
      <c r="H4" s="187"/>
      <c r="I4" s="201"/>
      <c r="J4" s="187"/>
      <c r="K4" s="201"/>
      <c r="L4" s="187"/>
      <c r="M4" s="201"/>
      <c r="N4" s="187"/>
      <c r="O4" s="211"/>
    </row>
    <row r="5" ht="17.4" spans="2:15">
      <c r="B5" s="199"/>
      <c r="C5" s="200" t="s">
        <v>183</v>
      </c>
      <c r="D5" s="200"/>
      <c r="E5" s="200"/>
      <c r="F5" s="202">
        <f>[1]存货!$F$8</f>
        <v>1026.9</v>
      </c>
      <c r="G5" s="203"/>
      <c r="H5" s="202">
        <f>F8</f>
        <v>1077.9</v>
      </c>
      <c r="I5" s="203"/>
      <c r="J5" s="202">
        <f>H8</f>
        <v>958.5</v>
      </c>
      <c r="K5" s="203"/>
      <c r="L5" s="202">
        <f>F8</f>
        <v>1077.9</v>
      </c>
      <c r="M5" s="203"/>
      <c r="N5" s="202">
        <f>L8</f>
        <v>919.2</v>
      </c>
      <c r="O5" s="212" t="s">
        <v>184</v>
      </c>
    </row>
    <row r="6" ht="17.4" spans="2:15">
      <c r="B6" s="199"/>
      <c r="C6" s="187" t="s">
        <v>185</v>
      </c>
      <c r="D6" s="187"/>
      <c r="E6" s="200"/>
      <c r="F6" s="202">
        <f>销售收入及毛利!E7</f>
        <v>2970</v>
      </c>
      <c r="G6" s="203"/>
      <c r="H6" s="202">
        <f>销售收入及毛利!G7</f>
        <v>1500</v>
      </c>
      <c r="I6" s="203"/>
      <c r="J6" s="202">
        <f>销售收入及毛利!I7</f>
        <v>1050</v>
      </c>
      <c r="K6" s="203"/>
      <c r="L6" s="202">
        <f>销售收入及毛利!K7</f>
        <v>2550</v>
      </c>
      <c r="M6" s="203"/>
      <c r="N6" s="202">
        <f>销售收入及毛利!M7</f>
        <v>3920</v>
      </c>
      <c r="O6" s="211" t="s">
        <v>186</v>
      </c>
    </row>
    <row r="7" ht="17.4" spans="2:15">
      <c r="B7" s="199"/>
      <c r="C7" s="200" t="s">
        <v>187</v>
      </c>
      <c r="D7" s="200"/>
      <c r="E7" s="200"/>
      <c r="F7" s="204">
        <v>12</v>
      </c>
      <c r="G7" s="203"/>
      <c r="H7" s="204">
        <v>3</v>
      </c>
      <c r="I7" s="203"/>
      <c r="J7" s="204">
        <v>1</v>
      </c>
      <c r="K7" s="203"/>
      <c r="L7" s="202">
        <f>H7+J7</f>
        <v>4</v>
      </c>
      <c r="M7" s="203"/>
      <c r="N7" s="204">
        <v>4</v>
      </c>
      <c r="O7" s="211" t="s">
        <v>188</v>
      </c>
    </row>
    <row r="8" ht="17.4" spans="2:15">
      <c r="B8" s="199"/>
      <c r="C8" s="200" t="s">
        <v>189</v>
      </c>
      <c r="D8" s="200"/>
      <c r="E8" s="200"/>
      <c r="F8" s="202">
        <f>[1]存货!$R$8</f>
        <v>1077.9</v>
      </c>
      <c r="G8" s="203"/>
      <c r="H8" s="202">
        <f>INDEX([1]存货!$16:$16,1,MATCH(MONTH(主页!$D$5),[1]存货!$3:$3,0))</f>
        <v>958.5</v>
      </c>
      <c r="I8" s="203"/>
      <c r="J8" s="202">
        <f>[1]存货!$R$16</f>
        <v>919.2</v>
      </c>
      <c r="K8" s="203"/>
      <c r="L8" s="202">
        <f>J8</f>
        <v>919.2</v>
      </c>
      <c r="M8" s="203"/>
      <c r="N8" s="202">
        <f>[1]存货!$R$24</f>
        <v>1048.572</v>
      </c>
      <c r="O8" s="212" t="s">
        <v>184</v>
      </c>
    </row>
    <row r="9" ht="17.4" spans="2:15">
      <c r="B9" s="199"/>
      <c r="C9" s="200" t="s">
        <v>190</v>
      </c>
      <c r="D9" s="200"/>
      <c r="E9" s="200"/>
      <c r="F9" s="202">
        <f>F6-F5+F7+F8</f>
        <v>3033</v>
      </c>
      <c r="G9" s="203"/>
      <c r="H9" s="202">
        <f>H6-H5+H7+H8</f>
        <v>1383.6</v>
      </c>
      <c r="I9" s="203"/>
      <c r="J9" s="202">
        <f>J6-J5+J7+J8</f>
        <v>1011.7</v>
      </c>
      <c r="K9" s="203"/>
      <c r="L9" s="202">
        <f>L6-L5+L7+L8</f>
        <v>2395.3</v>
      </c>
      <c r="M9" s="203"/>
      <c r="N9" s="202">
        <f>N6-N5+N7+N8</f>
        <v>4053.372</v>
      </c>
      <c r="O9" s="213" t="s">
        <v>191</v>
      </c>
    </row>
    <row r="10" ht="17.4" spans="2:15">
      <c r="B10" s="199"/>
      <c r="C10" s="200"/>
      <c r="D10" s="200"/>
      <c r="E10" s="200"/>
      <c r="F10" s="204"/>
      <c r="G10" s="203"/>
      <c r="H10" s="204"/>
      <c r="I10" s="203"/>
      <c r="J10" s="204"/>
      <c r="K10" s="203"/>
      <c r="L10" s="204"/>
      <c r="M10" s="203"/>
      <c r="N10" s="204"/>
      <c r="O10" s="211"/>
    </row>
    <row r="11" ht="17.4" spans="2:15">
      <c r="B11" s="199" t="s">
        <v>192</v>
      </c>
      <c r="C11" s="187"/>
      <c r="D11" s="187"/>
      <c r="E11" s="200"/>
      <c r="F11" s="204"/>
      <c r="G11" s="203"/>
      <c r="H11" s="204"/>
      <c r="I11" s="203"/>
      <c r="J11" s="204"/>
      <c r="K11" s="203"/>
      <c r="L11" s="204"/>
      <c r="M11" s="203"/>
      <c r="N11" s="204"/>
      <c r="O11" s="211"/>
    </row>
    <row r="12" ht="17.4" spans="2:15">
      <c r="B12" s="199"/>
      <c r="C12" s="187" t="s">
        <v>183</v>
      </c>
      <c r="D12" s="187"/>
      <c r="E12" s="200"/>
      <c r="F12" s="202">
        <f>[1]存货!$F$10</f>
        <v>684.6</v>
      </c>
      <c r="G12" s="203"/>
      <c r="H12" s="202">
        <f>F15</f>
        <v>718.6</v>
      </c>
      <c r="I12" s="203"/>
      <c r="J12" s="202">
        <f>H15</f>
        <v>639</v>
      </c>
      <c r="K12" s="203"/>
      <c r="L12" s="202">
        <f>F15</f>
        <v>718.6</v>
      </c>
      <c r="M12" s="203"/>
      <c r="N12" s="202">
        <f>L15</f>
        <v>612.8</v>
      </c>
      <c r="O12" s="212" t="s">
        <v>184</v>
      </c>
    </row>
    <row r="13" ht="17.4" spans="2:15">
      <c r="B13" s="199"/>
      <c r="C13" s="200" t="s">
        <v>193</v>
      </c>
      <c r="D13" s="200"/>
      <c r="E13" s="200"/>
      <c r="F13" s="202">
        <f>销售收入及毛利!E13</f>
        <v>4830</v>
      </c>
      <c r="G13" s="203"/>
      <c r="H13" s="202">
        <f>销售收入及毛利!G13</f>
        <v>2520</v>
      </c>
      <c r="I13" s="203"/>
      <c r="J13" s="202">
        <f>销售收入及毛利!I13</f>
        <v>4461</v>
      </c>
      <c r="K13" s="203"/>
      <c r="L13" s="202">
        <f>销售收入及毛利!K13</f>
        <v>6981</v>
      </c>
      <c r="M13" s="203"/>
      <c r="N13" s="202">
        <f>销售收入及毛利!M13</f>
        <v>16827</v>
      </c>
      <c r="O13" s="211" t="s">
        <v>186</v>
      </c>
    </row>
    <row r="14" ht="17.4" spans="2:15">
      <c r="B14" s="199"/>
      <c r="C14" s="200" t="s">
        <v>187</v>
      </c>
      <c r="D14" s="200"/>
      <c r="E14" s="200"/>
      <c r="F14" s="204">
        <v>10</v>
      </c>
      <c r="G14" s="203"/>
      <c r="H14" s="204">
        <v>5</v>
      </c>
      <c r="I14" s="203"/>
      <c r="J14" s="204">
        <v>3</v>
      </c>
      <c r="K14" s="203"/>
      <c r="L14" s="202">
        <f>H14+J14</f>
        <v>8</v>
      </c>
      <c r="M14" s="203"/>
      <c r="N14" s="204">
        <v>7</v>
      </c>
      <c r="O14" s="211" t="s">
        <v>188</v>
      </c>
    </row>
    <row r="15" ht="17.4" spans="2:15">
      <c r="B15" s="199"/>
      <c r="C15" s="200" t="s">
        <v>189</v>
      </c>
      <c r="D15" s="200"/>
      <c r="E15" s="200"/>
      <c r="F15" s="202">
        <f>[1]存货!$R$10</f>
        <v>718.6</v>
      </c>
      <c r="G15" s="203"/>
      <c r="H15" s="202">
        <f>INDEX([1]存货!$18:$18,1,MATCH(MONTH(主页!$D$5),[1]存货!$3:$3,0))</f>
        <v>639</v>
      </c>
      <c r="I15" s="203"/>
      <c r="J15" s="202">
        <f>[1]存货!$R$18</f>
        <v>612.8</v>
      </c>
      <c r="K15" s="203"/>
      <c r="L15" s="202">
        <f>J15</f>
        <v>612.8</v>
      </c>
      <c r="M15" s="203"/>
      <c r="N15" s="202">
        <f>[1]存货!$R$26</f>
        <v>699.048</v>
      </c>
      <c r="O15" s="212" t="s">
        <v>184</v>
      </c>
    </row>
    <row r="16" ht="17.4" spans="2:15">
      <c r="B16" s="199"/>
      <c r="C16" s="200" t="s">
        <v>194</v>
      </c>
      <c r="D16" s="200"/>
      <c r="E16" s="200"/>
      <c r="F16" s="202">
        <f>F13-F12+F14+F15</f>
        <v>4874</v>
      </c>
      <c r="G16" s="203"/>
      <c r="H16" s="202">
        <f>H13-H12+H14+H15</f>
        <v>2445.4</v>
      </c>
      <c r="I16" s="203"/>
      <c r="J16" s="202">
        <f>J13-J12+J14+J15</f>
        <v>4437.8</v>
      </c>
      <c r="K16" s="203"/>
      <c r="L16" s="202">
        <f>L13-L12+L14+L15</f>
        <v>6883.2</v>
      </c>
      <c r="M16" s="203"/>
      <c r="N16" s="202">
        <f>N13-N12+N14+N15</f>
        <v>16920.248</v>
      </c>
      <c r="O16" s="213" t="s">
        <v>191</v>
      </c>
    </row>
    <row r="17" ht="17.4" spans="2:15">
      <c r="B17" s="199"/>
      <c r="C17" s="200" t="s">
        <v>86</v>
      </c>
      <c r="D17" s="205" t="s">
        <v>195</v>
      </c>
      <c r="E17" s="206"/>
      <c r="F17" s="207">
        <v>3500</v>
      </c>
      <c r="G17" s="203"/>
      <c r="H17" s="202">
        <f>H16-H18-H19</f>
        <v>1515.4</v>
      </c>
      <c r="I17" s="203"/>
      <c r="J17" s="202">
        <f>J16-J18-J19</f>
        <v>4014.8</v>
      </c>
      <c r="K17" s="203"/>
      <c r="L17" s="202">
        <f>H17+J17</f>
        <v>5530.2</v>
      </c>
      <c r="M17" s="203"/>
      <c r="N17" s="202">
        <f>N16-N18-N19</f>
        <v>12020.248</v>
      </c>
      <c r="O17" s="211" t="s">
        <v>196</v>
      </c>
    </row>
    <row r="18" ht="17.4" spans="2:15">
      <c r="B18" s="199"/>
      <c r="C18" s="187"/>
      <c r="D18" s="208" t="s">
        <v>197</v>
      </c>
      <c r="E18" s="209"/>
      <c r="F18" s="207">
        <v>890</v>
      </c>
      <c r="G18" s="203"/>
      <c r="H18" s="204">
        <v>600</v>
      </c>
      <c r="I18" s="203"/>
      <c r="J18" s="204">
        <v>300</v>
      </c>
      <c r="K18" s="203"/>
      <c r="L18" s="202">
        <f>H18+J18</f>
        <v>900</v>
      </c>
      <c r="M18" s="203"/>
      <c r="N18" s="204">
        <v>3600</v>
      </c>
      <c r="O18" s="211" t="s">
        <v>196</v>
      </c>
    </row>
    <row r="19" ht="17.4" spans="2:15">
      <c r="B19" s="199"/>
      <c r="C19" s="187"/>
      <c r="D19" s="205" t="s">
        <v>198</v>
      </c>
      <c r="E19" s="206"/>
      <c r="F19" s="202">
        <f>F13-F17-F18</f>
        <v>440</v>
      </c>
      <c r="G19" s="203"/>
      <c r="H19" s="204">
        <v>330</v>
      </c>
      <c r="I19" s="203"/>
      <c r="J19" s="204">
        <v>123</v>
      </c>
      <c r="K19" s="203"/>
      <c r="L19" s="202">
        <f>H19+J19</f>
        <v>453</v>
      </c>
      <c r="M19" s="203"/>
      <c r="N19" s="204">
        <v>1300</v>
      </c>
      <c r="O19" s="211" t="s">
        <v>196</v>
      </c>
    </row>
    <row r="20" ht="17.4" spans="2:15">
      <c r="B20" s="199"/>
      <c r="C20" s="187"/>
      <c r="D20" s="208"/>
      <c r="E20" s="209"/>
      <c r="F20" s="204"/>
      <c r="G20" s="203"/>
      <c r="H20" s="204"/>
      <c r="I20" s="203"/>
      <c r="J20" s="204"/>
      <c r="K20" s="203"/>
      <c r="L20" s="204"/>
      <c r="M20" s="203"/>
      <c r="N20" s="204"/>
      <c r="O20" s="211"/>
    </row>
    <row r="21" ht="17.4" spans="2:15">
      <c r="B21" s="199" t="s">
        <v>199</v>
      </c>
      <c r="C21" s="187"/>
      <c r="D21" s="205"/>
      <c r="E21" s="206"/>
      <c r="F21" s="204"/>
      <c r="G21" s="203"/>
      <c r="H21" s="204"/>
      <c r="I21" s="203"/>
      <c r="J21" s="204"/>
      <c r="K21" s="203"/>
      <c r="L21" s="204"/>
      <c r="M21" s="203"/>
      <c r="N21" s="204"/>
      <c r="O21" s="211"/>
    </row>
    <row r="22" ht="17.4" spans="2:15">
      <c r="B22" s="206"/>
      <c r="C22" s="187" t="s">
        <v>183</v>
      </c>
      <c r="D22" s="187"/>
      <c r="E22" s="200"/>
      <c r="F22" s="202">
        <f>[1]存货!$F$9</f>
        <v>1711.5</v>
      </c>
      <c r="G22" s="203"/>
      <c r="H22" s="202">
        <f>F25</f>
        <v>1329.41</v>
      </c>
      <c r="I22" s="203"/>
      <c r="J22" s="202">
        <f>H25</f>
        <v>1597.5</v>
      </c>
      <c r="K22" s="203"/>
      <c r="L22" s="202">
        <f>F25</f>
        <v>1329.41</v>
      </c>
      <c r="M22" s="203"/>
      <c r="N22" s="202">
        <f>L25</f>
        <v>1532</v>
      </c>
      <c r="O22" s="212" t="s">
        <v>184</v>
      </c>
    </row>
    <row r="23" ht="17.4" spans="2:15">
      <c r="B23" s="206"/>
      <c r="C23" s="200" t="s">
        <v>200</v>
      </c>
      <c r="D23" s="187"/>
      <c r="E23" s="200"/>
      <c r="F23" s="202">
        <f>F17</f>
        <v>3500</v>
      </c>
      <c r="G23" s="203"/>
      <c r="H23" s="202">
        <f>H17</f>
        <v>1515.4</v>
      </c>
      <c r="I23" s="203"/>
      <c r="J23" s="202">
        <f>J17</f>
        <v>4014.8</v>
      </c>
      <c r="K23" s="203"/>
      <c r="L23" s="202">
        <f>L17</f>
        <v>5530.2</v>
      </c>
      <c r="M23" s="203"/>
      <c r="N23" s="202">
        <f>N17</f>
        <v>12020.248</v>
      </c>
      <c r="O23" s="211" t="s">
        <v>186</v>
      </c>
    </row>
    <row r="24" ht="17.4" spans="2:15">
      <c r="B24" s="199"/>
      <c r="C24" s="200" t="s">
        <v>187</v>
      </c>
      <c r="D24" s="187"/>
      <c r="E24" s="200"/>
      <c r="F24" s="204">
        <v>5</v>
      </c>
      <c r="G24" s="203"/>
      <c r="H24" s="204">
        <v>2</v>
      </c>
      <c r="I24" s="203"/>
      <c r="J24" s="204">
        <v>1</v>
      </c>
      <c r="K24" s="203"/>
      <c r="L24" s="202">
        <f>H24+J24</f>
        <v>3</v>
      </c>
      <c r="M24" s="203"/>
      <c r="N24" s="204">
        <v>4</v>
      </c>
      <c r="O24" s="211" t="s">
        <v>188</v>
      </c>
    </row>
    <row r="25" ht="17.4" spans="2:15">
      <c r="B25" s="199"/>
      <c r="C25" s="200" t="s">
        <v>189</v>
      </c>
      <c r="D25" s="187"/>
      <c r="E25" s="200"/>
      <c r="F25" s="202">
        <f>[1]存货!$R$9</f>
        <v>1329.41</v>
      </c>
      <c r="G25" s="203"/>
      <c r="H25" s="202">
        <f>INDEX([1]存货!$1:$17,17,MATCH(MONTH(主页!$D$5),[1]存货!$3:$3,0))</f>
        <v>1597.5</v>
      </c>
      <c r="I25" s="203"/>
      <c r="J25" s="202">
        <f>[1]存货!$R$17</f>
        <v>1532</v>
      </c>
      <c r="K25" s="203"/>
      <c r="L25" s="202">
        <f>J25</f>
        <v>1532</v>
      </c>
      <c r="M25" s="203"/>
      <c r="N25" s="202">
        <f>[1]存货!$R$25</f>
        <v>1747.62</v>
      </c>
      <c r="O25" s="212" t="s">
        <v>184</v>
      </c>
    </row>
    <row r="26" ht="17.4" spans="2:15">
      <c r="B26" s="199"/>
      <c r="C26" s="200" t="s">
        <v>190</v>
      </c>
      <c r="D26" s="187"/>
      <c r="E26" s="200"/>
      <c r="F26" s="202">
        <f>F23-F22+F24+F25</f>
        <v>3122.91</v>
      </c>
      <c r="G26" s="203"/>
      <c r="H26" s="202">
        <f>H23-H22+H24+H25</f>
        <v>1785.49</v>
      </c>
      <c r="I26" s="203"/>
      <c r="J26" s="202">
        <f>J23-J22+J24+J25</f>
        <v>3950.3</v>
      </c>
      <c r="K26" s="203"/>
      <c r="L26" s="202">
        <f>L23-L22+L24+L25</f>
        <v>5735.79</v>
      </c>
      <c r="M26" s="203"/>
      <c r="N26" s="202">
        <f>N23-N22+N24+N25</f>
        <v>12239.868</v>
      </c>
      <c r="O26" s="213" t="s">
        <v>191</v>
      </c>
    </row>
    <row r="27" ht="17.4" spans="2:15">
      <c r="B27" s="199"/>
      <c r="C27" s="187"/>
      <c r="D27" s="187"/>
      <c r="E27" s="200"/>
      <c r="F27" s="204"/>
      <c r="G27" s="203"/>
      <c r="H27" s="204"/>
      <c r="I27" s="203"/>
      <c r="J27" s="204"/>
      <c r="K27" s="203"/>
      <c r="L27" s="204"/>
      <c r="M27" s="203"/>
      <c r="N27" s="204"/>
      <c r="O27" s="211"/>
    </row>
    <row r="28" ht="17.4" spans="2:15">
      <c r="B28" s="199" t="s">
        <v>201</v>
      </c>
      <c r="C28" s="187"/>
      <c r="D28" s="187"/>
      <c r="E28" s="200"/>
      <c r="F28" s="202">
        <f>F26-F32</f>
        <v>3011.11</v>
      </c>
      <c r="G28" s="203"/>
      <c r="H28" s="202">
        <f>H26-H32</f>
        <v>2024.29</v>
      </c>
      <c r="I28" s="203"/>
      <c r="J28" s="202">
        <f>J26-J32</f>
        <v>4028.9</v>
      </c>
      <c r="K28" s="203"/>
      <c r="L28" s="202">
        <f>L26-L32</f>
        <v>6053.19</v>
      </c>
      <c r="M28" s="203"/>
      <c r="N28" s="202">
        <f>N26-N32</f>
        <v>11318.868</v>
      </c>
      <c r="O28" s="213" t="s">
        <v>191</v>
      </c>
    </row>
    <row r="29" ht="17.4" spans="2:15">
      <c r="B29" s="199"/>
      <c r="C29" s="187"/>
      <c r="D29" s="187"/>
      <c r="E29" s="200"/>
      <c r="F29" s="204"/>
      <c r="G29" s="203"/>
      <c r="H29" s="204"/>
      <c r="I29" s="203"/>
      <c r="J29" s="204"/>
      <c r="K29" s="203"/>
      <c r="L29" s="204"/>
      <c r="M29" s="203"/>
      <c r="N29" s="204"/>
      <c r="O29" s="213"/>
    </row>
    <row r="30" ht="17.4" spans="2:15">
      <c r="B30" s="199" t="s">
        <v>202</v>
      </c>
      <c r="C30" s="187"/>
      <c r="D30" s="187"/>
      <c r="E30" s="200"/>
      <c r="F30" s="202">
        <f>[1]应付账款!$E$7</f>
        <v>2044</v>
      </c>
      <c r="G30" s="203"/>
      <c r="H30" s="202">
        <f>F31</f>
        <v>2155.8</v>
      </c>
      <c r="I30" s="203"/>
      <c r="J30" s="202">
        <f>H31</f>
        <v>1917</v>
      </c>
      <c r="K30" s="203"/>
      <c r="L30" s="202">
        <f>F31</f>
        <v>2155.8</v>
      </c>
      <c r="M30" s="203"/>
      <c r="N30" s="202">
        <f>L31</f>
        <v>1838.4</v>
      </c>
      <c r="O30" s="212" t="s">
        <v>184</v>
      </c>
    </row>
    <row r="31" ht="17.4" spans="2:15">
      <c r="B31" s="199" t="s">
        <v>203</v>
      </c>
      <c r="C31" s="187"/>
      <c r="D31" s="187"/>
      <c r="E31" s="200"/>
      <c r="F31" s="202">
        <f>[1]应付账款!$Q$7</f>
        <v>2155.8</v>
      </c>
      <c r="G31" s="203"/>
      <c r="H31" s="202">
        <f>INDEX([1]应付账款!$12:$12,1,MATCH(MONTH(主页!$D$5),[1]应付账款!$3:$3,0))</f>
        <v>1917</v>
      </c>
      <c r="I31" s="203"/>
      <c r="J31" s="202">
        <f>[1]应付账款!$Q$12</f>
        <v>1838.4</v>
      </c>
      <c r="K31" s="203"/>
      <c r="L31" s="202">
        <f>[1]应付账款!$Q$12</f>
        <v>1838.4</v>
      </c>
      <c r="M31" s="203"/>
      <c r="N31" s="202">
        <f>[1]应付账款!$Q$17</f>
        <v>2759.4</v>
      </c>
      <c r="O31" s="212" t="s">
        <v>184</v>
      </c>
    </row>
    <row r="32" ht="17.4" spans="2:15">
      <c r="B32" s="199" t="s">
        <v>204</v>
      </c>
      <c r="C32" s="187"/>
      <c r="D32" s="187"/>
      <c r="E32" s="200"/>
      <c r="F32" s="202">
        <f>F31-F30</f>
        <v>111.8</v>
      </c>
      <c r="G32" s="203"/>
      <c r="H32" s="202">
        <f>H31-H30</f>
        <v>-238.8</v>
      </c>
      <c r="I32" s="203"/>
      <c r="J32" s="202">
        <f>J31-J30</f>
        <v>-78.6000000000001</v>
      </c>
      <c r="K32" s="203"/>
      <c r="L32" s="202">
        <f>L31-L30</f>
        <v>-317.4</v>
      </c>
      <c r="M32" s="203"/>
      <c r="N32" s="202">
        <f>N31-N30</f>
        <v>921</v>
      </c>
      <c r="O32" s="213" t="s">
        <v>191</v>
      </c>
    </row>
    <row r="33" ht="17.4" spans="2:15">
      <c r="B33" s="199" t="s">
        <v>205</v>
      </c>
      <c r="C33" s="187"/>
      <c r="D33" s="187"/>
      <c r="E33" s="200"/>
      <c r="F33" s="204"/>
      <c r="G33" s="203"/>
      <c r="H33" s="204"/>
      <c r="I33" s="203"/>
      <c r="J33" s="204"/>
      <c r="K33" s="203"/>
      <c r="L33" s="204"/>
      <c r="M33" s="203"/>
      <c r="N33" s="204"/>
      <c r="O33" s="211"/>
    </row>
    <row r="34" ht="17.4" spans="2:15">
      <c r="B34" s="199"/>
      <c r="C34" s="187"/>
      <c r="D34" s="187"/>
      <c r="E34" s="200"/>
      <c r="F34" s="187"/>
      <c r="G34" s="201"/>
      <c r="H34" s="187"/>
      <c r="I34" s="201"/>
      <c r="J34" s="187"/>
      <c r="K34" s="201"/>
      <c r="L34" s="187"/>
      <c r="M34" s="201"/>
      <c r="N34" s="187"/>
      <c r="O34" s="211"/>
    </row>
    <row r="35" ht="17.4" spans="2:15">
      <c r="B35" s="199"/>
      <c r="C35" s="187"/>
      <c r="D35" s="187"/>
      <c r="E35" s="200"/>
      <c r="F35" s="187"/>
      <c r="G35" s="201"/>
      <c r="H35" s="187"/>
      <c r="I35" s="201"/>
      <c r="J35" s="187"/>
      <c r="K35" s="201"/>
      <c r="L35" s="187"/>
      <c r="M35" s="201"/>
      <c r="N35" s="187"/>
      <c r="O35" s="211"/>
    </row>
  </sheetData>
  <mergeCells count="1">
    <mergeCell ref="B2:D3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2:BK159"/>
  <sheetViews>
    <sheetView showGridLines="0" zoomScale="70" zoomScaleNormal="70" workbookViewId="0">
      <pane xSplit="6" ySplit="10" topLeftCell="G11" activePane="bottomRight" state="frozen"/>
      <selection/>
      <selection pane="topRight"/>
      <selection pane="bottomLeft"/>
      <selection pane="bottomRight" activeCell="H93" sqref="H93"/>
    </sheetView>
  </sheetViews>
  <sheetFormatPr defaultColWidth="9" defaultRowHeight="13.8"/>
  <cols>
    <col min="1" max="1" width="14.4" style="33" customWidth="1"/>
    <col min="2" max="2" width="2.5" style="33" customWidth="1"/>
    <col min="3" max="3" width="3.5" style="33" customWidth="1"/>
    <col min="4" max="4" width="10.4" style="33" customWidth="1"/>
    <col min="5" max="6" width="1.8" style="163" customWidth="1"/>
    <col min="7" max="7" width="12.1" style="33" customWidth="1"/>
    <col min="8" max="16" width="10.9" style="33" customWidth="1" outlineLevel="1"/>
    <col min="17" max="19" width="12.1" style="33" customWidth="1" outlineLevel="1"/>
    <col min="20" max="20" width="12.1" style="33" customWidth="1"/>
    <col min="21" max="21" width="12.4" style="33" customWidth="1" outlineLevel="1" collapsed="1"/>
    <col min="22" max="30" width="10.9" style="33" hidden="1" customWidth="1" outlineLevel="2"/>
    <col min="31" max="33" width="12.1" style="33" hidden="1" customWidth="1" outlineLevel="2"/>
    <col min="34" max="34" width="10.3" style="33" customWidth="1" outlineLevel="1" collapsed="1"/>
    <col min="35" max="43" width="10.9" style="33" hidden="1" customWidth="1" outlineLevel="2"/>
    <col min="44" max="46" width="12.1" style="33" hidden="1" customWidth="1" outlineLevel="2"/>
    <col min="47" max="47" width="12.1" style="33" customWidth="1" collapsed="1"/>
    <col min="48" max="56" width="10.9" style="33" hidden="1" customWidth="1" outlineLevel="1"/>
    <col min="57" max="59" width="12.1" style="33" hidden="1" customWidth="1" outlineLevel="1"/>
    <col min="60" max="16384" width="8.8" style="33"/>
  </cols>
  <sheetData>
    <row r="2" ht="25.8" spans="2:2">
      <c r="B2" s="165" t="s">
        <v>206</v>
      </c>
    </row>
    <row r="3" ht="15.6" spans="3:63">
      <c r="C3" s="166" t="s">
        <v>207</v>
      </c>
      <c r="D3" s="166"/>
      <c r="E3" s="167"/>
      <c r="F3" s="167"/>
      <c r="G3" s="168">
        <f>主页!D5</f>
        <v>44469</v>
      </c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</row>
    <row r="4" spans="2:2">
      <c r="B4" s="33" t="s">
        <v>27</v>
      </c>
    </row>
    <row r="5" s="161" customFormat="1" ht="25.2" customHeight="1" spans="2:59">
      <c r="B5" s="169" t="s">
        <v>18</v>
      </c>
      <c r="C5" s="169"/>
      <c r="D5" s="169"/>
      <c r="E5" s="169"/>
      <c r="F5" s="170"/>
      <c r="G5" s="171" t="str">
        <f>"A"&amp;YEAR($G$3)-1&amp;"FY"</f>
        <v>A2020FY</v>
      </c>
      <c r="H5" s="172" t="s">
        <v>86</v>
      </c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4"/>
      <c r="T5" s="171" t="str">
        <f>"E"&amp;YEAR($G$3)&amp;"FY"</f>
        <v>E2021FY</v>
      </c>
      <c r="U5" s="171" t="str">
        <f>"A"&amp;YEAR($G$3)&amp;TEXT(MONTH($G$3),"00")&amp;"YTD"</f>
        <v>A202109YTD</v>
      </c>
      <c r="V5" s="172" t="s">
        <v>86</v>
      </c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4"/>
      <c r="AH5" s="171" t="str">
        <f>"E"&amp;YEAR($G$3)&amp;TEXT(MONTH($G$3),"00")&amp;"YTG"</f>
        <v>E202109YTG</v>
      </c>
      <c r="AI5" s="172" t="s">
        <v>86</v>
      </c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4"/>
      <c r="AU5" s="171" t="str">
        <f>"B"&amp;YEAR($G$3)+1&amp;"FY"</f>
        <v>B2022FY</v>
      </c>
      <c r="AV5" s="172" t="s">
        <v>86</v>
      </c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4"/>
    </row>
    <row r="6" s="161" customFormat="1" ht="15.6" customHeight="1" spans="2:59">
      <c r="B6" s="173"/>
      <c r="C6" s="173"/>
      <c r="D6" s="173"/>
      <c r="E6" s="173"/>
      <c r="F6" s="174"/>
      <c r="G6" s="175" t="str">
        <f>LEFT(G5,1)</f>
        <v>A</v>
      </c>
      <c r="H6" s="175" t="str">
        <f>LEFT(G5,1)</f>
        <v>A</v>
      </c>
      <c r="I6" s="175" t="str">
        <f>H6</f>
        <v>A</v>
      </c>
      <c r="J6" s="175" t="str">
        <f t="shared" ref="J6:S7" si="0">I6</f>
        <v>A</v>
      </c>
      <c r="K6" s="175" t="str">
        <f t="shared" si="0"/>
        <v>A</v>
      </c>
      <c r="L6" s="175" t="str">
        <f t="shared" si="0"/>
        <v>A</v>
      </c>
      <c r="M6" s="175" t="str">
        <f t="shared" si="0"/>
        <v>A</v>
      </c>
      <c r="N6" s="175" t="str">
        <f t="shared" si="0"/>
        <v>A</v>
      </c>
      <c r="O6" s="175" t="str">
        <f t="shared" si="0"/>
        <v>A</v>
      </c>
      <c r="P6" s="175" t="str">
        <f t="shared" si="0"/>
        <v>A</v>
      </c>
      <c r="Q6" s="175" t="str">
        <f t="shared" si="0"/>
        <v>A</v>
      </c>
      <c r="R6" s="175" t="str">
        <f t="shared" si="0"/>
        <v>A</v>
      </c>
      <c r="S6" s="175" t="str">
        <f t="shared" si="0"/>
        <v>A</v>
      </c>
      <c r="T6" s="175" t="str">
        <f>LEFT(T5,1)</f>
        <v>E</v>
      </c>
      <c r="U6" s="175" t="str">
        <f>LEFT(U5,1)</f>
        <v>A</v>
      </c>
      <c r="V6" s="175" t="str">
        <f>LEFT(U5,1)</f>
        <v>A</v>
      </c>
      <c r="W6" s="175" t="str">
        <f>V6</f>
        <v>A</v>
      </c>
      <c r="X6" s="175" t="str">
        <f t="shared" ref="X6:AG7" si="1">W6</f>
        <v>A</v>
      </c>
      <c r="Y6" s="175" t="str">
        <f t="shared" si="1"/>
        <v>A</v>
      </c>
      <c r="Z6" s="175" t="str">
        <f t="shared" si="1"/>
        <v>A</v>
      </c>
      <c r="AA6" s="175" t="str">
        <f t="shared" si="1"/>
        <v>A</v>
      </c>
      <c r="AB6" s="175" t="str">
        <f t="shared" si="1"/>
        <v>A</v>
      </c>
      <c r="AC6" s="175" t="str">
        <f t="shared" si="1"/>
        <v>A</v>
      </c>
      <c r="AD6" s="175" t="str">
        <f t="shared" si="1"/>
        <v>A</v>
      </c>
      <c r="AE6" s="175" t="str">
        <f t="shared" si="1"/>
        <v>A</v>
      </c>
      <c r="AF6" s="175" t="str">
        <f t="shared" si="1"/>
        <v>A</v>
      </c>
      <c r="AG6" s="175" t="str">
        <f t="shared" si="1"/>
        <v>A</v>
      </c>
      <c r="AH6" s="175" t="str">
        <f>LEFT(AH5,1)</f>
        <v>E</v>
      </c>
      <c r="AI6" s="175" t="str">
        <f>LEFT(AH5,1)</f>
        <v>E</v>
      </c>
      <c r="AJ6" s="175" t="str">
        <f>AI6</f>
        <v>E</v>
      </c>
      <c r="AK6" s="175" t="str">
        <f t="shared" ref="AK6:AT7" si="2">AJ6</f>
        <v>E</v>
      </c>
      <c r="AL6" s="175" t="str">
        <f t="shared" si="2"/>
        <v>E</v>
      </c>
      <c r="AM6" s="175" t="str">
        <f t="shared" si="2"/>
        <v>E</v>
      </c>
      <c r="AN6" s="175" t="str">
        <f t="shared" si="2"/>
        <v>E</v>
      </c>
      <c r="AO6" s="175" t="str">
        <f t="shared" si="2"/>
        <v>E</v>
      </c>
      <c r="AP6" s="175" t="str">
        <f t="shared" si="2"/>
        <v>E</v>
      </c>
      <c r="AQ6" s="175" t="str">
        <f t="shared" si="2"/>
        <v>E</v>
      </c>
      <c r="AR6" s="175" t="str">
        <f t="shared" si="2"/>
        <v>E</v>
      </c>
      <c r="AS6" s="175" t="str">
        <f t="shared" si="2"/>
        <v>E</v>
      </c>
      <c r="AT6" s="175" t="str">
        <f t="shared" si="2"/>
        <v>E</v>
      </c>
      <c r="AU6" s="175" t="str">
        <f>LEFT(AU5,1)</f>
        <v>B</v>
      </c>
      <c r="AV6" s="175" t="str">
        <f>LEFT(AU5,1)</f>
        <v>B</v>
      </c>
      <c r="AW6" s="175" t="str">
        <f>AV6</f>
        <v>B</v>
      </c>
      <c r="AX6" s="175" t="str">
        <f t="shared" ref="AX6:BG7" si="3">AW6</f>
        <v>B</v>
      </c>
      <c r="AY6" s="175" t="str">
        <f t="shared" si="3"/>
        <v>B</v>
      </c>
      <c r="AZ6" s="175" t="str">
        <f t="shared" si="3"/>
        <v>B</v>
      </c>
      <c r="BA6" s="175" t="str">
        <f t="shared" si="3"/>
        <v>B</v>
      </c>
      <c r="BB6" s="175" t="str">
        <f t="shared" si="3"/>
        <v>B</v>
      </c>
      <c r="BC6" s="175" t="str">
        <f t="shared" si="3"/>
        <v>B</v>
      </c>
      <c r="BD6" s="175" t="str">
        <f t="shared" si="3"/>
        <v>B</v>
      </c>
      <c r="BE6" s="175" t="str">
        <f t="shared" si="3"/>
        <v>B</v>
      </c>
      <c r="BF6" s="175" t="str">
        <f t="shared" si="3"/>
        <v>B</v>
      </c>
      <c r="BG6" s="175" t="str">
        <f t="shared" si="3"/>
        <v>B</v>
      </c>
    </row>
    <row r="7" s="162" customFormat="1" ht="15.6" spans="2:59">
      <c r="B7" s="173"/>
      <c r="C7" s="173"/>
      <c r="D7" s="173"/>
      <c r="E7" s="173"/>
      <c r="F7" s="174"/>
      <c r="G7" s="176" t="s">
        <v>128</v>
      </c>
      <c r="H7" s="177">
        <f>YEAR($G$3)-1</f>
        <v>2020</v>
      </c>
      <c r="I7" s="179">
        <f>H7</f>
        <v>2020</v>
      </c>
      <c r="J7" s="179">
        <f t="shared" si="0"/>
        <v>2020</v>
      </c>
      <c r="K7" s="179">
        <f t="shared" si="0"/>
        <v>2020</v>
      </c>
      <c r="L7" s="179">
        <f t="shared" si="0"/>
        <v>2020</v>
      </c>
      <c r="M7" s="179">
        <f t="shared" si="0"/>
        <v>2020</v>
      </c>
      <c r="N7" s="179">
        <f t="shared" si="0"/>
        <v>2020</v>
      </c>
      <c r="O7" s="179">
        <f t="shared" si="0"/>
        <v>2020</v>
      </c>
      <c r="P7" s="179">
        <f t="shared" si="0"/>
        <v>2020</v>
      </c>
      <c r="Q7" s="179">
        <f t="shared" si="0"/>
        <v>2020</v>
      </c>
      <c r="R7" s="179">
        <f t="shared" si="0"/>
        <v>2020</v>
      </c>
      <c r="S7" s="179">
        <f t="shared" si="0"/>
        <v>2020</v>
      </c>
      <c r="T7" s="176" t="s">
        <v>128</v>
      </c>
      <c r="U7" s="176" t="s">
        <v>128</v>
      </c>
      <c r="V7" s="177">
        <f>YEAR($G$3)</f>
        <v>2021</v>
      </c>
      <c r="W7" s="179">
        <f>V7</f>
        <v>2021</v>
      </c>
      <c r="X7" s="179">
        <f t="shared" si="1"/>
        <v>2021</v>
      </c>
      <c r="Y7" s="179">
        <f t="shared" si="1"/>
        <v>2021</v>
      </c>
      <c r="Z7" s="179">
        <f t="shared" si="1"/>
        <v>2021</v>
      </c>
      <c r="AA7" s="179">
        <f t="shared" si="1"/>
        <v>2021</v>
      </c>
      <c r="AB7" s="179">
        <f t="shared" si="1"/>
        <v>2021</v>
      </c>
      <c r="AC7" s="179">
        <f t="shared" si="1"/>
        <v>2021</v>
      </c>
      <c r="AD7" s="179">
        <f t="shared" si="1"/>
        <v>2021</v>
      </c>
      <c r="AE7" s="179">
        <f t="shared" si="1"/>
        <v>2021</v>
      </c>
      <c r="AF7" s="179">
        <f t="shared" si="1"/>
        <v>2021</v>
      </c>
      <c r="AG7" s="179">
        <f t="shared" si="1"/>
        <v>2021</v>
      </c>
      <c r="AH7" s="176" t="s">
        <v>128</v>
      </c>
      <c r="AI7" s="177">
        <f>YEAR($G$3)</f>
        <v>2021</v>
      </c>
      <c r="AJ7" s="179">
        <f>AI7</f>
        <v>2021</v>
      </c>
      <c r="AK7" s="179">
        <f t="shared" si="2"/>
        <v>2021</v>
      </c>
      <c r="AL7" s="179">
        <f t="shared" si="2"/>
        <v>2021</v>
      </c>
      <c r="AM7" s="179">
        <f t="shared" si="2"/>
        <v>2021</v>
      </c>
      <c r="AN7" s="179">
        <f t="shared" si="2"/>
        <v>2021</v>
      </c>
      <c r="AO7" s="179">
        <f t="shared" si="2"/>
        <v>2021</v>
      </c>
      <c r="AP7" s="179">
        <f t="shared" si="2"/>
        <v>2021</v>
      </c>
      <c r="AQ7" s="179">
        <f t="shared" si="2"/>
        <v>2021</v>
      </c>
      <c r="AR7" s="179">
        <f t="shared" si="2"/>
        <v>2021</v>
      </c>
      <c r="AS7" s="179">
        <f t="shared" si="2"/>
        <v>2021</v>
      </c>
      <c r="AT7" s="179">
        <f t="shared" si="2"/>
        <v>2021</v>
      </c>
      <c r="AU7" s="176" t="s">
        <v>128</v>
      </c>
      <c r="AV7" s="177">
        <f>YEAR($G$3)+1</f>
        <v>2022</v>
      </c>
      <c r="AW7" s="179">
        <f>AV7</f>
        <v>2022</v>
      </c>
      <c r="AX7" s="179">
        <f t="shared" si="3"/>
        <v>2022</v>
      </c>
      <c r="AY7" s="179">
        <f t="shared" si="3"/>
        <v>2022</v>
      </c>
      <c r="AZ7" s="179">
        <f t="shared" si="3"/>
        <v>2022</v>
      </c>
      <c r="BA7" s="179">
        <f t="shared" si="3"/>
        <v>2022</v>
      </c>
      <c r="BB7" s="179">
        <f t="shared" si="3"/>
        <v>2022</v>
      </c>
      <c r="BC7" s="179">
        <f t="shared" si="3"/>
        <v>2022</v>
      </c>
      <c r="BD7" s="179">
        <f t="shared" si="3"/>
        <v>2022</v>
      </c>
      <c r="BE7" s="179">
        <f t="shared" si="3"/>
        <v>2022</v>
      </c>
      <c r="BF7" s="179">
        <f t="shared" si="3"/>
        <v>2022</v>
      </c>
      <c r="BG7" s="179">
        <f t="shared" si="3"/>
        <v>2022</v>
      </c>
    </row>
    <row r="8" s="162" customFormat="1" ht="15.6" spans="2:59">
      <c r="B8" s="173"/>
      <c r="C8" s="173"/>
      <c r="D8" s="173"/>
      <c r="E8" s="173"/>
      <c r="F8" s="174"/>
      <c r="G8" s="178"/>
      <c r="H8" s="179">
        <v>1</v>
      </c>
      <c r="I8" s="179">
        <v>2</v>
      </c>
      <c r="J8" s="179">
        <v>3</v>
      </c>
      <c r="K8" s="179">
        <v>4</v>
      </c>
      <c r="L8" s="179">
        <v>5</v>
      </c>
      <c r="M8" s="179">
        <v>6</v>
      </c>
      <c r="N8" s="179">
        <v>7</v>
      </c>
      <c r="O8" s="179">
        <v>8</v>
      </c>
      <c r="P8" s="179">
        <v>9</v>
      </c>
      <c r="Q8" s="179">
        <v>10</v>
      </c>
      <c r="R8" s="179">
        <v>11</v>
      </c>
      <c r="S8" s="179">
        <v>12</v>
      </c>
      <c r="T8" s="178"/>
      <c r="U8" s="178"/>
      <c r="V8" s="179">
        <v>1</v>
      </c>
      <c r="W8" s="179">
        <v>2</v>
      </c>
      <c r="X8" s="179">
        <v>3</v>
      </c>
      <c r="Y8" s="179">
        <v>4</v>
      </c>
      <c r="Z8" s="179">
        <v>5</v>
      </c>
      <c r="AA8" s="179">
        <v>6</v>
      </c>
      <c r="AB8" s="179">
        <v>7</v>
      </c>
      <c r="AC8" s="179">
        <v>8</v>
      </c>
      <c r="AD8" s="179">
        <v>9</v>
      </c>
      <c r="AE8" s="179">
        <v>10</v>
      </c>
      <c r="AF8" s="179">
        <v>11</v>
      </c>
      <c r="AG8" s="179">
        <v>12</v>
      </c>
      <c r="AH8" s="178"/>
      <c r="AI8" s="179">
        <v>1</v>
      </c>
      <c r="AJ8" s="179">
        <v>2</v>
      </c>
      <c r="AK8" s="179">
        <v>3</v>
      </c>
      <c r="AL8" s="179">
        <v>4</v>
      </c>
      <c r="AM8" s="179">
        <v>5</v>
      </c>
      <c r="AN8" s="179">
        <v>6</v>
      </c>
      <c r="AO8" s="179">
        <v>7</v>
      </c>
      <c r="AP8" s="179">
        <v>8</v>
      </c>
      <c r="AQ8" s="179">
        <v>9</v>
      </c>
      <c r="AR8" s="179">
        <v>10</v>
      </c>
      <c r="AS8" s="179">
        <v>11</v>
      </c>
      <c r="AT8" s="179">
        <v>12</v>
      </c>
      <c r="AU8" s="178"/>
      <c r="AV8" s="179">
        <v>1</v>
      </c>
      <c r="AW8" s="179">
        <v>2</v>
      </c>
      <c r="AX8" s="179">
        <v>3</v>
      </c>
      <c r="AY8" s="179">
        <v>4</v>
      </c>
      <c r="AZ8" s="179">
        <v>5</v>
      </c>
      <c r="BA8" s="179">
        <v>6</v>
      </c>
      <c r="BB8" s="179">
        <v>7</v>
      </c>
      <c r="BC8" s="179">
        <v>8</v>
      </c>
      <c r="BD8" s="179">
        <v>9</v>
      </c>
      <c r="BE8" s="179">
        <v>10</v>
      </c>
      <c r="BF8" s="179">
        <v>11</v>
      </c>
      <c r="BG8" s="179">
        <v>12</v>
      </c>
    </row>
    <row r="9" s="163" customFormat="1" ht="8.4" customHeight="1" spans="3:59">
      <c r="C9" s="157"/>
      <c r="D9" s="157"/>
      <c r="E9" s="157"/>
      <c r="F9" s="157"/>
      <c r="G9" s="180">
        <f>DATE(YEAR($G$3)-1,1,1)</f>
        <v>43831</v>
      </c>
      <c r="H9" s="180">
        <f>DATE(H7,H8,1)</f>
        <v>43831</v>
      </c>
      <c r="I9" s="180">
        <f t="shared" ref="I9:S9" si="4">DATE(I7,I8,1)</f>
        <v>43862</v>
      </c>
      <c r="J9" s="180">
        <f t="shared" si="4"/>
        <v>43891</v>
      </c>
      <c r="K9" s="180">
        <f t="shared" si="4"/>
        <v>43922</v>
      </c>
      <c r="L9" s="180">
        <f t="shared" si="4"/>
        <v>43952</v>
      </c>
      <c r="M9" s="180">
        <f t="shared" si="4"/>
        <v>43983</v>
      </c>
      <c r="N9" s="180">
        <f t="shared" si="4"/>
        <v>44013</v>
      </c>
      <c r="O9" s="180">
        <f t="shared" si="4"/>
        <v>44044</v>
      </c>
      <c r="P9" s="180">
        <f t="shared" si="4"/>
        <v>44075</v>
      </c>
      <c r="Q9" s="180">
        <f t="shared" si="4"/>
        <v>44105</v>
      </c>
      <c r="R9" s="180">
        <f t="shared" si="4"/>
        <v>44136</v>
      </c>
      <c r="S9" s="180">
        <f t="shared" si="4"/>
        <v>44166</v>
      </c>
      <c r="T9" s="180">
        <f>DATE(YEAR($G$3),1,1)</f>
        <v>44197</v>
      </c>
      <c r="U9" s="180">
        <f>DATE(YEAR($G$3),1,1)</f>
        <v>44197</v>
      </c>
      <c r="V9" s="180">
        <f>DATE(V7,V8,1)</f>
        <v>44197</v>
      </c>
      <c r="W9" s="180">
        <f t="shared" ref="W9:AG9" si="5">DATE(W7,W8,1)</f>
        <v>44228</v>
      </c>
      <c r="X9" s="180">
        <f t="shared" si="5"/>
        <v>44256</v>
      </c>
      <c r="Y9" s="180">
        <f t="shared" si="5"/>
        <v>44287</v>
      </c>
      <c r="Z9" s="180">
        <f t="shared" si="5"/>
        <v>44317</v>
      </c>
      <c r="AA9" s="180">
        <f t="shared" si="5"/>
        <v>44348</v>
      </c>
      <c r="AB9" s="180">
        <f t="shared" si="5"/>
        <v>44378</v>
      </c>
      <c r="AC9" s="180">
        <f t="shared" si="5"/>
        <v>44409</v>
      </c>
      <c r="AD9" s="180">
        <f t="shared" si="5"/>
        <v>44440</v>
      </c>
      <c r="AE9" s="180">
        <f t="shared" si="5"/>
        <v>44470</v>
      </c>
      <c r="AF9" s="180">
        <f t="shared" si="5"/>
        <v>44501</v>
      </c>
      <c r="AG9" s="180">
        <f t="shared" si="5"/>
        <v>44531</v>
      </c>
      <c r="AH9" s="180">
        <f>DATE(YEAR($G$3),MONTH($G$3)+1,1)</f>
        <v>44470</v>
      </c>
      <c r="AI9" s="180">
        <f>DATE(AI7,AI8,1)</f>
        <v>44197</v>
      </c>
      <c r="AJ9" s="180">
        <f t="shared" ref="AJ9:AT9" si="6">DATE(AJ7,AJ8,1)</f>
        <v>44228</v>
      </c>
      <c r="AK9" s="180">
        <f t="shared" si="6"/>
        <v>44256</v>
      </c>
      <c r="AL9" s="180">
        <f t="shared" si="6"/>
        <v>44287</v>
      </c>
      <c r="AM9" s="180">
        <f t="shared" si="6"/>
        <v>44317</v>
      </c>
      <c r="AN9" s="180">
        <f t="shared" si="6"/>
        <v>44348</v>
      </c>
      <c r="AO9" s="180">
        <f t="shared" si="6"/>
        <v>44378</v>
      </c>
      <c r="AP9" s="180">
        <f t="shared" si="6"/>
        <v>44409</v>
      </c>
      <c r="AQ9" s="180">
        <f t="shared" si="6"/>
        <v>44440</v>
      </c>
      <c r="AR9" s="180">
        <f t="shared" si="6"/>
        <v>44470</v>
      </c>
      <c r="AS9" s="180">
        <f t="shared" si="6"/>
        <v>44501</v>
      </c>
      <c r="AT9" s="180">
        <f t="shared" si="6"/>
        <v>44531</v>
      </c>
      <c r="AU9" s="180">
        <f>DATE(YEAR($G$3)+1,1,1)</f>
        <v>44562</v>
      </c>
      <c r="AV9" s="180">
        <f>DATE(AV7,AV8,1)</f>
        <v>44562</v>
      </c>
      <c r="AW9" s="180">
        <f t="shared" ref="AW9:BG9" si="7">DATE(AW7,AW8,1)</f>
        <v>44593</v>
      </c>
      <c r="AX9" s="180">
        <f t="shared" si="7"/>
        <v>44621</v>
      </c>
      <c r="AY9" s="180">
        <f t="shared" si="7"/>
        <v>44652</v>
      </c>
      <c r="AZ9" s="180">
        <f t="shared" si="7"/>
        <v>44682</v>
      </c>
      <c r="BA9" s="180">
        <f t="shared" si="7"/>
        <v>44713</v>
      </c>
      <c r="BB9" s="180">
        <f t="shared" si="7"/>
        <v>44743</v>
      </c>
      <c r="BC9" s="180">
        <f t="shared" si="7"/>
        <v>44774</v>
      </c>
      <c r="BD9" s="180">
        <f t="shared" si="7"/>
        <v>44805</v>
      </c>
      <c r="BE9" s="180">
        <f t="shared" si="7"/>
        <v>44835</v>
      </c>
      <c r="BF9" s="180">
        <f t="shared" si="7"/>
        <v>44866</v>
      </c>
      <c r="BG9" s="180">
        <f t="shared" si="7"/>
        <v>44896</v>
      </c>
    </row>
    <row r="10" s="163" customFormat="1" ht="8.4" customHeight="1" spans="3:59">
      <c r="C10" s="157"/>
      <c r="D10" s="157"/>
      <c r="E10" s="157"/>
      <c r="F10" s="157"/>
      <c r="G10" s="180">
        <f>EOMONTH(DATE(YEAR($G$3)-1,12,1),0)</f>
        <v>44196</v>
      </c>
      <c r="H10" s="180">
        <f>EOMONTH(H9,0)</f>
        <v>43861</v>
      </c>
      <c r="I10" s="180">
        <f t="shared" ref="I10:S10" si="8">EOMONTH(I9,0)</f>
        <v>43890</v>
      </c>
      <c r="J10" s="180">
        <f t="shared" si="8"/>
        <v>43921</v>
      </c>
      <c r="K10" s="180">
        <f t="shared" si="8"/>
        <v>43951</v>
      </c>
      <c r="L10" s="180">
        <f t="shared" si="8"/>
        <v>43982</v>
      </c>
      <c r="M10" s="180">
        <f t="shared" si="8"/>
        <v>44012</v>
      </c>
      <c r="N10" s="180">
        <f t="shared" si="8"/>
        <v>44043</v>
      </c>
      <c r="O10" s="180">
        <f t="shared" si="8"/>
        <v>44074</v>
      </c>
      <c r="P10" s="180">
        <f t="shared" si="8"/>
        <v>44104</v>
      </c>
      <c r="Q10" s="180">
        <f t="shared" si="8"/>
        <v>44135</v>
      </c>
      <c r="R10" s="180">
        <f t="shared" si="8"/>
        <v>44165</v>
      </c>
      <c r="S10" s="180">
        <f t="shared" si="8"/>
        <v>44196</v>
      </c>
      <c r="T10" s="180">
        <f>EOMONTH(DATE(YEAR($G$3),12,1),0)</f>
        <v>44561</v>
      </c>
      <c r="U10" s="180">
        <f>EOMONTH(DATE(YEAR($G$3),MONTH(G3),1),0)</f>
        <v>44469</v>
      </c>
      <c r="V10" s="180">
        <f>EOMONTH(V9,0)</f>
        <v>44227</v>
      </c>
      <c r="W10" s="180">
        <f t="shared" ref="W10:AG10" si="9">EOMONTH(W9,0)</f>
        <v>44255</v>
      </c>
      <c r="X10" s="180">
        <f t="shared" si="9"/>
        <v>44286</v>
      </c>
      <c r="Y10" s="180">
        <f t="shared" si="9"/>
        <v>44316</v>
      </c>
      <c r="Z10" s="180">
        <f t="shared" si="9"/>
        <v>44347</v>
      </c>
      <c r="AA10" s="180">
        <f t="shared" si="9"/>
        <v>44377</v>
      </c>
      <c r="AB10" s="180">
        <f t="shared" si="9"/>
        <v>44408</v>
      </c>
      <c r="AC10" s="180">
        <f t="shared" si="9"/>
        <v>44439</v>
      </c>
      <c r="AD10" s="180">
        <f t="shared" si="9"/>
        <v>44469</v>
      </c>
      <c r="AE10" s="180">
        <f t="shared" si="9"/>
        <v>44500</v>
      </c>
      <c r="AF10" s="180">
        <f t="shared" si="9"/>
        <v>44530</v>
      </c>
      <c r="AG10" s="180">
        <f t="shared" si="9"/>
        <v>44561</v>
      </c>
      <c r="AH10" s="180">
        <f>EOMONTH(DATE(YEAR($G$3),12,1),0)</f>
        <v>44561</v>
      </c>
      <c r="AI10" s="180">
        <f>EOMONTH(AI9,0)</f>
        <v>44227</v>
      </c>
      <c r="AJ10" s="180">
        <f t="shared" ref="AJ10:AT10" si="10">EOMONTH(AJ9,0)</f>
        <v>44255</v>
      </c>
      <c r="AK10" s="180">
        <f t="shared" si="10"/>
        <v>44286</v>
      </c>
      <c r="AL10" s="180">
        <f t="shared" si="10"/>
        <v>44316</v>
      </c>
      <c r="AM10" s="180">
        <f t="shared" si="10"/>
        <v>44347</v>
      </c>
      <c r="AN10" s="180">
        <f t="shared" si="10"/>
        <v>44377</v>
      </c>
      <c r="AO10" s="180">
        <f t="shared" si="10"/>
        <v>44408</v>
      </c>
      <c r="AP10" s="180">
        <f t="shared" si="10"/>
        <v>44439</v>
      </c>
      <c r="AQ10" s="180">
        <f t="shared" si="10"/>
        <v>44469</v>
      </c>
      <c r="AR10" s="180">
        <f t="shared" si="10"/>
        <v>44500</v>
      </c>
      <c r="AS10" s="180">
        <f t="shared" si="10"/>
        <v>44530</v>
      </c>
      <c r="AT10" s="180">
        <f t="shared" si="10"/>
        <v>44561</v>
      </c>
      <c r="AU10" s="180">
        <f>EOMONTH(DATE(YEAR($G$3)+1,12,1),0)</f>
        <v>44926</v>
      </c>
      <c r="AV10" s="180">
        <f>EOMONTH(AV9,0)</f>
        <v>44592</v>
      </c>
      <c r="AW10" s="180">
        <f t="shared" ref="AW10:BG10" si="11">EOMONTH(AW9,0)</f>
        <v>44620</v>
      </c>
      <c r="AX10" s="180">
        <f t="shared" si="11"/>
        <v>44651</v>
      </c>
      <c r="AY10" s="180">
        <f t="shared" si="11"/>
        <v>44681</v>
      </c>
      <c r="AZ10" s="180">
        <f t="shared" si="11"/>
        <v>44712</v>
      </c>
      <c r="BA10" s="180">
        <f t="shared" si="11"/>
        <v>44742</v>
      </c>
      <c r="BB10" s="180">
        <f t="shared" si="11"/>
        <v>44773</v>
      </c>
      <c r="BC10" s="180">
        <f t="shared" si="11"/>
        <v>44804</v>
      </c>
      <c r="BD10" s="180">
        <f t="shared" si="11"/>
        <v>44834</v>
      </c>
      <c r="BE10" s="180">
        <f t="shared" si="11"/>
        <v>44865</v>
      </c>
      <c r="BF10" s="180">
        <f t="shared" si="11"/>
        <v>44895</v>
      </c>
      <c r="BG10" s="180">
        <f t="shared" si="11"/>
        <v>44926</v>
      </c>
    </row>
    <row r="11" ht="20.4" spans="2:2">
      <c r="B11" s="36" t="s">
        <v>208</v>
      </c>
    </row>
    <row r="12" s="164" customFormat="1" ht="19.2" customHeight="1" spans="2:59">
      <c r="B12" s="153" t="s">
        <v>128</v>
      </c>
      <c r="C12" s="154"/>
      <c r="D12" s="154"/>
      <c r="E12" s="154" t="s">
        <v>209</v>
      </c>
      <c r="F12" s="154" t="s">
        <v>209</v>
      </c>
      <c r="G12" s="181">
        <v>70</v>
      </c>
      <c r="H12" s="181">
        <v>71</v>
      </c>
      <c r="I12" s="181">
        <v>71</v>
      </c>
      <c r="J12" s="181">
        <v>71</v>
      </c>
      <c r="K12" s="181">
        <v>71</v>
      </c>
      <c r="L12" s="181">
        <v>71</v>
      </c>
      <c r="M12" s="181">
        <v>71</v>
      </c>
      <c r="N12" s="181">
        <v>71</v>
      </c>
      <c r="O12" s="181">
        <v>71</v>
      </c>
      <c r="P12" s="181">
        <v>71</v>
      </c>
      <c r="Q12" s="181">
        <v>71</v>
      </c>
      <c r="R12" s="181">
        <v>70</v>
      </c>
      <c r="S12" s="181">
        <v>70</v>
      </c>
      <c r="T12" s="185">
        <f>AT12</f>
        <v>68</v>
      </c>
      <c r="U12" s="181">
        <v>69</v>
      </c>
      <c r="V12" s="181">
        <v>70</v>
      </c>
      <c r="W12" s="181">
        <v>70</v>
      </c>
      <c r="X12" s="181">
        <v>70</v>
      </c>
      <c r="Y12" s="181">
        <v>68</v>
      </c>
      <c r="Z12" s="181">
        <v>69</v>
      </c>
      <c r="AA12" s="181">
        <v>69</v>
      </c>
      <c r="AB12" s="181">
        <v>70</v>
      </c>
      <c r="AC12" s="181">
        <v>69</v>
      </c>
      <c r="AD12" s="181">
        <v>69</v>
      </c>
      <c r="AE12" s="181">
        <v>0</v>
      </c>
      <c r="AF12" s="181">
        <v>0</v>
      </c>
      <c r="AG12" s="181">
        <v>0</v>
      </c>
      <c r="AH12" s="181">
        <f>AT12</f>
        <v>68</v>
      </c>
      <c r="AI12" s="181">
        <v>0</v>
      </c>
      <c r="AJ12" s="181">
        <v>0</v>
      </c>
      <c r="AK12" s="181">
        <v>0</v>
      </c>
      <c r="AL12" s="181">
        <v>0</v>
      </c>
      <c r="AM12" s="181">
        <v>0</v>
      </c>
      <c r="AN12" s="181">
        <v>0</v>
      </c>
      <c r="AO12" s="181">
        <v>0</v>
      </c>
      <c r="AP12" s="181">
        <v>0</v>
      </c>
      <c r="AQ12" s="181">
        <v>0</v>
      </c>
      <c r="AR12" s="181">
        <v>69</v>
      </c>
      <c r="AS12" s="181">
        <v>70</v>
      </c>
      <c r="AT12" s="181">
        <v>68</v>
      </c>
      <c r="AU12" s="181">
        <f>BG12</f>
        <v>74</v>
      </c>
      <c r="AV12" s="181">
        <v>68</v>
      </c>
      <c r="AW12" s="181">
        <v>68</v>
      </c>
      <c r="AX12" s="181">
        <v>73</v>
      </c>
      <c r="AY12" s="181">
        <v>73</v>
      </c>
      <c r="AZ12" s="181">
        <v>74</v>
      </c>
      <c r="BA12" s="181">
        <v>74</v>
      </c>
      <c r="BB12" s="181">
        <v>74</v>
      </c>
      <c r="BC12" s="181">
        <v>74</v>
      </c>
      <c r="BD12" s="181">
        <v>74</v>
      </c>
      <c r="BE12" s="181">
        <v>74</v>
      </c>
      <c r="BF12" s="181">
        <v>74</v>
      </c>
      <c r="BG12" s="181">
        <v>74</v>
      </c>
    </row>
    <row r="13" ht="16.2" spans="3:59">
      <c r="C13" s="153" t="s">
        <v>210</v>
      </c>
      <c r="D13" s="153"/>
      <c r="E13" s="157" t="str">
        <f>IF(C13&lt;&gt;"",C13,#REF!)</f>
        <v>流程中心</v>
      </c>
      <c r="F13" s="157" t="str">
        <f>IF(D13&lt;&gt;"",D13,"*")</f>
        <v>*</v>
      </c>
      <c r="G13" s="182">
        <v>34</v>
      </c>
      <c r="H13" s="182">
        <v>35</v>
      </c>
      <c r="I13" s="182">
        <v>35</v>
      </c>
      <c r="J13" s="182">
        <v>35</v>
      </c>
      <c r="K13" s="182">
        <v>35</v>
      </c>
      <c r="L13" s="182">
        <v>35</v>
      </c>
      <c r="M13" s="182">
        <v>35</v>
      </c>
      <c r="N13" s="182">
        <v>35</v>
      </c>
      <c r="O13" s="182">
        <v>35</v>
      </c>
      <c r="P13" s="182">
        <v>35</v>
      </c>
      <c r="Q13" s="182">
        <v>35</v>
      </c>
      <c r="R13" s="182">
        <v>34</v>
      </c>
      <c r="S13" s="182">
        <v>34</v>
      </c>
      <c r="T13" s="186">
        <f t="shared" ref="T13:T24" si="12">AT13</f>
        <v>31</v>
      </c>
      <c r="U13" s="182">
        <v>32</v>
      </c>
      <c r="V13" s="182">
        <v>34</v>
      </c>
      <c r="W13" s="182">
        <v>34</v>
      </c>
      <c r="X13" s="182">
        <v>34</v>
      </c>
      <c r="Y13" s="182">
        <v>32</v>
      </c>
      <c r="Z13" s="182">
        <v>33</v>
      </c>
      <c r="AA13" s="182">
        <v>33</v>
      </c>
      <c r="AB13" s="182">
        <v>33</v>
      </c>
      <c r="AC13" s="182">
        <v>32</v>
      </c>
      <c r="AD13" s="182">
        <v>32</v>
      </c>
      <c r="AE13" s="182">
        <v>0</v>
      </c>
      <c r="AF13" s="182">
        <v>0</v>
      </c>
      <c r="AG13" s="182">
        <v>0</v>
      </c>
      <c r="AH13" s="182">
        <f t="shared" ref="AH13:AH24" si="13">AT13</f>
        <v>31</v>
      </c>
      <c r="AI13" s="182">
        <v>0</v>
      </c>
      <c r="AJ13" s="182">
        <v>0</v>
      </c>
      <c r="AK13" s="182">
        <v>0</v>
      </c>
      <c r="AL13" s="182">
        <v>0</v>
      </c>
      <c r="AM13" s="182">
        <v>0</v>
      </c>
      <c r="AN13" s="182">
        <v>0</v>
      </c>
      <c r="AO13" s="182">
        <v>0</v>
      </c>
      <c r="AP13" s="182">
        <v>0</v>
      </c>
      <c r="AQ13" s="182">
        <v>0</v>
      </c>
      <c r="AR13" s="182">
        <v>32</v>
      </c>
      <c r="AS13" s="182">
        <v>33</v>
      </c>
      <c r="AT13" s="182">
        <v>31</v>
      </c>
      <c r="AU13" s="182">
        <f t="shared" ref="AU13:AU24" si="14">BG13</f>
        <v>37</v>
      </c>
      <c r="AV13" s="182">
        <v>31</v>
      </c>
      <c r="AW13" s="182">
        <v>31</v>
      </c>
      <c r="AX13" s="182">
        <v>36</v>
      </c>
      <c r="AY13" s="182">
        <v>36</v>
      </c>
      <c r="AZ13" s="182">
        <v>37</v>
      </c>
      <c r="BA13" s="182">
        <v>37</v>
      </c>
      <c r="BB13" s="182">
        <v>37</v>
      </c>
      <c r="BC13" s="182">
        <v>37</v>
      </c>
      <c r="BD13" s="182">
        <v>37</v>
      </c>
      <c r="BE13" s="182">
        <v>37</v>
      </c>
      <c r="BF13" s="182">
        <v>37</v>
      </c>
      <c r="BG13" s="182">
        <v>37</v>
      </c>
    </row>
    <row r="14" ht="16.2" spans="3:59">
      <c r="C14" s="153"/>
      <c r="D14" s="153" t="s">
        <v>211</v>
      </c>
      <c r="E14" s="157" t="str">
        <f t="shared" ref="E14:E24" si="15">IF(C14&lt;&gt;"",C14,E13)</f>
        <v>流程中心</v>
      </c>
      <c r="F14" s="157" t="str">
        <f t="shared" ref="F14:F24" si="16">IF(D14&lt;&gt;"",D14,"*")</f>
        <v>销售中心</v>
      </c>
      <c r="G14" s="182">
        <v>13</v>
      </c>
      <c r="H14" s="182">
        <v>13</v>
      </c>
      <c r="I14" s="182">
        <v>13</v>
      </c>
      <c r="J14" s="182">
        <v>13</v>
      </c>
      <c r="K14" s="182">
        <v>13</v>
      </c>
      <c r="L14" s="182">
        <v>13</v>
      </c>
      <c r="M14" s="182">
        <v>13</v>
      </c>
      <c r="N14" s="182">
        <v>13</v>
      </c>
      <c r="O14" s="182">
        <v>13</v>
      </c>
      <c r="P14" s="182">
        <v>13</v>
      </c>
      <c r="Q14" s="182">
        <v>13</v>
      </c>
      <c r="R14" s="182">
        <v>13</v>
      </c>
      <c r="S14" s="182">
        <v>13</v>
      </c>
      <c r="T14" s="186">
        <f t="shared" si="12"/>
        <v>13</v>
      </c>
      <c r="U14" s="182">
        <v>13</v>
      </c>
      <c r="V14" s="182">
        <v>13</v>
      </c>
      <c r="W14" s="182">
        <v>13</v>
      </c>
      <c r="X14" s="182">
        <v>13</v>
      </c>
      <c r="Y14" s="182">
        <v>13</v>
      </c>
      <c r="Z14" s="182">
        <v>14</v>
      </c>
      <c r="AA14" s="182">
        <v>14</v>
      </c>
      <c r="AB14" s="182">
        <v>14</v>
      </c>
      <c r="AC14" s="182">
        <v>13</v>
      </c>
      <c r="AD14" s="182">
        <v>13</v>
      </c>
      <c r="AE14" s="182">
        <v>0</v>
      </c>
      <c r="AF14" s="182">
        <v>0</v>
      </c>
      <c r="AG14" s="182">
        <v>0</v>
      </c>
      <c r="AH14" s="182">
        <f t="shared" si="13"/>
        <v>13</v>
      </c>
      <c r="AI14" s="182">
        <v>0</v>
      </c>
      <c r="AJ14" s="182">
        <v>0</v>
      </c>
      <c r="AK14" s="182">
        <v>0</v>
      </c>
      <c r="AL14" s="182">
        <v>0</v>
      </c>
      <c r="AM14" s="182">
        <v>0</v>
      </c>
      <c r="AN14" s="182">
        <v>0</v>
      </c>
      <c r="AO14" s="182">
        <v>0</v>
      </c>
      <c r="AP14" s="182">
        <v>0</v>
      </c>
      <c r="AQ14" s="182">
        <v>0</v>
      </c>
      <c r="AR14" s="182">
        <v>13</v>
      </c>
      <c r="AS14" s="182">
        <v>13</v>
      </c>
      <c r="AT14" s="182">
        <v>13</v>
      </c>
      <c r="AU14" s="182">
        <f t="shared" si="14"/>
        <v>14</v>
      </c>
      <c r="AV14" s="182">
        <v>13</v>
      </c>
      <c r="AW14" s="182">
        <v>13</v>
      </c>
      <c r="AX14" s="182">
        <v>13</v>
      </c>
      <c r="AY14" s="182">
        <v>13</v>
      </c>
      <c r="AZ14" s="182">
        <v>14</v>
      </c>
      <c r="BA14" s="182">
        <v>14</v>
      </c>
      <c r="BB14" s="182">
        <v>14</v>
      </c>
      <c r="BC14" s="182">
        <v>14</v>
      </c>
      <c r="BD14" s="182">
        <v>14</v>
      </c>
      <c r="BE14" s="182">
        <v>14</v>
      </c>
      <c r="BF14" s="182">
        <v>14</v>
      </c>
      <c r="BG14" s="182">
        <v>14</v>
      </c>
    </row>
    <row r="15" ht="16.2" spans="3:59">
      <c r="C15" s="153"/>
      <c r="D15" s="153" t="s">
        <v>212</v>
      </c>
      <c r="E15" s="157" t="str">
        <f t="shared" si="15"/>
        <v>流程中心</v>
      </c>
      <c r="F15" s="157" t="str">
        <f t="shared" si="16"/>
        <v>制造中心</v>
      </c>
      <c r="G15" s="182">
        <v>21</v>
      </c>
      <c r="H15" s="182">
        <v>22</v>
      </c>
      <c r="I15" s="182">
        <v>22</v>
      </c>
      <c r="J15" s="182">
        <v>22</v>
      </c>
      <c r="K15" s="182">
        <v>22</v>
      </c>
      <c r="L15" s="182">
        <v>22</v>
      </c>
      <c r="M15" s="182">
        <v>22</v>
      </c>
      <c r="N15" s="182">
        <v>22</v>
      </c>
      <c r="O15" s="182">
        <v>22</v>
      </c>
      <c r="P15" s="182">
        <v>22</v>
      </c>
      <c r="Q15" s="182">
        <v>22</v>
      </c>
      <c r="R15" s="182">
        <v>21</v>
      </c>
      <c r="S15" s="182">
        <v>21</v>
      </c>
      <c r="T15" s="186">
        <f t="shared" si="12"/>
        <v>18</v>
      </c>
      <c r="U15" s="182">
        <v>19</v>
      </c>
      <c r="V15" s="182">
        <v>21</v>
      </c>
      <c r="W15" s="182">
        <v>21</v>
      </c>
      <c r="X15" s="182">
        <v>21</v>
      </c>
      <c r="Y15" s="182">
        <v>19</v>
      </c>
      <c r="Z15" s="182">
        <v>19</v>
      </c>
      <c r="AA15" s="182">
        <v>19</v>
      </c>
      <c r="AB15" s="182">
        <v>19</v>
      </c>
      <c r="AC15" s="182">
        <v>19</v>
      </c>
      <c r="AD15" s="182">
        <v>19</v>
      </c>
      <c r="AE15" s="182">
        <v>0</v>
      </c>
      <c r="AF15" s="182">
        <v>0</v>
      </c>
      <c r="AG15" s="182">
        <v>0</v>
      </c>
      <c r="AH15" s="182">
        <f t="shared" si="13"/>
        <v>18</v>
      </c>
      <c r="AI15" s="182">
        <v>0</v>
      </c>
      <c r="AJ15" s="182">
        <v>0</v>
      </c>
      <c r="AK15" s="182">
        <v>0</v>
      </c>
      <c r="AL15" s="182">
        <v>0</v>
      </c>
      <c r="AM15" s="182">
        <v>0</v>
      </c>
      <c r="AN15" s="182">
        <v>0</v>
      </c>
      <c r="AO15" s="182">
        <v>0</v>
      </c>
      <c r="AP15" s="182">
        <v>0</v>
      </c>
      <c r="AQ15" s="182">
        <v>0</v>
      </c>
      <c r="AR15" s="182">
        <v>19</v>
      </c>
      <c r="AS15" s="182">
        <v>20</v>
      </c>
      <c r="AT15" s="182">
        <v>18</v>
      </c>
      <c r="AU15" s="182">
        <f t="shared" si="14"/>
        <v>23</v>
      </c>
      <c r="AV15" s="182">
        <v>18</v>
      </c>
      <c r="AW15" s="182">
        <v>18</v>
      </c>
      <c r="AX15" s="182">
        <v>23</v>
      </c>
      <c r="AY15" s="182">
        <v>23</v>
      </c>
      <c r="AZ15" s="182">
        <v>23</v>
      </c>
      <c r="BA15" s="182">
        <v>23</v>
      </c>
      <c r="BB15" s="182">
        <v>23</v>
      </c>
      <c r="BC15" s="182">
        <v>23</v>
      </c>
      <c r="BD15" s="182">
        <v>23</v>
      </c>
      <c r="BE15" s="182">
        <v>23</v>
      </c>
      <c r="BF15" s="182">
        <v>23</v>
      </c>
      <c r="BG15" s="182">
        <v>23</v>
      </c>
    </row>
    <row r="16" ht="16.2" spans="3:59">
      <c r="C16" s="153" t="s">
        <v>213</v>
      </c>
      <c r="D16" s="153"/>
      <c r="E16" s="157" t="str">
        <f t="shared" si="15"/>
        <v>创新中心</v>
      </c>
      <c r="F16" s="157" t="str">
        <f t="shared" si="16"/>
        <v>*</v>
      </c>
      <c r="G16" s="182">
        <v>19</v>
      </c>
      <c r="H16" s="182">
        <v>19</v>
      </c>
      <c r="I16" s="182">
        <v>19</v>
      </c>
      <c r="J16" s="182">
        <v>19</v>
      </c>
      <c r="K16" s="182">
        <v>19</v>
      </c>
      <c r="L16" s="182">
        <v>19</v>
      </c>
      <c r="M16" s="182">
        <v>19</v>
      </c>
      <c r="N16" s="182">
        <v>19</v>
      </c>
      <c r="O16" s="182">
        <v>19</v>
      </c>
      <c r="P16" s="182">
        <v>19</v>
      </c>
      <c r="Q16" s="182">
        <v>19</v>
      </c>
      <c r="R16" s="182">
        <v>19</v>
      </c>
      <c r="S16" s="182">
        <v>19</v>
      </c>
      <c r="T16" s="186">
        <f t="shared" si="12"/>
        <v>20</v>
      </c>
      <c r="U16" s="182">
        <v>20</v>
      </c>
      <c r="V16" s="182">
        <v>19</v>
      </c>
      <c r="W16" s="182">
        <v>19</v>
      </c>
      <c r="X16" s="182">
        <v>19</v>
      </c>
      <c r="Y16" s="182">
        <v>19</v>
      </c>
      <c r="Z16" s="182">
        <v>19</v>
      </c>
      <c r="AA16" s="182">
        <v>19</v>
      </c>
      <c r="AB16" s="182">
        <v>20</v>
      </c>
      <c r="AC16" s="182">
        <v>20</v>
      </c>
      <c r="AD16" s="182">
        <v>20</v>
      </c>
      <c r="AE16" s="182">
        <v>0</v>
      </c>
      <c r="AF16" s="182">
        <v>0</v>
      </c>
      <c r="AG16" s="182">
        <v>0</v>
      </c>
      <c r="AH16" s="182">
        <f t="shared" si="13"/>
        <v>20</v>
      </c>
      <c r="AI16" s="182">
        <v>0</v>
      </c>
      <c r="AJ16" s="182">
        <v>0</v>
      </c>
      <c r="AK16" s="182">
        <v>0</v>
      </c>
      <c r="AL16" s="182">
        <v>0</v>
      </c>
      <c r="AM16" s="182">
        <v>0</v>
      </c>
      <c r="AN16" s="182">
        <v>0</v>
      </c>
      <c r="AO16" s="182">
        <v>0</v>
      </c>
      <c r="AP16" s="182">
        <v>0</v>
      </c>
      <c r="AQ16" s="182">
        <v>0</v>
      </c>
      <c r="AR16" s="182">
        <v>20</v>
      </c>
      <c r="AS16" s="182">
        <v>20</v>
      </c>
      <c r="AT16" s="182">
        <v>20</v>
      </c>
      <c r="AU16" s="182">
        <f t="shared" si="14"/>
        <v>20</v>
      </c>
      <c r="AV16" s="182">
        <v>20</v>
      </c>
      <c r="AW16" s="182">
        <v>20</v>
      </c>
      <c r="AX16" s="182">
        <v>20</v>
      </c>
      <c r="AY16" s="182">
        <v>20</v>
      </c>
      <c r="AZ16" s="182">
        <v>20</v>
      </c>
      <c r="BA16" s="182">
        <v>20</v>
      </c>
      <c r="BB16" s="182">
        <v>20</v>
      </c>
      <c r="BC16" s="182">
        <v>20</v>
      </c>
      <c r="BD16" s="182">
        <v>20</v>
      </c>
      <c r="BE16" s="182">
        <v>20</v>
      </c>
      <c r="BF16" s="182">
        <v>20</v>
      </c>
      <c r="BG16" s="182">
        <v>20</v>
      </c>
    </row>
    <row r="17" ht="16.2" spans="3:59">
      <c r="C17" s="153"/>
      <c r="D17" s="153" t="s">
        <v>214</v>
      </c>
      <c r="E17" s="157" t="str">
        <f t="shared" si="15"/>
        <v>创新中心</v>
      </c>
      <c r="F17" s="157" t="str">
        <f t="shared" si="16"/>
        <v>产品
研发部</v>
      </c>
      <c r="G17" s="182">
        <v>8</v>
      </c>
      <c r="H17" s="182">
        <v>8</v>
      </c>
      <c r="I17" s="182">
        <v>8</v>
      </c>
      <c r="J17" s="182">
        <v>8</v>
      </c>
      <c r="K17" s="182">
        <v>8</v>
      </c>
      <c r="L17" s="182">
        <v>8</v>
      </c>
      <c r="M17" s="182">
        <v>8</v>
      </c>
      <c r="N17" s="182">
        <v>8</v>
      </c>
      <c r="O17" s="182">
        <v>8</v>
      </c>
      <c r="P17" s="182">
        <v>8</v>
      </c>
      <c r="Q17" s="182">
        <v>8</v>
      </c>
      <c r="R17" s="182">
        <v>8</v>
      </c>
      <c r="S17" s="182">
        <v>8</v>
      </c>
      <c r="T17" s="186">
        <f t="shared" si="12"/>
        <v>8</v>
      </c>
      <c r="U17" s="182">
        <v>8</v>
      </c>
      <c r="V17" s="182">
        <v>8</v>
      </c>
      <c r="W17" s="182">
        <v>8</v>
      </c>
      <c r="X17" s="182">
        <v>8</v>
      </c>
      <c r="Y17" s="182">
        <v>8</v>
      </c>
      <c r="Z17" s="182">
        <v>8</v>
      </c>
      <c r="AA17" s="182">
        <v>8</v>
      </c>
      <c r="AB17" s="182">
        <v>8</v>
      </c>
      <c r="AC17" s="182">
        <v>8</v>
      </c>
      <c r="AD17" s="182">
        <v>8</v>
      </c>
      <c r="AE17" s="182">
        <v>0</v>
      </c>
      <c r="AF17" s="182">
        <v>0</v>
      </c>
      <c r="AG17" s="182">
        <v>0</v>
      </c>
      <c r="AH17" s="182">
        <f t="shared" si="13"/>
        <v>8</v>
      </c>
      <c r="AI17" s="182">
        <v>0</v>
      </c>
      <c r="AJ17" s="182">
        <v>0</v>
      </c>
      <c r="AK17" s="182">
        <v>0</v>
      </c>
      <c r="AL17" s="182">
        <v>0</v>
      </c>
      <c r="AM17" s="182">
        <v>0</v>
      </c>
      <c r="AN17" s="182">
        <v>0</v>
      </c>
      <c r="AO17" s="182">
        <v>0</v>
      </c>
      <c r="AP17" s="182">
        <v>0</v>
      </c>
      <c r="AQ17" s="182">
        <v>0</v>
      </c>
      <c r="AR17" s="182">
        <v>8</v>
      </c>
      <c r="AS17" s="182">
        <v>8</v>
      </c>
      <c r="AT17" s="182">
        <v>8</v>
      </c>
      <c r="AU17" s="182">
        <f t="shared" si="14"/>
        <v>8</v>
      </c>
      <c r="AV17" s="182">
        <v>8</v>
      </c>
      <c r="AW17" s="182">
        <v>8</v>
      </c>
      <c r="AX17" s="182">
        <v>8</v>
      </c>
      <c r="AY17" s="182">
        <v>8</v>
      </c>
      <c r="AZ17" s="182">
        <v>8</v>
      </c>
      <c r="BA17" s="182">
        <v>8</v>
      </c>
      <c r="BB17" s="182">
        <v>8</v>
      </c>
      <c r="BC17" s="182">
        <v>8</v>
      </c>
      <c r="BD17" s="182">
        <v>8</v>
      </c>
      <c r="BE17" s="182">
        <v>8</v>
      </c>
      <c r="BF17" s="182">
        <v>8</v>
      </c>
      <c r="BG17" s="182">
        <v>8</v>
      </c>
    </row>
    <row r="18" ht="16.2" spans="3:59">
      <c r="C18" s="153"/>
      <c r="D18" s="153" t="s">
        <v>215</v>
      </c>
      <c r="E18" s="157" t="str">
        <f t="shared" si="15"/>
        <v>创新中心</v>
      </c>
      <c r="F18" s="157" t="str">
        <f t="shared" si="16"/>
        <v>XX
试验室</v>
      </c>
      <c r="G18" s="182">
        <v>5</v>
      </c>
      <c r="H18" s="182">
        <v>5</v>
      </c>
      <c r="I18" s="182">
        <v>5</v>
      </c>
      <c r="J18" s="182">
        <v>5</v>
      </c>
      <c r="K18" s="182">
        <v>5</v>
      </c>
      <c r="L18" s="182">
        <v>5</v>
      </c>
      <c r="M18" s="182">
        <v>5</v>
      </c>
      <c r="N18" s="182">
        <v>5</v>
      </c>
      <c r="O18" s="182">
        <v>5</v>
      </c>
      <c r="P18" s="182">
        <v>5</v>
      </c>
      <c r="Q18" s="182">
        <v>5</v>
      </c>
      <c r="R18" s="182">
        <v>5</v>
      </c>
      <c r="S18" s="182">
        <v>5</v>
      </c>
      <c r="T18" s="186">
        <f t="shared" si="12"/>
        <v>5</v>
      </c>
      <c r="U18" s="182">
        <v>5</v>
      </c>
      <c r="V18" s="182">
        <v>5</v>
      </c>
      <c r="W18" s="182">
        <v>5</v>
      </c>
      <c r="X18" s="182">
        <v>5</v>
      </c>
      <c r="Y18" s="182">
        <v>5</v>
      </c>
      <c r="Z18" s="182">
        <v>5</v>
      </c>
      <c r="AA18" s="182">
        <v>5</v>
      </c>
      <c r="AB18" s="182">
        <v>5</v>
      </c>
      <c r="AC18" s="182">
        <v>5</v>
      </c>
      <c r="AD18" s="182">
        <v>5</v>
      </c>
      <c r="AE18" s="182">
        <v>0</v>
      </c>
      <c r="AF18" s="182">
        <v>0</v>
      </c>
      <c r="AG18" s="182">
        <v>0</v>
      </c>
      <c r="AH18" s="182">
        <f t="shared" si="13"/>
        <v>5</v>
      </c>
      <c r="AI18" s="182">
        <v>0</v>
      </c>
      <c r="AJ18" s="182">
        <v>0</v>
      </c>
      <c r="AK18" s="182">
        <v>0</v>
      </c>
      <c r="AL18" s="182">
        <v>0</v>
      </c>
      <c r="AM18" s="182">
        <v>0</v>
      </c>
      <c r="AN18" s="182">
        <v>0</v>
      </c>
      <c r="AO18" s="182">
        <v>0</v>
      </c>
      <c r="AP18" s="182">
        <v>0</v>
      </c>
      <c r="AQ18" s="182">
        <v>0</v>
      </c>
      <c r="AR18" s="182">
        <v>5</v>
      </c>
      <c r="AS18" s="182">
        <v>5</v>
      </c>
      <c r="AT18" s="182">
        <v>5</v>
      </c>
      <c r="AU18" s="182">
        <f t="shared" si="14"/>
        <v>5</v>
      </c>
      <c r="AV18" s="182">
        <v>5</v>
      </c>
      <c r="AW18" s="182">
        <v>5</v>
      </c>
      <c r="AX18" s="182">
        <v>5</v>
      </c>
      <c r="AY18" s="182">
        <v>5</v>
      </c>
      <c r="AZ18" s="182">
        <v>5</v>
      </c>
      <c r="BA18" s="182">
        <v>5</v>
      </c>
      <c r="BB18" s="182">
        <v>5</v>
      </c>
      <c r="BC18" s="182">
        <v>5</v>
      </c>
      <c r="BD18" s="182">
        <v>5</v>
      </c>
      <c r="BE18" s="182">
        <v>5</v>
      </c>
      <c r="BF18" s="182">
        <v>5</v>
      </c>
      <c r="BG18" s="182">
        <v>5</v>
      </c>
    </row>
    <row r="19" ht="16.2" spans="3:59">
      <c r="C19" s="153"/>
      <c r="D19" s="153" t="s">
        <v>216</v>
      </c>
      <c r="E19" s="157" t="str">
        <f t="shared" si="15"/>
        <v>创新中心</v>
      </c>
      <c r="F19" s="157" t="str">
        <f t="shared" si="16"/>
        <v>XX
孵化业务</v>
      </c>
      <c r="G19" s="182">
        <v>6</v>
      </c>
      <c r="H19" s="182">
        <v>6</v>
      </c>
      <c r="I19" s="182">
        <v>6</v>
      </c>
      <c r="J19" s="182">
        <v>6</v>
      </c>
      <c r="K19" s="182">
        <v>6</v>
      </c>
      <c r="L19" s="182">
        <v>6</v>
      </c>
      <c r="M19" s="182">
        <v>6</v>
      </c>
      <c r="N19" s="182">
        <v>6</v>
      </c>
      <c r="O19" s="182">
        <v>6</v>
      </c>
      <c r="P19" s="182">
        <v>6</v>
      </c>
      <c r="Q19" s="182">
        <v>6</v>
      </c>
      <c r="R19" s="182">
        <v>6</v>
      </c>
      <c r="S19" s="182">
        <v>6</v>
      </c>
      <c r="T19" s="186">
        <f t="shared" si="12"/>
        <v>7</v>
      </c>
      <c r="U19" s="182">
        <v>7</v>
      </c>
      <c r="V19" s="182">
        <v>6</v>
      </c>
      <c r="W19" s="182">
        <v>6</v>
      </c>
      <c r="X19" s="182">
        <v>6</v>
      </c>
      <c r="Y19" s="182">
        <v>6</v>
      </c>
      <c r="Z19" s="182">
        <v>6</v>
      </c>
      <c r="AA19" s="182">
        <v>6</v>
      </c>
      <c r="AB19" s="182">
        <v>7</v>
      </c>
      <c r="AC19" s="182">
        <v>7</v>
      </c>
      <c r="AD19" s="182">
        <v>7</v>
      </c>
      <c r="AE19" s="182">
        <v>0</v>
      </c>
      <c r="AF19" s="182">
        <v>0</v>
      </c>
      <c r="AG19" s="182">
        <v>0</v>
      </c>
      <c r="AH19" s="182">
        <f t="shared" si="13"/>
        <v>7</v>
      </c>
      <c r="AI19" s="182">
        <v>0</v>
      </c>
      <c r="AJ19" s="182">
        <v>0</v>
      </c>
      <c r="AK19" s="182">
        <v>0</v>
      </c>
      <c r="AL19" s="182">
        <v>0</v>
      </c>
      <c r="AM19" s="182">
        <v>0</v>
      </c>
      <c r="AN19" s="182">
        <v>0</v>
      </c>
      <c r="AO19" s="182">
        <v>0</v>
      </c>
      <c r="AP19" s="182">
        <v>0</v>
      </c>
      <c r="AQ19" s="182">
        <v>0</v>
      </c>
      <c r="AR19" s="182">
        <v>7</v>
      </c>
      <c r="AS19" s="182">
        <v>7</v>
      </c>
      <c r="AT19" s="182">
        <v>7</v>
      </c>
      <c r="AU19" s="182">
        <f t="shared" si="14"/>
        <v>7</v>
      </c>
      <c r="AV19" s="182">
        <v>7</v>
      </c>
      <c r="AW19" s="182">
        <v>7</v>
      </c>
      <c r="AX19" s="182">
        <v>7</v>
      </c>
      <c r="AY19" s="182">
        <v>7</v>
      </c>
      <c r="AZ19" s="182">
        <v>7</v>
      </c>
      <c r="BA19" s="182">
        <v>7</v>
      </c>
      <c r="BB19" s="182">
        <v>7</v>
      </c>
      <c r="BC19" s="182">
        <v>7</v>
      </c>
      <c r="BD19" s="182">
        <v>7</v>
      </c>
      <c r="BE19" s="182">
        <v>7</v>
      </c>
      <c r="BF19" s="182">
        <v>7</v>
      </c>
      <c r="BG19" s="182">
        <v>7</v>
      </c>
    </row>
    <row r="20" ht="16.2" spans="3:59">
      <c r="C20" s="153" t="s">
        <v>217</v>
      </c>
      <c r="D20" s="153"/>
      <c r="E20" s="157" t="str">
        <f t="shared" si="15"/>
        <v>支持中心</v>
      </c>
      <c r="F20" s="157" t="str">
        <f t="shared" si="16"/>
        <v>*</v>
      </c>
      <c r="G20" s="182">
        <v>17</v>
      </c>
      <c r="H20" s="182">
        <v>17</v>
      </c>
      <c r="I20" s="182">
        <v>17</v>
      </c>
      <c r="J20" s="182">
        <v>17</v>
      </c>
      <c r="K20" s="182">
        <v>17</v>
      </c>
      <c r="L20" s="182">
        <v>17</v>
      </c>
      <c r="M20" s="182">
        <v>17</v>
      </c>
      <c r="N20" s="182">
        <v>17</v>
      </c>
      <c r="O20" s="182">
        <v>17</v>
      </c>
      <c r="P20" s="182">
        <v>17</v>
      </c>
      <c r="Q20" s="182">
        <v>17</v>
      </c>
      <c r="R20" s="182">
        <v>17</v>
      </c>
      <c r="S20" s="182">
        <v>17</v>
      </c>
      <c r="T20" s="186">
        <f t="shared" si="12"/>
        <v>17</v>
      </c>
      <c r="U20" s="182">
        <v>17</v>
      </c>
      <c r="V20" s="182">
        <v>17</v>
      </c>
      <c r="W20" s="182">
        <v>17</v>
      </c>
      <c r="X20" s="182">
        <v>17</v>
      </c>
      <c r="Y20" s="182">
        <v>17</v>
      </c>
      <c r="Z20" s="182">
        <v>17</v>
      </c>
      <c r="AA20" s="182">
        <v>17</v>
      </c>
      <c r="AB20" s="182">
        <v>17</v>
      </c>
      <c r="AC20" s="182">
        <v>17</v>
      </c>
      <c r="AD20" s="182">
        <v>17</v>
      </c>
      <c r="AE20" s="182">
        <v>0</v>
      </c>
      <c r="AF20" s="182">
        <v>0</v>
      </c>
      <c r="AG20" s="182">
        <v>0</v>
      </c>
      <c r="AH20" s="182">
        <f t="shared" si="13"/>
        <v>17</v>
      </c>
      <c r="AI20" s="182">
        <v>0</v>
      </c>
      <c r="AJ20" s="182">
        <v>0</v>
      </c>
      <c r="AK20" s="182">
        <v>0</v>
      </c>
      <c r="AL20" s="182">
        <v>0</v>
      </c>
      <c r="AM20" s="182">
        <v>0</v>
      </c>
      <c r="AN20" s="182">
        <v>0</v>
      </c>
      <c r="AO20" s="182">
        <v>0</v>
      </c>
      <c r="AP20" s="182">
        <v>0</v>
      </c>
      <c r="AQ20" s="182">
        <v>0</v>
      </c>
      <c r="AR20" s="182">
        <v>17</v>
      </c>
      <c r="AS20" s="182">
        <v>17</v>
      </c>
      <c r="AT20" s="182">
        <v>17</v>
      </c>
      <c r="AU20" s="182">
        <f t="shared" si="14"/>
        <v>17</v>
      </c>
      <c r="AV20" s="182">
        <v>17</v>
      </c>
      <c r="AW20" s="182">
        <v>17</v>
      </c>
      <c r="AX20" s="182">
        <v>17</v>
      </c>
      <c r="AY20" s="182">
        <v>17</v>
      </c>
      <c r="AZ20" s="182">
        <v>17</v>
      </c>
      <c r="BA20" s="182">
        <v>17</v>
      </c>
      <c r="BB20" s="182">
        <v>17</v>
      </c>
      <c r="BC20" s="182">
        <v>17</v>
      </c>
      <c r="BD20" s="182">
        <v>17</v>
      </c>
      <c r="BE20" s="182">
        <v>17</v>
      </c>
      <c r="BF20" s="182">
        <v>17</v>
      </c>
      <c r="BG20" s="182">
        <v>17</v>
      </c>
    </row>
    <row r="21" ht="16.2" spans="3:59">
      <c r="C21" s="153"/>
      <c r="D21" s="153" t="s">
        <v>218</v>
      </c>
      <c r="E21" s="157" t="str">
        <f t="shared" si="15"/>
        <v>支持中心</v>
      </c>
      <c r="F21" s="157" t="str">
        <f t="shared" si="16"/>
        <v>财务部</v>
      </c>
      <c r="G21" s="182">
        <v>7</v>
      </c>
      <c r="H21" s="182">
        <v>7</v>
      </c>
      <c r="I21" s="182">
        <v>7</v>
      </c>
      <c r="J21" s="182">
        <v>7</v>
      </c>
      <c r="K21" s="182">
        <v>7</v>
      </c>
      <c r="L21" s="182">
        <v>7</v>
      </c>
      <c r="M21" s="182">
        <v>7</v>
      </c>
      <c r="N21" s="182">
        <v>7</v>
      </c>
      <c r="O21" s="182">
        <v>7</v>
      </c>
      <c r="P21" s="182">
        <v>7</v>
      </c>
      <c r="Q21" s="182">
        <v>7</v>
      </c>
      <c r="R21" s="182">
        <v>7</v>
      </c>
      <c r="S21" s="182">
        <v>7</v>
      </c>
      <c r="T21" s="186">
        <f t="shared" si="12"/>
        <v>7</v>
      </c>
      <c r="U21" s="182">
        <v>7</v>
      </c>
      <c r="V21" s="182">
        <v>7</v>
      </c>
      <c r="W21" s="182">
        <v>7</v>
      </c>
      <c r="X21" s="182">
        <v>7</v>
      </c>
      <c r="Y21" s="182">
        <v>7</v>
      </c>
      <c r="Z21" s="182">
        <v>7</v>
      </c>
      <c r="AA21" s="182">
        <v>7</v>
      </c>
      <c r="AB21" s="182">
        <v>7</v>
      </c>
      <c r="AC21" s="182">
        <v>7</v>
      </c>
      <c r="AD21" s="182">
        <v>7</v>
      </c>
      <c r="AE21" s="182">
        <v>0</v>
      </c>
      <c r="AF21" s="182">
        <v>0</v>
      </c>
      <c r="AG21" s="182">
        <v>0</v>
      </c>
      <c r="AH21" s="182">
        <f t="shared" si="13"/>
        <v>7</v>
      </c>
      <c r="AI21" s="182">
        <v>0</v>
      </c>
      <c r="AJ21" s="182">
        <v>0</v>
      </c>
      <c r="AK21" s="182">
        <v>0</v>
      </c>
      <c r="AL21" s="182">
        <v>0</v>
      </c>
      <c r="AM21" s="182">
        <v>0</v>
      </c>
      <c r="AN21" s="182">
        <v>0</v>
      </c>
      <c r="AO21" s="182">
        <v>0</v>
      </c>
      <c r="AP21" s="182">
        <v>0</v>
      </c>
      <c r="AQ21" s="182">
        <v>0</v>
      </c>
      <c r="AR21" s="182">
        <v>7</v>
      </c>
      <c r="AS21" s="182">
        <v>7</v>
      </c>
      <c r="AT21" s="182">
        <v>7</v>
      </c>
      <c r="AU21" s="182">
        <f t="shared" si="14"/>
        <v>7</v>
      </c>
      <c r="AV21" s="182">
        <v>7</v>
      </c>
      <c r="AW21" s="182">
        <v>7</v>
      </c>
      <c r="AX21" s="182">
        <v>7</v>
      </c>
      <c r="AY21" s="182">
        <v>7</v>
      </c>
      <c r="AZ21" s="182">
        <v>7</v>
      </c>
      <c r="BA21" s="182">
        <v>7</v>
      </c>
      <c r="BB21" s="182">
        <v>7</v>
      </c>
      <c r="BC21" s="182">
        <v>7</v>
      </c>
      <c r="BD21" s="182">
        <v>7</v>
      </c>
      <c r="BE21" s="182">
        <v>7</v>
      </c>
      <c r="BF21" s="182">
        <v>7</v>
      </c>
      <c r="BG21" s="182">
        <v>7</v>
      </c>
    </row>
    <row r="22" ht="16.2" spans="3:59">
      <c r="C22" s="153"/>
      <c r="D22" s="153" t="s">
        <v>219</v>
      </c>
      <c r="E22" s="157" t="str">
        <f t="shared" si="15"/>
        <v>支持中心</v>
      </c>
      <c r="F22" s="157" t="str">
        <f t="shared" si="16"/>
        <v>人力资源部</v>
      </c>
      <c r="G22" s="182">
        <v>6</v>
      </c>
      <c r="H22" s="182">
        <v>6</v>
      </c>
      <c r="I22" s="182">
        <v>6</v>
      </c>
      <c r="J22" s="182">
        <v>6</v>
      </c>
      <c r="K22" s="182">
        <v>6</v>
      </c>
      <c r="L22" s="182">
        <v>6</v>
      </c>
      <c r="M22" s="182">
        <v>6</v>
      </c>
      <c r="N22" s="182">
        <v>6</v>
      </c>
      <c r="O22" s="182">
        <v>6</v>
      </c>
      <c r="P22" s="182">
        <v>6</v>
      </c>
      <c r="Q22" s="182">
        <v>6</v>
      </c>
      <c r="R22" s="182">
        <v>6</v>
      </c>
      <c r="S22" s="182">
        <v>6</v>
      </c>
      <c r="T22" s="186">
        <f t="shared" si="12"/>
        <v>6</v>
      </c>
      <c r="U22" s="182">
        <v>6</v>
      </c>
      <c r="V22" s="182">
        <v>6</v>
      </c>
      <c r="W22" s="182">
        <v>6</v>
      </c>
      <c r="X22" s="182">
        <v>6</v>
      </c>
      <c r="Y22" s="182">
        <v>6</v>
      </c>
      <c r="Z22" s="182">
        <v>6</v>
      </c>
      <c r="AA22" s="182">
        <v>6</v>
      </c>
      <c r="AB22" s="182">
        <v>6</v>
      </c>
      <c r="AC22" s="182">
        <v>6</v>
      </c>
      <c r="AD22" s="182">
        <v>6</v>
      </c>
      <c r="AE22" s="182">
        <v>0</v>
      </c>
      <c r="AF22" s="182">
        <v>0</v>
      </c>
      <c r="AG22" s="182">
        <v>0</v>
      </c>
      <c r="AH22" s="182">
        <f t="shared" si="13"/>
        <v>6</v>
      </c>
      <c r="AI22" s="182">
        <v>0</v>
      </c>
      <c r="AJ22" s="182">
        <v>0</v>
      </c>
      <c r="AK22" s="182">
        <v>0</v>
      </c>
      <c r="AL22" s="182">
        <v>0</v>
      </c>
      <c r="AM22" s="182">
        <v>0</v>
      </c>
      <c r="AN22" s="182">
        <v>0</v>
      </c>
      <c r="AO22" s="182">
        <v>0</v>
      </c>
      <c r="AP22" s="182">
        <v>0</v>
      </c>
      <c r="AQ22" s="182">
        <v>0</v>
      </c>
      <c r="AR22" s="182">
        <v>6</v>
      </c>
      <c r="AS22" s="182">
        <v>6</v>
      </c>
      <c r="AT22" s="182">
        <v>6</v>
      </c>
      <c r="AU22" s="182">
        <f t="shared" si="14"/>
        <v>6</v>
      </c>
      <c r="AV22" s="182">
        <v>6</v>
      </c>
      <c r="AW22" s="182">
        <v>6</v>
      </c>
      <c r="AX22" s="182">
        <v>6</v>
      </c>
      <c r="AY22" s="182">
        <v>6</v>
      </c>
      <c r="AZ22" s="182">
        <v>6</v>
      </c>
      <c r="BA22" s="182">
        <v>6</v>
      </c>
      <c r="BB22" s="182">
        <v>6</v>
      </c>
      <c r="BC22" s="182">
        <v>6</v>
      </c>
      <c r="BD22" s="182">
        <v>6</v>
      </c>
      <c r="BE22" s="182">
        <v>6</v>
      </c>
      <c r="BF22" s="182">
        <v>6</v>
      </c>
      <c r="BG22" s="182">
        <v>6</v>
      </c>
    </row>
    <row r="23" ht="16.2" spans="3:59">
      <c r="C23" s="153"/>
      <c r="D23" s="153" t="s">
        <v>220</v>
      </c>
      <c r="E23" s="157" t="str">
        <f t="shared" si="15"/>
        <v>支持中心</v>
      </c>
      <c r="F23" s="157" t="str">
        <f t="shared" si="16"/>
        <v>IT部</v>
      </c>
      <c r="G23" s="182">
        <v>3</v>
      </c>
      <c r="H23" s="182">
        <v>3</v>
      </c>
      <c r="I23" s="182">
        <v>3</v>
      </c>
      <c r="J23" s="182">
        <v>3</v>
      </c>
      <c r="K23" s="182">
        <v>3</v>
      </c>
      <c r="L23" s="182">
        <v>3</v>
      </c>
      <c r="M23" s="182">
        <v>3</v>
      </c>
      <c r="N23" s="182">
        <v>3</v>
      </c>
      <c r="O23" s="182">
        <v>3</v>
      </c>
      <c r="P23" s="182">
        <v>3</v>
      </c>
      <c r="Q23" s="182">
        <v>3</v>
      </c>
      <c r="R23" s="182">
        <v>3</v>
      </c>
      <c r="S23" s="182">
        <v>3</v>
      </c>
      <c r="T23" s="186">
        <f t="shared" si="12"/>
        <v>3</v>
      </c>
      <c r="U23" s="182">
        <v>3</v>
      </c>
      <c r="V23" s="182">
        <v>3</v>
      </c>
      <c r="W23" s="182">
        <v>3</v>
      </c>
      <c r="X23" s="182">
        <v>3</v>
      </c>
      <c r="Y23" s="182">
        <v>3</v>
      </c>
      <c r="Z23" s="182">
        <v>3</v>
      </c>
      <c r="AA23" s="182">
        <v>3</v>
      </c>
      <c r="AB23" s="182">
        <v>3</v>
      </c>
      <c r="AC23" s="182">
        <v>3</v>
      </c>
      <c r="AD23" s="182">
        <v>3</v>
      </c>
      <c r="AE23" s="182">
        <v>0</v>
      </c>
      <c r="AF23" s="182">
        <v>0</v>
      </c>
      <c r="AG23" s="182">
        <v>0</v>
      </c>
      <c r="AH23" s="182">
        <f t="shared" si="13"/>
        <v>3</v>
      </c>
      <c r="AI23" s="182">
        <v>0</v>
      </c>
      <c r="AJ23" s="182">
        <v>0</v>
      </c>
      <c r="AK23" s="182">
        <v>0</v>
      </c>
      <c r="AL23" s="182">
        <v>0</v>
      </c>
      <c r="AM23" s="182">
        <v>0</v>
      </c>
      <c r="AN23" s="182">
        <v>0</v>
      </c>
      <c r="AO23" s="182">
        <v>0</v>
      </c>
      <c r="AP23" s="182">
        <v>0</v>
      </c>
      <c r="AQ23" s="182">
        <v>0</v>
      </c>
      <c r="AR23" s="182">
        <v>3</v>
      </c>
      <c r="AS23" s="182">
        <v>3</v>
      </c>
      <c r="AT23" s="182">
        <v>3</v>
      </c>
      <c r="AU23" s="182">
        <f t="shared" si="14"/>
        <v>3</v>
      </c>
      <c r="AV23" s="182">
        <v>3</v>
      </c>
      <c r="AW23" s="182">
        <v>3</v>
      </c>
      <c r="AX23" s="182">
        <v>3</v>
      </c>
      <c r="AY23" s="182">
        <v>3</v>
      </c>
      <c r="AZ23" s="182">
        <v>3</v>
      </c>
      <c r="BA23" s="182">
        <v>3</v>
      </c>
      <c r="BB23" s="182">
        <v>3</v>
      </c>
      <c r="BC23" s="182">
        <v>3</v>
      </c>
      <c r="BD23" s="182">
        <v>3</v>
      </c>
      <c r="BE23" s="182">
        <v>3</v>
      </c>
      <c r="BF23" s="182">
        <v>3</v>
      </c>
      <c r="BG23" s="182">
        <v>3</v>
      </c>
    </row>
    <row r="24" ht="16.2" spans="3:59">
      <c r="C24" s="153"/>
      <c r="D24" s="153" t="s">
        <v>221</v>
      </c>
      <c r="E24" s="157" t="str">
        <f t="shared" si="15"/>
        <v>支持中心</v>
      </c>
      <c r="F24" s="157" t="str">
        <f t="shared" si="16"/>
        <v>总经办</v>
      </c>
      <c r="G24" s="182">
        <v>1</v>
      </c>
      <c r="H24" s="182">
        <v>1</v>
      </c>
      <c r="I24" s="182">
        <v>1</v>
      </c>
      <c r="J24" s="182">
        <v>1</v>
      </c>
      <c r="K24" s="182">
        <v>1</v>
      </c>
      <c r="L24" s="182">
        <v>1</v>
      </c>
      <c r="M24" s="182">
        <v>1</v>
      </c>
      <c r="N24" s="182">
        <v>1</v>
      </c>
      <c r="O24" s="182">
        <v>1</v>
      </c>
      <c r="P24" s="182">
        <v>1</v>
      </c>
      <c r="Q24" s="182">
        <v>1</v>
      </c>
      <c r="R24" s="182">
        <v>1</v>
      </c>
      <c r="S24" s="182">
        <v>1</v>
      </c>
      <c r="T24" s="186">
        <f t="shared" si="12"/>
        <v>1</v>
      </c>
      <c r="U24" s="182">
        <v>1</v>
      </c>
      <c r="V24" s="182">
        <v>1</v>
      </c>
      <c r="W24" s="182">
        <v>1</v>
      </c>
      <c r="X24" s="182">
        <v>1</v>
      </c>
      <c r="Y24" s="182">
        <v>1</v>
      </c>
      <c r="Z24" s="182">
        <v>1</v>
      </c>
      <c r="AA24" s="182">
        <v>1</v>
      </c>
      <c r="AB24" s="182">
        <v>1</v>
      </c>
      <c r="AC24" s="182">
        <v>1</v>
      </c>
      <c r="AD24" s="182">
        <v>1</v>
      </c>
      <c r="AE24" s="182">
        <v>0</v>
      </c>
      <c r="AF24" s="182">
        <v>0</v>
      </c>
      <c r="AG24" s="182">
        <v>0</v>
      </c>
      <c r="AH24" s="182">
        <f t="shared" si="13"/>
        <v>1</v>
      </c>
      <c r="AI24" s="182">
        <v>0</v>
      </c>
      <c r="AJ24" s="182">
        <v>0</v>
      </c>
      <c r="AK24" s="182">
        <v>0</v>
      </c>
      <c r="AL24" s="182">
        <v>0</v>
      </c>
      <c r="AM24" s="182">
        <v>0</v>
      </c>
      <c r="AN24" s="182">
        <v>0</v>
      </c>
      <c r="AO24" s="182">
        <v>0</v>
      </c>
      <c r="AP24" s="182">
        <v>0</v>
      </c>
      <c r="AQ24" s="182">
        <v>0</v>
      </c>
      <c r="AR24" s="182">
        <v>1</v>
      </c>
      <c r="AS24" s="182">
        <v>1</v>
      </c>
      <c r="AT24" s="182">
        <v>1</v>
      </c>
      <c r="AU24" s="182">
        <f t="shared" si="14"/>
        <v>1</v>
      </c>
      <c r="AV24" s="182">
        <v>1</v>
      </c>
      <c r="AW24" s="182">
        <v>1</v>
      </c>
      <c r="AX24" s="182">
        <v>1</v>
      </c>
      <c r="AY24" s="182">
        <v>1</v>
      </c>
      <c r="AZ24" s="182">
        <v>1</v>
      </c>
      <c r="BA24" s="182">
        <v>1</v>
      </c>
      <c r="BB24" s="182">
        <v>1</v>
      </c>
      <c r="BC24" s="182">
        <v>1</v>
      </c>
      <c r="BD24" s="182">
        <v>1</v>
      </c>
      <c r="BE24" s="182">
        <v>1</v>
      </c>
      <c r="BF24" s="182">
        <v>1</v>
      </c>
      <c r="BG24" s="182">
        <v>1</v>
      </c>
    </row>
    <row r="26" ht="20.4" spans="2:2">
      <c r="B26" s="36" t="s">
        <v>222</v>
      </c>
    </row>
    <row r="27" s="164" customFormat="1" ht="19.2" customHeight="1" spans="2:59">
      <c r="B27" s="153" t="s">
        <v>128</v>
      </c>
      <c r="C27" s="154"/>
      <c r="D27" s="154"/>
      <c r="E27" s="154" t="s">
        <v>209</v>
      </c>
      <c r="F27" s="154" t="s">
        <v>209</v>
      </c>
      <c r="G27" s="181">
        <v>73</v>
      </c>
      <c r="H27" s="181">
        <v>73</v>
      </c>
      <c r="I27" s="181">
        <v>73</v>
      </c>
      <c r="J27" s="181">
        <v>73</v>
      </c>
      <c r="K27" s="181">
        <v>73</v>
      </c>
      <c r="L27" s="181">
        <v>73</v>
      </c>
      <c r="M27" s="181">
        <v>73</v>
      </c>
      <c r="N27" s="181">
        <v>73</v>
      </c>
      <c r="O27" s="181">
        <v>73</v>
      </c>
      <c r="P27" s="181">
        <v>73</v>
      </c>
      <c r="Q27" s="181">
        <v>73</v>
      </c>
      <c r="R27" s="181">
        <v>73</v>
      </c>
      <c r="S27" s="181">
        <v>73</v>
      </c>
      <c r="T27" s="185">
        <f>(U27*MONTH($G$3)+AH27*(12-MONTH($G$3)))/12</f>
        <v>73</v>
      </c>
      <c r="U27" s="181">
        <v>73</v>
      </c>
      <c r="V27" s="181">
        <v>73</v>
      </c>
      <c r="W27" s="181">
        <v>73</v>
      </c>
      <c r="X27" s="181">
        <v>73</v>
      </c>
      <c r="Y27" s="181">
        <v>73</v>
      </c>
      <c r="Z27" s="181">
        <v>73</v>
      </c>
      <c r="AA27" s="181">
        <v>73</v>
      </c>
      <c r="AB27" s="181">
        <v>73</v>
      </c>
      <c r="AC27" s="181">
        <v>73</v>
      </c>
      <c r="AD27" s="181">
        <v>73</v>
      </c>
      <c r="AE27" s="181">
        <v>0</v>
      </c>
      <c r="AF27" s="181">
        <v>0</v>
      </c>
      <c r="AG27" s="181">
        <v>0</v>
      </c>
      <c r="AH27" s="181">
        <v>73</v>
      </c>
      <c r="AI27" s="181">
        <v>0</v>
      </c>
      <c r="AJ27" s="181">
        <v>0</v>
      </c>
      <c r="AK27" s="181">
        <v>0</v>
      </c>
      <c r="AL27" s="181">
        <v>0</v>
      </c>
      <c r="AM27" s="181">
        <v>0</v>
      </c>
      <c r="AN27" s="181">
        <v>0</v>
      </c>
      <c r="AO27" s="181">
        <v>0</v>
      </c>
      <c r="AP27" s="181">
        <v>0</v>
      </c>
      <c r="AQ27" s="181">
        <v>0</v>
      </c>
      <c r="AR27" s="181">
        <v>73</v>
      </c>
      <c r="AS27" s="181">
        <v>73</v>
      </c>
      <c r="AT27" s="181">
        <v>73</v>
      </c>
      <c r="AU27" s="181">
        <v>73</v>
      </c>
      <c r="AV27" s="181">
        <v>73</v>
      </c>
      <c r="AW27" s="181">
        <v>73</v>
      </c>
      <c r="AX27" s="181">
        <v>73</v>
      </c>
      <c r="AY27" s="181">
        <v>73</v>
      </c>
      <c r="AZ27" s="181">
        <v>73</v>
      </c>
      <c r="BA27" s="181">
        <v>73</v>
      </c>
      <c r="BB27" s="181">
        <v>73</v>
      </c>
      <c r="BC27" s="181">
        <v>73</v>
      </c>
      <c r="BD27" s="181">
        <v>73</v>
      </c>
      <c r="BE27" s="181">
        <v>73</v>
      </c>
      <c r="BF27" s="181">
        <v>73</v>
      </c>
      <c r="BG27" s="181">
        <v>73</v>
      </c>
    </row>
    <row r="28" ht="16.2" spans="3:59">
      <c r="C28" s="153" t="s">
        <v>210</v>
      </c>
      <c r="D28" s="153"/>
      <c r="E28" s="157" t="str">
        <f>IF(C28&lt;&gt;"",C28,#REF!)</f>
        <v>流程中心</v>
      </c>
      <c r="F28" s="157" t="str">
        <f>IF(D28&lt;&gt;"",D28,"*")</f>
        <v>*</v>
      </c>
      <c r="G28" s="182">
        <v>36</v>
      </c>
      <c r="H28" s="182">
        <v>36</v>
      </c>
      <c r="I28" s="182">
        <v>36</v>
      </c>
      <c r="J28" s="182">
        <v>36</v>
      </c>
      <c r="K28" s="182">
        <v>36</v>
      </c>
      <c r="L28" s="182">
        <v>36</v>
      </c>
      <c r="M28" s="182">
        <v>36</v>
      </c>
      <c r="N28" s="182">
        <v>36</v>
      </c>
      <c r="O28" s="182">
        <v>36</v>
      </c>
      <c r="P28" s="182">
        <v>36</v>
      </c>
      <c r="Q28" s="182">
        <v>36</v>
      </c>
      <c r="R28" s="182">
        <v>36</v>
      </c>
      <c r="S28" s="182">
        <v>36</v>
      </c>
      <c r="T28" s="186">
        <f t="shared" ref="T28:T39" si="17">(U28*MONTH($G$3)+AH28*(12-MONTH($G$3)))/12</f>
        <v>36</v>
      </c>
      <c r="U28" s="182">
        <v>36</v>
      </c>
      <c r="V28" s="182">
        <v>36</v>
      </c>
      <c r="W28" s="182">
        <v>36</v>
      </c>
      <c r="X28" s="182">
        <v>36</v>
      </c>
      <c r="Y28" s="182">
        <v>36</v>
      </c>
      <c r="Z28" s="182">
        <v>36</v>
      </c>
      <c r="AA28" s="182">
        <v>36</v>
      </c>
      <c r="AB28" s="182">
        <v>36</v>
      </c>
      <c r="AC28" s="182">
        <v>36</v>
      </c>
      <c r="AD28" s="182">
        <v>36</v>
      </c>
      <c r="AE28" s="182">
        <v>0</v>
      </c>
      <c r="AF28" s="182">
        <v>0</v>
      </c>
      <c r="AG28" s="182">
        <v>0</v>
      </c>
      <c r="AH28" s="182">
        <v>36</v>
      </c>
      <c r="AI28" s="182">
        <v>0</v>
      </c>
      <c r="AJ28" s="182">
        <v>0</v>
      </c>
      <c r="AK28" s="182">
        <v>0</v>
      </c>
      <c r="AL28" s="182">
        <v>0</v>
      </c>
      <c r="AM28" s="182">
        <v>0</v>
      </c>
      <c r="AN28" s="182">
        <v>0</v>
      </c>
      <c r="AO28" s="182">
        <v>0</v>
      </c>
      <c r="AP28" s="182">
        <v>0</v>
      </c>
      <c r="AQ28" s="182">
        <v>0</v>
      </c>
      <c r="AR28" s="182">
        <v>36</v>
      </c>
      <c r="AS28" s="182">
        <v>36</v>
      </c>
      <c r="AT28" s="182">
        <v>36</v>
      </c>
      <c r="AU28" s="182">
        <v>36</v>
      </c>
      <c r="AV28" s="182">
        <v>36</v>
      </c>
      <c r="AW28" s="182">
        <v>36</v>
      </c>
      <c r="AX28" s="182">
        <v>36</v>
      </c>
      <c r="AY28" s="182">
        <v>36</v>
      </c>
      <c r="AZ28" s="182">
        <v>36</v>
      </c>
      <c r="BA28" s="182">
        <v>36</v>
      </c>
      <c r="BB28" s="182">
        <v>36</v>
      </c>
      <c r="BC28" s="182">
        <v>36</v>
      </c>
      <c r="BD28" s="182">
        <v>36</v>
      </c>
      <c r="BE28" s="182">
        <v>36</v>
      </c>
      <c r="BF28" s="182">
        <v>36</v>
      </c>
      <c r="BG28" s="182">
        <v>36</v>
      </c>
    </row>
    <row r="29" ht="16.2" spans="3:59">
      <c r="C29" s="153"/>
      <c r="D29" s="153" t="s">
        <v>211</v>
      </c>
      <c r="E29" s="157" t="str">
        <f t="shared" ref="E29:E39" si="18">IF(C29&lt;&gt;"",C29,E28)</f>
        <v>流程中心</v>
      </c>
      <c r="F29" s="157" t="str">
        <f t="shared" ref="F29:F39" si="19">IF(D29&lt;&gt;"",D29,"*")</f>
        <v>销售中心</v>
      </c>
      <c r="G29" s="182">
        <v>14</v>
      </c>
      <c r="H29" s="182">
        <v>14</v>
      </c>
      <c r="I29" s="182">
        <v>14</v>
      </c>
      <c r="J29" s="182">
        <v>14</v>
      </c>
      <c r="K29" s="182">
        <v>14</v>
      </c>
      <c r="L29" s="182">
        <v>14</v>
      </c>
      <c r="M29" s="182">
        <v>14</v>
      </c>
      <c r="N29" s="182">
        <v>14</v>
      </c>
      <c r="O29" s="182">
        <v>14</v>
      </c>
      <c r="P29" s="182">
        <v>14</v>
      </c>
      <c r="Q29" s="182">
        <v>14</v>
      </c>
      <c r="R29" s="182">
        <v>14</v>
      </c>
      <c r="S29" s="182">
        <v>14</v>
      </c>
      <c r="T29" s="186">
        <f t="shared" si="17"/>
        <v>14</v>
      </c>
      <c r="U29" s="182">
        <v>14</v>
      </c>
      <c r="V29" s="182">
        <v>14</v>
      </c>
      <c r="W29" s="182">
        <v>14</v>
      </c>
      <c r="X29" s="182">
        <v>14</v>
      </c>
      <c r="Y29" s="182">
        <v>14</v>
      </c>
      <c r="Z29" s="182">
        <v>14</v>
      </c>
      <c r="AA29" s="182">
        <v>14</v>
      </c>
      <c r="AB29" s="182">
        <v>14</v>
      </c>
      <c r="AC29" s="182">
        <v>14</v>
      </c>
      <c r="AD29" s="182">
        <v>14</v>
      </c>
      <c r="AE29" s="182">
        <v>0</v>
      </c>
      <c r="AF29" s="182">
        <v>0</v>
      </c>
      <c r="AG29" s="182">
        <v>0</v>
      </c>
      <c r="AH29" s="182">
        <v>14</v>
      </c>
      <c r="AI29" s="182">
        <v>0</v>
      </c>
      <c r="AJ29" s="182">
        <v>0</v>
      </c>
      <c r="AK29" s="182">
        <v>0</v>
      </c>
      <c r="AL29" s="182">
        <v>0</v>
      </c>
      <c r="AM29" s="182">
        <v>0</v>
      </c>
      <c r="AN29" s="182">
        <v>0</v>
      </c>
      <c r="AO29" s="182">
        <v>0</v>
      </c>
      <c r="AP29" s="182">
        <v>0</v>
      </c>
      <c r="AQ29" s="182">
        <v>0</v>
      </c>
      <c r="AR29" s="182">
        <v>14</v>
      </c>
      <c r="AS29" s="182">
        <v>14</v>
      </c>
      <c r="AT29" s="182">
        <v>14</v>
      </c>
      <c r="AU29" s="182">
        <v>14</v>
      </c>
      <c r="AV29" s="182">
        <v>14</v>
      </c>
      <c r="AW29" s="182">
        <v>14</v>
      </c>
      <c r="AX29" s="182">
        <v>14</v>
      </c>
      <c r="AY29" s="182">
        <v>14</v>
      </c>
      <c r="AZ29" s="182">
        <v>14</v>
      </c>
      <c r="BA29" s="182">
        <v>14</v>
      </c>
      <c r="BB29" s="182">
        <v>14</v>
      </c>
      <c r="BC29" s="182">
        <v>14</v>
      </c>
      <c r="BD29" s="182">
        <v>14</v>
      </c>
      <c r="BE29" s="182">
        <v>14</v>
      </c>
      <c r="BF29" s="182">
        <v>14</v>
      </c>
      <c r="BG29" s="182">
        <v>14</v>
      </c>
    </row>
    <row r="30" ht="16.2" spans="3:59">
      <c r="C30" s="153"/>
      <c r="D30" s="153" t="s">
        <v>212</v>
      </c>
      <c r="E30" s="157" t="str">
        <f t="shared" si="18"/>
        <v>流程中心</v>
      </c>
      <c r="F30" s="157" t="str">
        <f t="shared" si="19"/>
        <v>制造中心</v>
      </c>
      <c r="G30" s="182">
        <v>22</v>
      </c>
      <c r="H30" s="182">
        <v>22</v>
      </c>
      <c r="I30" s="182">
        <v>22</v>
      </c>
      <c r="J30" s="182">
        <v>22</v>
      </c>
      <c r="K30" s="182">
        <v>22</v>
      </c>
      <c r="L30" s="182">
        <v>22</v>
      </c>
      <c r="M30" s="182">
        <v>22</v>
      </c>
      <c r="N30" s="182">
        <v>22</v>
      </c>
      <c r="O30" s="182">
        <v>22</v>
      </c>
      <c r="P30" s="182">
        <v>22</v>
      </c>
      <c r="Q30" s="182">
        <v>22</v>
      </c>
      <c r="R30" s="182">
        <v>22</v>
      </c>
      <c r="S30" s="182">
        <v>22</v>
      </c>
      <c r="T30" s="186">
        <f t="shared" si="17"/>
        <v>22</v>
      </c>
      <c r="U30" s="182">
        <v>22</v>
      </c>
      <c r="V30" s="182">
        <v>22</v>
      </c>
      <c r="W30" s="182">
        <v>22</v>
      </c>
      <c r="X30" s="182">
        <v>22</v>
      </c>
      <c r="Y30" s="182">
        <v>22</v>
      </c>
      <c r="Z30" s="182">
        <v>22</v>
      </c>
      <c r="AA30" s="182">
        <v>22</v>
      </c>
      <c r="AB30" s="182">
        <v>22</v>
      </c>
      <c r="AC30" s="182">
        <v>22</v>
      </c>
      <c r="AD30" s="182">
        <v>22</v>
      </c>
      <c r="AE30" s="182">
        <v>0</v>
      </c>
      <c r="AF30" s="182">
        <v>0</v>
      </c>
      <c r="AG30" s="182">
        <v>0</v>
      </c>
      <c r="AH30" s="182">
        <v>22</v>
      </c>
      <c r="AI30" s="182">
        <v>0</v>
      </c>
      <c r="AJ30" s="182">
        <v>0</v>
      </c>
      <c r="AK30" s="182">
        <v>0</v>
      </c>
      <c r="AL30" s="182">
        <v>0</v>
      </c>
      <c r="AM30" s="182">
        <v>0</v>
      </c>
      <c r="AN30" s="182">
        <v>0</v>
      </c>
      <c r="AO30" s="182">
        <v>0</v>
      </c>
      <c r="AP30" s="182">
        <v>0</v>
      </c>
      <c r="AQ30" s="182">
        <v>0</v>
      </c>
      <c r="AR30" s="182">
        <v>22</v>
      </c>
      <c r="AS30" s="182">
        <v>22</v>
      </c>
      <c r="AT30" s="182">
        <v>22</v>
      </c>
      <c r="AU30" s="182">
        <v>22</v>
      </c>
      <c r="AV30" s="182">
        <v>22</v>
      </c>
      <c r="AW30" s="182">
        <v>22</v>
      </c>
      <c r="AX30" s="182">
        <v>22</v>
      </c>
      <c r="AY30" s="182">
        <v>22</v>
      </c>
      <c r="AZ30" s="182">
        <v>22</v>
      </c>
      <c r="BA30" s="182">
        <v>22</v>
      </c>
      <c r="BB30" s="182">
        <v>22</v>
      </c>
      <c r="BC30" s="182">
        <v>22</v>
      </c>
      <c r="BD30" s="182">
        <v>22</v>
      </c>
      <c r="BE30" s="182">
        <v>22</v>
      </c>
      <c r="BF30" s="182">
        <v>22</v>
      </c>
      <c r="BG30" s="182">
        <v>22</v>
      </c>
    </row>
    <row r="31" ht="16.2" spans="3:59">
      <c r="C31" s="153" t="s">
        <v>213</v>
      </c>
      <c r="D31" s="153"/>
      <c r="E31" s="157" t="str">
        <f t="shared" si="18"/>
        <v>创新中心</v>
      </c>
      <c r="F31" s="157" t="str">
        <f t="shared" si="19"/>
        <v>*</v>
      </c>
      <c r="G31" s="182">
        <v>20</v>
      </c>
      <c r="H31" s="182">
        <v>20</v>
      </c>
      <c r="I31" s="182">
        <v>20</v>
      </c>
      <c r="J31" s="182">
        <v>20</v>
      </c>
      <c r="K31" s="182">
        <v>20</v>
      </c>
      <c r="L31" s="182">
        <v>20</v>
      </c>
      <c r="M31" s="182">
        <v>20</v>
      </c>
      <c r="N31" s="182">
        <v>20</v>
      </c>
      <c r="O31" s="182">
        <v>20</v>
      </c>
      <c r="P31" s="182">
        <v>20</v>
      </c>
      <c r="Q31" s="182">
        <v>20</v>
      </c>
      <c r="R31" s="182">
        <v>20</v>
      </c>
      <c r="S31" s="182">
        <v>20</v>
      </c>
      <c r="T31" s="186">
        <f t="shared" si="17"/>
        <v>20</v>
      </c>
      <c r="U31" s="182">
        <v>20</v>
      </c>
      <c r="V31" s="182">
        <v>20</v>
      </c>
      <c r="W31" s="182">
        <v>20</v>
      </c>
      <c r="X31" s="182">
        <v>20</v>
      </c>
      <c r="Y31" s="182">
        <v>20</v>
      </c>
      <c r="Z31" s="182">
        <v>20</v>
      </c>
      <c r="AA31" s="182">
        <v>20</v>
      </c>
      <c r="AB31" s="182">
        <v>20</v>
      </c>
      <c r="AC31" s="182">
        <v>20</v>
      </c>
      <c r="AD31" s="182">
        <v>20</v>
      </c>
      <c r="AE31" s="182">
        <v>0</v>
      </c>
      <c r="AF31" s="182">
        <v>0</v>
      </c>
      <c r="AG31" s="182">
        <v>0</v>
      </c>
      <c r="AH31" s="182">
        <v>20</v>
      </c>
      <c r="AI31" s="182">
        <v>0</v>
      </c>
      <c r="AJ31" s="182">
        <v>0</v>
      </c>
      <c r="AK31" s="182">
        <v>0</v>
      </c>
      <c r="AL31" s="182">
        <v>0</v>
      </c>
      <c r="AM31" s="182">
        <v>0</v>
      </c>
      <c r="AN31" s="182">
        <v>0</v>
      </c>
      <c r="AO31" s="182">
        <v>0</v>
      </c>
      <c r="AP31" s="182">
        <v>0</v>
      </c>
      <c r="AQ31" s="182">
        <v>0</v>
      </c>
      <c r="AR31" s="182">
        <v>20</v>
      </c>
      <c r="AS31" s="182">
        <v>20</v>
      </c>
      <c r="AT31" s="182">
        <v>20</v>
      </c>
      <c r="AU31" s="182">
        <v>20</v>
      </c>
      <c r="AV31" s="182">
        <v>20</v>
      </c>
      <c r="AW31" s="182">
        <v>20</v>
      </c>
      <c r="AX31" s="182">
        <v>20</v>
      </c>
      <c r="AY31" s="182">
        <v>20</v>
      </c>
      <c r="AZ31" s="182">
        <v>20</v>
      </c>
      <c r="BA31" s="182">
        <v>20</v>
      </c>
      <c r="BB31" s="182">
        <v>20</v>
      </c>
      <c r="BC31" s="182">
        <v>20</v>
      </c>
      <c r="BD31" s="182">
        <v>20</v>
      </c>
      <c r="BE31" s="182">
        <v>20</v>
      </c>
      <c r="BF31" s="182">
        <v>20</v>
      </c>
      <c r="BG31" s="182">
        <v>20</v>
      </c>
    </row>
    <row r="32" ht="16.2" spans="3:59">
      <c r="C32" s="153"/>
      <c r="D32" s="153" t="s">
        <v>214</v>
      </c>
      <c r="E32" s="157" t="str">
        <f t="shared" si="18"/>
        <v>创新中心</v>
      </c>
      <c r="F32" s="157" t="str">
        <f t="shared" si="19"/>
        <v>产品
研发部</v>
      </c>
      <c r="G32" s="182">
        <v>8</v>
      </c>
      <c r="H32" s="182">
        <v>8</v>
      </c>
      <c r="I32" s="182">
        <v>8</v>
      </c>
      <c r="J32" s="182">
        <v>8</v>
      </c>
      <c r="K32" s="182">
        <v>8</v>
      </c>
      <c r="L32" s="182">
        <v>8</v>
      </c>
      <c r="M32" s="182">
        <v>8</v>
      </c>
      <c r="N32" s="182">
        <v>8</v>
      </c>
      <c r="O32" s="182">
        <v>8</v>
      </c>
      <c r="P32" s="182">
        <v>8</v>
      </c>
      <c r="Q32" s="182">
        <v>8</v>
      </c>
      <c r="R32" s="182">
        <v>8</v>
      </c>
      <c r="S32" s="182">
        <v>8</v>
      </c>
      <c r="T32" s="186">
        <f t="shared" si="17"/>
        <v>8</v>
      </c>
      <c r="U32" s="182">
        <v>8</v>
      </c>
      <c r="V32" s="182">
        <v>8</v>
      </c>
      <c r="W32" s="182">
        <v>8</v>
      </c>
      <c r="X32" s="182">
        <v>8</v>
      </c>
      <c r="Y32" s="182">
        <v>8</v>
      </c>
      <c r="Z32" s="182">
        <v>8</v>
      </c>
      <c r="AA32" s="182">
        <v>8</v>
      </c>
      <c r="AB32" s="182">
        <v>8</v>
      </c>
      <c r="AC32" s="182">
        <v>8</v>
      </c>
      <c r="AD32" s="182">
        <v>8</v>
      </c>
      <c r="AE32" s="182">
        <v>0</v>
      </c>
      <c r="AF32" s="182">
        <v>0</v>
      </c>
      <c r="AG32" s="182">
        <v>0</v>
      </c>
      <c r="AH32" s="182">
        <v>8</v>
      </c>
      <c r="AI32" s="182">
        <v>0</v>
      </c>
      <c r="AJ32" s="182">
        <v>0</v>
      </c>
      <c r="AK32" s="182">
        <v>0</v>
      </c>
      <c r="AL32" s="182">
        <v>0</v>
      </c>
      <c r="AM32" s="182">
        <v>0</v>
      </c>
      <c r="AN32" s="182">
        <v>0</v>
      </c>
      <c r="AO32" s="182">
        <v>0</v>
      </c>
      <c r="AP32" s="182">
        <v>0</v>
      </c>
      <c r="AQ32" s="182">
        <v>0</v>
      </c>
      <c r="AR32" s="182">
        <v>8</v>
      </c>
      <c r="AS32" s="182">
        <v>8</v>
      </c>
      <c r="AT32" s="182">
        <v>8</v>
      </c>
      <c r="AU32" s="182">
        <v>8</v>
      </c>
      <c r="AV32" s="182">
        <v>8</v>
      </c>
      <c r="AW32" s="182">
        <v>8</v>
      </c>
      <c r="AX32" s="182">
        <v>8</v>
      </c>
      <c r="AY32" s="182">
        <v>8</v>
      </c>
      <c r="AZ32" s="182">
        <v>8</v>
      </c>
      <c r="BA32" s="182">
        <v>8</v>
      </c>
      <c r="BB32" s="182">
        <v>8</v>
      </c>
      <c r="BC32" s="182">
        <v>8</v>
      </c>
      <c r="BD32" s="182">
        <v>8</v>
      </c>
      <c r="BE32" s="182">
        <v>8</v>
      </c>
      <c r="BF32" s="182">
        <v>8</v>
      </c>
      <c r="BG32" s="182">
        <v>8</v>
      </c>
    </row>
    <row r="33" ht="16.2" spans="3:59">
      <c r="C33" s="153"/>
      <c r="D33" s="153" t="s">
        <v>215</v>
      </c>
      <c r="E33" s="157" t="str">
        <f t="shared" si="18"/>
        <v>创新中心</v>
      </c>
      <c r="F33" s="157" t="str">
        <f t="shared" si="19"/>
        <v>XX
试验室</v>
      </c>
      <c r="G33" s="182">
        <v>5</v>
      </c>
      <c r="H33" s="182">
        <v>5</v>
      </c>
      <c r="I33" s="182">
        <v>5</v>
      </c>
      <c r="J33" s="182">
        <v>5</v>
      </c>
      <c r="K33" s="182">
        <v>5</v>
      </c>
      <c r="L33" s="182">
        <v>5</v>
      </c>
      <c r="M33" s="182">
        <v>5</v>
      </c>
      <c r="N33" s="182">
        <v>5</v>
      </c>
      <c r="O33" s="182">
        <v>5</v>
      </c>
      <c r="P33" s="182">
        <v>5</v>
      </c>
      <c r="Q33" s="182">
        <v>5</v>
      </c>
      <c r="R33" s="182">
        <v>5</v>
      </c>
      <c r="S33" s="182">
        <v>5</v>
      </c>
      <c r="T33" s="186">
        <f t="shared" si="17"/>
        <v>5</v>
      </c>
      <c r="U33" s="182">
        <v>5</v>
      </c>
      <c r="V33" s="182">
        <v>5</v>
      </c>
      <c r="W33" s="182">
        <v>5</v>
      </c>
      <c r="X33" s="182">
        <v>5</v>
      </c>
      <c r="Y33" s="182">
        <v>5</v>
      </c>
      <c r="Z33" s="182">
        <v>5</v>
      </c>
      <c r="AA33" s="182">
        <v>5</v>
      </c>
      <c r="AB33" s="182">
        <v>5</v>
      </c>
      <c r="AC33" s="182">
        <v>5</v>
      </c>
      <c r="AD33" s="182">
        <v>5</v>
      </c>
      <c r="AE33" s="182">
        <v>0</v>
      </c>
      <c r="AF33" s="182">
        <v>0</v>
      </c>
      <c r="AG33" s="182">
        <v>0</v>
      </c>
      <c r="AH33" s="182">
        <v>5</v>
      </c>
      <c r="AI33" s="182">
        <v>0</v>
      </c>
      <c r="AJ33" s="182">
        <v>0</v>
      </c>
      <c r="AK33" s="182">
        <v>0</v>
      </c>
      <c r="AL33" s="182">
        <v>0</v>
      </c>
      <c r="AM33" s="182">
        <v>0</v>
      </c>
      <c r="AN33" s="182">
        <v>0</v>
      </c>
      <c r="AO33" s="182">
        <v>0</v>
      </c>
      <c r="AP33" s="182">
        <v>0</v>
      </c>
      <c r="AQ33" s="182">
        <v>0</v>
      </c>
      <c r="AR33" s="182">
        <v>5</v>
      </c>
      <c r="AS33" s="182">
        <v>5</v>
      </c>
      <c r="AT33" s="182">
        <v>5</v>
      </c>
      <c r="AU33" s="182">
        <v>5</v>
      </c>
      <c r="AV33" s="182">
        <v>5</v>
      </c>
      <c r="AW33" s="182">
        <v>5</v>
      </c>
      <c r="AX33" s="182">
        <v>5</v>
      </c>
      <c r="AY33" s="182">
        <v>5</v>
      </c>
      <c r="AZ33" s="182">
        <v>5</v>
      </c>
      <c r="BA33" s="182">
        <v>5</v>
      </c>
      <c r="BB33" s="182">
        <v>5</v>
      </c>
      <c r="BC33" s="182">
        <v>5</v>
      </c>
      <c r="BD33" s="182">
        <v>5</v>
      </c>
      <c r="BE33" s="182">
        <v>5</v>
      </c>
      <c r="BF33" s="182">
        <v>5</v>
      </c>
      <c r="BG33" s="182">
        <v>5</v>
      </c>
    </row>
    <row r="34" ht="16.2" spans="3:59">
      <c r="C34" s="153"/>
      <c r="D34" s="153" t="s">
        <v>216</v>
      </c>
      <c r="E34" s="157" t="str">
        <f t="shared" si="18"/>
        <v>创新中心</v>
      </c>
      <c r="F34" s="157" t="str">
        <f t="shared" si="19"/>
        <v>XX
孵化业务</v>
      </c>
      <c r="G34" s="182">
        <v>7</v>
      </c>
      <c r="H34" s="182">
        <v>7</v>
      </c>
      <c r="I34" s="182">
        <v>7</v>
      </c>
      <c r="J34" s="182">
        <v>7</v>
      </c>
      <c r="K34" s="182">
        <v>7</v>
      </c>
      <c r="L34" s="182">
        <v>7</v>
      </c>
      <c r="M34" s="182">
        <v>7</v>
      </c>
      <c r="N34" s="182">
        <v>7</v>
      </c>
      <c r="O34" s="182">
        <v>7</v>
      </c>
      <c r="P34" s="182">
        <v>7</v>
      </c>
      <c r="Q34" s="182">
        <v>7</v>
      </c>
      <c r="R34" s="182">
        <v>7</v>
      </c>
      <c r="S34" s="182">
        <v>7</v>
      </c>
      <c r="T34" s="186">
        <f t="shared" si="17"/>
        <v>7</v>
      </c>
      <c r="U34" s="182">
        <v>7</v>
      </c>
      <c r="V34" s="182">
        <v>7</v>
      </c>
      <c r="W34" s="182">
        <v>7</v>
      </c>
      <c r="X34" s="182">
        <v>7</v>
      </c>
      <c r="Y34" s="182">
        <v>7</v>
      </c>
      <c r="Z34" s="182">
        <v>7</v>
      </c>
      <c r="AA34" s="182">
        <v>7</v>
      </c>
      <c r="AB34" s="182">
        <v>7</v>
      </c>
      <c r="AC34" s="182">
        <v>7</v>
      </c>
      <c r="AD34" s="182">
        <v>7</v>
      </c>
      <c r="AE34" s="182">
        <v>0</v>
      </c>
      <c r="AF34" s="182">
        <v>0</v>
      </c>
      <c r="AG34" s="182">
        <v>0</v>
      </c>
      <c r="AH34" s="182">
        <v>7</v>
      </c>
      <c r="AI34" s="182">
        <v>0</v>
      </c>
      <c r="AJ34" s="182">
        <v>0</v>
      </c>
      <c r="AK34" s="182">
        <v>0</v>
      </c>
      <c r="AL34" s="182">
        <v>0</v>
      </c>
      <c r="AM34" s="182">
        <v>0</v>
      </c>
      <c r="AN34" s="182">
        <v>0</v>
      </c>
      <c r="AO34" s="182">
        <v>0</v>
      </c>
      <c r="AP34" s="182">
        <v>0</v>
      </c>
      <c r="AQ34" s="182">
        <v>0</v>
      </c>
      <c r="AR34" s="182">
        <v>7</v>
      </c>
      <c r="AS34" s="182">
        <v>7</v>
      </c>
      <c r="AT34" s="182">
        <v>7</v>
      </c>
      <c r="AU34" s="182">
        <v>7</v>
      </c>
      <c r="AV34" s="182">
        <v>7</v>
      </c>
      <c r="AW34" s="182">
        <v>7</v>
      </c>
      <c r="AX34" s="182">
        <v>7</v>
      </c>
      <c r="AY34" s="182">
        <v>7</v>
      </c>
      <c r="AZ34" s="182">
        <v>7</v>
      </c>
      <c r="BA34" s="182">
        <v>7</v>
      </c>
      <c r="BB34" s="182">
        <v>7</v>
      </c>
      <c r="BC34" s="182">
        <v>7</v>
      </c>
      <c r="BD34" s="182">
        <v>7</v>
      </c>
      <c r="BE34" s="182">
        <v>7</v>
      </c>
      <c r="BF34" s="182">
        <v>7</v>
      </c>
      <c r="BG34" s="182">
        <v>7</v>
      </c>
    </row>
    <row r="35" ht="16.2" spans="3:59">
      <c r="C35" s="153" t="s">
        <v>217</v>
      </c>
      <c r="D35" s="153"/>
      <c r="E35" s="157" t="str">
        <f t="shared" si="18"/>
        <v>支持中心</v>
      </c>
      <c r="F35" s="157" t="str">
        <f t="shared" si="19"/>
        <v>*</v>
      </c>
      <c r="G35" s="182">
        <v>17</v>
      </c>
      <c r="H35" s="182">
        <v>17</v>
      </c>
      <c r="I35" s="182">
        <v>17</v>
      </c>
      <c r="J35" s="182">
        <v>17</v>
      </c>
      <c r="K35" s="182">
        <v>17</v>
      </c>
      <c r="L35" s="182">
        <v>17</v>
      </c>
      <c r="M35" s="182">
        <v>17</v>
      </c>
      <c r="N35" s="182">
        <v>17</v>
      </c>
      <c r="O35" s="182">
        <v>17</v>
      </c>
      <c r="P35" s="182">
        <v>17</v>
      </c>
      <c r="Q35" s="182">
        <v>17</v>
      </c>
      <c r="R35" s="182">
        <v>17</v>
      </c>
      <c r="S35" s="182">
        <v>17</v>
      </c>
      <c r="T35" s="186">
        <f t="shared" si="17"/>
        <v>17</v>
      </c>
      <c r="U35" s="182">
        <v>17</v>
      </c>
      <c r="V35" s="182">
        <v>17</v>
      </c>
      <c r="W35" s="182">
        <v>17</v>
      </c>
      <c r="X35" s="182">
        <v>17</v>
      </c>
      <c r="Y35" s="182">
        <v>17</v>
      </c>
      <c r="Z35" s="182">
        <v>17</v>
      </c>
      <c r="AA35" s="182">
        <v>17</v>
      </c>
      <c r="AB35" s="182">
        <v>17</v>
      </c>
      <c r="AC35" s="182">
        <v>17</v>
      </c>
      <c r="AD35" s="182">
        <v>17</v>
      </c>
      <c r="AE35" s="182">
        <v>0</v>
      </c>
      <c r="AF35" s="182">
        <v>0</v>
      </c>
      <c r="AG35" s="182">
        <v>0</v>
      </c>
      <c r="AH35" s="182">
        <v>17</v>
      </c>
      <c r="AI35" s="182">
        <v>0</v>
      </c>
      <c r="AJ35" s="182">
        <v>0</v>
      </c>
      <c r="AK35" s="182">
        <v>0</v>
      </c>
      <c r="AL35" s="182">
        <v>0</v>
      </c>
      <c r="AM35" s="182">
        <v>0</v>
      </c>
      <c r="AN35" s="182">
        <v>0</v>
      </c>
      <c r="AO35" s="182">
        <v>0</v>
      </c>
      <c r="AP35" s="182">
        <v>0</v>
      </c>
      <c r="AQ35" s="182">
        <v>0</v>
      </c>
      <c r="AR35" s="182">
        <v>17</v>
      </c>
      <c r="AS35" s="182">
        <v>17</v>
      </c>
      <c r="AT35" s="182">
        <v>17</v>
      </c>
      <c r="AU35" s="182">
        <v>17</v>
      </c>
      <c r="AV35" s="182">
        <v>17</v>
      </c>
      <c r="AW35" s="182">
        <v>17</v>
      </c>
      <c r="AX35" s="182">
        <v>17</v>
      </c>
      <c r="AY35" s="182">
        <v>17</v>
      </c>
      <c r="AZ35" s="182">
        <v>17</v>
      </c>
      <c r="BA35" s="182">
        <v>17</v>
      </c>
      <c r="BB35" s="182">
        <v>17</v>
      </c>
      <c r="BC35" s="182">
        <v>17</v>
      </c>
      <c r="BD35" s="182">
        <v>17</v>
      </c>
      <c r="BE35" s="182">
        <v>17</v>
      </c>
      <c r="BF35" s="182">
        <v>17</v>
      </c>
      <c r="BG35" s="182">
        <v>17</v>
      </c>
    </row>
    <row r="36" ht="16.2" spans="3:59">
      <c r="C36" s="153"/>
      <c r="D36" s="153" t="s">
        <v>218</v>
      </c>
      <c r="E36" s="157" t="str">
        <f t="shared" si="18"/>
        <v>支持中心</v>
      </c>
      <c r="F36" s="157" t="str">
        <f t="shared" si="19"/>
        <v>财务部</v>
      </c>
      <c r="G36" s="182">
        <v>7</v>
      </c>
      <c r="H36" s="182">
        <v>7</v>
      </c>
      <c r="I36" s="182">
        <v>7</v>
      </c>
      <c r="J36" s="182">
        <v>7</v>
      </c>
      <c r="K36" s="182">
        <v>7</v>
      </c>
      <c r="L36" s="182">
        <v>7</v>
      </c>
      <c r="M36" s="182">
        <v>7</v>
      </c>
      <c r="N36" s="182">
        <v>7</v>
      </c>
      <c r="O36" s="182">
        <v>7</v>
      </c>
      <c r="P36" s="182">
        <v>7</v>
      </c>
      <c r="Q36" s="182">
        <v>7</v>
      </c>
      <c r="R36" s="182">
        <v>7</v>
      </c>
      <c r="S36" s="182">
        <v>7</v>
      </c>
      <c r="T36" s="186">
        <f t="shared" si="17"/>
        <v>7</v>
      </c>
      <c r="U36" s="182">
        <v>7</v>
      </c>
      <c r="V36" s="182">
        <v>7</v>
      </c>
      <c r="W36" s="182">
        <v>7</v>
      </c>
      <c r="X36" s="182">
        <v>7</v>
      </c>
      <c r="Y36" s="182">
        <v>7</v>
      </c>
      <c r="Z36" s="182">
        <v>7</v>
      </c>
      <c r="AA36" s="182">
        <v>7</v>
      </c>
      <c r="AB36" s="182">
        <v>7</v>
      </c>
      <c r="AC36" s="182">
        <v>7</v>
      </c>
      <c r="AD36" s="182">
        <v>7</v>
      </c>
      <c r="AE36" s="182">
        <v>0</v>
      </c>
      <c r="AF36" s="182">
        <v>0</v>
      </c>
      <c r="AG36" s="182">
        <v>0</v>
      </c>
      <c r="AH36" s="182">
        <v>7</v>
      </c>
      <c r="AI36" s="182">
        <v>0</v>
      </c>
      <c r="AJ36" s="182">
        <v>0</v>
      </c>
      <c r="AK36" s="182">
        <v>0</v>
      </c>
      <c r="AL36" s="182">
        <v>0</v>
      </c>
      <c r="AM36" s="182">
        <v>0</v>
      </c>
      <c r="AN36" s="182">
        <v>0</v>
      </c>
      <c r="AO36" s="182">
        <v>0</v>
      </c>
      <c r="AP36" s="182">
        <v>0</v>
      </c>
      <c r="AQ36" s="182">
        <v>0</v>
      </c>
      <c r="AR36" s="182">
        <v>7</v>
      </c>
      <c r="AS36" s="182">
        <v>7</v>
      </c>
      <c r="AT36" s="182">
        <v>7</v>
      </c>
      <c r="AU36" s="182">
        <v>7</v>
      </c>
      <c r="AV36" s="182">
        <v>7</v>
      </c>
      <c r="AW36" s="182">
        <v>7</v>
      </c>
      <c r="AX36" s="182">
        <v>7</v>
      </c>
      <c r="AY36" s="182">
        <v>7</v>
      </c>
      <c r="AZ36" s="182">
        <v>7</v>
      </c>
      <c r="BA36" s="182">
        <v>7</v>
      </c>
      <c r="BB36" s="182">
        <v>7</v>
      </c>
      <c r="BC36" s="182">
        <v>7</v>
      </c>
      <c r="BD36" s="182">
        <v>7</v>
      </c>
      <c r="BE36" s="182">
        <v>7</v>
      </c>
      <c r="BF36" s="182">
        <v>7</v>
      </c>
      <c r="BG36" s="182">
        <v>7</v>
      </c>
    </row>
    <row r="37" ht="16.2" spans="3:59">
      <c r="C37" s="153"/>
      <c r="D37" s="153" t="s">
        <v>219</v>
      </c>
      <c r="E37" s="157" t="str">
        <f t="shared" si="18"/>
        <v>支持中心</v>
      </c>
      <c r="F37" s="157" t="str">
        <f t="shared" si="19"/>
        <v>人力资源部</v>
      </c>
      <c r="G37" s="182">
        <v>6</v>
      </c>
      <c r="H37" s="182">
        <v>6</v>
      </c>
      <c r="I37" s="182">
        <v>6</v>
      </c>
      <c r="J37" s="182">
        <v>6</v>
      </c>
      <c r="K37" s="182">
        <v>6</v>
      </c>
      <c r="L37" s="182">
        <v>6</v>
      </c>
      <c r="M37" s="182">
        <v>6</v>
      </c>
      <c r="N37" s="182">
        <v>6</v>
      </c>
      <c r="O37" s="182">
        <v>6</v>
      </c>
      <c r="P37" s="182">
        <v>6</v>
      </c>
      <c r="Q37" s="182">
        <v>6</v>
      </c>
      <c r="R37" s="182">
        <v>6</v>
      </c>
      <c r="S37" s="182">
        <v>6</v>
      </c>
      <c r="T37" s="186">
        <f t="shared" si="17"/>
        <v>6</v>
      </c>
      <c r="U37" s="182">
        <v>6</v>
      </c>
      <c r="V37" s="182">
        <v>6</v>
      </c>
      <c r="W37" s="182">
        <v>6</v>
      </c>
      <c r="X37" s="182">
        <v>6</v>
      </c>
      <c r="Y37" s="182">
        <v>6</v>
      </c>
      <c r="Z37" s="182">
        <v>6</v>
      </c>
      <c r="AA37" s="182">
        <v>6</v>
      </c>
      <c r="AB37" s="182">
        <v>6</v>
      </c>
      <c r="AC37" s="182">
        <v>6</v>
      </c>
      <c r="AD37" s="182">
        <v>6</v>
      </c>
      <c r="AE37" s="182">
        <v>0</v>
      </c>
      <c r="AF37" s="182">
        <v>0</v>
      </c>
      <c r="AG37" s="182">
        <v>0</v>
      </c>
      <c r="AH37" s="182">
        <v>6</v>
      </c>
      <c r="AI37" s="182">
        <v>0</v>
      </c>
      <c r="AJ37" s="182">
        <v>0</v>
      </c>
      <c r="AK37" s="182">
        <v>0</v>
      </c>
      <c r="AL37" s="182">
        <v>0</v>
      </c>
      <c r="AM37" s="182">
        <v>0</v>
      </c>
      <c r="AN37" s="182">
        <v>0</v>
      </c>
      <c r="AO37" s="182">
        <v>0</v>
      </c>
      <c r="AP37" s="182">
        <v>0</v>
      </c>
      <c r="AQ37" s="182">
        <v>0</v>
      </c>
      <c r="AR37" s="182">
        <v>6</v>
      </c>
      <c r="AS37" s="182">
        <v>6</v>
      </c>
      <c r="AT37" s="182">
        <v>6</v>
      </c>
      <c r="AU37" s="182">
        <v>6</v>
      </c>
      <c r="AV37" s="182">
        <v>6</v>
      </c>
      <c r="AW37" s="182">
        <v>6</v>
      </c>
      <c r="AX37" s="182">
        <v>6</v>
      </c>
      <c r="AY37" s="182">
        <v>6</v>
      </c>
      <c r="AZ37" s="182">
        <v>6</v>
      </c>
      <c r="BA37" s="182">
        <v>6</v>
      </c>
      <c r="BB37" s="182">
        <v>6</v>
      </c>
      <c r="BC37" s="182">
        <v>6</v>
      </c>
      <c r="BD37" s="182">
        <v>6</v>
      </c>
      <c r="BE37" s="182">
        <v>6</v>
      </c>
      <c r="BF37" s="182">
        <v>6</v>
      </c>
      <c r="BG37" s="182">
        <v>6</v>
      </c>
    </row>
    <row r="38" ht="16.2" spans="3:59">
      <c r="C38" s="153"/>
      <c r="D38" s="153" t="s">
        <v>220</v>
      </c>
      <c r="E38" s="157" t="str">
        <f t="shared" si="18"/>
        <v>支持中心</v>
      </c>
      <c r="F38" s="157" t="str">
        <f t="shared" si="19"/>
        <v>IT部</v>
      </c>
      <c r="G38" s="182">
        <v>3</v>
      </c>
      <c r="H38" s="182">
        <v>3</v>
      </c>
      <c r="I38" s="182">
        <v>3</v>
      </c>
      <c r="J38" s="182">
        <v>3</v>
      </c>
      <c r="K38" s="182">
        <v>3</v>
      </c>
      <c r="L38" s="182">
        <v>3</v>
      </c>
      <c r="M38" s="182">
        <v>3</v>
      </c>
      <c r="N38" s="182">
        <v>3</v>
      </c>
      <c r="O38" s="182">
        <v>3</v>
      </c>
      <c r="P38" s="182">
        <v>3</v>
      </c>
      <c r="Q38" s="182">
        <v>3</v>
      </c>
      <c r="R38" s="182">
        <v>3</v>
      </c>
      <c r="S38" s="182">
        <v>3</v>
      </c>
      <c r="T38" s="186">
        <f t="shared" si="17"/>
        <v>3</v>
      </c>
      <c r="U38" s="182">
        <v>3</v>
      </c>
      <c r="V38" s="182">
        <v>3</v>
      </c>
      <c r="W38" s="182">
        <v>3</v>
      </c>
      <c r="X38" s="182">
        <v>3</v>
      </c>
      <c r="Y38" s="182">
        <v>3</v>
      </c>
      <c r="Z38" s="182">
        <v>3</v>
      </c>
      <c r="AA38" s="182">
        <v>3</v>
      </c>
      <c r="AB38" s="182">
        <v>3</v>
      </c>
      <c r="AC38" s="182">
        <v>3</v>
      </c>
      <c r="AD38" s="182">
        <v>3</v>
      </c>
      <c r="AE38" s="182">
        <v>0</v>
      </c>
      <c r="AF38" s="182">
        <v>0</v>
      </c>
      <c r="AG38" s="182">
        <v>0</v>
      </c>
      <c r="AH38" s="182">
        <v>3</v>
      </c>
      <c r="AI38" s="182">
        <v>0</v>
      </c>
      <c r="AJ38" s="182">
        <v>0</v>
      </c>
      <c r="AK38" s="182">
        <v>0</v>
      </c>
      <c r="AL38" s="182">
        <v>0</v>
      </c>
      <c r="AM38" s="182">
        <v>0</v>
      </c>
      <c r="AN38" s="182">
        <v>0</v>
      </c>
      <c r="AO38" s="182">
        <v>0</v>
      </c>
      <c r="AP38" s="182">
        <v>0</v>
      </c>
      <c r="AQ38" s="182">
        <v>0</v>
      </c>
      <c r="AR38" s="182">
        <v>3</v>
      </c>
      <c r="AS38" s="182">
        <v>3</v>
      </c>
      <c r="AT38" s="182">
        <v>3</v>
      </c>
      <c r="AU38" s="182">
        <v>3</v>
      </c>
      <c r="AV38" s="182">
        <v>3</v>
      </c>
      <c r="AW38" s="182">
        <v>3</v>
      </c>
      <c r="AX38" s="182">
        <v>3</v>
      </c>
      <c r="AY38" s="182">
        <v>3</v>
      </c>
      <c r="AZ38" s="182">
        <v>3</v>
      </c>
      <c r="BA38" s="182">
        <v>3</v>
      </c>
      <c r="BB38" s="182">
        <v>3</v>
      </c>
      <c r="BC38" s="182">
        <v>3</v>
      </c>
      <c r="BD38" s="182">
        <v>3</v>
      </c>
      <c r="BE38" s="182">
        <v>3</v>
      </c>
      <c r="BF38" s="182">
        <v>3</v>
      </c>
      <c r="BG38" s="182">
        <v>3</v>
      </c>
    </row>
    <row r="39" ht="16.2" spans="3:59">
      <c r="C39" s="153"/>
      <c r="D39" s="153" t="s">
        <v>221</v>
      </c>
      <c r="E39" s="157" t="str">
        <f t="shared" si="18"/>
        <v>支持中心</v>
      </c>
      <c r="F39" s="157" t="str">
        <f t="shared" si="19"/>
        <v>总经办</v>
      </c>
      <c r="G39" s="182">
        <v>1</v>
      </c>
      <c r="H39" s="182">
        <v>1</v>
      </c>
      <c r="I39" s="182">
        <v>1</v>
      </c>
      <c r="J39" s="182">
        <v>1</v>
      </c>
      <c r="K39" s="182">
        <v>1</v>
      </c>
      <c r="L39" s="182">
        <v>1</v>
      </c>
      <c r="M39" s="182">
        <v>1</v>
      </c>
      <c r="N39" s="182">
        <v>1</v>
      </c>
      <c r="O39" s="182">
        <v>1</v>
      </c>
      <c r="P39" s="182">
        <v>1</v>
      </c>
      <c r="Q39" s="182">
        <v>1</v>
      </c>
      <c r="R39" s="182">
        <v>1</v>
      </c>
      <c r="S39" s="182">
        <v>1</v>
      </c>
      <c r="T39" s="186">
        <f t="shared" si="17"/>
        <v>1</v>
      </c>
      <c r="U39" s="182">
        <v>1</v>
      </c>
      <c r="V39" s="182">
        <v>1</v>
      </c>
      <c r="W39" s="182">
        <v>1</v>
      </c>
      <c r="X39" s="182">
        <v>1</v>
      </c>
      <c r="Y39" s="182">
        <v>1</v>
      </c>
      <c r="Z39" s="182">
        <v>1</v>
      </c>
      <c r="AA39" s="182">
        <v>1</v>
      </c>
      <c r="AB39" s="182">
        <v>1</v>
      </c>
      <c r="AC39" s="182">
        <v>1</v>
      </c>
      <c r="AD39" s="182">
        <v>1</v>
      </c>
      <c r="AE39" s="182">
        <v>0</v>
      </c>
      <c r="AF39" s="182">
        <v>0</v>
      </c>
      <c r="AG39" s="182">
        <v>0</v>
      </c>
      <c r="AH39" s="182">
        <v>1</v>
      </c>
      <c r="AI39" s="182">
        <v>0</v>
      </c>
      <c r="AJ39" s="182">
        <v>0</v>
      </c>
      <c r="AK39" s="182">
        <v>0</v>
      </c>
      <c r="AL39" s="182">
        <v>0</v>
      </c>
      <c r="AM39" s="182">
        <v>0</v>
      </c>
      <c r="AN39" s="182">
        <v>0</v>
      </c>
      <c r="AO39" s="182">
        <v>0</v>
      </c>
      <c r="AP39" s="182">
        <v>0</v>
      </c>
      <c r="AQ39" s="182">
        <v>0</v>
      </c>
      <c r="AR39" s="182">
        <v>1</v>
      </c>
      <c r="AS39" s="182">
        <v>1</v>
      </c>
      <c r="AT39" s="182">
        <v>1</v>
      </c>
      <c r="AU39" s="182">
        <v>1</v>
      </c>
      <c r="AV39" s="182">
        <v>1</v>
      </c>
      <c r="AW39" s="182">
        <v>1</v>
      </c>
      <c r="AX39" s="182">
        <v>1</v>
      </c>
      <c r="AY39" s="182">
        <v>1</v>
      </c>
      <c r="AZ39" s="182">
        <v>1</v>
      </c>
      <c r="BA39" s="182">
        <v>1</v>
      </c>
      <c r="BB39" s="182">
        <v>1</v>
      </c>
      <c r="BC39" s="182">
        <v>1</v>
      </c>
      <c r="BD39" s="182">
        <v>1</v>
      </c>
      <c r="BE39" s="182">
        <v>1</v>
      </c>
      <c r="BF39" s="182">
        <v>1</v>
      </c>
      <c r="BG39" s="182">
        <v>1</v>
      </c>
    </row>
    <row r="41" ht="20.4" spans="2:2">
      <c r="B41" s="36" t="s">
        <v>223</v>
      </c>
    </row>
    <row r="42" s="164" customFormat="1" ht="19.2" customHeight="1" spans="2:59">
      <c r="B42" s="153" t="s">
        <v>128</v>
      </c>
      <c r="C42" s="154"/>
      <c r="D42" s="154"/>
      <c r="E42" s="154" t="s">
        <v>209</v>
      </c>
      <c r="F42" s="154" t="s">
        <v>209</v>
      </c>
      <c r="G42" s="181">
        <v>710.101238</v>
      </c>
      <c r="H42" s="181">
        <v>59.260488</v>
      </c>
      <c r="I42" s="181">
        <v>59.105741</v>
      </c>
      <c r="J42" s="181">
        <v>59.129369</v>
      </c>
      <c r="K42" s="181">
        <v>59.129574</v>
      </c>
      <c r="L42" s="181">
        <v>59.144403</v>
      </c>
      <c r="M42" s="181">
        <v>59.264234</v>
      </c>
      <c r="N42" s="181">
        <v>59.36844</v>
      </c>
      <c r="O42" s="181">
        <v>59.213341</v>
      </c>
      <c r="P42" s="181">
        <v>59.404849</v>
      </c>
      <c r="Q42" s="181">
        <v>58.873232</v>
      </c>
      <c r="R42" s="181">
        <v>59.153304</v>
      </c>
      <c r="S42" s="181">
        <v>59.054263</v>
      </c>
      <c r="T42" s="185">
        <f>U42+AH42</f>
        <v>710.062663</v>
      </c>
      <c r="U42" s="181">
        <v>532.377486</v>
      </c>
      <c r="V42" s="181">
        <v>59.345351</v>
      </c>
      <c r="W42" s="181">
        <v>59.180223</v>
      </c>
      <c r="X42" s="181">
        <v>59.189103</v>
      </c>
      <c r="Y42" s="181">
        <v>59.18707</v>
      </c>
      <c r="Z42" s="181">
        <v>58.810737</v>
      </c>
      <c r="AA42" s="181">
        <v>59.117967</v>
      </c>
      <c r="AB42" s="181">
        <v>59.073285</v>
      </c>
      <c r="AC42" s="181">
        <v>59.183913</v>
      </c>
      <c r="AD42" s="181">
        <v>59.289837</v>
      </c>
      <c r="AE42" s="181">
        <v>0</v>
      </c>
      <c r="AF42" s="181">
        <v>0</v>
      </c>
      <c r="AG42" s="181">
        <v>0</v>
      </c>
      <c r="AH42" s="181">
        <v>177.685177</v>
      </c>
      <c r="AI42" s="181">
        <v>0</v>
      </c>
      <c r="AJ42" s="181">
        <v>0</v>
      </c>
      <c r="AK42" s="181">
        <v>0</v>
      </c>
      <c r="AL42" s="181">
        <v>0</v>
      </c>
      <c r="AM42" s="181">
        <v>0</v>
      </c>
      <c r="AN42" s="181">
        <v>0</v>
      </c>
      <c r="AO42" s="181">
        <v>0</v>
      </c>
      <c r="AP42" s="181">
        <v>0</v>
      </c>
      <c r="AQ42" s="181">
        <v>0</v>
      </c>
      <c r="AR42" s="181">
        <v>59.343942</v>
      </c>
      <c r="AS42" s="181">
        <v>59.49469</v>
      </c>
      <c r="AT42" s="181">
        <v>58.846545</v>
      </c>
      <c r="AU42" s="181">
        <v>709.811087</v>
      </c>
      <c r="AV42" s="181">
        <v>59.046236</v>
      </c>
      <c r="AW42" s="181">
        <v>59.507313</v>
      </c>
      <c r="AX42" s="181">
        <v>59.242299</v>
      </c>
      <c r="AY42" s="181">
        <v>59.183162</v>
      </c>
      <c r="AZ42" s="181">
        <v>59.398796</v>
      </c>
      <c r="BA42" s="181">
        <v>59.009558</v>
      </c>
      <c r="BB42" s="181">
        <v>59.104384</v>
      </c>
      <c r="BC42" s="181">
        <v>59.278429</v>
      </c>
      <c r="BD42" s="181">
        <v>59.181318</v>
      </c>
      <c r="BE42" s="181">
        <v>59.358979</v>
      </c>
      <c r="BF42" s="181">
        <v>58.571179</v>
      </c>
      <c r="BG42" s="181">
        <v>58.929434</v>
      </c>
    </row>
    <row r="43" ht="16.2" spans="3:59">
      <c r="C43" s="153" t="s">
        <v>210</v>
      </c>
      <c r="D43" s="153"/>
      <c r="E43" s="157" t="str">
        <f>IF(C43&lt;&gt;"",C43,E10)</f>
        <v>流程中心</v>
      </c>
      <c r="F43" s="157" t="str">
        <f>IF(D43&lt;&gt;"",D43,"*")</f>
        <v>*</v>
      </c>
      <c r="G43" s="182">
        <v>261.533078</v>
      </c>
      <c r="H43" s="182">
        <v>21.716272</v>
      </c>
      <c r="I43" s="182">
        <v>21.73396</v>
      </c>
      <c r="J43" s="182">
        <v>21.891732</v>
      </c>
      <c r="K43" s="182">
        <v>21.668929</v>
      </c>
      <c r="L43" s="182">
        <v>21.904793</v>
      </c>
      <c r="M43" s="182">
        <v>21.694205</v>
      </c>
      <c r="N43" s="182">
        <v>21.946395</v>
      </c>
      <c r="O43" s="182">
        <v>21.796895</v>
      </c>
      <c r="P43" s="182">
        <v>21.907518</v>
      </c>
      <c r="Q43" s="182">
        <v>21.754735</v>
      </c>
      <c r="R43" s="182">
        <v>21.795594</v>
      </c>
      <c r="S43" s="182">
        <v>21.72205</v>
      </c>
      <c r="T43" s="186">
        <f>U43+AH43</f>
        <v>260.497554</v>
      </c>
      <c r="U43" s="182">
        <v>195.369581</v>
      </c>
      <c r="V43" s="182">
        <v>21.892134</v>
      </c>
      <c r="W43" s="182">
        <v>21.702368</v>
      </c>
      <c r="X43" s="182">
        <v>21.629345</v>
      </c>
      <c r="Y43" s="182">
        <v>21.773223</v>
      </c>
      <c r="Z43" s="182">
        <v>21.532599</v>
      </c>
      <c r="AA43" s="182">
        <v>21.594651</v>
      </c>
      <c r="AB43" s="182">
        <v>21.594805</v>
      </c>
      <c r="AC43" s="182">
        <v>21.711472</v>
      </c>
      <c r="AD43" s="182">
        <v>21.938984</v>
      </c>
      <c r="AE43" s="182">
        <v>0</v>
      </c>
      <c r="AF43" s="182">
        <v>0</v>
      </c>
      <c r="AG43" s="182">
        <v>0</v>
      </c>
      <c r="AH43" s="182">
        <v>65.1279729999999</v>
      </c>
      <c r="AI43" s="182">
        <v>0</v>
      </c>
      <c r="AJ43" s="182">
        <v>0</v>
      </c>
      <c r="AK43" s="182">
        <v>0</v>
      </c>
      <c r="AL43" s="182">
        <v>0</v>
      </c>
      <c r="AM43" s="182">
        <v>0</v>
      </c>
      <c r="AN43" s="182">
        <v>0</v>
      </c>
      <c r="AO43" s="182">
        <v>0</v>
      </c>
      <c r="AP43" s="182">
        <v>0</v>
      </c>
      <c r="AQ43" s="182">
        <v>0</v>
      </c>
      <c r="AR43" s="182">
        <v>21.762175</v>
      </c>
      <c r="AS43" s="182">
        <v>21.812886</v>
      </c>
      <c r="AT43" s="182">
        <v>21.552912</v>
      </c>
      <c r="AU43" s="182">
        <v>261.08139</v>
      </c>
      <c r="AV43" s="182">
        <v>21.653745</v>
      </c>
      <c r="AW43" s="182">
        <v>21.840451</v>
      </c>
      <c r="AX43" s="182">
        <v>22.028228</v>
      </c>
      <c r="AY43" s="182">
        <v>21.775478</v>
      </c>
      <c r="AZ43" s="182">
        <v>21.813125</v>
      </c>
      <c r="BA43" s="182">
        <v>21.743572</v>
      </c>
      <c r="BB43" s="182">
        <v>21.756288</v>
      </c>
      <c r="BC43" s="182">
        <v>21.923546</v>
      </c>
      <c r="BD43" s="182">
        <v>21.551819</v>
      </c>
      <c r="BE43" s="182">
        <v>21.733236</v>
      </c>
      <c r="BF43" s="182">
        <v>21.599116</v>
      </c>
      <c r="BG43" s="182">
        <v>21.662786</v>
      </c>
    </row>
    <row r="44" ht="16.2" spans="3:59">
      <c r="C44" s="153"/>
      <c r="D44" s="153" t="s">
        <v>211</v>
      </c>
      <c r="E44" s="157" t="str">
        <f t="shared" ref="E44:E54" si="20">IF(C44&lt;&gt;"",C44,E43)</f>
        <v>流程中心</v>
      </c>
      <c r="F44" s="157" t="str">
        <f t="shared" ref="F44:F54" si="21">IF(D44&lt;&gt;"",D44,"*")</f>
        <v>销售中心</v>
      </c>
      <c r="G44" s="182">
        <v>151.622599</v>
      </c>
      <c r="H44" s="182">
        <v>12.513929</v>
      </c>
      <c r="I44" s="182">
        <v>12.505339</v>
      </c>
      <c r="J44" s="182">
        <v>12.678314</v>
      </c>
      <c r="K44" s="182">
        <v>12.521455</v>
      </c>
      <c r="L44" s="182">
        <v>12.739761</v>
      </c>
      <c r="M44" s="182">
        <v>12.6124</v>
      </c>
      <c r="N44" s="182">
        <v>12.63848</v>
      </c>
      <c r="O44" s="182">
        <v>12.675823</v>
      </c>
      <c r="P44" s="182">
        <v>12.767804</v>
      </c>
      <c r="Q44" s="182">
        <v>12.66764</v>
      </c>
      <c r="R44" s="182">
        <v>12.69709</v>
      </c>
      <c r="S44" s="182">
        <v>12.604564</v>
      </c>
      <c r="T44" s="186">
        <f t="shared" ref="T44:T54" si="22">U44+AH44</f>
        <v>151.050129</v>
      </c>
      <c r="U44" s="182">
        <v>113.057769</v>
      </c>
      <c r="V44" s="182">
        <v>12.769178</v>
      </c>
      <c r="W44" s="182">
        <v>12.576882</v>
      </c>
      <c r="X44" s="182">
        <v>12.422458</v>
      </c>
      <c r="Y44" s="182">
        <v>12.579652</v>
      </c>
      <c r="Z44" s="182">
        <v>12.494867</v>
      </c>
      <c r="AA44" s="182">
        <v>12.556698</v>
      </c>
      <c r="AB44" s="182">
        <v>12.420457</v>
      </c>
      <c r="AC44" s="182">
        <v>12.493558</v>
      </c>
      <c r="AD44" s="182">
        <v>12.744019</v>
      </c>
      <c r="AE44" s="182">
        <v>0</v>
      </c>
      <c r="AF44" s="182">
        <v>0</v>
      </c>
      <c r="AG44" s="182">
        <v>0</v>
      </c>
      <c r="AH44" s="182">
        <v>37.99236</v>
      </c>
      <c r="AI44" s="182">
        <v>0</v>
      </c>
      <c r="AJ44" s="182">
        <v>0</v>
      </c>
      <c r="AK44" s="182">
        <v>0</v>
      </c>
      <c r="AL44" s="182">
        <v>0</v>
      </c>
      <c r="AM44" s="182">
        <v>0</v>
      </c>
      <c r="AN44" s="182">
        <v>0</v>
      </c>
      <c r="AO44" s="182">
        <v>0</v>
      </c>
      <c r="AP44" s="182">
        <v>0</v>
      </c>
      <c r="AQ44" s="182">
        <v>0</v>
      </c>
      <c r="AR44" s="182">
        <v>12.684444</v>
      </c>
      <c r="AS44" s="182">
        <v>12.751957</v>
      </c>
      <c r="AT44" s="182">
        <v>12.555959</v>
      </c>
      <c r="AU44" s="182">
        <v>151.280115</v>
      </c>
      <c r="AV44" s="182">
        <v>12.529124</v>
      </c>
      <c r="AW44" s="182">
        <v>12.689807</v>
      </c>
      <c r="AX44" s="182">
        <v>12.73209</v>
      </c>
      <c r="AY44" s="182">
        <v>12.707603</v>
      </c>
      <c r="AZ44" s="182">
        <v>12.67087</v>
      </c>
      <c r="BA44" s="182">
        <v>12.65578</v>
      </c>
      <c r="BB44" s="182">
        <v>12.556257</v>
      </c>
      <c r="BC44" s="182">
        <v>12.696519</v>
      </c>
      <c r="BD44" s="182">
        <v>12.444357</v>
      </c>
      <c r="BE44" s="182">
        <v>12.593529</v>
      </c>
      <c r="BF44" s="182">
        <v>12.548552</v>
      </c>
      <c r="BG44" s="182">
        <v>12.455627</v>
      </c>
    </row>
    <row r="45" ht="16.2" spans="3:59">
      <c r="C45" s="153"/>
      <c r="D45" s="153" t="s">
        <v>212</v>
      </c>
      <c r="E45" s="157" t="str">
        <f t="shared" si="20"/>
        <v>流程中心</v>
      </c>
      <c r="F45" s="157" t="str">
        <f t="shared" si="21"/>
        <v>制造中心</v>
      </c>
      <c r="G45" s="182">
        <v>109.910479</v>
      </c>
      <c r="H45" s="182">
        <v>9.202343</v>
      </c>
      <c r="I45" s="182">
        <v>9.228621</v>
      </c>
      <c r="J45" s="182">
        <v>9.213418</v>
      </c>
      <c r="K45" s="182">
        <v>9.147474</v>
      </c>
      <c r="L45" s="182">
        <v>9.165032</v>
      </c>
      <c r="M45" s="182">
        <v>9.081805</v>
      </c>
      <c r="N45" s="182">
        <v>9.307915</v>
      </c>
      <c r="O45" s="182">
        <v>9.121072</v>
      </c>
      <c r="P45" s="182">
        <v>9.139714</v>
      </c>
      <c r="Q45" s="182">
        <v>9.087095</v>
      </c>
      <c r="R45" s="182">
        <v>9.098504</v>
      </c>
      <c r="S45" s="182">
        <v>9.117486</v>
      </c>
      <c r="T45" s="186">
        <f t="shared" si="22"/>
        <v>109.447425</v>
      </c>
      <c r="U45" s="182">
        <v>82.3118119999999</v>
      </c>
      <c r="V45" s="182">
        <v>9.122956</v>
      </c>
      <c r="W45" s="182">
        <v>9.125486</v>
      </c>
      <c r="X45" s="182">
        <v>9.206887</v>
      </c>
      <c r="Y45" s="182">
        <v>9.193571</v>
      </c>
      <c r="Z45" s="182">
        <v>9.037732</v>
      </c>
      <c r="AA45" s="182">
        <v>9.037953</v>
      </c>
      <c r="AB45" s="182">
        <v>9.174348</v>
      </c>
      <c r="AC45" s="182">
        <v>9.217914</v>
      </c>
      <c r="AD45" s="182">
        <v>9.194965</v>
      </c>
      <c r="AE45" s="182">
        <v>0</v>
      </c>
      <c r="AF45" s="182">
        <v>0</v>
      </c>
      <c r="AG45" s="182">
        <v>0</v>
      </c>
      <c r="AH45" s="182">
        <v>27.135613</v>
      </c>
      <c r="AI45" s="182">
        <v>0</v>
      </c>
      <c r="AJ45" s="182">
        <v>0</v>
      </c>
      <c r="AK45" s="182">
        <v>0</v>
      </c>
      <c r="AL45" s="182">
        <v>0</v>
      </c>
      <c r="AM45" s="182">
        <v>0</v>
      </c>
      <c r="AN45" s="182">
        <v>0</v>
      </c>
      <c r="AO45" s="182">
        <v>0</v>
      </c>
      <c r="AP45" s="182">
        <v>0</v>
      </c>
      <c r="AQ45" s="182">
        <v>0</v>
      </c>
      <c r="AR45" s="182">
        <v>9.077731</v>
      </c>
      <c r="AS45" s="182">
        <v>9.060929</v>
      </c>
      <c r="AT45" s="182">
        <v>8.996953</v>
      </c>
      <c r="AU45" s="182">
        <v>109.801275</v>
      </c>
      <c r="AV45" s="182">
        <v>9.124621</v>
      </c>
      <c r="AW45" s="182">
        <v>9.150644</v>
      </c>
      <c r="AX45" s="182">
        <v>9.296138</v>
      </c>
      <c r="AY45" s="182">
        <v>9.067875</v>
      </c>
      <c r="AZ45" s="182">
        <v>9.142255</v>
      </c>
      <c r="BA45" s="182">
        <v>9.087792</v>
      </c>
      <c r="BB45" s="182">
        <v>9.200031</v>
      </c>
      <c r="BC45" s="182">
        <v>9.227027</v>
      </c>
      <c r="BD45" s="182">
        <v>9.107462</v>
      </c>
      <c r="BE45" s="182">
        <v>9.139707</v>
      </c>
      <c r="BF45" s="182">
        <v>9.050564</v>
      </c>
      <c r="BG45" s="182">
        <v>9.207159</v>
      </c>
    </row>
    <row r="46" ht="16.2" spans="3:59">
      <c r="C46" s="153" t="s">
        <v>213</v>
      </c>
      <c r="D46" s="153"/>
      <c r="E46" s="157" t="str">
        <f t="shared" si="20"/>
        <v>创新中心</v>
      </c>
      <c r="F46" s="157" t="str">
        <f t="shared" si="21"/>
        <v>*</v>
      </c>
      <c r="G46" s="182">
        <v>239.99715</v>
      </c>
      <c r="H46" s="182">
        <v>20.055641</v>
      </c>
      <c r="I46" s="182">
        <v>20.123442</v>
      </c>
      <c r="J46" s="182">
        <v>19.966468</v>
      </c>
      <c r="K46" s="182">
        <v>19.983139</v>
      </c>
      <c r="L46" s="182">
        <v>19.958972</v>
      </c>
      <c r="M46" s="182">
        <v>20.172677</v>
      </c>
      <c r="N46" s="182">
        <v>19.888776</v>
      </c>
      <c r="O46" s="182">
        <v>20.121842</v>
      </c>
      <c r="P46" s="182">
        <v>20.224372</v>
      </c>
      <c r="Q46" s="182">
        <v>19.765595</v>
      </c>
      <c r="R46" s="182">
        <v>19.818626</v>
      </c>
      <c r="S46" s="182">
        <v>19.9176</v>
      </c>
      <c r="T46" s="186">
        <f t="shared" si="22"/>
        <v>240.451059</v>
      </c>
      <c r="U46" s="182">
        <v>180.317375</v>
      </c>
      <c r="V46" s="182">
        <v>19.933192</v>
      </c>
      <c r="W46" s="182">
        <v>20.194645</v>
      </c>
      <c r="X46" s="182">
        <v>20.18892</v>
      </c>
      <c r="Y46" s="182">
        <v>19.961873</v>
      </c>
      <c r="Z46" s="182">
        <v>19.890783</v>
      </c>
      <c r="AA46" s="182">
        <v>19.99334</v>
      </c>
      <c r="AB46" s="182">
        <v>19.97859</v>
      </c>
      <c r="AC46" s="182">
        <v>20.062749</v>
      </c>
      <c r="AD46" s="182">
        <v>20.113283</v>
      </c>
      <c r="AE46" s="182">
        <v>0</v>
      </c>
      <c r="AF46" s="182">
        <v>0</v>
      </c>
      <c r="AG46" s="182">
        <v>0</v>
      </c>
      <c r="AH46" s="182">
        <v>60.133684</v>
      </c>
      <c r="AI46" s="182">
        <v>0</v>
      </c>
      <c r="AJ46" s="182">
        <v>0</v>
      </c>
      <c r="AK46" s="182">
        <v>0</v>
      </c>
      <c r="AL46" s="182">
        <v>0</v>
      </c>
      <c r="AM46" s="182">
        <v>0</v>
      </c>
      <c r="AN46" s="182">
        <v>0</v>
      </c>
      <c r="AO46" s="182">
        <v>0</v>
      </c>
      <c r="AP46" s="182">
        <v>0</v>
      </c>
      <c r="AQ46" s="182">
        <v>0</v>
      </c>
      <c r="AR46" s="182">
        <v>20.090046</v>
      </c>
      <c r="AS46" s="182">
        <v>20.167759</v>
      </c>
      <c r="AT46" s="182">
        <v>19.875879</v>
      </c>
      <c r="AU46" s="182">
        <v>240.231606</v>
      </c>
      <c r="AV46" s="182">
        <v>20.148099</v>
      </c>
      <c r="AW46" s="182">
        <v>19.93007</v>
      </c>
      <c r="AX46" s="182">
        <v>19.990783</v>
      </c>
      <c r="AY46" s="182">
        <v>19.985617</v>
      </c>
      <c r="AZ46" s="182">
        <v>20.171078</v>
      </c>
      <c r="BA46" s="182">
        <v>20.109361</v>
      </c>
      <c r="BB46" s="182">
        <v>19.935884</v>
      </c>
      <c r="BC46" s="182">
        <v>19.872959</v>
      </c>
      <c r="BD46" s="182">
        <v>20.186413</v>
      </c>
      <c r="BE46" s="182">
        <v>20.103043</v>
      </c>
      <c r="BF46" s="182">
        <v>19.739754</v>
      </c>
      <c r="BG46" s="182">
        <v>20.058545</v>
      </c>
    </row>
    <row r="47" ht="16.2" spans="3:59">
      <c r="C47" s="153"/>
      <c r="D47" s="153" t="s">
        <v>214</v>
      </c>
      <c r="E47" s="157" t="str">
        <f t="shared" si="20"/>
        <v>创新中心</v>
      </c>
      <c r="F47" s="157" t="str">
        <f t="shared" si="21"/>
        <v>产品
研发部</v>
      </c>
      <c r="G47" s="182">
        <v>82.933697</v>
      </c>
      <c r="H47" s="182">
        <v>6.916616</v>
      </c>
      <c r="I47" s="182">
        <v>6.919854</v>
      </c>
      <c r="J47" s="182">
        <v>6.815808</v>
      </c>
      <c r="K47" s="182">
        <v>6.87673</v>
      </c>
      <c r="L47" s="182">
        <v>6.910697</v>
      </c>
      <c r="M47" s="182">
        <v>6.978602</v>
      </c>
      <c r="N47" s="182">
        <v>6.785503</v>
      </c>
      <c r="O47" s="182">
        <v>7.033505</v>
      </c>
      <c r="P47" s="182">
        <v>6.963359</v>
      </c>
      <c r="Q47" s="182">
        <v>6.838525</v>
      </c>
      <c r="R47" s="182">
        <v>7.065249</v>
      </c>
      <c r="S47" s="182">
        <v>6.829249</v>
      </c>
      <c r="T47" s="186">
        <f t="shared" si="22"/>
        <v>83.54734</v>
      </c>
      <c r="U47" s="182">
        <v>62.579386</v>
      </c>
      <c r="V47" s="182">
        <v>6.944574</v>
      </c>
      <c r="W47" s="182">
        <v>7.041769</v>
      </c>
      <c r="X47" s="182">
        <v>6.967711</v>
      </c>
      <c r="Y47" s="182">
        <v>6.934121</v>
      </c>
      <c r="Z47" s="182">
        <v>6.889598</v>
      </c>
      <c r="AA47" s="182">
        <v>6.844845</v>
      </c>
      <c r="AB47" s="182">
        <v>6.997112</v>
      </c>
      <c r="AC47" s="182">
        <v>6.992912</v>
      </c>
      <c r="AD47" s="182">
        <v>6.966744</v>
      </c>
      <c r="AE47" s="182">
        <v>0</v>
      </c>
      <c r="AF47" s="182">
        <v>0</v>
      </c>
      <c r="AG47" s="182">
        <v>0</v>
      </c>
      <c r="AH47" s="182">
        <v>20.967954</v>
      </c>
      <c r="AI47" s="182">
        <v>0</v>
      </c>
      <c r="AJ47" s="182">
        <v>0</v>
      </c>
      <c r="AK47" s="182">
        <v>0</v>
      </c>
      <c r="AL47" s="182">
        <v>0</v>
      </c>
      <c r="AM47" s="182">
        <v>0</v>
      </c>
      <c r="AN47" s="182">
        <v>0</v>
      </c>
      <c r="AO47" s="182">
        <v>0</v>
      </c>
      <c r="AP47" s="182">
        <v>0</v>
      </c>
      <c r="AQ47" s="182">
        <v>0</v>
      </c>
      <c r="AR47" s="182">
        <v>6.989039</v>
      </c>
      <c r="AS47" s="182">
        <v>6.999775</v>
      </c>
      <c r="AT47" s="182">
        <v>6.97914</v>
      </c>
      <c r="AU47" s="182">
        <v>82.949281</v>
      </c>
      <c r="AV47" s="182">
        <v>6.951659</v>
      </c>
      <c r="AW47" s="182">
        <v>6.836954</v>
      </c>
      <c r="AX47" s="182">
        <v>6.875982</v>
      </c>
      <c r="AY47" s="182">
        <v>6.942492</v>
      </c>
      <c r="AZ47" s="182">
        <v>6.899305</v>
      </c>
      <c r="BA47" s="182">
        <v>7.083242</v>
      </c>
      <c r="BB47" s="182">
        <v>6.956108</v>
      </c>
      <c r="BC47" s="182">
        <v>6.881786</v>
      </c>
      <c r="BD47" s="182">
        <v>6.882811</v>
      </c>
      <c r="BE47" s="182">
        <v>6.975948</v>
      </c>
      <c r="BF47" s="182">
        <v>6.769402</v>
      </c>
      <c r="BG47" s="182">
        <v>6.893592</v>
      </c>
    </row>
    <row r="48" ht="16.2" spans="3:59">
      <c r="C48" s="153"/>
      <c r="D48" s="153" t="s">
        <v>215</v>
      </c>
      <c r="E48" s="157" t="str">
        <f t="shared" si="20"/>
        <v>创新中心</v>
      </c>
      <c r="F48" s="157" t="str">
        <f t="shared" si="21"/>
        <v>XX
试验室</v>
      </c>
      <c r="G48" s="182">
        <v>56.504227</v>
      </c>
      <c r="H48" s="182">
        <v>4.705381</v>
      </c>
      <c r="I48" s="182">
        <v>4.736296</v>
      </c>
      <c r="J48" s="182">
        <v>4.736328</v>
      </c>
      <c r="K48" s="182">
        <v>4.667334</v>
      </c>
      <c r="L48" s="182">
        <v>4.771641</v>
      </c>
      <c r="M48" s="182">
        <v>4.666539</v>
      </c>
      <c r="N48" s="182">
        <v>4.689495</v>
      </c>
      <c r="O48" s="182">
        <v>4.633434</v>
      </c>
      <c r="P48" s="182">
        <v>4.882722</v>
      </c>
      <c r="Q48" s="182">
        <v>4.63943</v>
      </c>
      <c r="R48" s="182">
        <v>4.642409</v>
      </c>
      <c r="S48" s="182">
        <v>4.733218</v>
      </c>
      <c r="T48" s="186">
        <f t="shared" si="22"/>
        <v>56.264332</v>
      </c>
      <c r="U48" s="182">
        <v>42.239794</v>
      </c>
      <c r="V48" s="182">
        <v>4.64632</v>
      </c>
      <c r="W48" s="182">
        <v>4.830742</v>
      </c>
      <c r="X48" s="182">
        <v>4.699817</v>
      </c>
      <c r="Y48" s="182">
        <v>4.626747</v>
      </c>
      <c r="Z48" s="182">
        <v>4.680638</v>
      </c>
      <c r="AA48" s="182">
        <v>4.788265</v>
      </c>
      <c r="AB48" s="182">
        <v>4.623612</v>
      </c>
      <c r="AC48" s="182">
        <v>4.61691</v>
      </c>
      <c r="AD48" s="182">
        <v>4.726743</v>
      </c>
      <c r="AE48" s="182">
        <v>0</v>
      </c>
      <c r="AF48" s="182">
        <v>0</v>
      </c>
      <c r="AG48" s="182">
        <v>0</v>
      </c>
      <c r="AH48" s="182">
        <v>14.024538</v>
      </c>
      <c r="AI48" s="182">
        <v>0</v>
      </c>
      <c r="AJ48" s="182">
        <v>0</v>
      </c>
      <c r="AK48" s="182">
        <v>0</v>
      </c>
      <c r="AL48" s="182">
        <v>0</v>
      </c>
      <c r="AM48" s="182">
        <v>0</v>
      </c>
      <c r="AN48" s="182">
        <v>0</v>
      </c>
      <c r="AO48" s="182">
        <v>0</v>
      </c>
      <c r="AP48" s="182">
        <v>0</v>
      </c>
      <c r="AQ48" s="182">
        <v>0</v>
      </c>
      <c r="AR48" s="182">
        <v>4.623072</v>
      </c>
      <c r="AS48" s="182">
        <v>4.774258</v>
      </c>
      <c r="AT48" s="182">
        <v>4.627208</v>
      </c>
      <c r="AU48" s="182">
        <v>56.506257</v>
      </c>
      <c r="AV48" s="182">
        <v>4.778514</v>
      </c>
      <c r="AW48" s="182">
        <v>4.697742</v>
      </c>
      <c r="AX48" s="182">
        <v>4.683599</v>
      </c>
      <c r="AY48" s="182">
        <v>4.657547</v>
      </c>
      <c r="AZ48" s="182">
        <v>4.831474</v>
      </c>
      <c r="BA48" s="182">
        <v>4.708919</v>
      </c>
      <c r="BB48" s="182">
        <v>4.68336</v>
      </c>
      <c r="BC48" s="182">
        <v>4.674017</v>
      </c>
      <c r="BD48" s="182">
        <v>4.70177</v>
      </c>
      <c r="BE48" s="182">
        <v>4.692688</v>
      </c>
      <c r="BF48" s="182">
        <v>4.720491</v>
      </c>
      <c r="BG48" s="182">
        <v>4.676136</v>
      </c>
    </row>
    <row r="49" ht="16.2" spans="3:59">
      <c r="C49" s="153"/>
      <c r="D49" s="153" t="s">
        <v>216</v>
      </c>
      <c r="E49" s="157" t="str">
        <f t="shared" si="20"/>
        <v>创新中心</v>
      </c>
      <c r="F49" s="157" t="str">
        <f t="shared" si="21"/>
        <v>XX
孵化业务</v>
      </c>
      <c r="G49" s="182">
        <v>100.559226</v>
      </c>
      <c r="H49" s="182">
        <v>8.433644</v>
      </c>
      <c r="I49" s="182">
        <v>8.467292</v>
      </c>
      <c r="J49" s="182">
        <v>8.414332</v>
      </c>
      <c r="K49" s="182">
        <v>8.439075</v>
      </c>
      <c r="L49" s="182">
        <v>8.276634</v>
      </c>
      <c r="M49" s="182">
        <v>8.527536</v>
      </c>
      <c r="N49" s="182">
        <v>8.413778</v>
      </c>
      <c r="O49" s="182">
        <v>8.454903</v>
      </c>
      <c r="P49" s="182">
        <v>8.378291</v>
      </c>
      <c r="Q49" s="182">
        <v>8.28764</v>
      </c>
      <c r="R49" s="182">
        <v>8.110968</v>
      </c>
      <c r="S49" s="182">
        <v>8.355133</v>
      </c>
      <c r="T49" s="186">
        <f t="shared" si="22"/>
        <v>100.639387</v>
      </c>
      <c r="U49" s="182">
        <v>75.498195</v>
      </c>
      <c r="V49" s="182">
        <v>8.342298</v>
      </c>
      <c r="W49" s="182">
        <v>8.322134</v>
      </c>
      <c r="X49" s="182">
        <v>8.521392</v>
      </c>
      <c r="Y49" s="182">
        <v>8.401005</v>
      </c>
      <c r="Z49" s="182">
        <v>8.320547</v>
      </c>
      <c r="AA49" s="182">
        <v>8.36023</v>
      </c>
      <c r="AB49" s="182">
        <v>8.357866</v>
      </c>
      <c r="AC49" s="182">
        <v>8.452927</v>
      </c>
      <c r="AD49" s="182">
        <v>8.419796</v>
      </c>
      <c r="AE49" s="182">
        <v>0</v>
      </c>
      <c r="AF49" s="182">
        <v>0</v>
      </c>
      <c r="AG49" s="182">
        <v>0</v>
      </c>
      <c r="AH49" s="182">
        <v>25.141192</v>
      </c>
      <c r="AI49" s="182">
        <v>0</v>
      </c>
      <c r="AJ49" s="182">
        <v>0</v>
      </c>
      <c r="AK49" s="182">
        <v>0</v>
      </c>
      <c r="AL49" s="182">
        <v>0</v>
      </c>
      <c r="AM49" s="182">
        <v>0</v>
      </c>
      <c r="AN49" s="182">
        <v>0</v>
      </c>
      <c r="AO49" s="182">
        <v>0</v>
      </c>
      <c r="AP49" s="182">
        <v>0</v>
      </c>
      <c r="AQ49" s="182">
        <v>0</v>
      </c>
      <c r="AR49" s="182">
        <v>8.477935</v>
      </c>
      <c r="AS49" s="182">
        <v>8.393726</v>
      </c>
      <c r="AT49" s="182">
        <v>8.269531</v>
      </c>
      <c r="AU49" s="182">
        <v>100.776068</v>
      </c>
      <c r="AV49" s="182">
        <v>8.417926</v>
      </c>
      <c r="AW49" s="182">
        <v>8.395374</v>
      </c>
      <c r="AX49" s="182">
        <v>8.431202</v>
      </c>
      <c r="AY49" s="182">
        <v>8.385578</v>
      </c>
      <c r="AZ49" s="182">
        <v>8.440299</v>
      </c>
      <c r="BA49" s="182">
        <v>8.3172</v>
      </c>
      <c r="BB49" s="182">
        <v>8.296416</v>
      </c>
      <c r="BC49" s="182">
        <v>8.317156</v>
      </c>
      <c r="BD49" s="182">
        <v>8.601832</v>
      </c>
      <c r="BE49" s="182">
        <v>8.434407</v>
      </c>
      <c r="BF49" s="182">
        <v>8.249861</v>
      </c>
      <c r="BG49" s="182">
        <v>8.488817</v>
      </c>
    </row>
    <row r="50" ht="16.2" spans="3:59">
      <c r="C50" s="153" t="s">
        <v>217</v>
      </c>
      <c r="D50" s="153"/>
      <c r="E50" s="157" t="str">
        <f t="shared" si="20"/>
        <v>支持中心</v>
      </c>
      <c r="F50" s="157" t="str">
        <f t="shared" si="21"/>
        <v>*</v>
      </c>
      <c r="G50" s="182">
        <v>208.57101</v>
      </c>
      <c r="H50" s="182">
        <v>17.488575</v>
      </c>
      <c r="I50" s="182">
        <v>17.248339</v>
      </c>
      <c r="J50" s="182">
        <v>17.271169</v>
      </c>
      <c r="K50" s="182">
        <v>17.477506</v>
      </c>
      <c r="L50" s="182">
        <v>17.280638</v>
      </c>
      <c r="M50" s="182">
        <v>17.397352</v>
      </c>
      <c r="N50" s="182">
        <v>17.533269</v>
      </c>
      <c r="O50" s="182">
        <v>17.294604</v>
      </c>
      <c r="P50" s="182">
        <v>17.272959</v>
      </c>
      <c r="Q50" s="182">
        <v>17.352902</v>
      </c>
      <c r="R50" s="182">
        <v>17.539084</v>
      </c>
      <c r="S50" s="182">
        <v>17.414613</v>
      </c>
      <c r="T50" s="186">
        <f t="shared" si="22"/>
        <v>209.11405</v>
      </c>
      <c r="U50" s="182">
        <v>156.69053</v>
      </c>
      <c r="V50" s="182">
        <v>17.520025</v>
      </c>
      <c r="W50" s="182">
        <v>17.28321</v>
      </c>
      <c r="X50" s="182">
        <v>17.370838</v>
      </c>
      <c r="Y50" s="182">
        <v>17.451974</v>
      </c>
      <c r="Z50" s="182">
        <v>17.387355</v>
      </c>
      <c r="AA50" s="182">
        <v>17.529976</v>
      </c>
      <c r="AB50" s="182">
        <v>17.49989</v>
      </c>
      <c r="AC50" s="182">
        <v>17.409692</v>
      </c>
      <c r="AD50" s="182">
        <v>17.23757</v>
      </c>
      <c r="AE50" s="182">
        <v>0</v>
      </c>
      <c r="AF50" s="182">
        <v>0</v>
      </c>
      <c r="AG50" s="182">
        <v>0</v>
      </c>
      <c r="AH50" s="182">
        <v>52.42352</v>
      </c>
      <c r="AI50" s="182">
        <v>0</v>
      </c>
      <c r="AJ50" s="182">
        <v>0</v>
      </c>
      <c r="AK50" s="182">
        <v>0</v>
      </c>
      <c r="AL50" s="182">
        <v>0</v>
      </c>
      <c r="AM50" s="182">
        <v>0</v>
      </c>
      <c r="AN50" s="182">
        <v>0</v>
      </c>
      <c r="AO50" s="182">
        <v>0</v>
      </c>
      <c r="AP50" s="182">
        <v>0</v>
      </c>
      <c r="AQ50" s="182">
        <v>0</v>
      </c>
      <c r="AR50" s="182">
        <v>17.491721</v>
      </c>
      <c r="AS50" s="182">
        <v>17.514045</v>
      </c>
      <c r="AT50" s="182">
        <v>17.417754</v>
      </c>
      <c r="AU50" s="182">
        <v>208.498091</v>
      </c>
      <c r="AV50" s="182">
        <v>17.244392</v>
      </c>
      <c r="AW50" s="182">
        <v>17.736792</v>
      </c>
      <c r="AX50" s="182">
        <v>17.223288</v>
      </c>
      <c r="AY50" s="182">
        <v>17.422067</v>
      </c>
      <c r="AZ50" s="182">
        <v>17.414593</v>
      </c>
      <c r="BA50" s="182">
        <v>17.156625</v>
      </c>
      <c r="BB50" s="182">
        <v>17.412212</v>
      </c>
      <c r="BC50" s="182">
        <v>17.481924</v>
      </c>
      <c r="BD50" s="182">
        <v>17.443086</v>
      </c>
      <c r="BE50" s="182">
        <v>17.5227</v>
      </c>
      <c r="BF50" s="182">
        <v>17.232309</v>
      </c>
      <c r="BG50" s="182">
        <v>17.208103</v>
      </c>
    </row>
    <row r="51" ht="16.2" spans="3:59">
      <c r="C51" s="153"/>
      <c r="D51" s="153" t="s">
        <v>218</v>
      </c>
      <c r="E51" s="157" t="str">
        <f t="shared" si="20"/>
        <v>支持中心</v>
      </c>
      <c r="F51" s="157" t="str">
        <f t="shared" si="21"/>
        <v>财务部</v>
      </c>
      <c r="G51" s="182">
        <v>81.410264</v>
      </c>
      <c r="H51" s="182">
        <v>6.829875</v>
      </c>
      <c r="I51" s="182">
        <v>6.800089</v>
      </c>
      <c r="J51" s="182">
        <v>6.692602</v>
      </c>
      <c r="K51" s="182">
        <v>6.758078</v>
      </c>
      <c r="L51" s="182">
        <v>6.782841</v>
      </c>
      <c r="M51" s="182">
        <v>6.864555</v>
      </c>
      <c r="N51" s="182">
        <v>6.739991</v>
      </c>
      <c r="O51" s="182">
        <v>6.692284</v>
      </c>
      <c r="P51" s="182">
        <v>6.867011</v>
      </c>
      <c r="Q51" s="182">
        <v>6.854819</v>
      </c>
      <c r="R51" s="182">
        <v>6.773134</v>
      </c>
      <c r="S51" s="182">
        <v>6.754985</v>
      </c>
      <c r="T51" s="186">
        <f t="shared" si="22"/>
        <v>81.581968</v>
      </c>
      <c r="U51" s="182">
        <v>61.081961</v>
      </c>
      <c r="V51" s="182">
        <v>6.840379</v>
      </c>
      <c r="W51" s="182">
        <v>6.769798</v>
      </c>
      <c r="X51" s="182">
        <v>6.833027</v>
      </c>
      <c r="Y51" s="182">
        <v>6.718364</v>
      </c>
      <c r="Z51" s="182">
        <v>6.767125</v>
      </c>
      <c r="AA51" s="182">
        <v>6.799088</v>
      </c>
      <c r="AB51" s="182">
        <v>6.767283</v>
      </c>
      <c r="AC51" s="182">
        <v>6.839301</v>
      </c>
      <c r="AD51" s="182">
        <v>6.747596</v>
      </c>
      <c r="AE51" s="182">
        <v>0</v>
      </c>
      <c r="AF51" s="182">
        <v>0</v>
      </c>
      <c r="AG51" s="182">
        <v>0</v>
      </c>
      <c r="AH51" s="182">
        <v>20.500007</v>
      </c>
      <c r="AI51" s="182">
        <v>0</v>
      </c>
      <c r="AJ51" s="182">
        <v>0</v>
      </c>
      <c r="AK51" s="182">
        <v>0</v>
      </c>
      <c r="AL51" s="182">
        <v>0</v>
      </c>
      <c r="AM51" s="182">
        <v>0</v>
      </c>
      <c r="AN51" s="182">
        <v>0</v>
      </c>
      <c r="AO51" s="182">
        <v>0</v>
      </c>
      <c r="AP51" s="182">
        <v>0</v>
      </c>
      <c r="AQ51" s="182">
        <v>0</v>
      </c>
      <c r="AR51" s="182">
        <v>6.898817</v>
      </c>
      <c r="AS51" s="182">
        <v>6.802753</v>
      </c>
      <c r="AT51" s="182">
        <v>6.798437</v>
      </c>
      <c r="AU51" s="182">
        <v>81.712282</v>
      </c>
      <c r="AV51" s="182">
        <v>6.706875</v>
      </c>
      <c r="AW51" s="182">
        <v>6.955072</v>
      </c>
      <c r="AX51" s="182">
        <v>6.730929</v>
      </c>
      <c r="AY51" s="182">
        <v>6.87979</v>
      </c>
      <c r="AZ51" s="182">
        <v>6.794345</v>
      </c>
      <c r="BA51" s="182">
        <v>6.74414</v>
      </c>
      <c r="BB51" s="182">
        <v>6.832184</v>
      </c>
      <c r="BC51" s="182">
        <v>6.879973</v>
      </c>
      <c r="BD51" s="182">
        <v>6.817406</v>
      </c>
      <c r="BE51" s="182">
        <v>6.903329</v>
      </c>
      <c r="BF51" s="182">
        <v>6.797192</v>
      </c>
      <c r="BG51" s="182">
        <v>6.671047</v>
      </c>
    </row>
    <row r="52" ht="16.2" spans="3:59">
      <c r="C52" s="153"/>
      <c r="D52" s="153" t="s">
        <v>219</v>
      </c>
      <c r="E52" s="157" t="str">
        <f t="shared" si="20"/>
        <v>支持中心</v>
      </c>
      <c r="F52" s="157" t="str">
        <f t="shared" si="21"/>
        <v>人力资源部</v>
      </c>
      <c r="G52" s="182">
        <v>72.520069</v>
      </c>
      <c r="H52" s="182">
        <v>6.016295</v>
      </c>
      <c r="I52" s="182">
        <v>5.913852</v>
      </c>
      <c r="J52" s="182">
        <v>6.019238</v>
      </c>
      <c r="K52" s="182">
        <v>6.094679</v>
      </c>
      <c r="L52" s="182">
        <v>5.943344</v>
      </c>
      <c r="M52" s="182">
        <v>6.006876</v>
      </c>
      <c r="N52" s="182">
        <v>6.163882</v>
      </c>
      <c r="O52" s="182">
        <v>6.1128</v>
      </c>
      <c r="P52" s="182">
        <v>5.991669</v>
      </c>
      <c r="Q52" s="182">
        <v>6.009212</v>
      </c>
      <c r="R52" s="182">
        <v>6.159249</v>
      </c>
      <c r="S52" s="182">
        <v>6.088973</v>
      </c>
      <c r="T52" s="186">
        <f t="shared" si="22"/>
        <v>72.997355</v>
      </c>
      <c r="U52" s="182">
        <v>54.680603</v>
      </c>
      <c r="V52" s="182">
        <v>6.060242</v>
      </c>
      <c r="W52" s="182">
        <v>5.985086</v>
      </c>
      <c r="X52" s="182">
        <v>6.026445</v>
      </c>
      <c r="Y52" s="182">
        <v>6.166771</v>
      </c>
      <c r="Z52" s="182">
        <v>6.098762</v>
      </c>
      <c r="AA52" s="182">
        <v>6.188494</v>
      </c>
      <c r="AB52" s="182">
        <v>6.122925</v>
      </c>
      <c r="AC52" s="182">
        <v>6.030256</v>
      </c>
      <c r="AD52" s="182">
        <v>6.001622</v>
      </c>
      <c r="AE52" s="182">
        <v>0</v>
      </c>
      <c r="AF52" s="182">
        <v>0</v>
      </c>
      <c r="AG52" s="182">
        <v>0</v>
      </c>
      <c r="AH52" s="182">
        <v>18.316752</v>
      </c>
      <c r="AI52" s="182">
        <v>0</v>
      </c>
      <c r="AJ52" s="182">
        <v>0</v>
      </c>
      <c r="AK52" s="182">
        <v>0</v>
      </c>
      <c r="AL52" s="182">
        <v>0</v>
      </c>
      <c r="AM52" s="182">
        <v>0</v>
      </c>
      <c r="AN52" s="182">
        <v>0</v>
      </c>
      <c r="AO52" s="182">
        <v>0</v>
      </c>
      <c r="AP52" s="182">
        <v>0</v>
      </c>
      <c r="AQ52" s="182">
        <v>0</v>
      </c>
      <c r="AR52" s="182">
        <v>6.158302</v>
      </c>
      <c r="AS52" s="182">
        <v>6.103141</v>
      </c>
      <c r="AT52" s="182">
        <v>6.055309</v>
      </c>
      <c r="AU52" s="182">
        <v>72.310562</v>
      </c>
      <c r="AV52" s="182">
        <v>5.927609</v>
      </c>
      <c r="AW52" s="182">
        <v>6.117178</v>
      </c>
      <c r="AX52" s="182">
        <v>6.022355</v>
      </c>
      <c r="AY52" s="182">
        <v>6.033594</v>
      </c>
      <c r="AZ52" s="182">
        <v>6.066046</v>
      </c>
      <c r="BA52" s="182">
        <v>5.985094</v>
      </c>
      <c r="BB52" s="182">
        <v>5.972896</v>
      </c>
      <c r="BC52" s="182">
        <v>6.040918</v>
      </c>
      <c r="BD52" s="182">
        <v>6.051511</v>
      </c>
      <c r="BE52" s="182">
        <v>6.098935</v>
      </c>
      <c r="BF52" s="182">
        <v>5.957409</v>
      </c>
      <c r="BG52" s="182">
        <v>6.037017</v>
      </c>
    </row>
    <row r="53" ht="16.2" spans="3:59">
      <c r="C53" s="153"/>
      <c r="D53" s="153" t="s">
        <v>220</v>
      </c>
      <c r="E53" s="157" t="str">
        <f t="shared" si="20"/>
        <v>支持中心</v>
      </c>
      <c r="F53" s="157" t="str">
        <f t="shared" si="21"/>
        <v>IT部</v>
      </c>
      <c r="G53" s="182">
        <v>34.235522</v>
      </c>
      <c r="H53" s="182">
        <v>2.947431</v>
      </c>
      <c r="I53" s="182">
        <v>2.878424</v>
      </c>
      <c r="J53" s="182">
        <v>2.826563</v>
      </c>
      <c r="K53" s="182">
        <v>2.879288</v>
      </c>
      <c r="L53" s="182">
        <v>2.874803</v>
      </c>
      <c r="M53" s="182">
        <v>2.811999</v>
      </c>
      <c r="N53" s="182">
        <v>2.895252</v>
      </c>
      <c r="O53" s="182">
        <v>2.792007</v>
      </c>
      <c r="P53" s="182">
        <v>2.799536</v>
      </c>
      <c r="Q53" s="182">
        <v>2.829252</v>
      </c>
      <c r="R53" s="182">
        <v>2.859485</v>
      </c>
      <c r="S53" s="182">
        <v>2.841482</v>
      </c>
      <c r="T53" s="186">
        <f t="shared" si="22"/>
        <v>34.156208</v>
      </c>
      <c r="U53" s="182">
        <v>25.598813</v>
      </c>
      <c r="V53" s="182">
        <v>2.876186</v>
      </c>
      <c r="W53" s="182">
        <v>2.842663</v>
      </c>
      <c r="X53" s="182">
        <v>2.863811</v>
      </c>
      <c r="Y53" s="182">
        <v>2.808498</v>
      </c>
      <c r="Z53" s="182">
        <v>2.796585</v>
      </c>
      <c r="AA53" s="182">
        <v>2.886274</v>
      </c>
      <c r="AB53" s="182">
        <v>2.869874</v>
      </c>
      <c r="AC53" s="182">
        <v>2.810867</v>
      </c>
      <c r="AD53" s="182">
        <v>2.844055</v>
      </c>
      <c r="AE53" s="182">
        <v>0</v>
      </c>
      <c r="AF53" s="182">
        <v>0</v>
      </c>
      <c r="AG53" s="182">
        <v>0</v>
      </c>
      <c r="AH53" s="182">
        <v>8.557395</v>
      </c>
      <c r="AI53" s="182">
        <v>0</v>
      </c>
      <c r="AJ53" s="182">
        <v>0</v>
      </c>
      <c r="AK53" s="182">
        <v>0</v>
      </c>
      <c r="AL53" s="182">
        <v>0</v>
      </c>
      <c r="AM53" s="182">
        <v>0</v>
      </c>
      <c r="AN53" s="182">
        <v>0</v>
      </c>
      <c r="AO53" s="182">
        <v>0</v>
      </c>
      <c r="AP53" s="182">
        <v>0</v>
      </c>
      <c r="AQ53" s="182">
        <v>0</v>
      </c>
      <c r="AR53" s="182">
        <v>2.810652</v>
      </c>
      <c r="AS53" s="182">
        <v>2.894343</v>
      </c>
      <c r="AT53" s="182">
        <v>2.8524</v>
      </c>
      <c r="AU53" s="182">
        <v>34.130997</v>
      </c>
      <c r="AV53" s="182">
        <v>2.8585</v>
      </c>
      <c r="AW53" s="182">
        <v>2.959455</v>
      </c>
      <c r="AX53" s="182">
        <v>2.80276</v>
      </c>
      <c r="AY53" s="182">
        <v>2.860893</v>
      </c>
      <c r="AZ53" s="182">
        <v>2.810758</v>
      </c>
      <c r="BA53" s="182">
        <v>2.793934</v>
      </c>
      <c r="BB53" s="182">
        <v>2.881054</v>
      </c>
      <c r="BC53" s="182">
        <v>2.801325</v>
      </c>
      <c r="BD53" s="182">
        <v>2.90003</v>
      </c>
      <c r="BE53" s="182">
        <v>2.833324</v>
      </c>
      <c r="BF53" s="182">
        <v>2.840899</v>
      </c>
      <c r="BG53" s="182">
        <v>2.788065</v>
      </c>
    </row>
    <row r="54" ht="16.2" spans="3:59">
      <c r="C54" s="153"/>
      <c r="D54" s="153" t="s">
        <v>221</v>
      </c>
      <c r="E54" s="157" t="str">
        <f t="shared" si="20"/>
        <v>支持中心</v>
      </c>
      <c r="F54" s="157" t="str">
        <f t="shared" si="21"/>
        <v>总经办</v>
      </c>
      <c r="G54" s="182">
        <v>20.405155</v>
      </c>
      <c r="H54" s="182">
        <v>1.694974</v>
      </c>
      <c r="I54" s="182">
        <v>1.655974</v>
      </c>
      <c r="J54" s="182">
        <v>1.732766</v>
      </c>
      <c r="K54" s="182">
        <v>1.745461</v>
      </c>
      <c r="L54" s="182">
        <v>1.67965</v>
      </c>
      <c r="M54" s="182">
        <v>1.713922</v>
      </c>
      <c r="N54" s="182">
        <v>1.734144</v>
      </c>
      <c r="O54" s="182">
        <v>1.697513</v>
      </c>
      <c r="P54" s="182">
        <v>1.614743</v>
      </c>
      <c r="Q54" s="182">
        <v>1.659619</v>
      </c>
      <c r="R54" s="182">
        <v>1.747216</v>
      </c>
      <c r="S54" s="182">
        <v>1.729173</v>
      </c>
      <c r="T54" s="186">
        <f t="shared" si="22"/>
        <v>20.378519</v>
      </c>
      <c r="U54" s="182">
        <v>15.329153</v>
      </c>
      <c r="V54" s="182">
        <v>1.743218</v>
      </c>
      <c r="W54" s="182">
        <v>1.685663</v>
      </c>
      <c r="X54" s="182">
        <v>1.647555</v>
      </c>
      <c r="Y54" s="182">
        <v>1.758341</v>
      </c>
      <c r="Z54" s="182">
        <v>1.724883</v>
      </c>
      <c r="AA54" s="182">
        <v>1.65612</v>
      </c>
      <c r="AB54" s="182">
        <v>1.739808</v>
      </c>
      <c r="AC54" s="182">
        <v>1.729268</v>
      </c>
      <c r="AD54" s="182">
        <v>1.644297</v>
      </c>
      <c r="AE54" s="182">
        <v>0</v>
      </c>
      <c r="AF54" s="182">
        <v>0</v>
      </c>
      <c r="AG54" s="182">
        <v>0</v>
      </c>
      <c r="AH54" s="182">
        <v>5.049366</v>
      </c>
      <c r="AI54" s="182">
        <v>0</v>
      </c>
      <c r="AJ54" s="182">
        <v>0</v>
      </c>
      <c r="AK54" s="182">
        <v>0</v>
      </c>
      <c r="AL54" s="182">
        <v>0</v>
      </c>
      <c r="AM54" s="182">
        <v>0</v>
      </c>
      <c r="AN54" s="182">
        <v>0</v>
      </c>
      <c r="AO54" s="182">
        <v>0</v>
      </c>
      <c r="AP54" s="182">
        <v>0</v>
      </c>
      <c r="AQ54" s="182">
        <v>0</v>
      </c>
      <c r="AR54" s="182">
        <v>1.62395</v>
      </c>
      <c r="AS54" s="182">
        <v>1.713808</v>
      </c>
      <c r="AT54" s="182">
        <v>1.711608</v>
      </c>
      <c r="AU54" s="182">
        <v>20.34425</v>
      </c>
      <c r="AV54" s="182">
        <v>1.751408</v>
      </c>
      <c r="AW54" s="182">
        <v>1.705087</v>
      </c>
      <c r="AX54" s="182">
        <v>1.667244</v>
      </c>
      <c r="AY54" s="182">
        <v>1.64779</v>
      </c>
      <c r="AZ54" s="182">
        <v>1.743444</v>
      </c>
      <c r="BA54" s="182">
        <v>1.633457</v>
      </c>
      <c r="BB54" s="182">
        <v>1.726078</v>
      </c>
      <c r="BC54" s="182">
        <v>1.759708</v>
      </c>
      <c r="BD54" s="182">
        <v>1.674139</v>
      </c>
      <c r="BE54" s="182">
        <v>1.687112</v>
      </c>
      <c r="BF54" s="182">
        <v>1.636809</v>
      </c>
      <c r="BG54" s="182">
        <v>1.711974</v>
      </c>
    </row>
    <row r="56" ht="20.4" spans="2:2">
      <c r="B56" s="36" t="s">
        <v>224</v>
      </c>
    </row>
    <row r="57" s="164" customFormat="1" ht="19.2" customHeight="1" spans="2:59">
      <c r="B57" s="153" t="s">
        <v>128</v>
      </c>
      <c r="C57" s="154"/>
      <c r="D57" s="154"/>
      <c r="E57" s="154" t="s">
        <v>209</v>
      </c>
      <c r="F57" s="154" t="s">
        <v>209</v>
      </c>
      <c r="G57" s="181">
        <v>275.629878</v>
      </c>
      <c r="H57" s="181">
        <v>22.952588</v>
      </c>
      <c r="I57" s="181">
        <v>23.087957</v>
      </c>
      <c r="J57" s="181">
        <v>23.079723</v>
      </c>
      <c r="K57" s="181">
        <v>22.920293</v>
      </c>
      <c r="L57" s="181">
        <v>22.817947</v>
      </c>
      <c r="M57" s="181">
        <v>23.012541</v>
      </c>
      <c r="N57" s="181">
        <v>22.975488</v>
      </c>
      <c r="O57" s="181">
        <v>22.837759</v>
      </c>
      <c r="P57" s="181">
        <v>22.974263</v>
      </c>
      <c r="Q57" s="181">
        <v>22.98142</v>
      </c>
      <c r="R57" s="181">
        <v>22.970561</v>
      </c>
      <c r="S57" s="181">
        <v>23.019338</v>
      </c>
      <c r="T57" s="185">
        <f>U57+AH57</f>
        <v>276.040057</v>
      </c>
      <c r="U57" s="181">
        <v>206.975878</v>
      </c>
      <c r="V57" s="181">
        <v>22.786752</v>
      </c>
      <c r="W57" s="181">
        <v>22.951831</v>
      </c>
      <c r="X57" s="181">
        <v>23.0078</v>
      </c>
      <c r="Y57" s="181">
        <v>22.963112</v>
      </c>
      <c r="Z57" s="181">
        <v>22.958504</v>
      </c>
      <c r="AA57" s="181">
        <v>23.085475</v>
      </c>
      <c r="AB57" s="181">
        <v>23.146199</v>
      </c>
      <c r="AC57" s="181">
        <v>23.092904</v>
      </c>
      <c r="AD57" s="181">
        <v>22.983301</v>
      </c>
      <c r="AE57" s="181">
        <v>0</v>
      </c>
      <c r="AF57" s="181">
        <v>0</v>
      </c>
      <c r="AG57" s="181">
        <v>0</v>
      </c>
      <c r="AH57" s="181">
        <v>69.064179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81">
        <v>0</v>
      </c>
      <c r="AR57" s="181">
        <v>23.110223</v>
      </c>
      <c r="AS57" s="181">
        <v>22.952206</v>
      </c>
      <c r="AT57" s="181">
        <v>23.00175</v>
      </c>
      <c r="AU57" s="181">
        <v>275.49811</v>
      </c>
      <c r="AV57" s="181">
        <v>23.001378</v>
      </c>
      <c r="AW57" s="181">
        <v>22.951502</v>
      </c>
      <c r="AX57" s="181">
        <v>22.946894</v>
      </c>
      <c r="AY57" s="181">
        <v>22.917313</v>
      </c>
      <c r="AZ57" s="181">
        <v>22.913841</v>
      </c>
      <c r="BA57" s="181">
        <v>22.915856</v>
      </c>
      <c r="BB57" s="181">
        <v>23.023323</v>
      </c>
      <c r="BC57" s="181">
        <v>23.016934</v>
      </c>
      <c r="BD57" s="181">
        <v>22.989173</v>
      </c>
      <c r="BE57" s="181">
        <v>22.94277</v>
      </c>
      <c r="BF57" s="181">
        <v>22.947504</v>
      </c>
      <c r="BG57" s="181">
        <v>22.931622</v>
      </c>
    </row>
    <row r="58" ht="16.2" spans="3:59">
      <c r="C58" s="153" t="s">
        <v>210</v>
      </c>
      <c r="D58" s="153"/>
      <c r="E58" s="157" t="str">
        <f>IF(C58&lt;&gt;"",C58,E55)</f>
        <v>流程中心</v>
      </c>
      <c r="F58" s="157" t="str">
        <f>IF(D58&lt;&gt;"",D58,"*")</f>
        <v>*</v>
      </c>
      <c r="G58" s="182">
        <v>136.042842</v>
      </c>
      <c r="H58" s="182">
        <v>11.313824</v>
      </c>
      <c r="I58" s="182">
        <v>11.434362</v>
      </c>
      <c r="J58" s="182">
        <v>11.326935</v>
      </c>
      <c r="K58" s="182">
        <v>11.269357</v>
      </c>
      <c r="L58" s="182">
        <v>11.257579</v>
      </c>
      <c r="M58" s="182">
        <v>11.402418</v>
      </c>
      <c r="N58" s="182">
        <v>11.361103</v>
      </c>
      <c r="O58" s="182">
        <v>11.302216</v>
      </c>
      <c r="P58" s="182">
        <v>11.3904</v>
      </c>
      <c r="Q58" s="182">
        <v>11.364476</v>
      </c>
      <c r="R58" s="182">
        <v>11.327892</v>
      </c>
      <c r="S58" s="182">
        <v>11.29228</v>
      </c>
      <c r="T58" s="186">
        <f>U58+AH58</f>
        <v>136.197273</v>
      </c>
      <c r="U58" s="182">
        <v>102.126021</v>
      </c>
      <c r="V58" s="182">
        <v>11.20836</v>
      </c>
      <c r="W58" s="182">
        <v>11.30615</v>
      </c>
      <c r="X58" s="182">
        <v>11.354422</v>
      </c>
      <c r="Y58" s="182">
        <v>11.292066</v>
      </c>
      <c r="Z58" s="182">
        <v>11.361711</v>
      </c>
      <c r="AA58" s="182">
        <v>11.402723</v>
      </c>
      <c r="AB58" s="182">
        <v>11.400253</v>
      </c>
      <c r="AC58" s="182">
        <v>11.435157</v>
      </c>
      <c r="AD58" s="182">
        <v>11.365179</v>
      </c>
      <c r="AE58" s="182">
        <v>0</v>
      </c>
      <c r="AF58" s="182">
        <v>0</v>
      </c>
      <c r="AG58" s="182">
        <v>0</v>
      </c>
      <c r="AH58" s="182">
        <v>34.071252</v>
      </c>
      <c r="AI58" s="182">
        <v>0</v>
      </c>
      <c r="AJ58" s="182">
        <v>0</v>
      </c>
      <c r="AK58" s="182">
        <v>0</v>
      </c>
      <c r="AL58" s="182">
        <v>0</v>
      </c>
      <c r="AM58" s="182">
        <v>0</v>
      </c>
      <c r="AN58" s="182">
        <v>0</v>
      </c>
      <c r="AO58" s="182">
        <v>0</v>
      </c>
      <c r="AP58" s="182">
        <v>0</v>
      </c>
      <c r="AQ58" s="182">
        <v>0</v>
      </c>
      <c r="AR58" s="182">
        <v>11.43306</v>
      </c>
      <c r="AS58" s="182">
        <v>11.280763</v>
      </c>
      <c r="AT58" s="182">
        <v>11.357429</v>
      </c>
      <c r="AU58" s="182">
        <v>135.928836</v>
      </c>
      <c r="AV58" s="182">
        <v>11.329852</v>
      </c>
      <c r="AW58" s="182">
        <v>11.387936</v>
      </c>
      <c r="AX58" s="182">
        <v>11.314249</v>
      </c>
      <c r="AY58" s="182">
        <v>11.25725</v>
      </c>
      <c r="AZ58" s="182">
        <v>11.311845</v>
      </c>
      <c r="BA58" s="182">
        <v>11.315922</v>
      </c>
      <c r="BB58" s="182">
        <v>11.40146</v>
      </c>
      <c r="BC58" s="182">
        <v>11.370761</v>
      </c>
      <c r="BD58" s="182">
        <v>11.301794</v>
      </c>
      <c r="BE58" s="182">
        <v>11.266148</v>
      </c>
      <c r="BF58" s="182">
        <v>11.390343</v>
      </c>
      <c r="BG58" s="182">
        <v>11.281276</v>
      </c>
    </row>
    <row r="59" ht="16.2" spans="3:59">
      <c r="C59" s="153"/>
      <c r="D59" s="153" t="s">
        <v>211</v>
      </c>
      <c r="E59" s="157" t="str">
        <f t="shared" ref="E59:E69" si="23">IF(C59&lt;&gt;"",C59,E58)</f>
        <v>流程中心</v>
      </c>
      <c r="F59" s="157" t="str">
        <f t="shared" ref="F59:F69" si="24">IF(D59&lt;&gt;"",D59,"*")</f>
        <v>销售中心</v>
      </c>
      <c r="G59" s="182">
        <v>52.952033</v>
      </c>
      <c r="H59" s="182">
        <v>4.399665</v>
      </c>
      <c r="I59" s="182">
        <v>4.440754</v>
      </c>
      <c r="J59" s="182">
        <v>4.406111</v>
      </c>
      <c r="K59" s="182">
        <v>4.35059</v>
      </c>
      <c r="L59" s="182">
        <v>4.389138</v>
      </c>
      <c r="M59" s="182">
        <v>4.387154</v>
      </c>
      <c r="N59" s="182">
        <v>4.428552</v>
      </c>
      <c r="O59" s="182">
        <v>4.429868</v>
      </c>
      <c r="P59" s="182">
        <v>4.436651</v>
      </c>
      <c r="Q59" s="182">
        <v>4.439016</v>
      </c>
      <c r="R59" s="182">
        <v>4.441663</v>
      </c>
      <c r="S59" s="182">
        <v>4.402871</v>
      </c>
      <c r="T59" s="186">
        <f t="shared" ref="T59:T69" si="25">U59+AH59</f>
        <v>53.047264</v>
      </c>
      <c r="U59" s="182">
        <v>39.746388</v>
      </c>
      <c r="V59" s="182">
        <v>4.35404</v>
      </c>
      <c r="W59" s="182">
        <v>4.416294</v>
      </c>
      <c r="X59" s="182">
        <v>4.422487</v>
      </c>
      <c r="Y59" s="182">
        <v>4.409484</v>
      </c>
      <c r="Z59" s="182">
        <v>4.435866</v>
      </c>
      <c r="AA59" s="182">
        <v>4.467198</v>
      </c>
      <c r="AB59" s="182">
        <v>4.399194</v>
      </c>
      <c r="AC59" s="182">
        <v>4.429687</v>
      </c>
      <c r="AD59" s="182">
        <v>4.412138</v>
      </c>
      <c r="AE59" s="182">
        <v>0</v>
      </c>
      <c r="AF59" s="182">
        <v>0</v>
      </c>
      <c r="AG59" s="182">
        <v>0</v>
      </c>
      <c r="AH59" s="182">
        <v>13.300876</v>
      </c>
      <c r="AI59" s="182">
        <v>0</v>
      </c>
      <c r="AJ59" s="182">
        <v>0</v>
      </c>
      <c r="AK59" s="182">
        <v>0</v>
      </c>
      <c r="AL59" s="182">
        <v>0</v>
      </c>
      <c r="AM59" s="182">
        <v>0</v>
      </c>
      <c r="AN59" s="182">
        <v>0</v>
      </c>
      <c r="AO59" s="182">
        <v>0</v>
      </c>
      <c r="AP59" s="182">
        <v>0</v>
      </c>
      <c r="AQ59" s="182">
        <v>0</v>
      </c>
      <c r="AR59" s="182">
        <v>4.458892</v>
      </c>
      <c r="AS59" s="182">
        <v>4.413407</v>
      </c>
      <c r="AT59" s="182">
        <v>4.428577</v>
      </c>
      <c r="AU59" s="182">
        <v>52.942326</v>
      </c>
      <c r="AV59" s="182">
        <v>4.419124</v>
      </c>
      <c r="AW59" s="182">
        <v>4.445818</v>
      </c>
      <c r="AX59" s="182">
        <v>4.404894</v>
      </c>
      <c r="AY59" s="182">
        <v>4.379271</v>
      </c>
      <c r="AZ59" s="182">
        <v>4.460816</v>
      </c>
      <c r="BA59" s="182">
        <v>4.367551</v>
      </c>
      <c r="BB59" s="182">
        <v>4.447554</v>
      </c>
      <c r="BC59" s="182">
        <v>4.422641</v>
      </c>
      <c r="BD59" s="182">
        <v>4.39038</v>
      </c>
      <c r="BE59" s="182">
        <v>4.377221</v>
      </c>
      <c r="BF59" s="182">
        <v>4.45631</v>
      </c>
      <c r="BG59" s="182">
        <v>4.370746</v>
      </c>
    </row>
    <row r="60" ht="16.2" spans="3:59">
      <c r="C60" s="153"/>
      <c r="D60" s="153" t="s">
        <v>212</v>
      </c>
      <c r="E60" s="157" t="str">
        <f t="shared" si="23"/>
        <v>流程中心</v>
      </c>
      <c r="F60" s="157" t="str">
        <f t="shared" si="24"/>
        <v>制造中心</v>
      </c>
      <c r="G60" s="182">
        <v>83.090809</v>
      </c>
      <c r="H60" s="182">
        <v>6.914159</v>
      </c>
      <c r="I60" s="182">
        <v>6.993608</v>
      </c>
      <c r="J60" s="182">
        <v>6.920824</v>
      </c>
      <c r="K60" s="182">
        <v>6.918767</v>
      </c>
      <c r="L60" s="182">
        <v>6.868441</v>
      </c>
      <c r="M60" s="182">
        <v>7.015264</v>
      </c>
      <c r="N60" s="182">
        <v>6.932551</v>
      </c>
      <c r="O60" s="182">
        <v>6.872348</v>
      </c>
      <c r="P60" s="182">
        <v>6.953749</v>
      </c>
      <c r="Q60" s="182">
        <v>6.92546</v>
      </c>
      <c r="R60" s="182">
        <v>6.886229</v>
      </c>
      <c r="S60" s="182">
        <v>6.889409</v>
      </c>
      <c r="T60" s="186">
        <f t="shared" si="25"/>
        <v>83.150009</v>
      </c>
      <c r="U60" s="182">
        <v>62.379633</v>
      </c>
      <c r="V60" s="182">
        <v>6.85432</v>
      </c>
      <c r="W60" s="182">
        <v>6.889856</v>
      </c>
      <c r="X60" s="182">
        <v>6.931935</v>
      </c>
      <c r="Y60" s="182">
        <v>6.882582</v>
      </c>
      <c r="Z60" s="182">
        <v>6.925845</v>
      </c>
      <c r="AA60" s="182">
        <v>6.935525</v>
      </c>
      <c r="AB60" s="182">
        <v>7.001059</v>
      </c>
      <c r="AC60" s="182">
        <v>7.00547</v>
      </c>
      <c r="AD60" s="182">
        <v>6.953041</v>
      </c>
      <c r="AE60" s="182">
        <v>0</v>
      </c>
      <c r="AF60" s="182">
        <v>0</v>
      </c>
      <c r="AG60" s="182">
        <v>0</v>
      </c>
      <c r="AH60" s="182">
        <v>20.770376</v>
      </c>
      <c r="AI60" s="182">
        <v>0</v>
      </c>
      <c r="AJ60" s="182">
        <v>0</v>
      </c>
      <c r="AK60" s="182">
        <v>0</v>
      </c>
      <c r="AL60" s="182">
        <v>0</v>
      </c>
      <c r="AM60" s="182">
        <v>0</v>
      </c>
      <c r="AN60" s="182">
        <v>0</v>
      </c>
      <c r="AO60" s="182">
        <v>0</v>
      </c>
      <c r="AP60" s="182">
        <v>0</v>
      </c>
      <c r="AQ60" s="182">
        <v>0</v>
      </c>
      <c r="AR60" s="182">
        <v>6.974168</v>
      </c>
      <c r="AS60" s="182">
        <v>6.867356</v>
      </c>
      <c r="AT60" s="182">
        <v>6.928852</v>
      </c>
      <c r="AU60" s="182">
        <v>82.9865100000001</v>
      </c>
      <c r="AV60" s="182">
        <v>6.910728</v>
      </c>
      <c r="AW60" s="182">
        <v>6.942118</v>
      </c>
      <c r="AX60" s="182">
        <v>6.909355</v>
      </c>
      <c r="AY60" s="182">
        <v>6.877979</v>
      </c>
      <c r="AZ60" s="182">
        <v>6.851029</v>
      </c>
      <c r="BA60" s="182">
        <v>6.948371</v>
      </c>
      <c r="BB60" s="182">
        <v>6.953906</v>
      </c>
      <c r="BC60" s="182">
        <v>6.94812</v>
      </c>
      <c r="BD60" s="182">
        <v>6.911414</v>
      </c>
      <c r="BE60" s="182">
        <v>6.888927</v>
      </c>
      <c r="BF60" s="182">
        <v>6.934033</v>
      </c>
      <c r="BG60" s="182">
        <v>6.91053</v>
      </c>
    </row>
    <row r="61" ht="16.2" spans="3:59">
      <c r="C61" s="153" t="s">
        <v>213</v>
      </c>
      <c r="D61" s="153"/>
      <c r="E61" s="157" t="str">
        <f t="shared" si="23"/>
        <v>创新中心</v>
      </c>
      <c r="F61" s="157" t="str">
        <f t="shared" si="24"/>
        <v>*</v>
      </c>
      <c r="G61" s="182">
        <v>75.439247</v>
      </c>
      <c r="H61" s="182">
        <v>6.272822</v>
      </c>
      <c r="I61" s="182">
        <v>6.345348</v>
      </c>
      <c r="J61" s="182">
        <v>6.36437</v>
      </c>
      <c r="K61" s="182">
        <v>6.315579</v>
      </c>
      <c r="L61" s="182">
        <v>6.218339</v>
      </c>
      <c r="M61" s="182">
        <v>6.263924</v>
      </c>
      <c r="N61" s="182">
        <v>6.258416</v>
      </c>
      <c r="O61" s="182">
        <v>6.193419</v>
      </c>
      <c r="P61" s="182">
        <v>6.245067</v>
      </c>
      <c r="Q61" s="182">
        <v>6.287554</v>
      </c>
      <c r="R61" s="182">
        <v>6.304404</v>
      </c>
      <c r="S61" s="182">
        <v>6.370005</v>
      </c>
      <c r="T61" s="186">
        <f t="shared" si="25"/>
        <v>75.703961</v>
      </c>
      <c r="U61" s="182">
        <v>56.745986</v>
      </c>
      <c r="V61" s="182">
        <v>6.267225</v>
      </c>
      <c r="W61" s="182">
        <v>6.305816</v>
      </c>
      <c r="X61" s="182">
        <v>6.310222</v>
      </c>
      <c r="Y61" s="182">
        <v>6.320903</v>
      </c>
      <c r="Z61" s="182">
        <v>6.255087</v>
      </c>
      <c r="AA61" s="182">
        <v>6.309757</v>
      </c>
      <c r="AB61" s="182">
        <v>6.321746</v>
      </c>
      <c r="AC61" s="182">
        <v>6.356301</v>
      </c>
      <c r="AD61" s="182">
        <v>6.298929</v>
      </c>
      <c r="AE61" s="182">
        <v>0</v>
      </c>
      <c r="AF61" s="182">
        <v>0</v>
      </c>
      <c r="AG61" s="182">
        <v>0</v>
      </c>
      <c r="AH61" s="182">
        <v>18.957975</v>
      </c>
      <c r="AI61" s="182">
        <v>0</v>
      </c>
      <c r="AJ61" s="182">
        <v>0</v>
      </c>
      <c r="AK61" s="182">
        <v>0</v>
      </c>
      <c r="AL61" s="182">
        <v>0</v>
      </c>
      <c r="AM61" s="182">
        <v>0</v>
      </c>
      <c r="AN61" s="182">
        <v>0</v>
      </c>
      <c r="AO61" s="182">
        <v>0</v>
      </c>
      <c r="AP61" s="182">
        <v>0</v>
      </c>
      <c r="AQ61" s="182">
        <v>0</v>
      </c>
      <c r="AR61" s="182">
        <v>6.302443</v>
      </c>
      <c r="AS61" s="182">
        <v>6.339868</v>
      </c>
      <c r="AT61" s="182">
        <v>6.315664</v>
      </c>
      <c r="AU61" s="182">
        <v>75.542454</v>
      </c>
      <c r="AV61" s="182">
        <v>6.328546</v>
      </c>
      <c r="AW61" s="182">
        <v>6.253154</v>
      </c>
      <c r="AX61" s="182">
        <v>6.271404</v>
      </c>
      <c r="AY61" s="182">
        <v>6.301547</v>
      </c>
      <c r="AZ61" s="182">
        <v>6.311292</v>
      </c>
      <c r="BA61" s="182">
        <v>6.286734</v>
      </c>
      <c r="BB61" s="182">
        <v>6.315052</v>
      </c>
      <c r="BC61" s="182">
        <v>6.328494</v>
      </c>
      <c r="BD61" s="182">
        <v>6.347717</v>
      </c>
      <c r="BE61" s="182">
        <v>6.283902</v>
      </c>
      <c r="BF61" s="182">
        <v>6.212294</v>
      </c>
      <c r="BG61" s="182">
        <v>6.302318</v>
      </c>
    </row>
    <row r="62" ht="16.2" spans="3:59">
      <c r="C62" s="153"/>
      <c r="D62" s="153" t="s">
        <v>214</v>
      </c>
      <c r="E62" s="157" t="str">
        <f t="shared" si="23"/>
        <v>创新中心</v>
      </c>
      <c r="F62" s="157" t="str">
        <f t="shared" si="24"/>
        <v>产品
研发部</v>
      </c>
      <c r="G62" s="182">
        <v>30.145554</v>
      </c>
      <c r="H62" s="182">
        <v>2.507286</v>
      </c>
      <c r="I62" s="182">
        <v>2.539775</v>
      </c>
      <c r="J62" s="182">
        <v>2.546255</v>
      </c>
      <c r="K62" s="182">
        <v>2.557072</v>
      </c>
      <c r="L62" s="182">
        <v>2.461859</v>
      </c>
      <c r="M62" s="182">
        <v>2.494866</v>
      </c>
      <c r="N62" s="182">
        <v>2.497904</v>
      </c>
      <c r="O62" s="182">
        <v>2.437477</v>
      </c>
      <c r="P62" s="182">
        <v>2.47286</v>
      </c>
      <c r="Q62" s="182">
        <v>2.536034</v>
      </c>
      <c r="R62" s="182">
        <v>2.524791</v>
      </c>
      <c r="S62" s="182">
        <v>2.569375</v>
      </c>
      <c r="T62" s="186">
        <f t="shared" si="25"/>
        <v>30.385373</v>
      </c>
      <c r="U62" s="182">
        <v>22.717046</v>
      </c>
      <c r="V62" s="182">
        <v>2.524289</v>
      </c>
      <c r="W62" s="182">
        <v>2.514491</v>
      </c>
      <c r="X62" s="182">
        <v>2.519502</v>
      </c>
      <c r="Y62" s="182">
        <v>2.494257</v>
      </c>
      <c r="Z62" s="182">
        <v>2.548469</v>
      </c>
      <c r="AA62" s="182">
        <v>2.541495</v>
      </c>
      <c r="AB62" s="182">
        <v>2.52343</v>
      </c>
      <c r="AC62" s="182">
        <v>2.514346</v>
      </c>
      <c r="AD62" s="182">
        <v>2.536767</v>
      </c>
      <c r="AE62" s="182">
        <v>0</v>
      </c>
      <c r="AF62" s="182">
        <v>0</v>
      </c>
      <c r="AG62" s="182">
        <v>0</v>
      </c>
      <c r="AH62" s="182">
        <v>7.668327</v>
      </c>
      <c r="AI62" s="182">
        <v>0</v>
      </c>
      <c r="AJ62" s="182">
        <v>0</v>
      </c>
      <c r="AK62" s="182">
        <v>0</v>
      </c>
      <c r="AL62" s="182">
        <v>0</v>
      </c>
      <c r="AM62" s="182">
        <v>0</v>
      </c>
      <c r="AN62" s="182">
        <v>0</v>
      </c>
      <c r="AO62" s="182">
        <v>0</v>
      </c>
      <c r="AP62" s="182">
        <v>0</v>
      </c>
      <c r="AQ62" s="182">
        <v>0</v>
      </c>
      <c r="AR62" s="182">
        <v>2.554923</v>
      </c>
      <c r="AS62" s="182">
        <v>2.56795</v>
      </c>
      <c r="AT62" s="182">
        <v>2.545454</v>
      </c>
      <c r="AU62" s="182">
        <v>30.26366</v>
      </c>
      <c r="AV62" s="182">
        <v>2.519897</v>
      </c>
      <c r="AW62" s="182">
        <v>2.512736</v>
      </c>
      <c r="AX62" s="182">
        <v>2.532279</v>
      </c>
      <c r="AY62" s="182">
        <v>2.486363</v>
      </c>
      <c r="AZ62" s="182">
        <v>2.527101</v>
      </c>
      <c r="BA62" s="182">
        <v>2.545339</v>
      </c>
      <c r="BB62" s="182">
        <v>2.521614</v>
      </c>
      <c r="BC62" s="182">
        <v>2.569049</v>
      </c>
      <c r="BD62" s="182">
        <v>2.522106</v>
      </c>
      <c r="BE62" s="182">
        <v>2.518393</v>
      </c>
      <c r="BF62" s="182">
        <v>2.481135</v>
      </c>
      <c r="BG62" s="182">
        <v>2.527648</v>
      </c>
    </row>
    <row r="63" ht="16.2" spans="3:59">
      <c r="C63" s="153"/>
      <c r="D63" s="153" t="s">
        <v>215</v>
      </c>
      <c r="E63" s="157" t="str">
        <f t="shared" si="23"/>
        <v>创新中心</v>
      </c>
      <c r="F63" s="157" t="str">
        <f t="shared" si="24"/>
        <v>XX
试验室</v>
      </c>
      <c r="G63" s="182">
        <v>18.863796</v>
      </c>
      <c r="H63" s="182">
        <v>1.573762</v>
      </c>
      <c r="I63" s="182">
        <v>1.584661</v>
      </c>
      <c r="J63" s="182">
        <v>1.585615</v>
      </c>
      <c r="K63" s="182">
        <v>1.5537</v>
      </c>
      <c r="L63" s="182">
        <v>1.596009</v>
      </c>
      <c r="M63" s="182">
        <v>1.576289</v>
      </c>
      <c r="N63" s="182">
        <v>1.548637</v>
      </c>
      <c r="O63" s="182">
        <v>1.547148</v>
      </c>
      <c r="P63" s="182">
        <v>1.560281</v>
      </c>
      <c r="Q63" s="182">
        <v>1.561877</v>
      </c>
      <c r="R63" s="182">
        <v>1.57229</v>
      </c>
      <c r="S63" s="182">
        <v>1.603527</v>
      </c>
      <c r="T63" s="186">
        <f t="shared" si="25"/>
        <v>18.896253</v>
      </c>
      <c r="U63" s="182">
        <v>14.185061</v>
      </c>
      <c r="V63" s="182">
        <v>1.565929</v>
      </c>
      <c r="W63" s="182">
        <v>1.58067</v>
      </c>
      <c r="X63" s="182">
        <v>1.608151</v>
      </c>
      <c r="Y63" s="182">
        <v>1.594318</v>
      </c>
      <c r="Z63" s="182">
        <v>1.522619</v>
      </c>
      <c r="AA63" s="182">
        <v>1.568055</v>
      </c>
      <c r="AB63" s="182">
        <v>1.581536</v>
      </c>
      <c r="AC63" s="182">
        <v>1.602722</v>
      </c>
      <c r="AD63" s="182">
        <v>1.561061</v>
      </c>
      <c r="AE63" s="182">
        <v>0</v>
      </c>
      <c r="AF63" s="182">
        <v>0</v>
      </c>
      <c r="AG63" s="182">
        <v>0</v>
      </c>
      <c r="AH63" s="182">
        <v>4.711192</v>
      </c>
      <c r="AI63" s="182">
        <v>0</v>
      </c>
      <c r="AJ63" s="182">
        <v>0</v>
      </c>
      <c r="AK63" s="182">
        <v>0</v>
      </c>
      <c r="AL63" s="182">
        <v>0</v>
      </c>
      <c r="AM63" s="182">
        <v>0</v>
      </c>
      <c r="AN63" s="182">
        <v>0</v>
      </c>
      <c r="AO63" s="182">
        <v>0</v>
      </c>
      <c r="AP63" s="182">
        <v>0</v>
      </c>
      <c r="AQ63" s="182">
        <v>0</v>
      </c>
      <c r="AR63" s="182">
        <v>1.547917</v>
      </c>
      <c r="AS63" s="182">
        <v>1.574192</v>
      </c>
      <c r="AT63" s="182">
        <v>1.589083</v>
      </c>
      <c r="AU63" s="182">
        <v>18.729947</v>
      </c>
      <c r="AV63" s="182">
        <v>1.603082</v>
      </c>
      <c r="AW63" s="182">
        <v>1.554556</v>
      </c>
      <c r="AX63" s="182">
        <v>1.528946</v>
      </c>
      <c r="AY63" s="182">
        <v>1.570546</v>
      </c>
      <c r="AZ63" s="182">
        <v>1.562595</v>
      </c>
      <c r="BA63" s="182">
        <v>1.546931</v>
      </c>
      <c r="BB63" s="182">
        <v>1.561745</v>
      </c>
      <c r="BC63" s="182">
        <v>1.559046</v>
      </c>
      <c r="BD63" s="182">
        <v>1.594133</v>
      </c>
      <c r="BE63" s="182">
        <v>1.542542</v>
      </c>
      <c r="BF63" s="182">
        <v>1.555875</v>
      </c>
      <c r="BG63" s="182">
        <v>1.54995</v>
      </c>
    </row>
    <row r="64" ht="16.2" spans="3:59">
      <c r="C64" s="153"/>
      <c r="D64" s="153" t="s">
        <v>216</v>
      </c>
      <c r="E64" s="157" t="str">
        <f t="shared" si="23"/>
        <v>创新中心</v>
      </c>
      <c r="F64" s="157" t="str">
        <f t="shared" si="24"/>
        <v>XX
孵化业务</v>
      </c>
      <c r="G64" s="182">
        <v>26.429897</v>
      </c>
      <c r="H64" s="182">
        <v>2.191774</v>
      </c>
      <c r="I64" s="182">
        <v>2.220912</v>
      </c>
      <c r="J64" s="182">
        <v>2.2325</v>
      </c>
      <c r="K64" s="182">
        <v>2.204807</v>
      </c>
      <c r="L64" s="182">
        <v>2.160471</v>
      </c>
      <c r="M64" s="182">
        <v>2.192769</v>
      </c>
      <c r="N64" s="182">
        <v>2.211875</v>
      </c>
      <c r="O64" s="182">
        <v>2.208794</v>
      </c>
      <c r="P64" s="182">
        <v>2.211926</v>
      </c>
      <c r="Q64" s="182">
        <v>2.189643</v>
      </c>
      <c r="R64" s="182">
        <v>2.207323</v>
      </c>
      <c r="S64" s="182">
        <v>2.197103</v>
      </c>
      <c r="T64" s="186">
        <f t="shared" si="25"/>
        <v>26.422335</v>
      </c>
      <c r="U64" s="182">
        <v>19.843879</v>
      </c>
      <c r="V64" s="182">
        <v>2.177007</v>
      </c>
      <c r="W64" s="182">
        <v>2.210655</v>
      </c>
      <c r="X64" s="182">
        <v>2.182569</v>
      </c>
      <c r="Y64" s="182">
        <v>2.232328</v>
      </c>
      <c r="Z64" s="182">
        <v>2.183999</v>
      </c>
      <c r="AA64" s="182">
        <v>2.200207</v>
      </c>
      <c r="AB64" s="182">
        <v>2.21678</v>
      </c>
      <c r="AC64" s="182">
        <v>2.239233</v>
      </c>
      <c r="AD64" s="182">
        <v>2.201101</v>
      </c>
      <c r="AE64" s="182">
        <v>0</v>
      </c>
      <c r="AF64" s="182">
        <v>0</v>
      </c>
      <c r="AG64" s="182">
        <v>0</v>
      </c>
      <c r="AH64" s="182">
        <v>6.578456</v>
      </c>
      <c r="AI64" s="182">
        <v>0</v>
      </c>
      <c r="AJ64" s="182">
        <v>0</v>
      </c>
      <c r="AK64" s="182">
        <v>0</v>
      </c>
      <c r="AL64" s="182">
        <v>0</v>
      </c>
      <c r="AM64" s="182">
        <v>0</v>
      </c>
      <c r="AN64" s="182">
        <v>0</v>
      </c>
      <c r="AO64" s="182">
        <v>0</v>
      </c>
      <c r="AP64" s="182">
        <v>0</v>
      </c>
      <c r="AQ64" s="182">
        <v>0</v>
      </c>
      <c r="AR64" s="182">
        <v>2.199603</v>
      </c>
      <c r="AS64" s="182">
        <v>2.197726</v>
      </c>
      <c r="AT64" s="182">
        <v>2.181127</v>
      </c>
      <c r="AU64" s="182">
        <v>26.548847</v>
      </c>
      <c r="AV64" s="182">
        <v>2.205567</v>
      </c>
      <c r="AW64" s="182">
        <v>2.185862</v>
      </c>
      <c r="AX64" s="182">
        <v>2.210179</v>
      </c>
      <c r="AY64" s="182">
        <v>2.244638</v>
      </c>
      <c r="AZ64" s="182">
        <v>2.221596</v>
      </c>
      <c r="BA64" s="182">
        <v>2.194464</v>
      </c>
      <c r="BB64" s="182">
        <v>2.231693</v>
      </c>
      <c r="BC64" s="182">
        <v>2.200399</v>
      </c>
      <c r="BD64" s="182">
        <v>2.231478</v>
      </c>
      <c r="BE64" s="182">
        <v>2.222967</v>
      </c>
      <c r="BF64" s="182">
        <v>2.175284</v>
      </c>
      <c r="BG64" s="182">
        <v>2.22472</v>
      </c>
    </row>
    <row r="65" ht="16.2" spans="3:59">
      <c r="C65" s="153" t="s">
        <v>217</v>
      </c>
      <c r="D65" s="153"/>
      <c r="E65" s="157" t="str">
        <f t="shared" si="23"/>
        <v>支持中心</v>
      </c>
      <c r="F65" s="157" t="str">
        <f t="shared" si="24"/>
        <v>*</v>
      </c>
      <c r="G65" s="182">
        <v>64.147789</v>
      </c>
      <c r="H65" s="182">
        <v>5.365942</v>
      </c>
      <c r="I65" s="182">
        <v>5.308247</v>
      </c>
      <c r="J65" s="182">
        <v>5.388418</v>
      </c>
      <c r="K65" s="182">
        <v>5.335357</v>
      </c>
      <c r="L65" s="182">
        <v>5.342029</v>
      </c>
      <c r="M65" s="182">
        <v>5.346199</v>
      </c>
      <c r="N65" s="182">
        <v>5.355969</v>
      </c>
      <c r="O65" s="182">
        <v>5.342124</v>
      </c>
      <c r="P65" s="182">
        <v>5.338796</v>
      </c>
      <c r="Q65" s="182">
        <v>5.32939</v>
      </c>
      <c r="R65" s="182">
        <v>5.338265</v>
      </c>
      <c r="S65" s="182">
        <v>5.357053</v>
      </c>
      <c r="T65" s="186">
        <f t="shared" si="25"/>
        <v>64.138823</v>
      </c>
      <c r="U65" s="182">
        <v>48.103871</v>
      </c>
      <c r="V65" s="182">
        <v>5.311167</v>
      </c>
      <c r="W65" s="182">
        <v>5.339865</v>
      </c>
      <c r="X65" s="182">
        <v>5.343156</v>
      </c>
      <c r="Y65" s="182">
        <v>5.350143</v>
      </c>
      <c r="Z65" s="182">
        <v>5.341706</v>
      </c>
      <c r="AA65" s="182">
        <v>5.372995</v>
      </c>
      <c r="AB65" s="182">
        <v>5.4242</v>
      </c>
      <c r="AC65" s="182">
        <v>5.301446</v>
      </c>
      <c r="AD65" s="182">
        <v>5.319193</v>
      </c>
      <c r="AE65" s="182">
        <v>0</v>
      </c>
      <c r="AF65" s="182">
        <v>0</v>
      </c>
      <c r="AG65" s="182">
        <v>0</v>
      </c>
      <c r="AH65" s="182">
        <v>16.034952</v>
      </c>
      <c r="AI65" s="182">
        <v>0</v>
      </c>
      <c r="AJ65" s="182">
        <v>0</v>
      </c>
      <c r="AK65" s="182">
        <v>0</v>
      </c>
      <c r="AL65" s="182">
        <v>0</v>
      </c>
      <c r="AM65" s="182">
        <v>0</v>
      </c>
      <c r="AN65" s="182">
        <v>0</v>
      </c>
      <c r="AO65" s="182">
        <v>0</v>
      </c>
      <c r="AP65" s="182">
        <v>0</v>
      </c>
      <c r="AQ65" s="182">
        <v>0</v>
      </c>
      <c r="AR65" s="182">
        <v>5.37472</v>
      </c>
      <c r="AS65" s="182">
        <v>5.331575</v>
      </c>
      <c r="AT65" s="182">
        <v>5.328657</v>
      </c>
      <c r="AU65" s="182">
        <v>64.02682</v>
      </c>
      <c r="AV65" s="182">
        <v>5.34298</v>
      </c>
      <c r="AW65" s="182">
        <v>5.310412</v>
      </c>
      <c r="AX65" s="182">
        <v>5.361241</v>
      </c>
      <c r="AY65" s="182">
        <v>5.358516</v>
      </c>
      <c r="AZ65" s="182">
        <v>5.290704</v>
      </c>
      <c r="BA65" s="182">
        <v>5.3132</v>
      </c>
      <c r="BB65" s="182">
        <v>5.306811</v>
      </c>
      <c r="BC65" s="182">
        <v>5.317679</v>
      </c>
      <c r="BD65" s="182">
        <v>5.339662</v>
      </c>
      <c r="BE65" s="182">
        <v>5.39272</v>
      </c>
      <c r="BF65" s="182">
        <v>5.344867</v>
      </c>
      <c r="BG65" s="182">
        <v>5.348028</v>
      </c>
    </row>
    <row r="66" ht="16.2" spans="3:59">
      <c r="C66" s="153"/>
      <c r="D66" s="153" t="s">
        <v>218</v>
      </c>
      <c r="E66" s="157" t="str">
        <f t="shared" si="23"/>
        <v>支持中心</v>
      </c>
      <c r="F66" s="157" t="str">
        <f t="shared" si="24"/>
        <v>财务部</v>
      </c>
      <c r="G66" s="182">
        <v>26.48584</v>
      </c>
      <c r="H66" s="182">
        <v>2.227686</v>
      </c>
      <c r="I66" s="182">
        <v>2.164031</v>
      </c>
      <c r="J66" s="182">
        <v>2.241147</v>
      </c>
      <c r="K66" s="182">
        <v>2.191723</v>
      </c>
      <c r="L66" s="182">
        <v>2.18325</v>
      </c>
      <c r="M66" s="182">
        <v>2.215137</v>
      </c>
      <c r="N66" s="182">
        <v>2.236393</v>
      </c>
      <c r="O66" s="182">
        <v>2.198369</v>
      </c>
      <c r="P66" s="182">
        <v>2.200339</v>
      </c>
      <c r="Q66" s="182">
        <v>2.230911</v>
      </c>
      <c r="R66" s="182">
        <v>2.209664</v>
      </c>
      <c r="S66" s="182">
        <v>2.18719</v>
      </c>
      <c r="T66" s="186">
        <f t="shared" si="25"/>
        <v>26.436883</v>
      </c>
      <c r="U66" s="182">
        <v>19.827719</v>
      </c>
      <c r="V66" s="182">
        <v>2.189222</v>
      </c>
      <c r="W66" s="182">
        <v>2.183322</v>
      </c>
      <c r="X66" s="182">
        <v>2.222922</v>
      </c>
      <c r="Y66" s="182">
        <v>2.19848</v>
      </c>
      <c r="Z66" s="182">
        <v>2.210994</v>
      </c>
      <c r="AA66" s="182">
        <v>2.237855</v>
      </c>
      <c r="AB66" s="182">
        <v>2.217378</v>
      </c>
      <c r="AC66" s="182">
        <v>2.163227</v>
      </c>
      <c r="AD66" s="182">
        <v>2.204319</v>
      </c>
      <c r="AE66" s="182">
        <v>0</v>
      </c>
      <c r="AF66" s="182">
        <v>0</v>
      </c>
      <c r="AG66" s="182">
        <v>0</v>
      </c>
      <c r="AH66" s="182">
        <v>6.609164</v>
      </c>
      <c r="AI66" s="182">
        <v>0</v>
      </c>
      <c r="AJ66" s="182">
        <v>0</v>
      </c>
      <c r="AK66" s="182">
        <v>0</v>
      </c>
      <c r="AL66" s="182">
        <v>0</v>
      </c>
      <c r="AM66" s="182">
        <v>0</v>
      </c>
      <c r="AN66" s="182">
        <v>0</v>
      </c>
      <c r="AO66" s="182">
        <v>0</v>
      </c>
      <c r="AP66" s="182">
        <v>0</v>
      </c>
      <c r="AQ66" s="182">
        <v>0</v>
      </c>
      <c r="AR66" s="182">
        <v>2.225275</v>
      </c>
      <c r="AS66" s="182">
        <v>2.215963</v>
      </c>
      <c r="AT66" s="182">
        <v>2.167926</v>
      </c>
      <c r="AU66" s="182">
        <v>26.283545</v>
      </c>
      <c r="AV66" s="182">
        <v>2.158315</v>
      </c>
      <c r="AW66" s="182">
        <v>2.184421</v>
      </c>
      <c r="AX66" s="182">
        <v>2.206105</v>
      </c>
      <c r="AY66" s="182">
        <v>2.184398</v>
      </c>
      <c r="AZ66" s="182">
        <v>2.171474</v>
      </c>
      <c r="BA66" s="182">
        <v>2.196505</v>
      </c>
      <c r="BB66" s="182">
        <v>2.166657</v>
      </c>
      <c r="BC66" s="182">
        <v>2.209717</v>
      </c>
      <c r="BD66" s="182">
        <v>2.192067</v>
      </c>
      <c r="BE66" s="182">
        <v>2.23751</v>
      </c>
      <c r="BF66" s="182">
        <v>2.159657</v>
      </c>
      <c r="BG66" s="182">
        <v>2.216719</v>
      </c>
    </row>
    <row r="67" ht="16.2" spans="3:59">
      <c r="C67" s="153"/>
      <c r="D67" s="153" t="s">
        <v>219</v>
      </c>
      <c r="E67" s="157" t="str">
        <f t="shared" si="23"/>
        <v>支持中心</v>
      </c>
      <c r="F67" s="157" t="str">
        <f t="shared" si="24"/>
        <v>人力资源部</v>
      </c>
      <c r="G67" s="182">
        <v>22.579278</v>
      </c>
      <c r="H67" s="182">
        <v>1.899433</v>
      </c>
      <c r="I67" s="182">
        <v>1.870848</v>
      </c>
      <c r="J67" s="182">
        <v>1.874461</v>
      </c>
      <c r="K67" s="182">
        <v>1.873516</v>
      </c>
      <c r="L67" s="182">
        <v>1.902455</v>
      </c>
      <c r="M67" s="182">
        <v>1.88217</v>
      </c>
      <c r="N67" s="182">
        <v>1.883104</v>
      </c>
      <c r="O67" s="182">
        <v>1.88505</v>
      </c>
      <c r="P67" s="182">
        <v>1.86051</v>
      </c>
      <c r="Q67" s="182">
        <v>1.860599</v>
      </c>
      <c r="R67" s="182">
        <v>1.877359</v>
      </c>
      <c r="S67" s="182">
        <v>1.909773</v>
      </c>
      <c r="T67" s="186">
        <f t="shared" si="25"/>
        <v>22.591385</v>
      </c>
      <c r="U67" s="182">
        <v>16.912151</v>
      </c>
      <c r="V67" s="182">
        <v>1.876012</v>
      </c>
      <c r="W67" s="182">
        <v>1.873913</v>
      </c>
      <c r="X67" s="182">
        <v>1.856889</v>
      </c>
      <c r="Y67" s="182">
        <v>1.89385</v>
      </c>
      <c r="Z67" s="182">
        <v>1.877074</v>
      </c>
      <c r="AA67" s="182">
        <v>1.892585</v>
      </c>
      <c r="AB67" s="182">
        <v>1.913318</v>
      </c>
      <c r="AC67" s="182">
        <v>1.874879</v>
      </c>
      <c r="AD67" s="182">
        <v>1.853631</v>
      </c>
      <c r="AE67" s="182">
        <v>0</v>
      </c>
      <c r="AF67" s="182">
        <v>0</v>
      </c>
      <c r="AG67" s="182">
        <v>0</v>
      </c>
      <c r="AH67" s="182">
        <v>5.679234</v>
      </c>
      <c r="AI67" s="182">
        <v>0</v>
      </c>
      <c r="AJ67" s="182">
        <v>0</v>
      </c>
      <c r="AK67" s="182">
        <v>0</v>
      </c>
      <c r="AL67" s="182">
        <v>0</v>
      </c>
      <c r="AM67" s="182">
        <v>0</v>
      </c>
      <c r="AN67" s="182">
        <v>0</v>
      </c>
      <c r="AO67" s="182">
        <v>0</v>
      </c>
      <c r="AP67" s="182">
        <v>0</v>
      </c>
      <c r="AQ67" s="182">
        <v>0</v>
      </c>
      <c r="AR67" s="182">
        <v>1.903514</v>
      </c>
      <c r="AS67" s="182">
        <v>1.882064</v>
      </c>
      <c r="AT67" s="182">
        <v>1.893656</v>
      </c>
      <c r="AU67" s="182">
        <v>22.571159</v>
      </c>
      <c r="AV67" s="182">
        <v>1.910679</v>
      </c>
      <c r="AW67" s="182">
        <v>1.870318</v>
      </c>
      <c r="AX67" s="182">
        <v>1.881756</v>
      </c>
      <c r="AY67" s="182">
        <v>1.896937</v>
      </c>
      <c r="AZ67" s="182">
        <v>1.875428</v>
      </c>
      <c r="BA67" s="182">
        <v>1.871137</v>
      </c>
      <c r="BB67" s="182">
        <v>1.880263</v>
      </c>
      <c r="BC67" s="182">
        <v>1.874258</v>
      </c>
      <c r="BD67" s="182">
        <v>1.892045</v>
      </c>
      <c r="BE67" s="182">
        <v>1.880804</v>
      </c>
      <c r="BF67" s="182">
        <v>1.884264</v>
      </c>
      <c r="BG67" s="182">
        <v>1.85327</v>
      </c>
    </row>
    <row r="68" ht="16.2" spans="3:59">
      <c r="C68" s="153"/>
      <c r="D68" s="153" t="s">
        <v>220</v>
      </c>
      <c r="E68" s="157" t="str">
        <f t="shared" si="23"/>
        <v>支持中心</v>
      </c>
      <c r="F68" s="157" t="str">
        <f t="shared" si="24"/>
        <v>IT部</v>
      </c>
      <c r="G68" s="182">
        <v>11.36717</v>
      </c>
      <c r="H68" s="182">
        <v>0.919036</v>
      </c>
      <c r="I68" s="182">
        <v>0.962752</v>
      </c>
      <c r="J68" s="182">
        <v>0.958906</v>
      </c>
      <c r="K68" s="182">
        <v>0.951984</v>
      </c>
      <c r="L68" s="182">
        <v>0.941206</v>
      </c>
      <c r="M68" s="182">
        <v>0.946944</v>
      </c>
      <c r="N68" s="182">
        <v>0.933147</v>
      </c>
      <c r="O68" s="182">
        <v>0.950006</v>
      </c>
      <c r="P68" s="182">
        <v>0.972376</v>
      </c>
      <c r="Q68" s="182">
        <v>0.937848</v>
      </c>
      <c r="R68" s="182">
        <v>0.948849</v>
      </c>
      <c r="S68" s="182">
        <v>0.944116</v>
      </c>
      <c r="T68" s="186">
        <f t="shared" si="25"/>
        <v>11.321749</v>
      </c>
      <c r="U68" s="182">
        <v>8.511263</v>
      </c>
      <c r="V68" s="182">
        <v>0.917372</v>
      </c>
      <c r="W68" s="182">
        <v>0.955079</v>
      </c>
      <c r="X68" s="182">
        <v>0.954415</v>
      </c>
      <c r="Y68" s="182">
        <v>0.946536</v>
      </c>
      <c r="Z68" s="182">
        <v>0.944249</v>
      </c>
      <c r="AA68" s="182">
        <v>0.941421</v>
      </c>
      <c r="AB68" s="182">
        <v>0.966195</v>
      </c>
      <c r="AC68" s="182">
        <v>0.941789</v>
      </c>
      <c r="AD68" s="182">
        <v>0.944207</v>
      </c>
      <c r="AE68" s="182">
        <v>0</v>
      </c>
      <c r="AF68" s="182">
        <v>0</v>
      </c>
      <c r="AG68" s="182">
        <v>0</v>
      </c>
      <c r="AH68" s="182">
        <v>2.810486</v>
      </c>
      <c r="AI68" s="182">
        <v>0</v>
      </c>
      <c r="AJ68" s="182">
        <v>0</v>
      </c>
      <c r="AK68" s="182">
        <v>0</v>
      </c>
      <c r="AL68" s="182">
        <v>0</v>
      </c>
      <c r="AM68" s="182">
        <v>0</v>
      </c>
      <c r="AN68" s="182">
        <v>0</v>
      </c>
      <c r="AO68" s="182">
        <v>0</v>
      </c>
      <c r="AP68" s="182">
        <v>0</v>
      </c>
      <c r="AQ68" s="182">
        <v>0</v>
      </c>
      <c r="AR68" s="182">
        <v>0.92756</v>
      </c>
      <c r="AS68" s="182">
        <v>0.930361</v>
      </c>
      <c r="AT68" s="182">
        <v>0.952565</v>
      </c>
      <c r="AU68" s="182">
        <v>11.375117</v>
      </c>
      <c r="AV68" s="182">
        <v>0.953994</v>
      </c>
      <c r="AW68" s="182">
        <v>0.945944</v>
      </c>
      <c r="AX68" s="182">
        <v>0.955744</v>
      </c>
      <c r="AY68" s="182">
        <v>0.954241</v>
      </c>
      <c r="AZ68" s="182">
        <v>0.94209</v>
      </c>
      <c r="BA68" s="182">
        <v>0.944424</v>
      </c>
      <c r="BB68" s="182">
        <v>0.93301</v>
      </c>
      <c r="BC68" s="182">
        <v>0.919603</v>
      </c>
      <c r="BD68" s="182">
        <v>0.948921</v>
      </c>
      <c r="BE68" s="182">
        <v>0.951104</v>
      </c>
      <c r="BF68" s="182">
        <v>0.976387</v>
      </c>
      <c r="BG68" s="182">
        <v>0.949655</v>
      </c>
    </row>
    <row r="69" ht="16.2" spans="3:59">
      <c r="C69" s="153"/>
      <c r="D69" s="153" t="s">
        <v>221</v>
      </c>
      <c r="E69" s="157" t="str">
        <f t="shared" si="23"/>
        <v>支持中心</v>
      </c>
      <c r="F69" s="157" t="str">
        <f t="shared" si="24"/>
        <v>总经办</v>
      </c>
      <c r="G69" s="182">
        <v>3.715501</v>
      </c>
      <c r="H69" s="182">
        <v>0.319787</v>
      </c>
      <c r="I69" s="182">
        <v>0.310616</v>
      </c>
      <c r="J69" s="182">
        <v>0.313904</v>
      </c>
      <c r="K69" s="182">
        <v>0.318134</v>
      </c>
      <c r="L69" s="182">
        <v>0.315118</v>
      </c>
      <c r="M69" s="182">
        <v>0.301948</v>
      </c>
      <c r="N69" s="182">
        <v>0.303325</v>
      </c>
      <c r="O69" s="182">
        <v>0.308699</v>
      </c>
      <c r="P69" s="182">
        <v>0.305571</v>
      </c>
      <c r="Q69" s="182">
        <v>0.300032</v>
      </c>
      <c r="R69" s="182">
        <v>0.302393</v>
      </c>
      <c r="S69" s="182">
        <v>0.315974</v>
      </c>
      <c r="T69" s="186">
        <f t="shared" si="25"/>
        <v>3.788806</v>
      </c>
      <c r="U69" s="182">
        <v>2.852738</v>
      </c>
      <c r="V69" s="182">
        <v>0.328561</v>
      </c>
      <c r="W69" s="182">
        <v>0.327551</v>
      </c>
      <c r="X69" s="182">
        <v>0.30893</v>
      </c>
      <c r="Y69" s="182">
        <v>0.311277</v>
      </c>
      <c r="Z69" s="182">
        <v>0.309389</v>
      </c>
      <c r="AA69" s="182">
        <v>0.301134</v>
      </c>
      <c r="AB69" s="182">
        <v>0.327309</v>
      </c>
      <c r="AC69" s="182">
        <v>0.321551</v>
      </c>
      <c r="AD69" s="182">
        <v>0.317036</v>
      </c>
      <c r="AE69" s="182">
        <v>0</v>
      </c>
      <c r="AF69" s="182">
        <v>0</v>
      </c>
      <c r="AG69" s="182">
        <v>0</v>
      </c>
      <c r="AH69" s="182">
        <v>0.936068</v>
      </c>
      <c r="AI69" s="182">
        <v>0</v>
      </c>
      <c r="AJ69" s="182">
        <v>0</v>
      </c>
      <c r="AK69" s="182">
        <v>0</v>
      </c>
      <c r="AL69" s="182">
        <v>0</v>
      </c>
      <c r="AM69" s="182">
        <v>0</v>
      </c>
      <c r="AN69" s="182">
        <v>0</v>
      </c>
      <c r="AO69" s="182">
        <v>0</v>
      </c>
      <c r="AP69" s="182">
        <v>0</v>
      </c>
      <c r="AQ69" s="182">
        <v>0</v>
      </c>
      <c r="AR69" s="182">
        <v>0.318371</v>
      </c>
      <c r="AS69" s="182">
        <v>0.303187</v>
      </c>
      <c r="AT69" s="182">
        <v>0.31451</v>
      </c>
      <c r="AU69" s="182">
        <v>3.796999</v>
      </c>
      <c r="AV69" s="182">
        <v>0.319992</v>
      </c>
      <c r="AW69" s="182">
        <v>0.309729</v>
      </c>
      <c r="AX69" s="182">
        <v>0.317636</v>
      </c>
      <c r="AY69" s="182">
        <v>0.32294</v>
      </c>
      <c r="AZ69" s="182">
        <v>0.301712</v>
      </c>
      <c r="BA69" s="182">
        <v>0.301134</v>
      </c>
      <c r="BB69" s="182">
        <v>0.326881</v>
      </c>
      <c r="BC69" s="182">
        <v>0.314101</v>
      </c>
      <c r="BD69" s="182">
        <v>0.306629</v>
      </c>
      <c r="BE69" s="182">
        <v>0.323302</v>
      </c>
      <c r="BF69" s="182">
        <v>0.324559</v>
      </c>
      <c r="BG69" s="182">
        <v>0.328384</v>
      </c>
    </row>
    <row r="71" ht="20.4" spans="2:2">
      <c r="B71" s="36" t="s">
        <v>225</v>
      </c>
    </row>
    <row r="72" s="164" customFormat="1" ht="19.2" customHeight="1" spans="2:59">
      <c r="B72" s="153" t="s">
        <v>128</v>
      </c>
      <c r="C72" s="154"/>
      <c r="D72" s="154"/>
      <c r="E72" s="154" t="s">
        <v>209</v>
      </c>
      <c r="F72" s="154" t="s">
        <v>209</v>
      </c>
      <c r="G72" s="181">
        <v>76.2415810000001</v>
      </c>
      <c r="H72" s="181">
        <v>6.36858</v>
      </c>
      <c r="I72" s="181">
        <v>6.373974</v>
      </c>
      <c r="J72" s="181">
        <v>6.351489</v>
      </c>
      <c r="K72" s="181">
        <v>6.311171</v>
      </c>
      <c r="L72" s="181">
        <v>6.332852</v>
      </c>
      <c r="M72" s="181">
        <v>6.355494</v>
      </c>
      <c r="N72" s="181">
        <v>6.364232</v>
      </c>
      <c r="O72" s="181">
        <v>6.345037</v>
      </c>
      <c r="P72" s="181">
        <v>6.360801</v>
      </c>
      <c r="Q72" s="181">
        <v>6.398771</v>
      </c>
      <c r="R72" s="181">
        <v>6.341626</v>
      </c>
      <c r="S72" s="181">
        <v>6.337554</v>
      </c>
      <c r="T72" s="185">
        <f>U72+AH72</f>
        <v>76.316322</v>
      </c>
      <c r="U72" s="181">
        <v>57.218613</v>
      </c>
      <c r="V72" s="181">
        <v>6.353244</v>
      </c>
      <c r="W72" s="181">
        <v>6.368606</v>
      </c>
      <c r="X72" s="181">
        <v>6.382287</v>
      </c>
      <c r="Y72" s="181">
        <v>6.366384</v>
      </c>
      <c r="Z72" s="181">
        <v>6.397316</v>
      </c>
      <c r="AA72" s="181">
        <v>6.325348</v>
      </c>
      <c r="AB72" s="181">
        <v>6.344589</v>
      </c>
      <c r="AC72" s="181">
        <v>6.373042</v>
      </c>
      <c r="AD72" s="181">
        <v>6.307797</v>
      </c>
      <c r="AE72" s="181">
        <v>0</v>
      </c>
      <c r="AF72" s="181">
        <v>0</v>
      </c>
      <c r="AG72" s="181">
        <v>0</v>
      </c>
      <c r="AH72" s="181">
        <v>19.097709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81">
        <v>0</v>
      </c>
      <c r="AR72" s="181">
        <v>6.386689</v>
      </c>
      <c r="AS72" s="181">
        <v>6.373978</v>
      </c>
      <c r="AT72" s="181">
        <v>6.337042</v>
      </c>
      <c r="AU72" s="181">
        <v>76.376321</v>
      </c>
      <c r="AV72" s="181">
        <v>6.351112</v>
      </c>
      <c r="AW72" s="181">
        <v>6.329146</v>
      </c>
      <c r="AX72" s="181">
        <v>6.387524</v>
      </c>
      <c r="AY72" s="181">
        <v>6.344793</v>
      </c>
      <c r="AZ72" s="181">
        <v>6.407248</v>
      </c>
      <c r="BA72" s="181">
        <v>6.336409</v>
      </c>
      <c r="BB72" s="181">
        <v>6.355256</v>
      </c>
      <c r="BC72" s="181">
        <v>6.377366</v>
      </c>
      <c r="BD72" s="181">
        <v>6.367207</v>
      </c>
      <c r="BE72" s="181">
        <v>6.381772</v>
      </c>
      <c r="BF72" s="181">
        <v>6.379095</v>
      </c>
      <c r="BG72" s="181">
        <v>6.359393</v>
      </c>
    </row>
    <row r="73" ht="16.2" spans="3:59">
      <c r="C73" s="153" t="s">
        <v>210</v>
      </c>
      <c r="D73" s="153"/>
      <c r="E73" s="157" t="str">
        <f>IF(C73&lt;&gt;"",C73,E70)</f>
        <v>流程中心</v>
      </c>
      <c r="F73" s="157" t="str">
        <f>IF(D73&lt;&gt;"",D73,"*")</f>
        <v>*</v>
      </c>
      <c r="G73" s="182">
        <v>26.119635</v>
      </c>
      <c r="H73" s="182">
        <v>2.191697</v>
      </c>
      <c r="I73" s="182">
        <v>2.184467</v>
      </c>
      <c r="J73" s="182">
        <v>2.173013</v>
      </c>
      <c r="K73" s="182">
        <v>2.161188</v>
      </c>
      <c r="L73" s="182">
        <v>2.171043</v>
      </c>
      <c r="M73" s="182">
        <v>2.164463</v>
      </c>
      <c r="N73" s="182">
        <v>2.166482</v>
      </c>
      <c r="O73" s="182">
        <v>2.176146</v>
      </c>
      <c r="P73" s="182">
        <v>2.18568</v>
      </c>
      <c r="Q73" s="182">
        <v>2.191422</v>
      </c>
      <c r="R73" s="182">
        <v>2.172641</v>
      </c>
      <c r="S73" s="182">
        <v>2.181393</v>
      </c>
      <c r="T73" s="186">
        <f>U73+AH73</f>
        <v>26.12878</v>
      </c>
      <c r="U73" s="182">
        <v>19.550217</v>
      </c>
      <c r="V73" s="182">
        <v>2.161013</v>
      </c>
      <c r="W73" s="182">
        <v>2.188124</v>
      </c>
      <c r="X73" s="182">
        <v>2.172857</v>
      </c>
      <c r="Y73" s="182">
        <v>2.174699</v>
      </c>
      <c r="Z73" s="182">
        <v>2.18779</v>
      </c>
      <c r="AA73" s="182">
        <v>2.155672</v>
      </c>
      <c r="AB73" s="182">
        <v>2.182094</v>
      </c>
      <c r="AC73" s="182">
        <v>2.157474</v>
      </c>
      <c r="AD73" s="182">
        <v>2.170494</v>
      </c>
      <c r="AE73" s="182">
        <v>0</v>
      </c>
      <c r="AF73" s="182">
        <v>0</v>
      </c>
      <c r="AG73" s="182">
        <v>0</v>
      </c>
      <c r="AH73" s="182">
        <v>6.578563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182">
        <v>2.200735</v>
      </c>
      <c r="AS73" s="182">
        <v>2.203792</v>
      </c>
      <c r="AT73" s="182">
        <v>2.174036</v>
      </c>
      <c r="AU73" s="182">
        <v>26.104351</v>
      </c>
      <c r="AV73" s="182">
        <v>2.163751</v>
      </c>
      <c r="AW73" s="182">
        <v>2.148605</v>
      </c>
      <c r="AX73" s="182">
        <v>2.199874</v>
      </c>
      <c r="AY73" s="182">
        <v>2.16878</v>
      </c>
      <c r="AZ73" s="182">
        <v>2.177952</v>
      </c>
      <c r="BA73" s="182">
        <v>2.159416</v>
      </c>
      <c r="BB73" s="182">
        <v>2.184097</v>
      </c>
      <c r="BC73" s="182">
        <v>2.184791</v>
      </c>
      <c r="BD73" s="182">
        <v>2.185277</v>
      </c>
      <c r="BE73" s="182">
        <v>2.173707</v>
      </c>
      <c r="BF73" s="182">
        <v>2.178551</v>
      </c>
      <c r="BG73" s="182">
        <v>2.17955</v>
      </c>
    </row>
    <row r="74" ht="16.2" spans="3:59">
      <c r="C74" s="153"/>
      <c r="D74" s="153" t="s">
        <v>211</v>
      </c>
      <c r="E74" s="157" t="str">
        <f t="shared" ref="E74:E84" si="26">IF(C74&lt;&gt;"",C74,E73)</f>
        <v>流程中心</v>
      </c>
      <c r="F74" s="157" t="str">
        <f t="shared" ref="F74:F84" si="27">IF(D74&lt;&gt;"",D74,"*")</f>
        <v>销售中心</v>
      </c>
      <c r="G74" s="182">
        <v>15.161059</v>
      </c>
      <c r="H74" s="182">
        <v>1.274302</v>
      </c>
      <c r="I74" s="182">
        <v>1.272698</v>
      </c>
      <c r="J74" s="182">
        <v>1.258859</v>
      </c>
      <c r="K74" s="182">
        <v>1.252721</v>
      </c>
      <c r="L74" s="182">
        <v>1.254125</v>
      </c>
      <c r="M74" s="182">
        <v>1.252324</v>
      </c>
      <c r="N74" s="182">
        <v>1.269346</v>
      </c>
      <c r="O74" s="182">
        <v>1.254944</v>
      </c>
      <c r="P74" s="182">
        <v>1.265665</v>
      </c>
      <c r="Q74" s="182">
        <v>1.278776</v>
      </c>
      <c r="R74" s="182">
        <v>1.261311</v>
      </c>
      <c r="S74" s="182">
        <v>1.265988</v>
      </c>
      <c r="T74" s="186">
        <f t="shared" ref="T74:T84" si="28">U74+AH74</f>
        <v>15.119625</v>
      </c>
      <c r="U74" s="182">
        <v>11.30668</v>
      </c>
      <c r="V74" s="182">
        <v>1.251733</v>
      </c>
      <c r="W74" s="182">
        <v>1.260993</v>
      </c>
      <c r="X74" s="182">
        <v>1.244951</v>
      </c>
      <c r="Y74" s="182">
        <v>1.258888</v>
      </c>
      <c r="Z74" s="182">
        <v>1.273798</v>
      </c>
      <c r="AA74" s="182">
        <v>1.246626</v>
      </c>
      <c r="AB74" s="182">
        <v>1.267484</v>
      </c>
      <c r="AC74" s="182">
        <v>1.242296</v>
      </c>
      <c r="AD74" s="182">
        <v>1.259911</v>
      </c>
      <c r="AE74" s="182">
        <v>0</v>
      </c>
      <c r="AF74" s="182">
        <v>0</v>
      </c>
      <c r="AG74" s="182">
        <v>0</v>
      </c>
      <c r="AH74" s="182">
        <v>3.812945</v>
      </c>
      <c r="AI74" s="182">
        <v>0</v>
      </c>
      <c r="AJ74" s="182">
        <v>0</v>
      </c>
      <c r="AK74" s="182">
        <v>0</v>
      </c>
      <c r="AL74" s="182">
        <v>0</v>
      </c>
      <c r="AM74" s="182">
        <v>0</v>
      </c>
      <c r="AN74" s="182">
        <v>0</v>
      </c>
      <c r="AO74" s="182">
        <v>0</v>
      </c>
      <c r="AP74" s="182">
        <v>0</v>
      </c>
      <c r="AQ74" s="182">
        <v>0</v>
      </c>
      <c r="AR74" s="182">
        <v>1.274967</v>
      </c>
      <c r="AS74" s="182">
        <v>1.281271</v>
      </c>
      <c r="AT74" s="182">
        <v>1.256707</v>
      </c>
      <c r="AU74" s="182">
        <v>15.129775</v>
      </c>
      <c r="AV74" s="182">
        <v>1.253242</v>
      </c>
      <c r="AW74" s="182">
        <v>1.247087</v>
      </c>
      <c r="AX74" s="182">
        <v>1.275293</v>
      </c>
      <c r="AY74" s="182">
        <v>1.262977</v>
      </c>
      <c r="AZ74" s="182">
        <v>1.255196</v>
      </c>
      <c r="BA74" s="182">
        <v>1.244101</v>
      </c>
      <c r="BB74" s="182">
        <v>1.272081</v>
      </c>
      <c r="BC74" s="182">
        <v>1.26292</v>
      </c>
      <c r="BD74" s="182">
        <v>1.261153</v>
      </c>
      <c r="BE74" s="182">
        <v>1.269341</v>
      </c>
      <c r="BF74" s="182">
        <v>1.258876</v>
      </c>
      <c r="BG74" s="182">
        <v>1.267508</v>
      </c>
    </row>
    <row r="75" ht="16.2" spans="3:59">
      <c r="C75" s="153"/>
      <c r="D75" s="153" t="s">
        <v>212</v>
      </c>
      <c r="E75" s="157" t="str">
        <f t="shared" si="26"/>
        <v>流程中心</v>
      </c>
      <c r="F75" s="157" t="str">
        <f t="shared" si="27"/>
        <v>制造中心</v>
      </c>
      <c r="G75" s="182">
        <v>10.958576</v>
      </c>
      <c r="H75" s="182">
        <v>0.917395</v>
      </c>
      <c r="I75" s="182">
        <v>0.911769</v>
      </c>
      <c r="J75" s="182">
        <v>0.914154</v>
      </c>
      <c r="K75" s="182">
        <v>0.908467</v>
      </c>
      <c r="L75" s="182">
        <v>0.916918</v>
      </c>
      <c r="M75" s="182">
        <v>0.912139</v>
      </c>
      <c r="N75" s="182">
        <v>0.897136</v>
      </c>
      <c r="O75" s="182">
        <v>0.921202</v>
      </c>
      <c r="P75" s="182">
        <v>0.920015</v>
      </c>
      <c r="Q75" s="182">
        <v>0.912646</v>
      </c>
      <c r="R75" s="182">
        <v>0.91133</v>
      </c>
      <c r="S75" s="182">
        <v>0.915405</v>
      </c>
      <c r="T75" s="186">
        <f t="shared" si="28"/>
        <v>11.009155</v>
      </c>
      <c r="U75" s="182">
        <v>8.243537</v>
      </c>
      <c r="V75" s="182">
        <v>0.90928</v>
      </c>
      <c r="W75" s="182">
        <v>0.927131</v>
      </c>
      <c r="X75" s="182">
        <v>0.927906</v>
      </c>
      <c r="Y75" s="182">
        <v>0.915811</v>
      </c>
      <c r="Z75" s="182">
        <v>0.913992</v>
      </c>
      <c r="AA75" s="182">
        <v>0.909046</v>
      </c>
      <c r="AB75" s="182">
        <v>0.91461</v>
      </c>
      <c r="AC75" s="182">
        <v>0.915178</v>
      </c>
      <c r="AD75" s="182">
        <v>0.910583</v>
      </c>
      <c r="AE75" s="182">
        <v>0</v>
      </c>
      <c r="AF75" s="182">
        <v>0</v>
      </c>
      <c r="AG75" s="182">
        <v>0</v>
      </c>
      <c r="AH75" s="182">
        <v>2.765618</v>
      </c>
      <c r="AI75" s="182">
        <v>0</v>
      </c>
      <c r="AJ75" s="182">
        <v>0</v>
      </c>
      <c r="AK75" s="182">
        <v>0</v>
      </c>
      <c r="AL75" s="182">
        <v>0</v>
      </c>
      <c r="AM75" s="182">
        <v>0</v>
      </c>
      <c r="AN75" s="182">
        <v>0</v>
      </c>
      <c r="AO75" s="182">
        <v>0</v>
      </c>
      <c r="AP75" s="182">
        <v>0</v>
      </c>
      <c r="AQ75" s="182">
        <v>0</v>
      </c>
      <c r="AR75" s="182">
        <v>0.925768</v>
      </c>
      <c r="AS75" s="182">
        <v>0.922521</v>
      </c>
      <c r="AT75" s="182">
        <v>0.917329</v>
      </c>
      <c r="AU75" s="182">
        <v>10.974576</v>
      </c>
      <c r="AV75" s="182">
        <v>0.910509</v>
      </c>
      <c r="AW75" s="182">
        <v>0.901518</v>
      </c>
      <c r="AX75" s="182">
        <v>0.924581</v>
      </c>
      <c r="AY75" s="182">
        <v>0.905803</v>
      </c>
      <c r="AZ75" s="182">
        <v>0.922756</v>
      </c>
      <c r="BA75" s="182">
        <v>0.915315</v>
      </c>
      <c r="BB75" s="182">
        <v>0.912016</v>
      </c>
      <c r="BC75" s="182">
        <v>0.921871</v>
      </c>
      <c r="BD75" s="182">
        <v>0.924124</v>
      </c>
      <c r="BE75" s="182">
        <v>0.904366</v>
      </c>
      <c r="BF75" s="182">
        <v>0.919675</v>
      </c>
      <c r="BG75" s="182">
        <v>0.912042</v>
      </c>
    </row>
    <row r="76" ht="16.2" spans="3:59">
      <c r="C76" s="153" t="s">
        <v>213</v>
      </c>
      <c r="D76" s="153"/>
      <c r="E76" s="157" t="str">
        <f t="shared" si="26"/>
        <v>创新中心</v>
      </c>
      <c r="F76" s="157" t="str">
        <f t="shared" si="27"/>
        <v>*</v>
      </c>
      <c r="G76" s="182">
        <v>24.05573</v>
      </c>
      <c r="H76" s="182">
        <v>1.996573</v>
      </c>
      <c r="I76" s="182">
        <v>2.000484</v>
      </c>
      <c r="J76" s="182">
        <v>2.025467</v>
      </c>
      <c r="K76" s="182">
        <v>1.985626</v>
      </c>
      <c r="L76" s="182">
        <v>1.994369</v>
      </c>
      <c r="M76" s="182">
        <v>2.014204</v>
      </c>
      <c r="N76" s="182">
        <v>2.011618</v>
      </c>
      <c r="O76" s="182">
        <v>1.98852</v>
      </c>
      <c r="P76" s="182">
        <v>2.017589</v>
      </c>
      <c r="Q76" s="182">
        <v>2.011925</v>
      </c>
      <c r="R76" s="182">
        <v>2.0159</v>
      </c>
      <c r="S76" s="182">
        <v>1.993455</v>
      </c>
      <c r="T76" s="186">
        <f t="shared" si="28"/>
        <v>24.080608</v>
      </c>
      <c r="U76" s="182">
        <v>18.110348</v>
      </c>
      <c r="V76" s="182">
        <v>2.023052</v>
      </c>
      <c r="W76" s="182">
        <v>1.998653</v>
      </c>
      <c r="X76" s="182">
        <v>2.021874</v>
      </c>
      <c r="Y76" s="182">
        <v>2.000012</v>
      </c>
      <c r="Z76" s="182">
        <v>2.032978</v>
      </c>
      <c r="AA76" s="182">
        <v>2.005348</v>
      </c>
      <c r="AB76" s="182">
        <v>2.00583</v>
      </c>
      <c r="AC76" s="182">
        <v>2.024832</v>
      </c>
      <c r="AD76" s="182">
        <v>1.997769</v>
      </c>
      <c r="AE76" s="182">
        <v>0</v>
      </c>
      <c r="AF76" s="182">
        <v>0</v>
      </c>
      <c r="AG76" s="182">
        <v>0</v>
      </c>
      <c r="AH76" s="182">
        <v>5.97026</v>
      </c>
      <c r="AI76" s="182">
        <v>0</v>
      </c>
      <c r="AJ76" s="182">
        <v>0</v>
      </c>
      <c r="AK76" s="182">
        <v>0</v>
      </c>
      <c r="AL76" s="182">
        <v>0</v>
      </c>
      <c r="AM76" s="182">
        <v>0</v>
      </c>
      <c r="AN76" s="182">
        <v>0</v>
      </c>
      <c r="AO76" s="182">
        <v>0</v>
      </c>
      <c r="AP76" s="182">
        <v>0</v>
      </c>
      <c r="AQ76" s="182">
        <v>0</v>
      </c>
      <c r="AR76" s="182">
        <v>1.994532</v>
      </c>
      <c r="AS76" s="182">
        <v>1.996211</v>
      </c>
      <c r="AT76" s="182">
        <v>1.979517</v>
      </c>
      <c r="AU76" s="182">
        <v>24.132011</v>
      </c>
      <c r="AV76" s="182">
        <v>2.008992</v>
      </c>
      <c r="AW76" s="182">
        <v>2.00751</v>
      </c>
      <c r="AX76" s="182">
        <v>2.008239</v>
      </c>
      <c r="AY76" s="182">
        <v>1.99263</v>
      </c>
      <c r="AZ76" s="182">
        <v>2.023919</v>
      </c>
      <c r="BA76" s="182">
        <v>2.010013</v>
      </c>
      <c r="BB76" s="182">
        <v>1.99371</v>
      </c>
      <c r="BC76" s="182">
        <v>2.014657</v>
      </c>
      <c r="BD76" s="182">
        <v>2.011998</v>
      </c>
      <c r="BE76" s="182">
        <v>2.012929</v>
      </c>
      <c r="BF76" s="182">
        <v>2.028382</v>
      </c>
      <c r="BG76" s="182">
        <v>2.019032</v>
      </c>
    </row>
    <row r="77" ht="16.2" spans="3:59">
      <c r="C77" s="153"/>
      <c r="D77" s="153" t="s">
        <v>214</v>
      </c>
      <c r="E77" s="157" t="str">
        <f t="shared" si="26"/>
        <v>创新中心</v>
      </c>
      <c r="F77" s="157" t="str">
        <f t="shared" si="27"/>
        <v>产品
研发部</v>
      </c>
      <c r="G77" s="182">
        <v>8.313064</v>
      </c>
      <c r="H77" s="182">
        <v>0.701288</v>
      </c>
      <c r="I77" s="182">
        <v>0.70102</v>
      </c>
      <c r="J77" s="182">
        <v>0.696482</v>
      </c>
      <c r="K77" s="182">
        <v>0.689966</v>
      </c>
      <c r="L77" s="182">
        <v>0.683834</v>
      </c>
      <c r="M77" s="182">
        <v>0.694926</v>
      </c>
      <c r="N77" s="182">
        <v>0.699079</v>
      </c>
      <c r="O77" s="182">
        <v>0.68831</v>
      </c>
      <c r="P77" s="182">
        <v>0.695184</v>
      </c>
      <c r="Q77" s="182">
        <v>0.69475</v>
      </c>
      <c r="R77" s="182">
        <v>0.691808</v>
      </c>
      <c r="S77" s="182">
        <v>0.676417</v>
      </c>
      <c r="T77" s="186">
        <f t="shared" si="28"/>
        <v>8.2977</v>
      </c>
      <c r="U77" s="182">
        <v>6.252779</v>
      </c>
      <c r="V77" s="182">
        <v>0.690125</v>
      </c>
      <c r="W77" s="182">
        <v>0.70445</v>
      </c>
      <c r="X77" s="182">
        <v>0.69446</v>
      </c>
      <c r="Y77" s="182">
        <v>0.683807</v>
      </c>
      <c r="Z77" s="182">
        <v>0.70262</v>
      </c>
      <c r="AA77" s="182">
        <v>0.688212</v>
      </c>
      <c r="AB77" s="182">
        <v>0.699813</v>
      </c>
      <c r="AC77" s="182">
        <v>0.692095</v>
      </c>
      <c r="AD77" s="182">
        <v>0.697197</v>
      </c>
      <c r="AE77" s="182">
        <v>0</v>
      </c>
      <c r="AF77" s="182">
        <v>0</v>
      </c>
      <c r="AG77" s="182">
        <v>0</v>
      </c>
      <c r="AH77" s="182">
        <v>2.044921</v>
      </c>
      <c r="AI77" s="182">
        <v>0</v>
      </c>
      <c r="AJ77" s="182">
        <v>0</v>
      </c>
      <c r="AK77" s="182">
        <v>0</v>
      </c>
      <c r="AL77" s="182">
        <v>0</v>
      </c>
      <c r="AM77" s="182">
        <v>0</v>
      </c>
      <c r="AN77" s="182">
        <v>0</v>
      </c>
      <c r="AO77" s="182">
        <v>0</v>
      </c>
      <c r="AP77" s="182">
        <v>0</v>
      </c>
      <c r="AQ77" s="182">
        <v>0</v>
      </c>
      <c r="AR77" s="182">
        <v>0.679507</v>
      </c>
      <c r="AS77" s="182">
        <v>0.683012</v>
      </c>
      <c r="AT77" s="182">
        <v>0.682402</v>
      </c>
      <c r="AU77" s="182">
        <v>8.319997</v>
      </c>
      <c r="AV77" s="182">
        <v>0.692179</v>
      </c>
      <c r="AW77" s="182">
        <v>0.69842</v>
      </c>
      <c r="AX77" s="182">
        <v>0.687858</v>
      </c>
      <c r="AY77" s="182">
        <v>0.676326</v>
      </c>
      <c r="AZ77" s="182">
        <v>0.698767</v>
      </c>
      <c r="BA77" s="182">
        <v>0.68567</v>
      </c>
      <c r="BB77" s="182">
        <v>0.68378</v>
      </c>
      <c r="BC77" s="182">
        <v>0.690648</v>
      </c>
      <c r="BD77" s="182">
        <v>0.70125</v>
      </c>
      <c r="BE77" s="182">
        <v>0.695019</v>
      </c>
      <c r="BF77" s="182">
        <v>0.710925</v>
      </c>
      <c r="BG77" s="182">
        <v>0.699155</v>
      </c>
    </row>
    <row r="78" ht="16.2" spans="3:59">
      <c r="C78" s="153"/>
      <c r="D78" s="153" t="s">
        <v>215</v>
      </c>
      <c r="E78" s="157" t="str">
        <f t="shared" si="26"/>
        <v>创新中心</v>
      </c>
      <c r="F78" s="157" t="str">
        <f t="shared" si="27"/>
        <v>XX
试验室</v>
      </c>
      <c r="G78" s="182">
        <v>5.701424</v>
      </c>
      <c r="H78" s="182">
        <v>0.471084</v>
      </c>
      <c r="I78" s="182">
        <v>0.471775</v>
      </c>
      <c r="J78" s="182">
        <v>0.481917</v>
      </c>
      <c r="K78" s="182">
        <v>0.46122</v>
      </c>
      <c r="L78" s="182">
        <v>0.473659</v>
      </c>
      <c r="M78" s="182">
        <v>0.474608</v>
      </c>
      <c r="N78" s="182">
        <v>0.480449</v>
      </c>
      <c r="O78" s="182">
        <v>0.474768</v>
      </c>
      <c r="P78" s="182">
        <v>0.474666</v>
      </c>
      <c r="Q78" s="182">
        <v>0.480648</v>
      </c>
      <c r="R78" s="182">
        <v>0.481682</v>
      </c>
      <c r="S78" s="182">
        <v>0.474948</v>
      </c>
      <c r="T78" s="186">
        <f t="shared" si="28"/>
        <v>5.648278</v>
      </c>
      <c r="U78" s="182">
        <v>4.249725</v>
      </c>
      <c r="V78" s="182">
        <v>0.47512</v>
      </c>
      <c r="W78" s="182">
        <v>0.464604</v>
      </c>
      <c r="X78" s="182">
        <v>0.478106</v>
      </c>
      <c r="Y78" s="182">
        <v>0.473568</v>
      </c>
      <c r="Z78" s="182">
        <v>0.471606</v>
      </c>
      <c r="AA78" s="182">
        <v>0.479678</v>
      </c>
      <c r="AB78" s="182">
        <v>0.465524</v>
      </c>
      <c r="AC78" s="182">
        <v>0.475049</v>
      </c>
      <c r="AD78" s="182">
        <v>0.46647</v>
      </c>
      <c r="AE78" s="182">
        <v>0</v>
      </c>
      <c r="AF78" s="182">
        <v>0</v>
      </c>
      <c r="AG78" s="182">
        <v>0</v>
      </c>
      <c r="AH78" s="182">
        <v>1.398553</v>
      </c>
      <c r="AI78" s="182">
        <v>0</v>
      </c>
      <c r="AJ78" s="182">
        <v>0</v>
      </c>
      <c r="AK78" s="182">
        <v>0</v>
      </c>
      <c r="AL78" s="182">
        <v>0</v>
      </c>
      <c r="AM78" s="182">
        <v>0</v>
      </c>
      <c r="AN78" s="182">
        <v>0</v>
      </c>
      <c r="AO78" s="182">
        <v>0</v>
      </c>
      <c r="AP78" s="182">
        <v>0</v>
      </c>
      <c r="AQ78" s="182">
        <v>0</v>
      </c>
      <c r="AR78" s="182">
        <v>0.464638</v>
      </c>
      <c r="AS78" s="182">
        <v>0.466648</v>
      </c>
      <c r="AT78" s="182">
        <v>0.467267</v>
      </c>
      <c r="AU78" s="182">
        <v>5.684959</v>
      </c>
      <c r="AV78" s="182">
        <v>0.471429</v>
      </c>
      <c r="AW78" s="182">
        <v>0.464719</v>
      </c>
      <c r="AX78" s="182">
        <v>0.476778</v>
      </c>
      <c r="AY78" s="182">
        <v>0.481475</v>
      </c>
      <c r="AZ78" s="182">
        <v>0.468237</v>
      </c>
      <c r="BA78" s="182">
        <v>0.476409</v>
      </c>
      <c r="BB78" s="182">
        <v>0.467212</v>
      </c>
      <c r="BC78" s="182">
        <v>0.47473</v>
      </c>
      <c r="BD78" s="182">
        <v>0.479318</v>
      </c>
      <c r="BE78" s="182">
        <v>0.473035</v>
      </c>
      <c r="BF78" s="182">
        <v>0.481018</v>
      </c>
      <c r="BG78" s="182">
        <v>0.470599</v>
      </c>
    </row>
    <row r="79" ht="16.2" spans="3:59">
      <c r="C79" s="153"/>
      <c r="D79" s="153" t="s">
        <v>216</v>
      </c>
      <c r="E79" s="157" t="str">
        <f t="shared" si="26"/>
        <v>创新中心</v>
      </c>
      <c r="F79" s="157" t="str">
        <f t="shared" si="27"/>
        <v>XX
孵化业务</v>
      </c>
      <c r="G79" s="182">
        <v>10.041242</v>
      </c>
      <c r="H79" s="182">
        <v>0.824201</v>
      </c>
      <c r="I79" s="182">
        <v>0.827689</v>
      </c>
      <c r="J79" s="182">
        <v>0.847068</v>
      </c>
      <c r="K79" s="182">
        <v>0.83444</v>
      </c>
      <c r="L79" s="182">
        <v>0.836876</v>
      </c>
      <c r="M79" s="182">
        <v>0.84467</v>
      </c>
      <c r="N79" s="182">
        <v>0.83209</v>
      </c>
      <c r="O79" s="182">
        <v>0.825442</v>
      </c>
      <c r="P79" s="182">
        <v>0.847739</v>
      </c>
      <c r="Q79" s="182">
        <v>0.836527</v>
      </c>
      <c r="R79" s="182">
        <v>0.84241</v>
      </c>
      <c r="S79" s="182">
        <v>0.84209</v>
      </c>
      <c r="T79" s="186">
        <f t="shared" si="28"/>
        <v>10.13463</v>
      </c>
      <c r="U79" s="182">
        <v>7.607844</v>
      </c>
      <c r="V79" s="182">
        <v>0.857807</v>
      </c>
      <c r="W79" s="182">
        <v>0.829599</v>
      </c>
      <c r="X79" s="182">
        <v>0.849308</v>
      </c>
      <c r="Y79" s="182">
        <v>0.842637</v>
      </c>
      <c r="Z79" s="182">
        <v>0.858752</v>
      </c>
      <c r="AA79" s="182">
        <v>0.837458</v>
      </c>
      <c r="AB79" s="182">
        <v>0.840493</v>
      </c>
      <c r="AC79" s="182">
        <v>0.857688</v>
      </c>
      <c r="AD79" s="182">
        <v>0.834102</v>
      </c>
      <c r="AE79" s="182">
        <v>0</v>
      </c>
      <c r="AF79" s="182">
        <v>0</v>
      </c>
      <c r="AG79" s="182">
        <v>0</v>
      </c>
      <c r="AH79" s="182">
        <v>2.526786</v>
      </c>
      <c r="AI79" s="182">
        <v>0</v>
      </c>
      <c r="AJ79" s="182">
        <v>0</v>
      </c>
      <c r="AK79" s="182">
        <v>0</v>
      </c>
      <c r="AL79" s="182">
        <v>0</v>
      </c>
      <c r="AM79" s="182">
        <v>0</v>
      </c>
      <c r="AN79" s="182">
        <v>0</v>
      </c>
      <c r="AO79" s="182">
        <v>0</v>
      </c>
      <c r="AP79" s="182">
        <v>0</v>
      </c>
      <c r="AQ79" s="182">
        <v>0</v>
      </c>
      <c r="AR79" s="182">
        <v>0.850387</v>
      </c>
      <c r="AS79" s="182">
        <v>0.846551</v>
      </c>
      <c r="AT79" s="182">
        <v>0.829848</v>
      </c>
      <c r="AU79" s="182">
        <v>10.127055</v>
      </c>
      <c r="AV79" s="182">
        <v>0.845384</v>
      </c>
      <c r="AW79" s="182">
        <v>0.844371</v>
      </c>
      <c r="AX79" s="182">
        <v>0.843603</v>
      </c>
      <c r="AY79" s="182">
        <v>0.834829</v>
      </c>
      <c r="AZ79" s="182">
        <v>0.856915</v>
      </c>
      <c r="BA79" s="182">
        <v>0.847934</v>
      </c>
      <c r="BB79" s="182">
        <v>0.842718</v>
      </c>
      <c r="BC79" s="182">
        <v>0.849279</v>
      </c>
      <c r="BD79" s="182">
        <v>0.83143</v>
      </c>
      <c r="BE79" s="182">
        <v>0.844875</v>
      </c>
      <c r="BF79" s="182">
        <v>0.836439</v>
      </c>
      <c r="BG79" s="182">
        <v>0.849278</v>
      </c>
    </row>
    <row r="80" ht="16.2" spans="3:59">
      <c r="C80" s="153" t="s">
        <v>217</v>
      </c>
      <c r="D80" s="153"/>
      <c r="E80" s="157" t="str">
        <f t="shared" si="26"/>
        <v>支持中心</v>
      </c>
      <c r="F80" s="157" t="str">
        <f t="shared" si="27"/>
        <v>*</v>
      </c>
      <c r="G80" s="182">
        <v>26.066216</v>
      </c>
      <c r="H80" s="182">
        <v>2.18031</v>
      </c>
      <c r="I80" s="182">
        <v>2.189023</v>
      </c>
      <c r="J80" s="182">
        <v>2.153009</v>
      </c>
      <c r="K80" s="182">
        <v>2.164357</v>
      </c>
      <c r="L80" s="182">
        <v>2.16744</v>
      </c>
      <c r="M80" s="182">
        <v>2.176827</v>
      </c>
      <c r="N80" s="182">
        <v>2.186132</v>
      </c>
      <c r="O80" s="182">
        <v>2.180371</v>
      </c>
      <c r="P80" s="182">
        <v>2.157532</v>
      </c>
      <c r="Q80" s="182">
        <v>2.195424</v>
      </c>
      <c r="R80" s="182">
        <v>2.153085</v>
      </c>
      <c r="S80" s="182">
        <v>2.162706</v>
      </c>
      <c r="T80" s="186">
        <f t="shared" si="28"/>
        <v>26.106934</v>
      </c>
      <c r="U80" s="182">
        <v>19.558048</v>
      </c>
      <c r="V80" s="182">
        <v>2.169179</v>
      </c>
      <c r="W80" s="182">
        <v>2.181829</v>
      </c>
      <c r="X80" s="182">
        <v>2.187556</v>
      </c>
      <c r="Y80" s="182">
        <v>2.191673</v>
      </c>
      <c r="Z80" s="182">
        <v>2.176548</v>
      </c>
      <c r="AA80" s="182">
        <v>2.164328</v>
      </c>
      <c r="AB80" s="182">
        <v>2.156665</v>
      </c>
      <c r="AC80" s="182">
        <v>2.190736</v>
      </c>
      <c r="AD80" s="182">
        <v>2.139534</v>
      </c>
      <c r="AE80" s="182">
        <v>0</v>
      </c>
      <c r="AF80" s="182">
        <v>0</v>
      </c>
      <c r="AG80" s="182">
        <v>0</v>
      </c>
      <c r="AH80" s="182">
        <v>6.548886</v>
      </c>
      <c r="AI80" s="182">
        <v>0</v>
      </c>
      <c r="AJ80" s="182">
        <v>0</v>
      </c>
      <c r="AK80" s="182">
        <v>0</v>
      </c>
      <c r="AL80" s="182">
        <v>0</v>
      </c>
      <c r="AM80" s="182">
        <v>0</v>
      </c>
      <c r="AN80" s="182">
        <v>0</v>
      </c>
      <c r="AO80" s="182">
        <v>0</v>
      </c>
      <c r="AP80" s="182">
        <v>0</v>
      </c>
      <c r="AQ80" s="182">
        <v>0</v>
      </c>
      <c r="AR80" s="182">
        <v>2.191422</v>
      </c>
      <c r="AS80" s="182">
        <v>2.173975</v>
      </c>
      <c r="AT80" s="182">
        <v>2.183489</v>
      </c>
      <c r="AU80" s="182">
        <v>26.139959</v>
      </c>
      <c r="AV80" s="182">
        <v>2.178369</v>
      </c>
      <c r="AW80" s="182">
        <v>2.173031</v>
      </c>
      <c r="AX80" s="182">
        <v>2.179411</v>
      </c>
      <c r="AY80" s="182">
        <v>2.183383</v>
      </c>
      <c r="AZ80" s="182">
        <v>2.205377</v>
      </c>
      <c r="BA80" s="182">
        <v>2.16698</v>
      </c>
      <c r="BB80" s="182">
        <v>2.177449</v>
      </c>
      <c r="BC80" s="182">
        <v>2.177918</v>
      </c>
      <c r="BD80" s="182">
        <v>2.169932</v>
      </c>
      <c r="BE80" s="182">
        <v>2.195136</v>
      </c>
      <c r="BF80" s="182">
        <v>2.172162</v>
      </c>
      <c r="BG80" s="182">
        <v>2.160811</v>
      </c>
    </row>
    <row r="81" ht="16.2" spans="3:59">
      <c r="C81" s="153"/>
      <c r="D81" s="153" t="s">
        <v>218</v>
      </c>
      <c r="E81" s="157" t="str">
        <f t="shared" si="26"/>
        <v>支持中心</v>
      </c>
      <c r="F81" s="157" t="str">
        <f t="shared" si="27"/>
        <v>财务部</v>
      </c>
      <c r="G81" s="182">
        <v>10.220648</v>
      </c>
      <c r="H81" s="182">
        <v>0.852167</v>
      </c>
      <c r="I81" s="182">
        <v>0.856249</v>
      </c>
      <c r="J81" s="182">
        <v>0.847313</v>
      </c>
      <c r="K81" s="182">
        <v>0.849026</v>
      </c>
      <c r="L81" s="182">
        <v>0.853271</v>
      </c>
      <c r="M81" s="182">
        <v>0.859167</v>
      </c>
      <c r="N81" s="182">
        <v>0.85685</v>
      </c>
      <c r="O81" s="182">
        <v>0.86455</v>
      </c>
      <c r="P81" s="182">
        <v>0.84177</v>
      </c>
      <c r="Q81" s="182">
        <v>0.854818</v>
      </c>
      <c r="R81" s="182">
        <v>0.833818</v>
      </c>
      <c r="S81" s="182">
        <v>0.851649</v>
      </c>
      <c r="T81" s="186">
        <f t="shared" si="28"/>
        <v>10.181782</v>
      </c>
      <c r="U81" s="182">
        <v>7.621265</v>
      </c>
      <c r="V81" s="182">
        <v>0.863102</v>
      </c>
      <c r="W81" s="182">
        <v>0.85502</v>
      </c>
      <c r="X81" s="182">
        <v>0.846417</v>
      </c>
      <c r="Y81" s="182">
        <v>0.85148</v>
      </c>
      <c r="Z81" s="182">
        <v>0.844626</v>
      </c>
      <c r="AA81" s="182">
        <v>0.847214</v>
      </c>
      <c r="AB81" s="182">
        <v>0.837834</v>
      </c>
      <c r="AC81" s="182">
        <v>0.839054</v>
      </c>
      <c r="AD81" s="182">
        <v>0.836518</v>
      </c>
      <c r="AE81" s="182">
        <v>0</v>
      </c>
      <c r="AF81" s="182">
        <v>0</v>
      </c>
      <c r="AG81" s="182">
        <v>0</v>
      </c>
      <c r="AH81" s="182">
        <v>2.560517</v>
      </c>
      <c r="AI81" s="182">
        <v>0</v>
      </c>
      <c r="AJ81" s="182">
        <v>0</v>
      </c>
      <c r="AK81" s="182">
        <v>0</v>
      </c>
      <c r="AL81" s="182">
        <v>0</v>
      </c>
      <c r="AM81" s="182">
        <v>0</v>
      </c>
      <c r="AN81" s="182">
        <v>0</v>
      </c>
      <c r="AO81" s="182">
        <v>0</v>
      </c>
      <c r="AP81" s="182">
        <v>0</v>
      </c>
      <c r="AQ81" s="182">
        <v>0</v>
      </c>
      <c r="AR81" s="182">
        <v>0.867929</v>
      </c>
      <c r="AS81" s="182">
        <v>0.845008</v>
      </c>
      <c r="AT81" s="182">
        <v>0.84758</v>
      </c>
      <c r="AU81" s="182">
        <v>10.194448</v>
      </c>
      <c r="AV81" s="182">
        <v>0.844008</v>
      </c>
      <c r="AW81" s="182">
        <v>0.847324</v>
      </c>
      <c r="AX81" s="182">
        <v>0.863778</v>
      </c>
      <c r="AY81" s="182">
        <v>0.84755</v>
      </c>
      <c r="AZ81" s="182">
        <v>0.846975</v>
      </c>
      <c r="BA81" s="182">
        <v>0.848965</v>
      </c>
      <c r="BB81" s="182">
        <v>0.862363</v>
      </c>
      <c r="BC81" s="182">
        <v>0.834602</v>
      </c>
      <c r="BD81" s="182">
        <v>0.85904</v>
      </c>
      <c r="BE81" s="182">
        <v>0.854021</v>
      </c>
      <c r="BF81" s="182">
        <v>0.847411</v>
      </c>
      <c r="BG81" s="182">
        <v>0.838411</v>
      </c>
    </row>
    <row r="82" ht="16.2" spans="3:59">
      <c r="C82" s="153"/>
      <c r="D82" s="153" t="s">
        <v>219</v>
      </c>
      <c r="E82" s="157" t="str">
        <f t="shared" si="26"/>
        <v>支持中心</v>
      </c>
      <c r="F82" s="157" t="str">
        <f t="shared" si="27"/>
        <v>人力资源部</v>
      </c>
      <c r="G82" s="182">
        <v>9.057363</v>
      </c>
      <c r="H82" s="182">
        <v>0.760457</v>
      </c>
      <c r="I82" s="182">
        <v>0.764703</v>
      </c>
      <c r="J82" s="182">
        <v>0.746045</v>
      </c>
      <c r="K82" s="182">
        <v>0.758253</v>
      </c>
      <c r="L82" s="182">
        <v>0.743745</v>
      </c>
      <c r="M82" s="182">
        <v>0.750512</v>
      </c>
      <c r="N82" s="182">
        <v>0.751814</v>
      </c>
      <c r="O82" s="182">
        <v>0.740608</v>
      </c>
      <c r="P82" s="182">
        <v>0.757869</v>
      </c>
      <c r="Q82" s="182">
        <v>0.76619</v>
      </c>
      <c r="R82" s="182">
        <v>0.764996</v>
      </c>
      <c r="S82" s="182">
        <v>0.752171</v>
      </c>
      <c r="T82" s="186">
        <f t="shared" si="28"/>
        <v>9.058353</v>
      </c>
      <c r="U82" s="182">
        <v>6.799579</v>
      </c>
      <c r="V82" s="182">
        <v>0.747243</v>
      </c>
      <c r="W82" s="182">
        <v>0.765752</v>
      </c>
      <c r="X82" s="182">
        <v>0.759923</v>
      </c>
      <c r="Y82" s="182">
        <v>0.759788</v>
      </c>
      <c r="Z82" s="182">
        <v>0.75712</v>
      </c>
      <c r="AA82" s="182">
        <v>0.744823</v>
      </c>
      <c r="AB82" s="182">
        <v>0.754935</v>
      </c>
      <c r="AC82" s="182">
        <v>0.770553</v>
      </c>
      <c r="AD82" s="182">
        <v>0.739442</v>
      </c>
      <c r="AE82" s="182">
        <v>0</v>
      </c>
      <c r="AF82" s="182">
        <v>0</v>
      </c>
      <c r="AG82" s="182">
        <v>0</v>
      </c>
      <c r="AH82" s="182">
        <v>2.258774</v>
      </c>
      <c r="AI82" s="182">
        <v>0</v>
      </c>
      <c r="AJ82" s="182">
        <v>0</v>
      </c>
      <c r="AK82" s="182">
        <v>0</v>
      </c>
      <c r="AL82" s="182">
        <v>0</v>
      </c>
      <c r="AM82" s="182">
        <v>0</v>
      </c>
      <c r="AN82" s="182">
        <v>0</v>
      </c>
      <c r="AO82" s="182">
        <v>0</v>
      </c>
      <c r="AP82" s="182">
        <v>0</v>
      </c>
      <c r="AQ82" s="182">
        <v>0</v>
      </c>
      <c r="AR82" s="182">
        <v>0.747684</v>
      </c>
      <c r="AS82" s="182">
        <v>0.758163</v>
      </c>
      <c r="AT82" s="182">
        <v>0.752927</v>
      </c>
      <c r="AU82" s="182">
        <v>9.095708</v>
      </c>
      <c r="AV82" s="182">
        <v>0.765564</v>
      </c>
      <c r="AW82" s="182">
        <v>0.74674</v>
      </c>
      <c r="AX82" s="182">
        <v>0.754815</v>
      </c>
      <c r="AY82" s="182">
        <v>0.753437</v>
      </c>
      <c r="AZ82" s="182">
        <v>0.773267</v>
      </c>
      <c r="BA82" s="182">
        <v>0.753192</v>
      </c>
      <c r="BB82" s="182">
        <v>0.750481</v>
      </c>
      <c r="BC82" s="182">
        <v>0.759501</v>
      </c>
      <c r="BD82" s="182">
        <v>0.754671</v>
      </c>
      <c r="BE82" s="182">
        <v>0.766789</v>
      </c>
      <c r="BF82" s="182">
        <v>0.760057</v>
      </c>
      <c r="BG82" s="182">
        <v>0.757194</v>
      </c>
    </row>
    <row r="83" ht="16.2" spans="3:59">
      <c r="C83" s="153"/>
      <c r="D83" s="153" t="s">
        <v>220</v>
      </c>
      <c r="E83" s="157" t="str">
        <f t="shared" si="26"/>
        <v>支持中心</v>
      </c>
      <c r="F83" s="157" t="str">
        <f t="shared" si="27"/>
        <v>IT部</v>
      </c>
      <c r="G83" s="182">
        <v>4.277058</v>
      </c>
      <c r="H83" s="182">
        <v>0.358038</v>
      </c>
      <c r="I83" s="182">
        <v>0.357826</v>
      </c>
      <c r="J83" s="182">
        <v>0.355543</v>
      </c>
      <c r="K83" s="182">
        <v>0.352682</v>
      </c>
      <c r="L83" s="182">
        <v>0.358122</v>
      </c>
      <c r="M83" s="182">
        <v>0.358184</v>
      </c>
      <c r="N83" s="182">
        <v>0.359416</v>
      </c>
      <c r="O83" s="182">
        <v>0.360984</v>
      </c>
      <c r="P83" s="182">
        <v>0.354436</v>
      </c>
      <c r="Q83" s="182">
        <v>0.362219</v>
      </c>
      <c r="R83" s="182">
        <v>0.353256</v>
      </c>
      <c r="S83" s="182">
        <v>0.346352</v>
      </c>
      <c r="T83" s="186">
        <f t="shared" si="28"/>
        <v>4.323863</v>
      </c>
      <c r="U83" s="182">
        <v>3.229455</v>
      </c>
      <c r="V83" s="182">
        <v>0.344819</v>
      </c>
      <c r="W83" s="182">
        <v>0.360514</v>
      </c>
      <c r="X83" s="182">
        <v>0.3628</v>
      </c>
      <c r="Y83" s="182">
        <v>0.360503</v>
      </c>
      <c r="Z83" s="182">
        <v>0.367113</v>
      </c>
      <c r="AA83" s="182">
        <v>0.359187</v>
      </c>
      <c r="AB83" s="182">
        <v>0.349351</v>
      </c>
      <c r="AC83" s="182">
        <v>0.366995</v>
      </c>
      <c r="AD83" s="182">
        <v>0.358173</v>
      </c>
      <c r="AE83" s="182">
        <v>0</v>
      </c>
      <c r="AF83" s="182">
        <v>0</v>
      </c>
      <c r="AG83" s="182">
        <v>0</v>
      </c>
      <c r="AH83" s="182">
        <v>1.094408</v>
      </c>
      <c r="AI83" s="182">
        <v>0</v>
      </c>
      <c r="AJ83" s="182">
        <v>0</v>
      </c>
      <c r="AK83" s="182">
        <v>0</v>
      </c>
      <c r="AL83" s="182">
        <v>0</v>
      </c>
      <c r="AM83" s="182">
        <v>0</v>
      </c>
      <c r="AN83" s="182">
        <v>0</v>
      </c>
      <c r="AO83" s="182">
        <v>0</v>
      </c>
      <c r="AP83" s="182">
        <v>0</v>
      </c>
      <c r="AQ83" s="182">
        <v>0</v>
      </c>
      <c r="AR83" s="182">
        <v>0.358455</v>
      </c>
      <c r="AS83" s="182">
        <v>0.367319</v>
      </c>
      <c r="AT83" s="182">
        <v>0.368634</v>
      </c>
      <c r="AU83" s="182">
        <v>4.324981</v>
      </c>
      <c r="AV83" s="182">
        <v>0.367475</v>
      </c>
      <c r="AW83" s="182">
        <v>0.362364</v>
      </c>
      <c r="AX83" s="182">
        <v>0.36048</v>
      </c>
      <c r="AY83" s="182">
        <v>0.368402</v>
      </c>
      <c r="AZ83" s="182">
        <v>0.366646</v>
      </c>
      <c r="BA83" s="182">
        <v>0.351181</v>
      </c>
      <c r="BB83" s="182">
        <v>0.350393</v>
      </c>
      <c r="BC83" s="182">
        <v>0.369896</v>
      </c>
      <c r="BD83" s="182">
        <v>0.355669</v>
      </c>
      <c r="BE83" s="182">
        <v>0.362196</v>
      </c>
      <c r="BF83" s="182">
        <v>0.353961</v>
      </c>
      <c r="BG83" s="182">
        <v>0.356318</v>
      </c>
    </row>
    <row r="84" ht="16.2" spans="3:59">
      <c r="C84" s="153"/>
      <c r="D84" s="153" t="s">
        <v>221</v>
      </c>
      <c r="E84" s="157" t="str">
        <f t="shared" si="26"/>
        <v>支持中心</v>
      </c>
      <c r="F84" s="157" t="str">
        <f t="shared" si="27"/>
        <v>总经办</v>
      </c>
      <c r="G84" s="182">
        <v>2.511147</v>
      </c>
      <c r="H84" s="182">
        <v>0.209648</v>
      </c>
      <c r="I84" s="182">
        <v>0.210245</v>
      </c>
      <c r="J84" s="182">
        <v>0.204108</v>
      </c>
      <c r="K84" s="182">
        <v>0.204396</v>
      </c>
      <c r="L84" s="182">
        <v>0.212302</v>
      </c>
      <c r="M84" s="182">
        <v>0.208964</v>
      </c>
      <c r="N84" s="182">
        <v>0.218052</v>
      </c>
      <c r="O84" s="182">
        <v>0.214229</v>
      </c>
      <c r="P84" s="182">
        <v>0.203457</v>
      </c>
      <c r="Q84" s="182">
        <v>0.212197</v>
      </c>
      <c r="R84" s="182">
        <v>0.201015</v>
      </c>
      <c r="S84" s="182">
        <v>0.212534</v>
      </c>
      <c r="T84" s="186">
        <f t="shared" si="28"/>
        <v>2.542936</v>
      </c>
      <c r="U84" s="182">
        <v>1.907749</v>
      </c>
      <c r="V84" s="182">
        <v>0.214015</v>
      </c>
      <c r="W84" s="182">
        <v>0.200543</v>
      </c>
      <c r="X84" s="182">
        <v>0.218416</v>
      </c>
      <c r="Y84" s="182">
        <v>0.219902</v>
      </c>
      <c r="Z84" s="182">
        <v>0.207689</v>
      </c>
      <c r="AA84" s="182">
        <v>0.213104</v>
      </c>
      <c r="AB84" s="182">
        <v>0.214545</v>
      </c>
      <c r="AC84" s="182">
        <v>0.214134</v>
      </c>
      <c r="AD84" s="182">
        <v>0.205401</v>
      </c>
      <c r="AE84" s="182">
        <v>0</v>
      </c>
      <c r="AF84" s="182">
        <v>0</v>
      </c>
      <c r="AG84" s="182">
        <v>0</v>
      </c>
      <c r="AH84" s="182">
        <v>0.635187</v>
      </c>
      <c r="AI84" s="182">
        <v>0</v>
      </c>
      <c r="AJ84" s="182">
        <v>0</v>
      </c>
      <c r="AK84" s="182">
        <v>0</v>
      </c>
      <c r="AL84" s="182">
        <v>0</v>
      </c>
      <c r="AM84" s="182">
        <v>0</v>
      </c>
      <c r="AN84" s="182">
        <v>0</v>
      </c>
      <c r="AO84" s="182">
        <v>0</v>
      </c>
      <c r="AP84" s="182">
        <v>0</v>
      </c>
      <c r="AQ84" s="182">
        <v>0</v>
      </c>
      <c r="AR84" s="182">
        <v>0.217354</v>
      </c>
      <c r="AS84" s="182">
        <v>0.203485</v>
      </c>
      <c r="AT84" s="182">
        <v>0.214348</v>
      </c>
      <c r="AU84" s="182">
        <v>2.524822</v>
      </c>
      <c r="AV84" s="182">
        <v>0.201322</v>
      </c>
      <c r="AW84" s="182">
        <v>0.216603</v>
      </c>
      <c r="AX84" s="182">
        <v>0.200338</v>
      </c>
      <c r="AY84" s="182">
        <v>0.213994</v>
      </c>
      <c r="AZ84" s="182">
        <v>0.218489</v>
      </c>
      <c r="BA84" s="182">
        <v>0.213642</v>
      </c>
      <c r="BB84" s="182">
        <v>0.214212</v>
      </c>
      <c r="BC84" s="182">
        <v>0.213919</v>
      </c>
      <c r="BD84" s="182">
        <v>0.200552</v>
      </c>
      <c r="BE84" s="182">
        <v>0.21213</v>
      </c>
      <c r="BF84" s="182">
        <v>0.210733</v>
      </c>
      <c r="BG84" s="182">
        <v>0.208888</v>
      </c>
    </row>
    <row r="86" ht="20.4" spans="2:2">
      <c r="B86" s="36" t="s">
        <v>226</v>
      </c>
    </row>
    <row r="87" s="164" customFormat="1" ht="19.2" customHeight="1" spans="2:59">
      <c r="B87" s="153" t="s">
        <v>128</v>
      </c>
      <c r="C87" s="154"/>
      <c r="D87" s="154"/>
      <c r="E87" s="154" t="s">
        <v>209</v>
      </c>
      <c r="F87" s="154" t="s">
        <v>209</v>
      </c>
      <c r="G87" s="181">
        <v>1061.972697</v>
      </c>
      <c r="H87" s="181">
        <v>88.581656</v>
      </c>
      <c r="I87" s="181">
        <v>88.567672</v>
      </c>
      <c r="J87" s="181">
        <v>88.560581</v>
      </c>
      <c r="K87" s="181">
        <v>88.361038</v>
      </c>
      <c r="L87" s="181">
        <v>88.295202</v>
      </c>
      <c r="M87" s="181">
        <v>88.632269</v>
      </c>
      <c r="N87" s="181">
        <v>88.70816</v>
      </c>
      <c r="O87" s="181">
        <v>88.396137</v>
      </c>
      <c r="P87" s="181">
        <v>88.739913</v>
      </c>
      <c r="Q87" s="181">
        <v>88.253423</v>
      </c>
      <c r="R87" s="181">
        <v>88.465491</v>
      </c>
      <c r="S87" s="181">
        <v>88.411155</v>
      </c>
      <c r="T87" s="185">
        <f>U87+AH87</f>
        <v>1062.419042</v>
      </c>
      <c r="U87" s="181">
        <v>796.571977</v>
      </c>
      <c r="V87" s="181">
        <v>88.485347</v>
      </c>
      <c r="W87" s="181">
        <v>88.50066</v>
      </c>
      <c r="X87" s="181">
        <v>88.57919</v>
      </c>
      <c r="Y87" s="181">
        <v>88.516566</v>
      </c>
      <c r="Z87" s="181">
        <v>88.166557</v>
      </c>
      <c r="AA87" s="181">
        <v>88.52879</v>
      </c>
      <c r="AB87" s="181">
        <v>88.564073</v>
      </c>
      <c r="AC87" s="181">
        <v>88.649859</v>
      </c>
      <c r="AD87" s="181">
        <v>88.580935</v>
      </c>
      <c r="AE87" s="181">
        <v>0</v>
      </c>
      <c r="AF87" s="181">
        <v>0</v>
      </c>
      <c r="AG87" s="181">
        <v>0</v>
      </c>
      <c r="AH87" s="181">
        <v>265.847065</v>
      </c>
      <c r="AI87" s="181">
        <v>0</v>
      </c>
      <c r="AJ87" s="181">
        <v>0</v>
      </c>
      <c r="AK87" s="181">
        <v>0</v>
      </c>
      <c r="AL87" s="181">
        <v>0</v>
      </c>
      <c r="AM87" s="181">
        <v>0</v>
      </c>
      <c r="AN87" s="181">
        <v>0</v>
      </c>
      <c r="AO87" s="181">
        <v>0</v>
      </c>
      <c r="AP87" s="181">
        <v>0</v>
      </c>
      <c r="AQ87" s="181">
        <v>0</v>
      </c>
      <c r="AR87" s="181">
        <v>88.840854</v>
      </c>
      <c r="AS87" s="181">
        <v>88.820874</v>
      </c>
      <c r="AT87" s="181">
        <v>88.185337</v>
      </c>
      <c r="AU87" s="181">
        <v>1061.685518</v>
      </c>
      <c r="AV87" s="181">
        <v>88.398726</v>
      </c>
      <c r="AW87" s="181">
        <v>88.787961</v>
      </c>
      <c r="AX87" s="181">
        <v>88.576717</v>
      </c>
      <c r="AY87" s="181">
        <v>88.445268</v>
      </c>
      <c r="AZ87" s="181">
        <v>88.719885</v>
      </c>
      <c r="BA87" s="181">
        <v>88.261823</v>
      </c>
      <c r="BB87" s="181">
        <v>88.482963</v>
      </c>
      <c r="BC87" s="181">
        <v>88.672729</v>
      </c>
      <c r="BD87" s="181">
        <v>88.537698</v>
      </c>
      <c r="BE87" s="181">
        <v>88.683521</v>
      </c>
      <c r="BF87" s="181">
        <v>87.897778</v>
      </c>
      <c r="BG87" s="181">
        <v>88.220449</v>
      </c>
    </row>
    <row r="88" ht="16.2" spans="3:59">
      <c r="C88" s="153" t="s">
        <v>210</v>
      </c>
      <c r="D88" s="153"/>
      <c r="E88" s="157" t="str">
        <f>IF(C88&lt;&gt;"",C88,E85)</f>
        <v>流程中心</v>
      </c>
      <c r="F88" s="157" t="str">
        <f>IF(D88&lt;&gt;"",D88,"*")</f>
        <v>*</v>
      </c>
      <c r="G88" s="182">
        <v>423.695555</v>
      </c>
      <c r="H88" s="182">
        <v>35.221793</v>
      </c>
      <c r="I88" s="182">
        <v>35.352789</v>
      </c>
      <c r="J88" s="182">
        <v>35.39168</v>
      </c>
      <c r="K88" s="182">
        <v>35.099474</v>
      </c>
      <c r="L88" s="182">
        <v>35.333415</v>
      </c>
      <c r="M88" s="182">
        <v>35.261086</v>
      </c>
      <c r="N88" s="182">
        <v>35.47398</v>
      </c>
      <c r="O88" s="182">
        <v>35.275257</v>
      </c>
      <c r="P88" s="182">
        <v>35.483598</v>
      </c>
      <c r="Q88" s="182">
        <v>35.310633</v>
      </c>
      <c r="R88" s="182">
        <v>35.296127</v>
      </c>
      <c r="S88" s="182">
        <v>35.195723</v>
      </c>
      <c r="T88" s="186">
        <f>U88+AH88</f>
        <v>422.823607</v>
      </c>
      <c r="U88" s="182">
        <v>317.045819</v>
      </c>
      <c r="V88" s="182">
        <v>35.261507</v>
      </c>
      <c r="W88" s="182">
        <v>35.196642</v>
      </c>
      <c r="X88" s="182">
        <v>35.156624</v>
      </c>
      <c r="Y88" s="182">
        <v>35.239988</v>
      </c>
      <c r="Z88" s="182">
        <v>35.0821</v>
      </c>
      <c r="AA88" s="182">
        <v>35.153046</v>
      </c>
      <c r="AB88" s="182">
        <v>35.177152</v>
      </c>
      <c r="AC88" s="182">
        <v>35.304103</v>
      </c>
      <c r="AD88" s="182">
        <v>35.474657</v>
      </c>
      <c r="AE88" s="182">
        <v>0</v>
      </c>
      <c r="AF88" s="182">
        <v>0</v>
      </c>
      <c r="AG88" s="182">
        <v>0</v>
      </c>
      <c r="AH88" s="182">
        <v>105.777788</v>
      </c>
      <c r="AI88" s="182">
        <v>0</v>
      </c>
      <c r="AJ88" s="182">
        <v>0</v>
      </c>
      <c r="AK88" s="182">
        <v>0</v>
      </c>
      <c r="AL88" s="182">
        <v>0</v>
      </c>
      <c r="AM88" s="182">
        <v>0</v>
      </c>
      <c r="AN88" s="182">
        <v>0</v>
      </c>
      <c r="AO88" s="182">
        <v>0</v>
      </c>
      <c r="AP88" s="182">
        <v>0</v>
      </c>
      <c r="AQ88" s="182">
        <v>0</v>
      </c>
      <c r="AR88" s="182">
        <v>35.39597</v>
      </c>
      <c r="AS88" s="182">
        <v>35.297441</v>
      </c>
      <c r="AT88" s="182">
        <v>35.084377</v>
      </c>
      <c r="AU88" s="182">
        <v>423.114577</v>
      </c>
      <c r="AV88" s="182">
        <v>35.147348</v>
      </c>
      <c r="AW88" s="182">
        <v>35.376992</v>
      </c>
      <c r="AX88" s="182">
        <v>35.542351</v>
      </c>
      <c r="AY88" s="182">
        <v>35.201508</v>
      </c>
      <c r="AZ88" s="182">
        <v>35.302922</v>
      </c>
      <c r="BA88" s="182">
        <v>35.21891</v>
      </c>
      <c r="BB88" s="182">
        <v>35.341845</v>
      </c>
      <c r="BC88" s="182">
        <v>35.479098</v>
      </c>
      <c r="BD88" s="182">
        <v>35.03889</v>
      </c>
      <c r="BE88" s="182">
        <v>35.173091</v>
      </c>
      <c r="BF88" s="182">
        <v>35.16801</v>
      </c>
      <c r="BG88" s="182">
        <v>35.123612</v>
      </c>
    </row>
    <row r="89" ht="16.2" spans="1:59">
      <c r="A89" s="33" t="s">
        <v>25</v>
      </c>
      <c r="C89" s="153"/>
      <c r="D89" s="153" t="s">
        <v>211</v>
      </c>
      <c r="E89" s="157" t="str">
        <f t="shared" ref="E89:E99" si="29">IF(C89&lt;&gt;"",C89,E88)</f>
        <v>流程中心</v>
      </c>
      <c r="F89" s="157" t="str">
        <f t="shared" ref="F89:F99" si="30">IF(D89&lt;&gt;"",D89,"*")</f>
        <v>销售中心</v>
      </c>
      <c r="G89" s="182">
        <v>219.735691</v>
      </c>
      <c r="H89" s="182">
        <v>18.187896</v>
      </c>
      <c r="I89" s="182">
        <v>18.218791</v>
      </c>
      <c r="J89" s="182">
        <v>18.343284</v>
      </c>
      <c r="K89" s="182">
        <v>18.124766</v>
      </c>
      <c r="L89" s="182">
        <v>18.383024</v>
      </c>
      <c r="M89" s="182">
        <v>18.251878</v>
      </c>
      <c r="N89" s="182">
        <v>18.336378</v>
      </c>
      <c r="O89" s="182">
        <v>18.360635</v>
      </c>
      <c r="P89" s="182">
        <v>18.47012</v>
      </c>
      <c r="Q89" s="182">
        <v>18.385432</v>
      </c>
      <c r="R89" s="182">
        <v>18.400064</v>
      </c>
      <c r="S89" s="182">
        <v>18.273423</v>
      </c>
      <c r="T89" s="186">
        <f t="shared" ref="T89:T99" si="31">U89+AH89</f>
        <v>219.217018</v>
      </c>
      <c r="U89" s="182">
        <v>164.110837</v>
      </c>
      <c r="V89" s="182">
        <v>18.374951</v>
      </c>
      <c r="W89" s="182">
        <v>18.254169</v>
      </c>
      <c r="X89" s="182">
        <v>18.089896</v>
      </c>
      <c r="Y89" s="182">
        <v>18.248024</v>
      </c>
      <c r="Z89" s="182">
        <v>18.204531</v>
      </c>
      <c r="AA89" s="182">
        <v>18.270522</v>
      </c>
      <c r="AB89" s="182">
        <v>18.087135</v>
      </c>
      <c r="AC89" s="182">
        <v>18.165541</v>
      </c>
      <c r="AD89" s="182">
        <v>18.416068</v>
      </c>
      <c r="AE89" s="182">
        <v>0</v>
      </c>
      <c r="AF89" s="182">
        <v>0</v>
      </c>
      <c r="AG89" s="182">
        <v>0</v>
      </c>
      <c r="AH89" s="182">
        <v>55.106181</v>
      </c>
      <c r="AI89" s="182">
        <v>0</v>
      </c>
      <c r="AJ89" s="182">
        <v>0</v>
      </c>
      <c r="AK89" s="182">
        <v>0</v>
      </c>
      <c r="AL89" s="182">
        <v>0</v>
      </c>
      <c r="AM89" s="182">
        <v>0</v>
      </c>
      <c r="AN89" s="182">
        <v>0</v>
      </c>
      <c r="AO89" s="182">
        <v>0</v>
      </c>
      <c r="AP89" s="182">
        <v>0</v>
      </c>
      <c r="AQ89" s="182">
        <v>0</v>
      </c>
      <c r="AR89" s="182">
        <v>18.418303</v>
      </c>
      <c r="AS89" s="182">
        <v>18.446635</v>
      </c>
      <c r="AT89" s="182">
        <v>18.241243</v>
      </c>
      <c r="AU89" s="182">
        <v>219.352216</v>
      </c>
      <c r="AV89" s="182">
        <v>18.20149</v>
      </c>
      <c r="AW89" s="182">
        <v>18.382712</v>
      </c>
      <c r="AX89" s="182">
        <v>18.412277</v>
      </c>
      <c r="AY89" s="182">
        <v>18.349851</v>
      </c>
      <c r="AZ89" s="182">
        <v>18.386882</v>
      </c>
      <c r="BA89" s="182">
        <v>18.267432</v>
      </c>
      <c r="BB89" s="182">
        <v>18.275892</v>
      </c>
      <c r="BC89" s="182">
        <v>18.38208</v>
      </c>
      <c r="BD89" s="182">
        <v>18.09589</v>
      </c>
      <c r="BE89" s="182">
        <v>18.240091</v>
      </c>
      <c r="BF89" s="182">
        <v>18.263738</v>
      </c>
      <c r="BG89" s="182">
        <v>18.093881</v>
      </c>
    </row>
    <row r="90" ht="16.2" spans="1:59">
      <c r="A90" s="33" t="s">
        <v>25</v>
      </c>
      <c r="C90" s="153"/>
      <c r="D90" s="153" t="s">
        <v>212</v>
      </c>
      <c r="E90" s="157" t="str">
        <f t="shared" si="29"/>
        <v>流程中心</v>
      </c>
      <c r="F90" s="157" t="str">
        <f t="shared" si="30"/>
        <v>制造中心</v>
      </c>
      <c r="G90" s="182">
        <v>203.959864</v>
      </c>
      <c r="H90" s="182">
        <v>17.033897</v>
      </c>
      <c r="I90" s="182">
        <v>17.133998</v>
      </c>
      <c r="J90" s="182">
        <v>17.048396</v>
      </c>
      <c r="K90" s="182">
        <v>16.974708</v>
      </c>
      <c r="L90" s="182">
        <v>16.950391</v>
      </c>
      <c r="M90" s="182">
        <v>17.009208</v>
      </c>
      <c r="N90" s="182">
        <v>17.137602</v>
      </c>
      <c r="O90" s="182">
        <v>16.914622</v>
      </c>
      <c r="P90" s="182">
        <v>17.013478</v>
      </c>
      <c r="Q90" s="182">
        <v>16.925201</v>
      </c>
      <c r="R90" s="182">
        <v>16.896063</v>
      </c>
      <c r="S90" s="182">
        <v>16.9223</v>
      </c>
      <c r="T90" s="186">
        <f t="shared" si="31"/>
        <v>203.606589</v>
      </c>
      <c r="U90" s="182">
        <v>152.934982</v>
      </c>
      <c r="V90" s="182">
        <v>16.886556</v>
      </c>
      <c r="W90" s="182">
        <v>16.942473</v>
      </c>
      <c r="X90" s="182">
        <v>17.066728</v>
      </c>
      <c r="Y90" s="182">
        <v>16.991964</v>
      </c>
      <c r="Z90" s="182">
        <v>16.877569</v>
      </c>
      <c r="AA90" s="182">
        <v>16.882524</v>
      </c>
      <c r="AB90" s="182">
        <v>17.090017</v>
      </c>
      <c r="AC90" s="182">
        <v>17.138562</v>
      </c>
      <c r="AD90" s="182">
        <v>17.058589</v>
      </c>
      <c r="AE90" s="182">
        <v>0</v>
      </c>
      <c r="AF90" s="182">
        <v>0</v>
      </c>
      <c r="AG90" s="182">
        <v>0</v>
      </c>
      <c r="AH90" s="182">
        <v>50.671607</v>
      </c>
      <c r="AI90" s="182">
        <v>0</v>
      </c>
      <c r="AJ90" s="182">
        <v>0</v>
      </c>
      <c r="AK90" s="182">
        <v>0</v>
      </c>
      <c r="AL90" s="182">
        <v>0</v>
      </c>
      <c r="AM90" s="182">
        <v>0</v>
      </c>
      <c r="AN90" s="182">
        <v>0</v>
      </c>
      <c r="AO90" s="182">
        <v>0</v>
      </c>
      <c r="AP90" s="182">
        <v>0</v>
      </c>
      <c r="AQ90" s="182">
        <v>0</v>
      </c>
      <c r="AR90" s="182">
        <v>16.977667</v>
      </c>
      <c r="AS90" s="182">
        <v>16.850806</v>
      </c>
      <c r="AT90" s="182">
        <v>16.843134</v>
      </c>
      <c r="AU90" s="182">
        <v>203.762361</v>
      </c>
      <c r="AV90" s="182">
        <v>16.945858</v>
      </c>
      <c r="AW90" s="182">
        <v>16.99428</v>
      </c>
      <c r="AX90" s="182">
        <v>17.130074</v>
      </c>
      <c r="AY90" s="182">
        <v>16.851657</v>
      </c>
      <c r="AZ90" s="182">
        <v>16.91604</v>
      </c>
      <c r="BA90" s="182">
        <v>16.951478</v>
      </c>
      <c r="BB90" s="182">
        <v>17.065953</v>
      </c>
      <c r="BC90" s="182">
        <v>17.097018</v>
      </c>
      <c r="BD90" s="182">
        <v>16.943</v>
      </c>
      <c r="BE90" s="182">
        <v>16.933</v>
      </c>
      <c r="BF90" s="182">
        <v>16.904272</v>
      </c>
      <c r="BG90" s="182">
        <v>17.029731</v>
      </c>
    </row>
    <row r="91" ht="16.2" spans="3:59">
      <c r="C91" s="153" t="s">
        <v>213</v>
      </c>
      <c r="D91" s="153"/>
      <c r="E91" s="157" t="str">
        <f t="shared" si="29"/>
        <v>创新中心</v>
      </c>
      <c r="F91" s="157" t="str">
        <f t="shared" si="30"/>
        <v>*</v>
      </c>
      <c r="G91" s="182">
        <v>339.492127</v>
      </c>
      <c r="H91" s="182">
        <v>28.325036</v>
      </c>
      <c r="I91" s="182">
        <v>28.469274</v>
      </c>
      <c r="J91" s="182">
        <v>28.356305</v>
      </c>
      <c r="K91" s="182">
        <v>28.284344</v>
      </c>
      <c r="L91" s="182">
        <v>28.17168</v>
      </c>
      <c r="M91" s="182">
        <v>28.450805</v>
      </c>
      <c r="N91" s="182">
        <v>28.15881</v>
      </c>
      <c r="O91" s="182">
        <v>28.303781</v>
      </c>
      <c r="P91" s="182">
        <v>28.487028</v>
      </c>
      <c r="Q91" s="182">
        <v>28.065074</v>
      </c>
      <c r="R91" s="182">
        <v>28.13893</v>
      </c>
      <c r="S91" s="182">
        <v>28.28106</v>
      </c>
      <c r="T91" s="186">
        <f t="shared" si="31"/>
        <v>340.235628</v>
      </c>
      <c r="U91" s="182">
        <v>255.173709</v>
      </c>
      <c r="V91" s="182">
        <v>28.223469</v>
      </c>
      <c r="W91" s="182">
        <v>28.499114</v>
      </c>
      <c r="X91" s="182">
        <v>28.521016</v>
      </c>
      <c r="Y91" s="182">
        <v>28.282788</v>
      </c>
      <c r="Z91" s="182">
        <v>28.178848</v>
      </c>
      <c r="AA91" s="182">
        <v>28.308445</v>
      </c>
      <c r="AB91" s="182">
        <v>28.306166</v>
      </c>
      <c r="AC91" s="182">
        <v>28.443882</v>
      </c>
      <c r="AD91" s="182">
        <v>28.409981</v>
      </c>
      <c r="AE91" s="182">
        <v>0</v>
      </c>
      <c r="AF91" s="182">
        <v>0</v>
      </c>
      <c r="AG91" s="182">
        <v>0</v>
      </c>
      <c r="AH91" s="182">
        <v>85.061919</v>
      </c>
      <c r="AI91" s="182">
        <v>0</v>
      </c>
      <c r="AJ91" s="182">
        <v>0</v>
      </c>
      <c r="AK91" s="182">
        <v>0</v>
      </c>
      <c r="AL91" s="182">
        <v>0</v>
      </c>
      <c r="AM91" s="182">
        <v>0</v>
      </c>
      <c r="AN91" s="182">
        <v>0</v>
      </c>
      <c r="AO91" s="182">
        <v>0</v>
      </c>
      <c r="AP91" s="182">
        <v>0</v>
      </c>
      <c r="AQ91" s="182">
        <v>0</v>
      </c>
      <c r="AR91" s="182">
        <v>28.387021</v>
      </c>
      <c r="AS91" s="182">
        <v>28.503838</v>
      </c>
      <c r="AT91" s="182">
        <v>28.17106</v>
      </c>
      <c r="AU91" s="182">
        <v>339.906071</v>
      </c>
      <c r="AV91" s="182">
        <v>28.485637</v>
      </c>
      <c r="AW91" s="182">
        <v>28.190734</v>
      </c>
      <c r="AX91" s="182">
        <v>28.270426</v>
      </c>
      <c r="AY91" s="182">
        <v>28.279794</v>
      </c>
      <c r="AZ91" s="182">
        <v>28.506289</v>
      </c>
      <c r="BA91" s="182">
        <v>28.406108</v>
      </c>
      <c r="BB91" s="182">
        <v>28.244646</v>
      </c>
      <c r="BC91" s="182">
        <v>28.21611</v>
      </c>
      <c r="BD91" s="182">
        <v>28.546128</v>
      </c>
      <c r="BE91" s="182">
        <v>28.399874</v>
      </c>
      <c r="BF91" s="182">
        <v>27.98043</v>
      </c>
      <c r="BG91" s="182">
        <v>28.379895</v>
      </c>
    </row>
    <row r="92" ht="16.2" spans="1:59">
      <c r="A92" s="33" t="s">
        <v>25</v>
      </c>
      <c r="C92" s="153"/>
      <c r="D92" s="153" t="s">
        <v>214</v>
      </c>
      <c r="E92" s="157" t="str">
        <f t="shared" si="29"/>
        <v>创新中心</v>
      </c>
      <c r="F92" s="157" t="str">
        <f t="shared" si="30"/>
        <v>产品
研发部</v>
      </c>
      <c r="G92" s="182">
        <v>121.392315</v>
      </c>
      <c r="H92" s="182">
        <v>10.12519</v>
      </c>
      <c r="I92" s="182">
        <v>10.160649</v>
      </c>
      <c r="J92" s="182">
        <v>10.058545</v>
      </c>
      <c r="K92" s="182">
        <v>10.123768</v>
      </c>
      <c r="L92" s="182">
        <v>10.05639</v>
      </c>
      <c r="M92" s="182">
        <v>10.168394</v>
      </c>
      <c r="N92" s="182">
        <v>9.982486</v>
      </c>
      <c r="O92" s="182">
        <v>10.159292</v>
      </c>
      <c r="P92" s="182">
        <v>10.131403</v>
      </c>
      <c r="Q92" s="182">
        <v>10.069309</v>
      </c>
      <c r="R92" s="182">
        <v>10.281848</v>
      </c>
      <c r="S92" s="182">
        <v>10.075041</v>
      </c>
      <c r="T92" s="186">
        <f t="shared" si="31"/>
        <v>122.230413</v>
      </c>
      <c r="U92" s="182">
        <v>91.549211</v>
      </c>
      <c r="V92" s="182">
        <v>10.158988</v>
      </c>
      <c r="W92" s="182">
        <v>10.26071</v>
      </c>
      <c r="X92" s="182">
        <v>10.181673</v>
      </c>
      <c r="Y92" s="182">
        <v>10.112185</v>
      </c>
      <c r="Z92" s="182">
        <v>10.140687</v>
      </c>
      <c r="AA92" s="182">
        <v>10.074552</v>
      </c>
      <c r="AB92" s="182">
        <v>10.220355</v>
      </c>
      <c r="AC92" s="182">
        <v>10.199353</v>
      </c>
      <c r="AD92" s="182">
        <v>10.200708</v>
      </c>
      <c r="AE92" s="182">
        <v>0</v>
      </c>
      <c r="AF92" s="182">
        <v>0</v>
      </c>
      <c r="AG92" s="182">
        <v>0</v>
      </c>
      <c r="AH92" s="182">
        <v>30.681202</v>
      </c>
      <c r="AI92" s="182">
        <v>0</v>
      </c>
      <c r="AJ92" s="182">
        <v>0</v>
      </c>
      <c r="AK92" s="182">
        <v>0</v>
      </c>
      <c r="AL92" s="182">
        <v>0</v>
      </c>
      <c r="AM92" s="182">
        <v>0</v>
      </c>
      <c r="AN92" s="182">
        <v>0</v>
      </c>
      <c r="AO92" s="182">
        <v>0</v>
      </c>
      <c r="AP92" s="182">
        <v>0</v>
      </c>
      <c r="AQ92" s="182">
        <v>0</v>
      </c>
      <c r="AR92" s="182">
        <v>10.223469</v>
      </c>
      <c r="AS92" s="182">
        <v>10.250737</v>
      </c>
      <c r="AT92" s="182">
        <v>10.206996</v>
      </c>
      <c r="AU92" s="182">
        <v>121.532938</v>
      </c>
      <c r="AV92" s="182">
        <v>10.163735</v>
      </c>
      <c r="AW92" s="182">
        <v>10.04811</v>
      </c>
      <c r="AX92" s="182">
        <v>10.096119</v>
      </c>
      <c r="AY92" s="182">
        <v>10.105181</v>
      </c>
      <c r="AZ92" s="182">
        <v>10.125173</v>
      </c>
      <c r="BA92" s="182">
        <v>10.314251</v>
      </c>
      <c r="BB92" s="182">
        <v>10.161502</v>
      </c>
      <c r="BC92" s="182">
        <v>10.141483</v>
      </c>
      <c r="BD92" s="182">
        <v>10.106167</v>
      </c>
      <c r="BE92" s="182">
        <v>10.18936</v>
      </c>
      <c r="BF92" s="182">
        <v>9.961462</v>
      </c>
      <c r="BG92" s="182">
        <v>10.120395</v>
      </c>
    </row>
    <row r="93" ht="16.2" spans="1:59">
      <c r="A93" s="33" t="s">
        <v>25</v>
      </c>
      <c r="C93" s="153"/>
      <c r="D93" s="153" t="s">
        <v>215</v>
      </c>
      <c r="E93" s="157" t="str">
        <f t="shared" si="29"/>
        <v>创新中心</v>
      </c>
      <c r="F93" s="157" t="str">
        <f t="shared" si="30"/>
        <v>XX
试验室</v>
      </c>
      <c r="G93" s="182">
        <v>81.069447</v>
      </c>
      <c r="H93" s="182">
        <v>6.750227</v>
      </c>
      <c r="I93" s="182">
        <v>6.792732</v>
      </c>
      <c r="J93" s="182">
        <v>6.80386</v>
      </c>
      <c r="K93" s="182">
        <v>6.682254</v>
      </c>
      <c r="L93" s="182">
        <v>6.841309</v>
      </c>
      <c r="M93" s="182">
        <v>6.717436</v>
      </c>
      <c r="N93" s="182">
        <v>6.718581</v>
      </c>
      <c r="O93" s="182">
        <v>6.65535</v>
      </c>
      <c r="P93" s="182">
        <v>6.917669</v>
      </c>
      <c r="Q93" s="182">
        <v>6.681955</v>
      </c>
      <c r="R93" s="182">
        <v>6.696381</v>
      </c>
      <c r="S93" s="182">
        <v>6.811693</v>
      </c>
      <c r="T93" s="186">
        <f t="shared" si="31"/>
        <v>80.808863</v>
      </c>
      <c r="U93" s="182">
        <v>60.67458</v>
      </c>
      <c r="V93" s="182">
        <v>6.687369</v>
      </c>
      <c r="W93" s="182">
        <v>6.876016</v>
      </c>
      <c r="X93" s="182">
        <v>6.786074</v>
      </c>
      <c r="Y93" s="182">
        <v>6.694633</v>
      </c>
      <c r="Z93" s="182">
        <v>6.674863</v>
      </c>
      <c r="AA93" s="182">
        <v>6.835998</v>
      </c>
      <c r="AB93" s="182">
        <v>6.670672</v>
      </c>
      <c r="AC93" s="182">
        <v>6.694681</v>
      </c>
      <c r="AD93" s="182">
        <v>6.754274</v>
      </c>
      <c r="AE93" s="182">
        <v>0</v>
      </c>
      <c r="AF93" s="182">
        <v>0</v>
      </c>
      <c r="AG93" s="182">
        <v>0</v>
      </c>
      <c r="AH93" s="182">
        <v>20.134283</v>
      </c>
      <c r="AI93" s="182">
        <v>0</v>
      </c>
      <c r="AJ93" s="182">
        <v>0</v>
      </c>
      <c r="AK93" s="182">
        <v>0</v>
      </c>
      <c r="AL93" s="182">
        <v>0</v>
      </c>
      <c r="AM93" s="182">
        <v>0</v>
      </c>
      <c r="AN93" s="182">
        <v>0</v>
      </c>
      <c r="AO93" s="182">
        <v>0</v>
      </c>
      <c r="AP93" s="182">
        <v>0</v>
      </c>
      <c r="AQ93" s="182">
        <v>0</v>
      </c>
      <c r="AR93" s="182">
        <v>6.635627</v>
      </c>
      <c r="AS93" s="182">
        <v>6.815098</v>
      </c>
      <c r="AT93" s="182">
        <v>6.683558</v>
      </c>
      <c r="AU93" s="182">
        <v>80.921163</v>
      </c>
      <c r="AV93" s="182">
        <v>6.853025</v>
      </c>
      <c r="AW93" s="182">
        <v>6.717017</v>
      </c>
      <c r="AX93" s="182">
        <v>6.689323</v>
      </c>
      <c r="AY93" s="182">
        <v>6.709568</v>
      </c>
      <c r="AZ93" s="182">
        <v>6.862306</v>
      </c>
      <c r="BA93" s="182">
        <v>6.732259</v>
      </c>
      <c r="BB93" s="182">
        <v>6.712317</v>
      </c>
      <c r="BC93" s="182">
        <v>6.707793</v>
      </c>
      <c r="BD93" s="182">
        <v>6.775221</v>
      </c>
      <c r="BE93" s="182">
        <v>6.708265</v>
      </c>
      <c r="BF93" s="182">
        <v>6.757384</v>
      </c>
      <c r="BG93" s="182">
        <v>6.696685</v>
      </c>
    </row>
    <row r="94" ht="16.2" spans="1:59">
      <c r="A94" s="33" t="s">
        <v>25</v>
      </c>
      <c r="C94" s="153"/>
      <c r="D94" s="153" t="s">
        <v>216</v>
      </c>
      <c r="E94" s="157" t="str">
        <f t="shared" si="29"/>
        <v>创新中心</v>
      </c>
      <c r="F94" s="157" t="str">
        <f t="shared" si="30"/>
        <v>XX
孵化业务</v>
      </c>
      <c r="G94" s="182">
        <v>137.030365</v>
      </c>
      <c r="H94" s="182">
        <v>11.449619</v>
      </c>
      <c r="I94" s="182">
        <v>11.515893</v>
      </c>
      <c r="J94" s="182">
        <v>11.4939</v>
      </c>
      <c r="K94" s="182">
        <v>11.478322</v>
      </c>
      <c r="L94" s="182">
        <v>11.273981</v>
      </c>
      <c r="M94" s="182">
        <v>11.564975</v>
      </c>
      <c r="N94" s="182">
        <v>11.457743</v>
      </c>
      <c r="O94" s="182">
        <v>11.489139</v>
      </c>
      <c r="P94" s="182">
        <v>11.437956</v>
      </c>
      <c r="Q94" s="182">
        <v>11.31381</v>
      </c>
      <c r="R94" s="182">
        <v>11.160701</v>
      </c>
      <c r="S94" s="182">
        <v>11.394326</v>
      </c>
      <c r="T94" s="186">
        <f t="shared" si="31"/>
        <v>137.196352</v>
      </c>
      <c r="U94" s="182">
        <v>102.949918</v>
      </c>
      <c r="V94" s="182">
        <v>11.377112</v>
      </c>
      <c r="W94" s="182">
        <v>11.362388</v>
      </c>
      <c r="X94" s="182">
        <v>11.553269</v>
      </c>
      <c r="Y94" s="182">
        <v>11.47597</v>
      </c>
      <c r="Z94" s="182">
        <v>11.363298</v>
      </c>
      <c r="AA94" s="182">
        <v>11.397895</v>
      </c>
      <c r="AB94" s="182">
        <v>11.415139</v>
      </c>
      <c r="AC94" s="182">
        <v>11.549848</v>
      </c>
      <c r="AD94" s="182">
        <v>11.454999</v>
      </c>
      <c r="AE94" s="182">
        <v>0</v>
      </c>
      <c r="AF94" s="182">
        <v>0</v>
      </c>
      <c r="AG94" s="182">
        <v>0</v>
      </c>
      <c r="AH94" s="182">
        <v>34.246434</v>
      </c>
      <c r="AI94" s="182">
        <v>0</v>
      </c>
      <c r="AJ94" s="182">
        <v>0</v>
      </c>
      <c r="AK94" s="182">
        <v>0</v>
      </c>
      <c r="AL94" s="182">
        <v>0</v>
      </c>
      <c r="AM94" s="182">
        <v>0</v>
      </c>
      <c r="AN94" s="182">
        <v>0</v>
      </c>
      <c r="AO94" s="182">
        <v>0</v>
      </c>
      <c r="AP94" s="182">
        <v>0</v>
      </c>
      <c r="AQ94" s="182">
        <v>0</v>
      </c>
      <c r="AR94" s="182">
        <v>11.527925</v>
      </c>
      <c r="AS94" s="182">
        <v>11.438003</v>
      </c>
      <c r="AT94" s="182">
        <v>11.280506</v>
      </c>
      <c r="AU94" s="182">
        <v>137.45197</v>
      </c>
      <c r="AV94" s="182">
        <v>11.468877</v>
      </c>
      <c r="AW94" s="182">
        <v>11.425607</v>
      </c>
      <c r="AX94" s="182">
        <v>11.484984</v>
      </c>
      <c r="AY94" s="182">
        <v>11.465045</v>
      </c>
      <c r="AZ94" s="182">
        <v>11.51881</v>
      </c>
      <c r="BA94" s="182">
        <v>11.359598</v>
      </c>
      <c r="BB94" s="182">
        <v>11.370827</v>
      </c>
      <c r="BC94" s="182">
        <v>11.366834</v>
      </c>
      <c r="BD94" s="182">
        <v>11.66474</v>
      </c>
      <c r="BE94" s="182">
        <v>11.502249</v>
      </c>
      <c r="BF94" s="182">
        <v>11.261584</v>
      </c>
      <c r="BG94" s="182">
        <v>11.562815</v>
      </c>
    </row>
    <row r="95" ht="16.2" spans="3:59">
      <c r="C95" s="153" t="s">
        <v>217</v>
      </c>
      <c r="D95" s="153"/>
      <c r="E95" s="157" t="str">
        <f t="shared" si="29"/>
        <v>支持中心</v>
      </c>
      <c r="F95" s="157" t="str">
        <f t="shared" si="30"/>
        <v>*</v>
      </c>
      <c r="G95" s="182">
        <v>298.785015</v>
      </c>
      <c r="H95" s="182">
        <v>25.034827</v>
      </c>
      <c r="I95" s="182">
        <v>24.745609</v>
      </c>
      <c r="J95" s="182">
        <v>24.812596</v>
      </c>
      <c r="K95" s="182">
        <v>24.97722</v>
      </c>
      <c r="L95" s="182">
        <v>24.790107</v>
      </c>
      <c r="M95" s="182">
        <v>24.920378</v>
      </c>
      <c r="N95" s="182">
        <v>25.07537</v>
      </c>
      <c r="O95" s="182">
        <v>24.817099</v>
      </c>
      <c r="P95" s="182">
        <v>24.769287</v>
      </c>
      <c r="Q95" s="182">
        <v>24.877716</v>
      </c>
      <c r="R95" s="182">
        <v>25.030434</v>
      </c>
      <c r="S95" s="182">
        <v>24.934372</v>
      </c>
      <c r="T95" s="186">
        <f t="shared" si="31"/>
        <v>299.359807</v>
      </c>
      <c r="U95" s="182">
        <v>224.352449</v>
      </c>
      <c r="V95" s="182">
        <v>25.000371</v>
      </c>
      <c r="W95" s="182">
        <v>24.804904</v>
      </c>
      <c r="X95" s="182">
        <v>24.90155</v>
      </c>
      <c r="Y95" s="182">
        <v>24.99379</v>
      </c>
      <c r="Z95" s="182">
        <v>24.905609</v>
      </c>
      <c r="AA95" s="182">
        <v>25.067299</v>
      </c>
      <c r="AB95" s="182">
        <v>25.080755</v>
      </c>
      <c r="AC95" s="182">
        <v>24.901874</v>
      </c>
      <c r="AD95" s="182">
        <v>24.696297</v>
      </c>
      <c r="AE95" s="182">
        <v>0</v>
      </c>
      <c r="AF95" s="182">
        <v>0</v>
      </c>
      <c r="AG95" s="182">
        <v>0</v>
      </c>
      <c r="AH95" s="182">
        <v>75.007358</v>
      </c>
      <c r="AI95" s="182">
        <v>0</v>
      </c>
      <c r="AJ95" s="182">
        <v>0</v>
      </c>
      <c r="AK95" s="182">
        <v>0</v>
      </c>
      <c r="AL95" s="182">
        <v>0</v>
      </c>
      <c r="AM95" s="182">
        <v>0</v>
      </c>
      <c r="AN95" s="182">
        <v>0</v>
      </c>
      <c r="AO95" s="182">
        <v>0</v>
      </c>
      <c r="AP95" s="182">
        <v>0</v>
      </c>
      <c r="AQ95" s="182">
        <v>0</v>
      </c>
      <c r="AR95" s="182">
        <v>25.057863</v>
      </c>
      <c r="AS95" s="182">
        <v>25.019595</v>
      </c>
      <c r="AT95" s="182">
        <v>24.9299</v>
      </c>
      <c r="AU95" s="182">
        <v>298.66487</v>
      </c>
      <c r="AV95" s="182">
        <v>24.765741</v>
      </c>
      <c r="AW95" s="182">
        <v>25.220235</v>
      </c>
      <c r="AX95" s="182">
        <v>24.76394</v>
      </c>
      <c r="AY95" s="182">
        <v>24.963966</v>
      </c>
      <c r="AZ95" s="182">
        <v>24.910674</v>
      </c>
      <c r="BA95" s="182">
        <v>24.636805</v>
      </c>
      <c r="BB95" s="182">
        <v>24.896472</v>
      </c>
      <c r="BC95" s="182">
        <v>24.977521</v>
      </c>
      <c r="BD95" s="182">
        <v>24.95268</v>
      </c>
      <c r="BE95" s="182">
        <v>25.110556</v>
      </c>
      <c r="BF95" s="182">
        <v>24.749338</v>
      </c>
      <c r="BG95" s="182">
        <v>24.716942</v>
      </c>
    </row>
    <row r="96" ht="16.2" spans="1:59">
      <c r="A96" s="33" t="s">
        <v>25</v>
      </c>
      <c r="C96" s="153"/>
      <c r="D96" s="153" t="s">
        <v>218</v>
      </c>
      <c r="E96" s="157" t="str">
        <f t="shared" si="29"/>
        <v>支持中心</v>
      </c>
      <c r="F96" s="157" t="str">
        <f t="shared" si="30"/>
        <v>财务部</v>
      </c>
      <c r="G96" s="182">
        <v>118.116752</v>
      </c>
      <c r="H96" s="182">
        <v>9.909728</v>
      </c>
      <c r="I96" s="182">
        <v>9.820369</v>
      </c>
      <c r="J96" s="182">
        <v>9.781062</v>
      </c>
      <c r="K96" s="182">
        <v>9.798827</v>
      </c>
      <c r="L96" s="182">
        <v>9.819362</v>
      </c>
      <c r="M96" s="182">
        <v>9.938859</v>
      </c>
      <c r="N96" s="182">
        <v>9.833234</v>
      </c>
      <c r="O96" s="182">
        <v>9.755203</v>
      </c>
      <c r="P96" s="182">
        <v>9.90912</v>
      </c>
      <c r="Q96" s="182">
        <v>9.940548</v>
      </c>
      <c r="R96" s="182">
        <v>9.816616</v>
      </c>
      <c r="S96" s="182">
        <v>9.793824</v>
      </c>
      <c r="T96" s="186">
        <f t="shared" si="31"/>
        <v>118.200633</v>
      </c>
      <c r="U96" s="182">
        <v>88.530945</v>
      </c>
      <c r="V96" s="182">
        <v>9.892703</v>
      </c>
      <c r="W96" s="182">
        <v>9.80814</v>
      </c>
      <c r="X96" s="182">
        <v>9.902366</v>
      </c>
      <c r="Y96" s="182">
        <v>9.768324</v>
      </c>
      <c r="Z96" s="182">
        <v>9.822745</v>
      </c>
      <c r="AA96" s="182">
        <v>9.884157</v>
      </c>
      <c r="AB96" s="182">
        <v>9.822495</v>
      </c>
      <c r="AC96" s="182">
        <v>9.841582</v>
      </c>
      <c r="AD96" s="182">
        <v>9.788433</v>
      </c>
      <c r="AE96" s="182">
        <v>0</v>
      </c>
      <c r="AF96" s="182">
        <v>0</v>
      </c>
      <c r="AG96" s="182">
        <v>0</v>
      </c>
      <c r="AH96" s="182">
        <v>29.669688</v>
      </c>
      <c r="AI96" s="182">
        <v>0</v>
      </c>
      <c r="AJ96" s="182">
        <v>0</v>
      </c>
      <c r="AK96" s="182">
        <v>0</v>
      </c>
      <c r="AL96" s="182">
        <v>0</v>
      </c>
      <c r="AM96" s="182">
        <v>0</v>
      </c>
      <c r="AN96" s="182">
        <v>0</v>
      </c>
      <c r="AO96" s="182">
        <v>0</v>
      </c>
      <c r="AP96" s="182">
        <v>0</v>
      </c>
      <c r="AQ96" s="182">
        <v>0</v>
      </c>
      <c r="AR96" s="182">
        <v>9.992021</v>
      </c>
      <c r="AS96" s="182">
        <v>9.863724</v>
      </c>
      <c r="AT96" s="182">
        <v>9.813943</v>
      </c>
      <c r="AU96" s="182">
        <v>118.190275</v>
      </c>
      <c r="AV96" s="182">
        <v>9.709198</v>
      </c>
      <c r="AW96" s="182">
        <v>9.986817</v>
      </c>
      <c r="AX96" s="182">
        <v>9.800812</v>
      </c>
      <c r="AY96" s="182">
        <v>9.911738</v>
      </c>
      <c r="AZ96" s="182">
        <v>9.812794</v>
      </c>
      <c r="BA96" s="182">
        <v>9.78961</v>
      </c>
      <c r="BB96" s="182">
        <v>9.861204</v>
      </c>
      <c r="BC96" s="182">
        <v>9.924292</v>
      </c>
      <c r="BD96" s="182">
        <v>9.868513</v>
      </c>
      <c r="BE96" s="182">
        <v>9.99486</v>
      </c>
      <c r="BF96" s="182">
        <v>9.80426</v>
      </c>
      <c r="BG96" s="182">
        <v>9.726177</v>
      </c>
    </row>
    <row r="97" ht="16.2" spans="1:59">
      <c r="A97" s="33" t="s">
        <v>25</v>
      </c>
      <c r="C97" s="153"/>
      <c r="D97" s="153" t="s">
        <v>219</v>
      </c>
      <c r="E97" s="157" t="str">
        <f t="shared" si="29"/>
        <v>支持中心</v>
      </c>
      <c r="F97" s="157" t="str">
        <f t="shared" si="30"/>
        <v>人力资源部</v>
      </c>
      <c r="G97" s="182">
        <v>104.15671</v>
      </c>
      <c r="H97" s="182">
        <v>8.676185</v>
      </c>
      <c r="I97" s="182">
        <v>8.549403</v>
      </c>
      <c r="J97" s="182">
        <v>8.639744</v>
      </c>
      <c r="K97" s="182">
        <v>8.726448</v>
      </c>
      <c r="L97" s="182">
        <v>8.589544</v>
      </c>
      <c r="M97" s="182">
        <v>8.639558</v>
      </c>
      <c r="N97" s="182">
        <v>8.7988</v>
      </c>
      <c r="O97" s="182">
        <v>8.738458</v>
      </c>
      <c r="P97" s="182">
        <v>8.610048</v>
      </c>
      <c r="Q97" s="182">
        <v>8.636001</v>
      </c>
      <c r="R97" s="182">
        <v>8.801604</v>
      </c>
      <c r="S97" s="182">
        <v>8.750917</v>
      </c>
      <c r="T97" s="186">
        <f t="shared" si="31"/>
        <v>104.647093</v>
      </c>
      <c r="U97" s="182">
        <v>78.392333</v>
      </c>
      <c r="V97" s="182">
        <v>8.683497</v>
      </c>
      <c r="W97" s="182">
        <v>8.624751</v>
      </c>
      <c r="X97" s="182">
        <v>8.643257</v>
      </c>
      <c r="Y97" s="182">
        <v>8.820409</v>
      </c>
      <c r="Z97" s="182">
        <v>8.732956</v>
      </c>
      <c r="AA97" s="182">
        <v>8.825902</v>
      </c>
      <c r="AB97" s="182">
        <v>8.791178</v>
      </c>
      <c r="AC97" s="182">
        <v>8.675688</v>
      </c>
      <c r="AD97" s="182">
        <v>8.594695</v>
      </c>
      <c r="AE97" s="182">
        <v>0</v>
      </c>
      <c r="AF97" s="182">
        <v>0</v>
      </c>
      <c r="AG97" s="182">
        <v>0</v>
      </c>
      <c r="AH97" s="182">
        <v>26.25476</v>
      </c>
      <c r="AI97" s="182">
        <v>0</v>
      </c>
      <c r="AJ97" s="182">
        <v>0</v>
      </c>
      <c r="AK97" s="182">
        <v>0</v>
      </c>
      <c r="AL97" s="182">
        <v>0</v>
      </c>
      <c r="AM97" s="182">
        <v>0</v>
      </c>
      <c r="AN97" s="182">
        <v>0</v>
      </c>
      <c r="AO97" s="182">
        <v>0</v>
      </c>
      <c r="AP97" s="182">
        <v>0</v>
      </c>
      <c r="AQ97" s="182">
        <v>0</v>
      </c>
      <c r="AR97" s="182">
        <v>8.8095</v>
      </c>
      <c r="AS97" s="182">
        <v>8.743368</v>
      </c>
      <c r="AT97" s="182">
        <v>8.701892</v>
      </c>
      <c r="AU97" s="182">
        <v>103.977429</v>
      </c>
      <c r="AV97" s="182">
        <v>8.603852</v>
      </c>
      <c r="AW97" s="182">
        <v>8.734236</v>
      </c>
      <c r="AX97" s="182">
        <v>8.658926</v>
      </c>
      <c r="AY97" s="182">
        <v>8.683968</v>
      </c>
      <c r="AZ97" s="182">
        <v>8.714741</v>
      </c>
      <c r="BA97" s="182">
        <v>8.609423</v>
      </c>
      <c r="BB97" s="182">
        <v>8.60364</v>
      </c>
      <c r="BC97" s="182">
        <v>8.674677</v>
      </c>
      <c r="BD97" s="182">
        <v>8.698227</v>
      </c>
      <c r="BE97" s="182">
        <v>8.746528</v>
      </c>
      <c r="BF97" s="182">
        <v>8.60173</v>
      </c>
      <c r="BG97" s="182">
        <v>8.647481</v>
      </c>
    </row>
    <row r="98" ht="16.2" spans="1:59">
      <c r="A98" s="33" t="s">
        <v>25</v>
      </c>
      <c r="C98" s="153"/>
      <c r="D98" s="153" t="s">
        <v>220</v>
      </c>
      <c r="E98" s="157" t="str">
        <f t="shared" si="29"/>
        <v>支持中心</v>
      </c>
      <c r="F98" s="157" t="str">
        <f t="shared" si="30"/>
        <v>IT部</v>
      </c>
      <c r="G98" s="182">
        <v>49.87975</v>
      </c>
      <c r="H98" s="182">
        <v>4.224505</v>
      </c>
      <c r="I98" s="182">
        <v>4.199002</v>
      </c>
      <c r="J98" s="182">
        <v>4.141012</v>
      </c>
      <c r="K98" s="182">
        <v>4.183954</v>
      </c>
      <c r="L98" s="182">
        <v>4.174131</v>
      </c>
      <c r="M98" s="182">
        <v>4.117127</v>
      </c>
      <c r="N98" s="182">
        <v>4.187815</v>
      </c>
      <c r="O98" s="182">
        <v>4.102997</v>
      </c>
      <c r="P98" s="182">
        <v>4.126348</v>
      </c>
      <c r="Q98" s="182">
        <v>4.129319</v>
      </c>
      <c r="R98" s="182">
        <v>4.16159</v>
      </c>
      <c r="S98" s="182">
        <v>4.13195</v>
      </c>
      <c r="T98" s="186">
        <f t="shared" si="31"/>
        <v>49.80182</v>
      </c>
      <c r="U98" s="182">
        <v>37.339531</v>
      </c>
      <c r="V98" s="182">
        <v>4.138377</v>
      </c>
      <c r="W98" s="182">
        <v>4.158256</v>
      </c>
      <c r="X98" s="182">
        <v>4.181026</v>
      </c>
      <c r="Y98" s="182">
        <v>4.115537</v>
      </c>
      <c r="Z98" s="182">
        <v>4.107947</v>
      </c>
      <c r="AA98" s="182">
        <v>4.186882</v>
      </c>
      <c r="AB98" s="182">
        <v>4.18542</v>
      </c>
      <c r="AC98" s="182">
        <v>4.119651</v>
      </c>
      <c r="AD98" s="182">
        <v>4.146435</v>
      </c>
      <c r="AE98" s="182">
        <v>0</v>
      </c>
      <c r="AF98" s="182">
        <v>0</v>
      </c>
      <c r="AG98" s="182">
        <v>0</v>
      </c>
      <c r="AH98" s="182">
        <v>12.462289</v>
      </c>
      <c r="AI98" s="182">
        <v>0</v>
      </c>
      <c r="AJ98" s="182">
        <v>0</v>
      </c>
      <c r="AK98" s="182">
        <v>0</v>
      </c>
      <c r="AL98" s="182">
        <v>0</v>
      </c>
      <c r="AM98" s="182">
        <v>0</v>
      </c>
      <c r="AN98" s="182">
        <v>0</v>
      </c>
      <c r="AO98" s="182">
        <v>0</v>
      </c>
      <c r="AP98" s="182">
        <v>0</v>
      </c>
      <c r="AQ98" s="182">
        <v>0</v>
      </c>
      <c r="AR98" s="182">
        <v>4.096667</v>
      </c>
      <c r="AS98" s="182">
        <v>4.192023</v>
      </c>
      <c r="AT98" s="182">
        <v>4.173599</v>
      </c>
      <c r="AU98" s="182">
        <v>49.831095</v>
      </c>
      <c r="AV98" s="182">
        <v>4.179969</v>
      </c>
      <c r="AW98" s="182">
        <v>4.267763</v>
      </c>
      <c r="AX98" s="182">
        <v>4.118984</v>
      </c>
      <c r="AY98" s="182">
        <v>4.183536</v>
      </c>
      <c r="AZ98" s="182">
        <v>4.119494</v>
      </c>
      <c r="BA98" s="182">
        <v>4.089539</v>
      </c>
      <c r="BB98" s="182">
        <v>4.164457</v>
      </c>
      <c r="BC98" s="182">
        <v>4.090824</v>
      </c>
      <c r="BD98" s="182">
        <v>4.20462</v>
      </c>
      <c r="BE98" s="182">
        <v>4.146624</v>
      </c>
      <c r="BF98" s="182">
        <v>4.171247</v>
      </c>
      <c r="BG98" s="182">
        <v>4.094038</v>
      </c>
    </row>
    <row r="99" ht="16.2" spans="1:59">
      <c r="A99" s="33" t="s">
        <v>25</v>
      </c>
      <c r="C99" s="153"/>
      <c r="D99" s="153" t="s">
        <v>221</v>
      </c>
      <c r="E99" s="157" t="str">
        <f t="shared" si="29"/>
        <v>支持中心</v>
      </c>
      <c r="F99" s="157" t="str">
        <f t="shared" si="30"/>
        <v>总经办</v>
      </c>
      <c r="G99" s="182">
        <v>26.631803</v>
      </c>
      <c r="H99" s="182">
        <v>2.224409</v>
      </c>
      <c r="I99" s="182">
        <v>2.176835</v>
      </c>
      <c r="J99" s="182">
        <v>2.250778</v>
      </c>
      <c r="K99" s="182">
        <v>2.267991</v>
      </c>
      <c r="L99" s="182">
        <v>2.20707</v>
      </c>
      <c r="M99" s="182">
        <v>2.224834</v>
      </c>
      <c r="N99" s="182">
        <v>2.255521</v>
      </c>
      <c r="O99" s="182">
        <v>2.220441</v>
      </c>
      <c r="P99" s="182">
        <v>2.123771</v>
      </c>
      <c r="Q99" s="182">
        <v>2.171848</v>
      </c>
      <c r="R99" s="182">
        <v>2.250624</v>
      </c>
      <c r="S99" s="182">
        <v>2.257681</v>
      </c>
      <c r="T99" s="186">
        <f t="shared" si="31"/>
        <v>26.710261</v>
      </c>
      <c r="U99" s="182">
        <v>20.08964</v>
      </c>
      <c r="V99" s="182">
        <v>2.285794</v>
      </c>
      <c r="W99" s="182">
        <v>2.213757</v>
      </c>
      <c r="X99" s="182">
        <v>2.174901</v>
      </c>
      <c r="Y99" s="182">
        <v>2.28952</v>
      </c>
      <c r="Z99" s="182">
        <v>2.241961</v>
      </c>
      <c r="AA99" s="182">
        <v>2.170358</v>
      </c>
      <c r="AB99" s="182">
        <v>2.281662</v>
      </c>
      <c r="AC99" s="182">
        <v>2.264953</v>
      </c>
      <c r="AD99" s="182">
        <v>2.166734</v>
      </c>
      <c r="AE99" s="182">
        <v>0</v>
      </c>
      <c r="AF99" s="182">
        <v>0</v>
      </c>
      <c r="AG99" s="182">
        <v>0</v>
      </c>
      <c r="AH99" s="182">
        <v>6.620621</v>
      </c>
      <c r="AI99" s="182">
        <v>0</v>
      </c>
      <c r="AJ99" s="182">
        <v>0</v>
      </c>
      <c r="AK99" s="182">
        <v>0</v>
      </c>
      <c r="AL99" s="182">
        <v>0</v>
      </c>
      <c r="AM99" s="182">
        <v>0</v>
      </c>
      <c r="AN99" s="182">
        <v>0</v>
      </c>
      <c r="AO99" s="182">
        <v>0</v>
      </c>
      <c r="AP99" s="182">
        <v>0</v>
      </c>
      <c r="AQ99" s="182">
        <v>0</v>
      </c>
      <c r="AR99" s="182">
        <v>2.159675</v>
      </c>
      <c r="AS99" s="182">
        <v>2.22048</v>
      </c>
      <c r="AT99" s="182">
        <v>2.240466</v>
      </c>
      <c r="AU99" s="182">
        <v>26.666071</v>
      </c>
      <c r="AV99" s="182">
        <v>2.272722</v>
      </c>
      <c r="AW99" s="182">
        <v>2.231419</v>
      </c>
      <c r="AX99" s="182">
        <v>2.185218</v>
      </c>
      <c r="AY99" s="182">
        <v>2.184724</v>
      </c>
      <c r="AZ99" s="182">
        <v>2.263645</v>
      </c>
      <c r="BA99" s="182">
        <v>2.148233</v>
      </c>
      <c r="BB99" s="182">
        <v>2.267171</v>
      </c>
      <c r="BC99" s="182">
        <v>2.287728</v>
      </c>
      <c r="BD99" s="182">
        <v>2.18132</v>
      </c>
      <c r="BE99" s="182">
        <v>2.222544</v>
      </c>
      <c r="BF99" s="182">
        <v>2.172101</v>
      </c>
      <c r="BG99" s="182">
        <v>2.249246</v>
      </c>
    </row>
    <row r="101" ht="20.4" spans="2:2">
      <c r="B101" s="36" t="s">
        <v>227</v>
      </c>
    </row>
    <row r="102" s="164" customFormat="1" ht="19.2" customHeight="1" spans="2:59">
      <c r="B102" s="153" t="s">
        <v>128</v>
      </c>
      <c r="C102" s="154"/>
      <c r="D102" s="154"/>
      <c r="E102" s="154" t="s">
        <v>209</v>
      </c>
      <c r="F102" s="154" t="s">
        <v>209</v>
      </c>
      <c r="G102" s="181">
        <v>207.704725</v>
      </c>
      <c r="H102" s="181">
        <v>17.333698</v>
      </c>
      <c r="I102" s="181">
        <v>17.288439</v>
      </c>
      <c r="J102" s="181">
        <v>17.295349</v>
      </c>
      <c r="K102" s="181">
        <v>17.295408</v>
      </c>
      <c r="L102" s="181">
        <v>17.29975</v>
      </c>
      <c r="M102" s="181">
        <v>17.334797</v>
      </c>
      <c r="N102" s="181">
        <v>17.365278</v>
      </c>
      <c r="O102" s="181">
        <v>17.31991</v>
      </c>
      <c r="P102" s="181">
        <v>17.375937</v>
      </c>
      <c r="Q102" s="181">
        <v>17.220423</v>
      </c>
      <c r="R102" s="181">
        <v>17.302356</v>
      </c>
      <c r="S102" s="181">
        <v>17.27338</v>
      </c>
      <c r="T102" s="185">
        <f>U102+AH102</f>
        <v>207.693439</v>
      </c>
      <c r="U102" s="181">
        <v>155.720503</v>
      </c>
      <c r="V102" s="181">
        <v>17.358525</v>
      </c>
      <c r="W102" s="181">
        <v>17.310225</v>
      </c>
      <c r="X102" s="181">
        <v>17.312825</v>
      </c>
      <c r="Y102" s="181">
        <v>17.312228</v>
      </c>
      <c r="Z102" s="181">
        <v>17.202149</v>
      </c>
      <c r="AA102" s="181">
        <v>17.292011</v>
      </c>
      <c r="AB102" s="181">
        <v>17.278945</v>
      </c>
      <c r="AC102" s="181">
        <v>17.311306</v>
      </c>
      <c r="AD102" s="181">
        <v>17.342289</v>
      </c>
      <c r="AE102" s="181">
        <v>0</v>
      </c>
      <c r="AF102" s="181">
        <v>0</v>
      </c>
      <c r="AG102" s="181">
        <v>0</v>
      </c>
      <c r="AH102" s="181">
        <v>51.972936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81">
        <v>0</v>
      </c>
      <c r="AR102" s="181">
        <v>17.358113</v>
      </c>
      <c r="AS102" s="181">
        <v>17.402202</v>
      </c>
      <c r="AT102" s="181">
        <v>17.212621</v>
      </c>
      <c r="AU102" s="181">
        <v>207.619852</v>
      </c>
      <c r="AV102" s="181">
        <v>17.271032</v>
      </c>
      <c r="AW102" s="181">
        <v>17.405898</v>
      </c>
      <c r="AX102" s="181">
        <v>17.32838</v>
      </c>
      <c r="AY102" s="181">
        <v>17.311086</v>
      </c>
      <c r="AZ102" s="181">
        <v>17.374152</v>
      </c>
      <c r="BA102" s="181">
        <v>17.260302</v>
      </c>
      <c r="BB102" s="181">
        <v>17.288043</v>
      </c>
      <c r="BC102" s="181">
        <v>17.33895</v>
      </c>
      <c r="BD102" s="181">
        <v>17.31055</v>
      </c>
      <c r="BE102" s="181">
        <v>17.362508</v>
      </c>
      <c r="BF102" s="181">
        <v>17.132078</v>
      </c>
      <c r="BG102" s="181">
        <v>17.236873</v>
      </c>
    </row>
    <row r="103" ht="16.2" spans="3:59">
      <c r="C103" s="153" t="s">
        <v>210</v>
      </c>
      <c r="D103" s="153"/>
      <c r="E103" s="157" t="str">
        <f>IF(C103&lt;&gt;"",C103,E100)</f>
        <v>流程中心</v>
      </c>
      <c r="F103" s="157" t="str">
        <f>IF(D103&lt;&gt;"",D103,"*")</f>
        <v>*</v>
      </c>
      <c r="G103" s="182">
        <v>76.4984809999999</v>
      </c>
      <c r="H103" s="182">
        <v>6.352014</v>
      </c>
      <c r="I103" s="182">
        <v>6.357188</v>
      </c>
      <c r="J103" s="182">
        <v>6.403337</v>
      </c>
      <c r="K103" s="182">
        <v>6.338166</v>
      </c>
      <c r="L103" s="182">
        <v>6.40716</v>
      </c>
      <c r="M103" s="182">
        <v>6.345557</v>
      </c>
      <c r="N103" s="182">
        <v>6.419326</v>
      </c>
      <c r="O103" s="182">
        <v>6.375592</v>
      </c>
      <c r="P103" s="182">
        <v>6.407957</v>
      </c>
      <c r="Q103" s="182">
        <v>6.363262</v>
      </c>
      <c r="R103" s="182">
        <v>6.375218</v>
      </c>
      <c r="S103" s="182">
        <v>6.353704</v>
      </c>
      <c r="T103" s="186">
        <f>U103+AH103</f>
        <v>76.195584</v>
      </c>
      <c r="U103" s="182">
        <v>57.145645</v>
      </c>
      <c r="V103" s="182">
        <v>6.403452</v>
      </c>
      <c r="W103" s="182">
        <v>6.347949</v>
      </c>
      <c r="X103" s="182">
        <v>6.326589</v>
      </c>
      <c r="Y103" s="182">
        <v>6.368674</v>
      </c>
      <c r="Z103" s="182">
        <v>6.29829</v>
      </c>
      <c r="AA103" s="182">
        <v>6.316439</v>
      </c>
      <c r="AB103" s="182">
        <v>6.316484</v>
      </c>
      <c r="AC103" s="182">
        <v>6.350608</v>
      </c>
      <c r="AD103" s="182">
        <v>6.41716</v>
      </c>
      <c r="AE103" s="182">
        <v>0</v>
      </c>
      <c r="AF103" s="182">
        <v>0</v>
      </c>
      <c r="AG103" s="182">
        <v>0</v>
      </c>
      <c r="AH103" s="182">
        <v>19.049939</v>
      </c>
      <c r="AI103" s="182">
        <v>0</v>
      </c>
      <c r="AJ103" s="182">
        <v>0</v>
      </c>
      <c r="AK103" s="182">
        <v>0</v>
      </c>
      <c r="AL103" s="182">
        <v>0</v>
      </c>
      <c r="AM103" s="182">
        <v>0</v>
      </c>
      <c r="AN103" s="182">
        <v>0</v>
      </c>
      <c r="AO103" s="182">
        <v>0</v>
      </c>
      <c r="AP103" s="182">
        <v>0</v>
      </c>
      <c r="AQ103" s="182">
        <v>0</v>
      </c>
      <c r="AR103" s="182">
        <v>6.36544</v>
      </c>
      <c r="AS103" s="182">
        <v>6.38027</v>
      </c>
      <c r="AT103" s="182">
        <v>6.304229</v>
      </c>
      <c r="AU103" s="182">
        <v>76.366367</v>
      </c>
      <c r="AV103" s="182">
        <v>6.333725</v>
      </c>
      <c r="AW103" s="182">
        <v>6.388336</v>
      </c>
      <c r="AX103" s="182">
        <v>6.443261</v>
      </c>
      <c r="AY103" s="182">
        <v>6.369333</v>
      </c>
      <c r="AZ103" s="182">
        <v>6.380343</v>
      </c>
      <c r="BA103" s="182">
        <v>6.359998</v>
      </c>
      <c r="BB103" s="182">
        <v>6.363721</v>
      </c>
      <c r="BC103" s="182">
        <v>6.412643</v>
      </c>
      <c r="BD103" s="182">
        <v>6.303917</v>
      </c>
      <c r="BE103" s="182">
        <v>6.356973</v>
      </c>
      <c r="BF103" s="182">
        <v>6.317747</v>
      </c>
      <c r="BG103" s="182">
        <v>6.33637</v>
      </c>
    </row>
    <row r="104" ht="16.2" spans="1:59">
      <c r="A104" s="33" t="s">
        <v>25</v>
      </c>
      <c r="C104" s="153"/>
      <c r="D104" s="153" t="s">
        <v>211</v>
      </c>
      <c r="E104" s="157" t="str">
        <f t="shared" ref="E104:E114" si="32">IF(C104&lt;&gt;"",C104,E103)</f>
        <v>流程中心</v>
      </c>
      <c r="F104" s="157" t="str">
        <f t="shared" ref="F104:F114" si="33">IF(D104&lt;&gt;"",D104,"*")</f>
        <v>销售中心</v>
      </c>
      <c r="G104" s="182">
        <v>44.349634</v>
      </c>
      <c r="H104" s="182">
        <v>3.660325</v>
      </c>
      <c r="I104" s="182">
        <v>3.657812</v>
      </c>
      <c r="J104" s="182">
        <v>3.708408</v>
      </c>
      <c r="K104" s="182">
        <v>3.662527</v>
      </c>
      <c r="L104" s="182">
        <v>3.726385</v>
      </c>
      <c r="M104" s="182">
        <v>3.689128</v>
      </c>
      <c r="N104" s="182">
        <v>3.696757</v>
      </c>
      <c r="O104" s="182">
        <v>3.70768</v>
      </c>
      <c r="P104" s="182">
        <v>3.734585</v>
      </c>
      <c r="Q104" s="182">
        <v>3.705286</v>
      </c>
      <c r="R104" s="182">
        <v>3.713901</v>
      </c>
      <c r="S104" s="182">
        <v>3.68684</v>
      </c>
      <c r="T104" s="186">
        <f t="shared" ref="T104:T114" si="34">U104+AH104</f>
        <v>44.182177</v>
      </c>
      <c r="U104" s="182">
        <v>33.069408</v>
      </c>
      <c r="V104" s="182">
        <v>3.734986</v>
      </c>
      <c r="W104" s="182">
        <v>3.678742</v>
      </c>
      <c r="X104" s="182">
        <v>3.633569</v>
      </c>
      <c r="Y104" s="182">
        <v>3.679548</v>
      </c>
      <c r="Z104" s="182">
        <v>3.654752</v>
      </c>
      <c r="AA104" s="182">
        <v>3.672835</v>
      </c>
      <c r="AB104" s="182">
        <v>3.632983</v>
      </c>
      <c r="AC104" s="182">
        <v>3.654365</v>
      </c>
      <c r="AD104" s="182">
        <v>3.727628</v>
      </c>
      <c r="AE104" s="182">
        <v>0</v>
      </c>
      <c r="AF104" s="182">
        <v>0</v>
      </c>
      <c r="AG104" s="182">
        <v>0</v>
      </c>
      <c r="AH104" s="182">
        <v>11.112769</v>
      </c>
      <c r="AI104" s="182">
        <v>0</v>
      </c>
      <c r="AJ104" s="182">
        <v>0</v>
      </c>
      <c r="AK104" s="182">
        <v>0</v>
      </c>
      <c r="AL104" s="182">
        <v>0</v>
      </c>
      <c r="AM104" s="182">
        <v>0</v>
      </c>
      <c r="AN104" s="182">
        <v>0</v>
      </c>
      <c r="AO104" s="182">
        <v>0</v>
      </c>
      <c r="AP104" s="182">
        <v>0</v>
      </c>
      <c r="AQ104" s="182">
        <v>0</v>
      </c>
      <c r="AR104" s="182">
        <v>3.710202</v>
      </c>
      <c r="AS104" s="182">
        <v>3.729947</v>
      </c>
      <c r="AT104" s="182">
        <v>3.67262</v>
      </c>
      <c r="AU104" s="182">
        <v>44.249452</v>
      </c>
      <c r="AV104" s="182">
        <v>3.664769</v>
      </c>
      <c r="AW104" s="182">
        <v>3.711769</v>
      </c>
      <c r="AX104" s="182">
        <v>3.724138</v>
      </c>
      <c r="AY104" s="182">
        <v>3.716975</v>
      </c>
      <c r="AZ104" s="182">
        <v>3.706229</v>
      </c>
      <c r="BA104" s="182">
        <v>3.701818</v>
      </c>
      <c r="BB104" s="182">
        <v>3.672707</v>
      </c>
      <c r="BC104" s="182">
        <v>3.713734</v>
      </c>
      <c r="BD104" s="182">
        <v>3.639979</v>
      </c>
      <c r="BE104" s="182">
        <v>3.683608</v>
      </c>
      <c r="BF104" s="182">
        <v>3.670452</v>
      </c>
      <c r="BG104" s="182">
        <v>3.643274</v>
      </c>
    </row>
    <row r="105" ht="16.2" spans="1:59">
      <c r="A105" s="33" t="s">
        <v>25</v>
      </c>
      <c r="C105" s="153"/>
      <c r="D105" s="153" t="s">
        <v>212</v>
      </c>
      <c r="E105" s="157" t="str">
        <f t="shared" si="32"/>
        <v>流程中心</v>
      </c>
      <c r="F105" s="157" t="str">
        <f t="shared" si="33"/>
        <v>制造中心</v>
      </c>
      <c r="G105" s="182">
        <v>32.148847</v>
      </c>
      <c r="H105" s="182">
        <v>2.691689</v>
      </c>
      <c r="I105" s="182">
        <v>2.699376</v>
      </c>
      <c r="J105" s="182">
        <v>2.694929</v>
      </c>
      <c r="K105" s="182">
        <v>2.675639</v>
      </c>
      <c r="L105" s="182">
        <v>2.680775</v>
      </c>
      <c r="M105" s="182">
        <v>2.656429</v>
      </c>
      <c r="N105" s="182">
        <v>2.722569</v>
      </c>
      <c r="O105" s="182">
        <v>2.667912</v>
      </c>
      <c r="P105" s="182">
        <v>2.673372</v>
      </c>
      <c r="Q105" s="182">
        <v>2.657976</v>
      </c>
      <c r="R105" s="182">
        <v>2.661317</v>
      </c>
      <c r="S105" s="182">
        <v>2.666864</v>
      </c>
      <c r="T105" s="186">
        <f t="shared" si="34"/>
        <v>32.013407</v>
      </c>
      <c r="U105" s="182">
        <v>24.076237</v>
      </c>
      <c r="V105" s="182">
        <v>2.668466</v>
      </c>
      <c r="W105" s="182">
        <v>2.669207</v>
      </c>
      <c r="X105" s="182">
        <v>2.69302</v>
      </c>
      <c r="Y105" s="182">
        <v>2.689126</v>
      </c>
      <c r="Z105" s="182">
        <v>2.643538</v>
      </c>
      <c r="AA105" s="182">
        <v>2.643604</v>
      </c>
      <c r="AB105" s="182">
        <v>2.683501</v>
      </c>
      <c r="AC105" s="182">
        <v>2.696243</v>
      </c>
      <c r="AD105" s="182">
        <v>2.689532</v>
      </c>
      <c r="AE105" s="182">
        <v>0</v>
      </c>
      <c r="AF105" s="182">
        <v>0</v>
      </c>
      <c r="AG105" s="182">
        <v>0</v>
      </c>
      <c r="AH105" s="182">
        <v>7.93717</v>
      </c>
      <c r="AI105" s="182">
        <v>0</v>
      </c>
      <c r="AJ105" s="182">
        <v>0</v>
      </c>
      <c r="AK105" s="182">
        <v>0</v>
      </c>
      <c r="AL105" s="182">
        <v>0</v>
      </c>
      <c r="AM105" s="182">
        <v>0</v>
      </c>
      <c r="AN105" s="182">
        <v>0</v>
      </c>
      <c r="AO105" s="182">
        <v>0</v>
      </c>
      <c r="AP105" s="182">
        <v>0</v>
      </c>
      <c r="AQ105" s="182">
        <v>0</v>
      </c>
      <c r="AR105" s="182">
        <v>2.655238</v>
      </c>
      <c r="AS105" s="182">
        <v>2.650323</v>
      </c>
      <c r="AT105" s="182">
        <v>2.631609</v>
      </c>
      <c r="AU105" s="182">
        <v>32.116915</v>
      </c>
      <c r="AV105" s="182">
        <v>2.668956</v>
      </c>
      <c r="AW105" s="182">
        <v>2.676567</v>
      </c>
      <c r="AX105" s="182">
        <v>2.719123</v>
      </c>
      <c r="AY105" s="182">
        <v>2.652358</v>
      </c>
      <c r="AZ105" s="182">
        <v>2.674114</v>
      </c>
      <c r="BA105" s="182">
        <v>2.65818</v>
      </c>
      <c r="BB105" s="182">
        <v>2.691014</v>
      </c>
      <c r="BC105" s="182">
        <v>2.698909</v>
      </c>
      <c r="BD105" s="182">
        <v>2.663938</v>
      </c>
      <c r="BE105" s="182">
        <v>2.673365</v>
      </c>
      <c r="BF105" s="182">
        <v>2.647295</v>
      </c>
      <c r="BG105" s="182">
        <v>2.693096</v>
      </c>
    </row>
    <row r="106" ht="16.2" spans="3:59">
      <c r="C106" s="153" t="s">
        <v>213</v>
      </c>
      <c r="D106" s="153"/>
      <c r="E106" s="157" t="str">
        <f t="shared" si="32"/>
        <v>创新中心</v>
      </c>
      <c r="F106" s="157" t="str">
        <f t="shared" si="33"/>
        <v>*</v>
      </c>
      <c r="G106" s="182">
        <v>70.199198</v>
      </c>
      <c r="H106" s="182">
        <v>5.866275</v>
      </c>
      <c r="I106" s="182">
        <v>5.88611</v>
      </c>
      <c r="J106" s="182">
        <v>5.840194</v>
      </c>
      <c r="K106" s="182">
        <v>5.845071</v>
      </c>
      <c r="L106" s="182">
        <v>5.838</v>
      </c>
      <c r="M106" s="182">
        <v>5.90051</v>
      </c>
      <c r="N106" s="182">
        <v>5.817469</v>
      </c>
      <c r="O106" s="182">
        <v>5.885643</v>
      </c>
      <c r="P106" s="182">
        <v>5.915634</v>
      </c>
      <c r="Q106" s="182">
        <v>5.781438</v>
      </c>
      <c r="R106" s="182">
        <v>5.796954</v>
      </c>
      <c r="S106" s="182">
        <v>5.8259</v>
      </c>
      <c r="T106" s="186">
        <f t="shared" si="34"/>
        <v>70.331964</v>
      </c>
      <c r="U106" s="182">
        <v>52.742856</v>
      </c>
      <c r="V106" s="182">
        <v>5.830462</v>
      </c>
      <c r="W106" s="182">
        <v>5.906935</v>
      </c>
      <c r="X106" s="182">
        <v>5.905264</v>
      </c>
      <c r="Y106" s="182">
        <v>5.83885</v>
      </c>
      <c r="Z106" s="182">
        <v>5.818056</v>
      </c>
      <c r="AA106" s="182">
        <v>5.848054</v>
      </c>
      <c r="AB106" s="182">
        <v>5.843739</v>
      </c>
      <c r="AC106" s="182">
        <v>5.868359</v>
      </c>
      <c r="AD106" s="182">
        <v>5.883137</v>
      </c>
      <c r="AE106" s="182">
        <v>0</v>
      </c>
      <c r="AF106" s="182">
        <v>0</v>
      </c>
      <c r="AG106" s="182">
        <v>0</v>
      </c>
      <c r="AH106" s="182">
        <v>17.589108</v>
      </c>
      <c r="AI106" s="182">
        <v>0</v>
      </c>
      <c r="AJ106" s="182">
        <v>0</v>
      </c>
      <c r="AK106" s="182">
        <v>0</v>
      </c>
      <c r="AL106" s="182">
        <v>0</v>
      </c>
      <c r="AM106" s="182">
        <v>0</v>
      </c>
      <c r="AN106" s="182">
        <v>0</v>
      </c>
      <c r="AO106" s="182">
        <v>0</v>
      </c>
      <c r="AP106" s="182">
        <v>0</v>
      </c>
      <c r="AQ106" s="182">
        <v>0</v>
      </c>
      <c r="AR106" s="182">
        <v>5.87634</v>
      </c>
      <c r="AS106" s="182">
        <v>5.899071</v>
      </c>
      <c r="AT106" s="182">
        <v>5.813697</v>
      </c>
      <c r="AU106" s="182">
        <v>70.267768</v>
      </c>
      <c r="AV106" s="182">
        <v>5.893321</v>
      </c>
      <c r="AW106" s="182">
        <v>5.829548</v>
      </c>
      <c r="AX106" s="182">
        <v>5.847306</v>
      </c>
      <c r="AY106" s="182">
        <v>5.845795</v>
      </c>
      <c r="AZ106" s="182">
        <v>5.900041</v>
      </c>
      <c r="BA106" s="182">
        <v>5.88199</v>
      </c>
      <c r="BB106" s="182">
        <v>5.831248</v>
      </c>
      <c r="BC106" s="182">
        <v>5.812842</v>
      </c>
      <c r="BD106" s="182">
        <v>5.904528</v>
      </c>
      <c r="BE106" s="182">
        <v>5.880141</v>
      </c>
      <c r="BF106" s="182">
        <v>5.77388</v>
      </c>
      <c r="BG106" s="182">
        <v>5.867128</v>
      </c>
    </row>
    <row r="107" ht="16.2" spans="1:59">
      <c r="A107" s="33" t="s">
        <v>25</v>
      </c>
      <c r="C107" s="153"/>
      <c r="D107" s="153" t="s">
        <v>214</v>
      </c>
      <c r="E107" s="157" t="str">
        <f t="shared" si="32"/>
        <v>创新中心</v>
      </c>
      <c r="F107" s="157" t="str">
        <f t="shared" si="33"/>
        <v>产品
研发部</v>
      </c>
      <c r="G107" s="182">
        <v>24.258118</v>
      </c>
      <c r="H107" s="182">
        <v>2.02311</v>
      </c>
      <c r="I107" s="182">
        <v>2.024059</v>
      </c>
      <c r="J107" s="182">
        <v>1.993625</v>
      </c>
      <c r="K107" s="182">
        <v>2.011445</v>
      </c>
      <c r="L107" s="182">
        <v>2.021379</v>
      </c>
      <c r="M107" s="182">
        <v>2.041242</v>
      </c>
      <c r="N107" s="182">
        <v>1.98476</v>
      </c>
      <c r="O107" s="182">
        <v>2.057303</v>
      </c>
      <c r="P107" s="182">
        <v>2.036783</v>
      </c>
      <c r="Q107" s="182">
        <v>2.000267</v>
      </c>
      <c r="R107" s="182">
        <v>2.066588</v>
      </c>
      <c r="S107" s="182">
        <v>1.997557</v>
      </c>
      <c r="T107" s="186">
        <f t="shared" si="34"/>
        <v>24.437605</v>
      </c>
      <c r="U107" s="182">
        <v>18.304477</v>
      </c>
      <c r="V107" s="182">
        <v>2.03129</v>
      </c>
      <c r="W107" s="182">
        <v>2.059718</v>
      </c>
      <c r="X107" s="182">
        <v>2.038057</v>
      </c>
      <c r="Y107" s="182">
        <v>2.02823</v>
      </c>
      <c r="Z107" s="182">
        <v>2.015207</v>
      </c>
      <c r="AA107" s="182">
        <v>2.002118</v>
      </c>
      <c r="AB107" s="182">
        <v>2.046655</v>
      </c>
      <c r="AC107" s="182">
        <v>2.045429</v>
      </c>
      <c r="AD107" s="182">
        <v>2.037773</v>
      </c>
      <c r="AE107" s="182">
        <v>0</v>
      </c>
      <c r="AF107" s="182">
        <v>0</v>
      </c>
      <c r="AG107" s="182">
        <v>0</v>
      </c>
      <c r="AH107" s="182">
        <v>6.133128</v>
      </c>
      <c r="AI107" s="182">
        <v>0</v>
      </c>
      <c r="AJ107" s="182">
        <v>0</v>
      </c>
      <c r="AK107" s="182">
        <v>0</v>
      </c>
      <c r="AL107" s="182">
        <v>0</v>
      </c>
      <c r="AM107" s="182">
        <v>0</v>
      </c>
      <c r="AN107" s="182">
        <v>0</v>
      </c>
      <c r="AO107" s="182">
        <v>0</v>
      </c>
      <c r="AP107" s="182">
        <v>0</v>
      </c>
      <c r="AQ107" s="182">
        <v>0</v>
      </c>
      <c r="AR107" s="182">
        <v>2.044294</v>
      </c>
      <c r="AS107" s="182">
        <v>2.047434</v>
      </c>
      <c r="AT107" s="182">
        <v>2.0414</v>
      </c>
      <c r="AU107" s="182">
        <v>24.262676</v>
      </c>
      <c r="AV107" s="182">
        <v>2.033362</v>
      </c>
      <c r="AW107" s="182">
        <v>1.999809</v>
      </c>
      <c r="AX107" s="182">
        <v>2.011226</v>
      </c>
      <c r="AY107" s="182">
        <v>2.030681</v>
      </c>
      <c r="AZ107" s="182">
        <v>2.018046</v>
      </c>
      <c r="BA107" s="182">
        <v>2.07185</v>
      </c>
      <c r="BB107" s="182">
        <v>2.034663</v>
      </c>
      <c r="BC107" s="182">
        <v>2.012923</v>
      </c>
      <c r="BD107" s="182">
        <v>2.013224</v>
      </c>
      <c r="BE107" s="182">
        <v>2.040464</v>
      </c>
      <c r="BF107" s="182">
        <v>1.980051</v>
      </c>
      <c r="BG107" s="182">
        <v>2.016377</v>
      </c>
    </row>
    <row r="108" ht="16.2" spans="1:59">
      <c r="A108" s="33" t="s">
        <v>25</v>
      </c>
      <c r="C108" s="153"/>
      <c r="D108" s="153" t="s">
        <v>215</v>
      </c>
      <c r="E108" s="157" t="str">
        <f t="shared" si="32"/>
        <v>创新中心</v>
      </c>
      <c r="F108" s="157" t="str">
        <f t="shared" si="33"/>
        <v>XX
试验室</v>
      </c>
      <c r="G108" s="182">
        <v>16.527496</v>
      </c>
      <c r="H108" s="182">
        <v>1.376325</v>
      </c>
      <c r="I108" s="182">
        <v>1.385367</v>
      </c>
      <c r="J108" s="182">
        <v>1.385376</v>
      </c>
      <c r="K108" s="182">
        <v>1.365195</v>
      </c>
      <c r="L108" s="182">
        <v>1.395705</v>
      </c>
      <c r="M108" s="182">
        <v>1.364963</v>
      </c>
      <c r="N108" s="182">
        <v>1.371678</v>
      </c>
      <c r="O108" s="182">
        <v>1.35528</v>
      </c>
      <c r="P108" s="182">
        <v>1.428198</v>
      </c>
      <c r="Q108" s="182">
        <v>1.357035</v>
      </c>
      <c r="R108" s="182">
        <v>1.357907</v>
      </c>
      <c r="S108" s="182">
        <v>1.384467</v>
      </c>
      <c r="T108" s="186">
        <f t="shared" si="34"/>
        <v>16.457325</v>
      </c>
      <c r="U108" s="182">
        <v>12.355146</v>
      </c>
      <c r="V108" s="182">
        <v>1.35905</v>
      </c>
      <c r="W108" s="182">
        <v>1.412992</v>
      </c>
      <c r="X108" s="182">
        <v>1.374697</v>
      </c>
      <c r="Y108" s="182">
        <v>1.353325</v>
      </c>
      <c r="Z108" s="182">
        <v>1.369087</v>
      </c>
      <c r="AA108" s="182">
        <v>1.400568</v>
      </c>
      <c r="AB108" s="182">
        <v>1.352408</v>
      </c>
      <c r="AC108" s="182">
        <v>1.350446</v>
      </c>
      <c r="AD108" s="182">
        <v>1.382573</v>
      </c>
      <c r="AE108" s="182">
        <v>0</v>
      </c>
      <c r="AF108" s="182">
        <v>0</v>
      </c>
      <c r="AG108" s="182">
        <v>0</v>
      </c>
      <c r="AH108" s="182">
        <v>4.102179</v>
      </c>
      <c r="AI108" s="182">
        <v>0</v>
      </c>
      <c r="AJ108" s="182">
        <v>0</v>
      </c>
      <c r="AK108" s="182">
        <v>0</v>
      </c>
      <c r="AL108" s="182">
        <v>0</v>
      </c>
      <c r="AM108" s="182">
        <v>0</v>
      </c>
      <c r="AN108" s="182">
        <v>0</v>
      </c>
      <c r="AO108" s="182">
        <v>0</v>
      </c>
      <c r="AP108" s="182">
        <v>0</v>
      </c>
      <c r="AQ108" s="182">
        <v>0</v>
      </c>
      <c r="AR108" s="182">
        <v>1.35225</v>
      </c>
      <c r="AS108" s="182">
        <v>1.396471</v>
      </c>
      <c r="AT108" s="182">
        <v>1.353458</v>
      </c>
      <c r="AU108" s="182">
        <v>16.528089</v>
      </c>
      <c r="AV108" s="182">
        <v>1.397716</v>
      </c>
      <c r="AW108" s="182">
        <v>1.374091</v>
      </c>
      <c r="AX108" s="182">
        <v>1.369953</v>
      </c>
      <c r="AY108" s="182">
        <v>1.362334</v>
      </c>
      <c r="AZ108" s="182">
        <v>1.413206</v>
      </c>
      <c r="BA108" s="182">
        <v>1.377359</v>
      </c>
      <c r="BB108" s="182">
        <v>1.369884</v>
      </c>
      <c r="BC108" s="182">
        <v>1.36715</v>
      </c>
      <c r="BD108" s="182">
        <v>1.375268</v>
      </c>
      <c r="BE108" s="182">
        <v>1.372613</v>
      </c>
      <c r="BF108" s="182">
        <v>1.380744</v>
      </c>
      <c r="BG108" s="182">
        <v>1.367771</v>
      </c>
    </row>
    <row r="109" ht="16.2" spans="1:59">
      <c r="A109" s="33" t="s">
        <v>25</v>
      </c>
      <c r="C109" s="153"/>
      <c r="D109" s="153" t="s">
        <v>216</v>
      </c>
      <c r="E109" s="157" t="str">
        <f t="shared" si="32"/>
        <v>创新中心</v>
      </c>
      <c r="F109" s="157" t="str">
        <f t="shared" si="33"/>
        <v>XX
孵化业务</v>
      </c>
      <c r="G109" s="182">
        <v>29.413584</v>
      </c>
      <c r="H109" s="182">
        <v>2.46684</v>
      </c>
      <c r="I109" s="182">
        <v>2.476684</v>
      </c>
      <c r="J109" s="182">
        <v>2.461193</v>
      </c>
      <c r="K109" s="182">
        <v>2.468431</v>
      </c>
      <c r="L109" s="182">
        <v>2.420916</v>
      </c>
      <c r="M109" s="182">
        <v>2.494305</v>
      </c>
      <c r="N109" s="182">
        <v>2.461031</v>
      </c>
      <c r="O109" s="182">
        <v>2.47306</v>
      </c>
      <c r="P109" s="182">
        <v>2.450653</v>
      </c>
      <c r="Q109" s="182">
        <v>2.424136</v>
      </c>
      <c r="R109" s="182">
        <v>2.372459</v>
      </c>
      <c r="S109" s="182">
        <v>2.443876</v>
      </c>
      <c r="T109" s="186">
        <f t="shared" si="34"/>
        <v>29.437034</v>
      </c>
      <c r="U109" s="182">
        <v>22.083233</v>
      </c>
      <c r="V109" s="182">
        <v>2.440122</v>
      </c>
      <c r="W109" s="182">
        <v>2.434225</v>
      </c>
      <c r="X109" s="182">
        <v>2.49251</v>
      </c>
      <c r="Y109" s="182">
        <v>2.457295</v>
      </c>
      <c r="Z109" s="182">
        <v>2.433762</v>
      </c>
      <c r="AA109" s="182">
        <v>2.445368</v>
      </c>
      <c r="AB109" s="182">
        <v>2.444676</v>
      </c>
      <c r="AC109" s="182">
        <v>2.472484</v>
      </c>
      <c r="AD109" s="182">
        <v>2.462791</v>
      </c>
      <c r="AE109" s="182">
        <v>0</v>
      </c>
      <c r="AF109" s="182">
        <v>0</v>
      </c>
      <c r="AG109" s="182">
        <v>0</v>
      </c>
      <c r="AH109" s="182">
        <v>7.353801</v>
      </c>
      <c r="AI109" s="182">
        <v>0</v>
      </c>
      <c r="AJ109" s="182">
        <v>0</v>
      </c>
      <c r="AK109" s="182">
        <v>0</v>
      </c>
      <c r="AL109" s="182">
        <v>0</v>
      </c>
      <c r="AM109" s="182">
        <v>0</v>
      </c>
      <c r="AN109" s="182">
        <v>0</v>
      </c>
      <c r="AO109" s="182">
        <v>0</v>
      </c>
      <c r="AP109" s="182">
        <v>0</v>
      </c>
      <c r="AQ109" s="182">
        <v>0</v>
      </c>
      <c r="AR109" s="182">
        <v>2.479796</v>
      </c>
      <c r="AS109" s="182">
        <v>2.455166</v>
      </c>
      <c r="AT109" s="182">
        <v>2.418839</v>
      </c>
      <c r="AU109" s="182">
        <v>29.477003</v>
      </c>
      <c r="AV109" s="182">
        <v>2.462243</v>
      </c>
      <c r="AW109" s="182">
        <v>2.455648</v>
      </c>
      <c r="AX109" s="182">
        <v>2.466127</v>
      </c>
      <c r="AY109" s="182">
        <v>2.45278</v>
      </c>
      <c r="AZ109" s="182">
        <v>2.468789</v>
      </c>
      <c r="BA109" s="182">
        <v>2.432781</v>
      </c>
      <c r="BB109" s="182">
        <v>2.426701</v>
      </c>
      <c r="BC109" s="182">
        <v>2.432769</v>
      </c>
      <c r="BD109" s="182">
        <v>2.516036</v>
      </c>
      <c r="BE109" s="182">
        <v>2.467064</v>
      </c>
      <c r="BF109" s="182">
        <v>2.413085</v>
      </c>
      <c r="BG109" s="182">
        <v>2.48298</v>
      </c>
    </row>
    <row r="110" ht="16.2" spans="3:59">
      <c r="C110" s="153" t="s">
        <v>217</v>
      </c>
      <c r="D110" s="153"/>
      <c r="E110" s="157" t="str">
        <f t="shared" si="32"/>
        <v>支持中心</v>
      </c>
      <c r="F110" s="157" t="str">
        <f t="shared" si="33"/>
        <v>*</v>
      </c>
      <c r="G110" s="182">
        <v>61.007046</v>
      </c>
      <c r="H110" s="182">
        <v>5.115409</v>
      </c>
      <c r="I110" s="182">
        <v>5.045141</v>
      </c>
      <c r="J110" s="182">
        <v>5.051818</v>
      </c>
      <c r="K110" s="182">
        <v>5.112171</v>
      </c>
      <c r="L110" s="182">
        <v>5.05459</v>
      </c>
      <c r="M110" s="182">
        <v>5.08873</v>
      </c>
      <c r="N110" s="182">
        <v>5.128483</v>
      </c>
      <c r="O110" s="182">
        <v>5.058675</v>
      </c>
      <c r="P110" s="182">
        <v>5.052346</v>
      </c>
      <c r="Q110" s="182">
        <v>5.075723</v>
      </c>
      <c r="R110" s="182">
        <v>5.130184</v>
      </c>
      <c r="S110" s="182">
        <v>5.093776</v>
      </c>
      <c r="T110" s="186">
        <f t="shared" si="34"/>
        <v>61.165891</v>
      </c>
      <c r="U110" s="182">
        <v>45.832002</v>
      </c>
      <c r="V110" s="182">
        <v>5.124611</v>
      </c>
      <c r="W110" s="182">
        <v>5.055341</v>
      </c>
      <c r="X110" s="182">
        <v>5.080972</v>
      </c>
      <c r="Y110" s="182">
        <v>5.104704</v>
      </c>
      <c r="Z110" s="182">
        <v>5.085803</v>
      </c>
      <c r="AA110" s="182">
        <v>5.127518</v>
      </c>
      <c r="AB110" s="182">
        <v>5.118722</v>
      </c>
      <c r="AC110" s="182">
        <v>5.092339</v>
      </c>
      <c r="AD110" s="182">
        <v>5.041992</v>
      </c>
      <c r="AE110" s="182">
        <v>0</v>
      </c>
      <c r="AF110" s="182">
        <v>0</v>
      </c>
      <c r="AG110" s="182">
        <v>0</v>
      </c>
      <c r="AH110" s="182">
        <v>15.333889</v>
      </c>
      <c r="AI110" s="182">
        <v>0</v>
      </c>
      <c r="AJ110" s="182">
        <v>0</v>
      </c>
      <c r="AK110" s="182">
        <v>0</v>
      </c>
      <c r="AL110" s="182">
        <v>0</v>
      </c>
      <c r="AM110" s="182">
        <v>0</v>
      </c>
      <c r="AN110" s="182">
        <v>0</v>
      </c>
      <c r="AO110" s="182">
        <v>0</v>
      </c>
      <c r="AP110" s="182">
        <v>0</v>
      </c>
      <c r="AQ110" s="182">
        <v>0</v>
      </c>
      <c r="AR110" s="182">
        <v>5.116333</v>
      </c>
      <c r="AS110" s="182">
        <v>5.122861</v>
      </c>
      <c r="AT110" s="182">
        <v>5.094695</v>
      </c>
      <c r="AU110" s="182">
        <v>60.985717</v>
      </c>
      <c r="AV110" s="182">
        <v>5.043986</v>
      </c>
      <c r="AW110" s="182">
        <v>5.188014</v>
      </c>
      <c r="AX110" s="182">
        <v>5.037813</v>
      </c>
      <c r="AY110" s="182">
        <v>5.095958</v>
      </c>
      <c r="AZ110" s="182">
        <v>5.093768</v>
      </c>
      <c r="BA110" s="182">
        <v>5.018314</v>
      </c>
      <c r="BB110" s="182">
        <v>5.093074</v>
      </c>
      <c r="BC110" s="182">
        <v>5.113465</v>
      </c>
      <c r="BD110" s="182">
        <v>5.102105</v>
      </c>
      <c r="BE110" s="182">
        <v>5.125394</v>
      </c>
      <c r="BF110" s="182">
        <v>5.040451</v>
      </c>
      <c r="BG110" s="182">
        <v>5.033375</v>
      </c>
    </row>
    <row r="111" ht="16.2" spans="1:59">
      <c r="A111" s="33" t="s">
        <v>25</v>
      </c>
      <c r="C111" s="153"/>
      <c r="D111" s="153" t="s">
        <v>218</v>
      </c>
      <c r="E111" s="157" t="str">
        <f t="shared" si="32"/>
        <v>支持中心</v>
      </c>
      <c r="F111" s="157" t="str">
        <f t="shared" si="33"/>
        <v>财务部</v>
      </c>
      <c r="G111" s="182">
        <v>23.812508</v>
      </c>
      <c r="H111" s="182">
        <v>1.997738</v>
      </c>
      <c r="I111" s="182">
        <v>1.989025</v>
      </c>
      <c r="J111" s="182">
        <v>1.957586</v>
      </c>
      <c r="K111" s="182">
        <v>1.976738</v>
      </c>
      <c r="L111" s="182">
        <v>1.983982</v>
      </c>
      <c r="M111" s="182">
        <v>2.007884</v>
      </c>
      <c r="N111" s="182">
        <v>1.971448</v>
      </c>
      <c r="O111" s="182">
        <v>1.957494</v>
      </c>
      <c r="P111" s="182">
        <v>2.008603</v>
      </c>
      <c r="Q111" s="182">
        <v>2.005034</v>
      </c>
      <c r="R111" s="182">
        <v>1.981142</v>
      </c>
      <c r="S111" s="182">
        <v>1.975834</v>
      </c>
      <c r="T111" s="186">
        <f t="shared" si="34"/>
        <v>23.862738</v>
      </c>
      <c r="U111" s="182">
        <v>17.866481</v>
      </c>
      <c r="V111" s="182">
        <v>2.000812</v>
      </c>
      <c r="W111" s="182">
        <v>1.980166</v>
      </c>
      <c r="X111" s="182">
        <v>1.99866</v>
      </c>
      <c r="Y111" s="182">
        <v>1.965122</v>
      </c>
      <c r="Z111" s="182">
        <v>1.979386</v>
      </c>
      <c r="AA111" s="182">
        <v>1.988733</v>
      </c>
      <c r="AB111" s="182">
        <v>1.979432</v>
      </c>
      <c r="AC111" s="182">
        <v>2.000497</v>
      </c>
      <c r="AD111" s="182">
        <v>1.973673</v>
      </c>
      <c r="AE111" s="182">
        <v>0</v>
      </c>
      <c r="AF111" s="182">
        <v>0</v>
      </c>
      <c r="AG111" s="182">
        <v>0</v>
      </c>
      <c r="AH111" s="182">
        <v>5.996257</v>
      </c>
      <c r="AI111" s="182">
        <v>0</v>
      </c>
      <c r="AJ111" s="182">
        <v>0</v>
      </c>
      <c r="AK111" s="182">
        <v>0</v>
      </c>
      <c r="AL111" s="182">
        <v>0</v>
      </c>
      <c r="AM111" s="182">
        <v>0</v>
      </c>
      <c r="AN111" s="182">
        <v>0</v>
      </c>
      <c r="AO111" s="182">
        <v>0</v>
      </c>
      <c r="AP111" s="182">
        <v>0</v>
      </c>
      <c r="AQ111" s="182">
        <v>0</v>
      </c>
      <c r="AR111" s="182">
        <v>2.017906</v>
      </c>
      <c r="AS111" s="182">
        <v>1.989807</v>
      </c>
      <c r="AT111" s="182">
        <v>1.988544</v>
      </c>
      <c r="AU111" s="182">
        <v>23.900851</v>
      </c>
      <c r="AV111" s="182">
        <v>1.961761</v>
      </c>
      <c r="AW111" s="182">
        <v>2.03436</v>
      </c>
      <c r="AX111" s="182">
        <v>1.968797</v>
      </c>
      <c r="AY111" s="182">
        <v>2.01234</v>
      </c>
      <c r="AZ111" s="182">
        <v>1.987346</v>
      </c>
      <c r="BA111" s="182">
        <v>1.972662</v>
      </c>
      <c r="BB111" s="182">
        <v>1.998414</v>
      </c>
      <c r="BC111" s="182">
        <v>2.012393</v>
      </c>
      <c r="BD111" s="182">
        <v>1.994092</v>
      </c>
      <c r="BE111" s="182">
        <v>2.019224</v>
      </c>
      <c r="BF111" s="182">
        <v>1.988179</v>
      </c>
      <c r="BG111" s="182">
        <v>1.951283</v>
      </c>
    </row>
    <row r="112" ht="16.2" spans="1:59">
      <c r="A112" s="33" t="s">
        <v>25</v>
      </c>
      <c r="C112" s="153"/>
      <c r="D112" s="153" t="s">
        <v>219</v>
      </c>
      <c r="E112" s="157" t="str">
        <f t="shared" si="32"/>
        <v>支持中心</v>
      </c>
      <c r="F112" s="157" t="str">
        <f t="shared" si="33"/>
        <v>人力资源部</v>
      </c>
      <c r="G112" s="182">
        <v>21.21213</v>
      </c>
      <c r="H112" s="182">
        <v>1.759767</v>
      </c>
      <c r="I112" s="182">
        <v>1.729802</v>
      </c>
      <c r="J112" s="182">
        <v>1.760628</v>
      </c>
      <c r="K112" s="182">
        <v>1.782693</v>
      </c>
      <c r="L112" s="182">
        <v>1.73843</v>
      </c>
      <c r="M112" s="182">
        <v>1.757013</v>
      </c>
      <c r="N112" s="182">
        <v>1.802936</v>
      </c>
      <c r="O112" s="182">
        <v>1.787995</v>
      </c>
      <c r="P112" s="182">
        <v>1.752565</v>
      </c>
      <c r="Q112" s="182">
        <v>1.757695</v>
      </c>
      <c r="R112" s="182">
        <v>1.80158</v>
      </c>
      <c r="S112" s="182">
        <v>1.781026</v>
      </c>
      <c r="T112" s="186">
        <f t="shared" si="34"/>
        <v>21.35174</v>
      </c>
      <c r="U112" s="182">
        <v>15.994088</v>
      </c>
      <c r="V112" s="182">
        <v>1.772623</v>
      </c>
      <c r="W112" s="182">
        <v>1.750639</v>
      </c>
      <c r="X112" s="182">
        <v>1.762737</v>
      </c>
      <c r="Y112" s="182">
        <v>1.803781</v>
      </c>
      <c r="Z112" s="182">
        <v>1.783888</v>
      </c>
      <c r="AA112" s="182">
        <v>1.810135</v>
      </c>
      <c r="AB112" s="182">
        <v>1.790957</v>
      </c>
      <c r="AC112" s="182">
        <v>1.763852</v>
      </c>
      <c r="AD112" s="182">
        <v>1.755476</v>
      </c>
      <c r="AE112" s="182">
        <v>0</v>
      </c>
      <c r="AF112" s="182">
        <v>0</v>
      </c>
      <c r="AG112" s="182">
        <v>0</v>
      </c>
      <c r="AH112" s="182">
        <v>5.357652</v>
      </c>
      <c r="AI112" s="182">
        <v>0</v>
      </c>
      <c r="AJ112" s="182">
        <v>0</v>
      </c>
      <c r="AK112" s="182">
        <v>0</v>
      </c>
      <c r="AL112" s="182">
        <v>0</v>
      </c>
      <c r="AM112" s="182">
        <v>0</v>
      </c>
      <c r="AN112" s="182">
        <v>0</v>
      </c>
      <c r="AO112" s="182">
        <v>0</v>
      </c>
      <c r="AP112" s="182">
        <v>0</v>
      </c>
      <c r="AQ112" s="182">
        <v>0</v>
      </c>
      <c r="AR112" s="182">
        <v>1.801304</v>
      </c>
      <c r="AS112" s="182">
        <v>1.785169</v>
      </c>
      <c r="AT112" s="182">
        <v>1.771179</v>
      </c>
      <c r="AU112" s="182">
        <v>21.150849</v>
      </c>
      <c r="AV112" s="182">
        <v>1.733826</v>
      </c>
      <c r="AW112" s="182">
        <v>1.789275</v>
      </c>
      <c r="AX112" s="182">
        <v>1.76154</v>
      </c>
      <c r="AY112" s="182">
        <v>1.764827</v>
      </c>
      <c r="AZ112" s="182">
        <v>1.774319</v>
      </c>
      <c r="BA112" s="182">
        <v>1.75064</v>
      </c>
      <c r="BB112" s="182">
        <v>1.747072</v>
      </c>
      <c r="BC112" s="182">
        <v>1.766969</v>
      </c>
      <c r="BD112" s="182">
        <v>1.770069</v>
      </c>
      <c r="BE112" s="182">
        <v>1.78394</v>
      </c>
      <c r="BF112" s="182">
        <v>1.742543</v>
      </c>
      <c r="BG112" s="182">
        <v>1.765829</v>
      </c>
    </row>
    <row r="113" ht="16.2" spans="1:59">
      <c r="A113" s="33" t="s">
        <v>25</v>
      </c>
      <c r="C113" s="153"/>
      <c r="D113" s="153" t="s">
        <v>220</v>
      </c>
      <c r="E113" s="157" t="str">
        <f t="shared" si="32"/>
        <v>支持中心</v>
      </c>
      <c r="F113" s="157" t="str">
        <f t="shared" si="33"/>
        <v>IT部</v>
      </c>
      <c r="G113" s="182">
        <v>10.013897</v>
      </c>
      <c r="H113" s="182">
        <v>0.862124</v>
      </c>
      <c r="I113" s="182">
        <v>0.841941</v>
      </c>
      <c r="J113" s="182">
        <v>0.82677</v>
      </c>
      <c r="K113" s="182">
        <v>0.842192</v>
      </c>
      <c r="L113" s="182">
        <v>0.84088</v>
      </c>
      <c r="M113" s="182">
        <v>0.82251</v>
      </c>
      <c r="N113" s="182">
        <v>0.846862</v>
      </c>
      <c r="O113" s="182">
        <v>0.816663</v>
      </c>
      <c r="P113" s="182">
        <v>0.818865</v>
      </c>
      <c r="Q113" s="182">
        <v>0.827556</v>
      </c>
      <c r="R113" s="182">
        <v>0.836401</v>
      </c>
      <c r="S113" s="182">
        <v>0.831133</v>
      </c>
      <c r="T113" s="186">
        <f t="shared" si="34"/>
        <v>9.990695</v>
      </c>
      <c r="U113" s="182">
        <v>7.487655</v>
      </c>
      <c r="V113" s="182">
        <v>0.841285</v>
      </c>
      <c r="W113" s="182">
        <v>0.831479</v>
      </c>
      <c r="X113" s="182">
        <v>0.837665</v>
      </c>
      <c r="Y113" s="182">
        <v>0.821486</v>
      </c>
      <c r="Z113" s="182">
        <v>0.818001</v>
      </c>
      <c r="AA113" s="182">
        <v>0.844235</v>
      </c>
      <c r="AB113" s="182">
        <v>0.839439</v>
      </c>
      <c r="AC113" s="182">
        <v>0.822179</v>
      </c>
      <c r="AD113" s="182">
        <v>0.831886</v>
      </c>
      <c r="AE113" s="182">
        <v>0</v>
      </c>
      <c r="AF113" s="182">
        <v>0</v>
      </c>
      <c r="AG113" s="182">
        <v>0</v>
      </c>
      <c r="AH113" s="182">
        <v>2.50304</v>
      </c>
      <c r="AI113" s="182">
        <v>0</v>
      </c>
      <c r="AJ113" s="182">
        <v>0</v>
      </c>
      <c r="AK113" s="182">
        <v>0</v>
      </c>
      <c r="AL113" s="182">
        <v>0</v>
      </c>
      <c r="AM113" s="182">
        <v>0</v>
      </c>
      <c r="AN113" s="182">
        <v>0</v>
      </c>
      <c r="AO113" s="182">
        <v>0</v>
      </c>
      <c r="AP113" s="182">
        <v>0</v>
      </c>
      <c r="AQ113" s="182">
        <v>0</v>
      </c>
      <c r="AR113" s="182">
        <v>0.822117</v>
      </c>
      <c r="AS113" s="182">
        <v>0.846596</v>
      </c>
      <c r="AT113" s="182">
        <v>0.834327</v>
      </c>
      <c r="AU113" s="182">
        <v>9.983321</v>
      </c>
      <c r="AV113" s="182">
        <v>0.836112</v>
      </c>
      <c r="AW113" s="182">
        <v>0.865641</v>
      </c>
      <c r="AX113" s="182">
        <v>0.819807</v>
      </c>
      <c r="AY113" s="182">
        <v>0.836812</v>
      </c>
      <c r="AZ113" s="182">
        <v>0.822146</v>
      </c>
      <c r="BA113" s="182">
        <v>0.817226</v>
      </c>
      <c r="BB113" s="182">
        <v>0.84271</v>
      </c>
      <c r="BC113" s="182">
        <v>0.819388</v>
      </c>
      <c r="BD113" s="182">
        <v>0.848258</v>
      </c>
      <c r="BE113" s="182">
        <v>0.828749</v>
      </c>
      <c r="BF113" s="182">
        <v>0.830962</v>
      </c>
      <c r="BG113" s="182">
        <v>0.81551</v>
      </c>
    </row>
    <row r="114" ht="16.2" spans="1:59">
      <c r="A114" s="33" t="s">
        <v>25</v>
      </c>
      <c r="C114" s="153"/>
      <c r="D114" s="153" t="s">
        <v>221</v>
      </c>
      <c r="E114" s="157" t="str">
        <f t="shared" si="32"/>
        <v>支持中心</v>
      </c>
      <c r="F114" s="157" t="str">
        <f t="shared" si="33"/>
        <v>总经办</v>
      </c>
      <c r="G114" s="182">
        <v>5.968511</v>
      </c>
      <c r="H114" s="182">
        <v>0.49578</v>
      </c>
      <c r="I114" s="182">
        <v>0.484373</v>
      </c>
      <c r="J114" s="182">
        <v>0.506834</v>
      </c>
      <c r="K114" s="182">
        <v>0.510548</v>
      </c>
      <c r="L114" s="182">
        <v>0.491298</v>
      </c>
      <c r="M114" s="182">
        <v>0.501323</v>
      </c>
      <c r="N114" s="182">
        <v>0.507237</v>
      </c>
      <c r="O114" s="182">
        <v>0.496523</v>
      </c>
      <c r="P114" s="182">
        <v>0.472313</v>
      </c>
      <c r="Q114" s="182">
        <v>0.485438</v>
      </c>
      <c r="R114" s="182">
        <v>0.511061</v>
      </c>
      <c r="S114" s="182">
        <v>0.505783</v>
      </c>
      <c r="T114" s="186">
        <f t="shared" si="34"/>
        <v>5.960718</v>
      </c>
      <c r="U114" s="182">
        <v>4.483778</v>
      </c>
      <c r="V114" s="182">
        <v>0.509891</v>
      </c>
      <c r="W114" s="182">
        <v>0.493057</v>
      </c>
      <c r="X114" s="182">
        <v>0.48191</v>
      </c>
      <c r="Y114" s="182">
        <v>0.514315</v>
      </c>
      <c r="Z114" s="182">
        <v>0.504528</v>
      </c>
      <c r="AA114" s="182">
        <v>0.484415</v>
      </c>
      <c r="AB114" s="182">
        <v>0.508894</v>
      </c>
      <c r="AC114" s="182">
        <v>0.505811</v>
      </c>
      <c r="AD114" s="182">
        <v>0.480957</v>
      </c>
      <c r="AE114" s="182">
        <v>0</v>
      </c>
      <c r="AF114" s="182">
        <v>0</v>
      </c>
      <c r="AG114" s="182">
        <v>0</v>
      </c>
      <c r="AH114" s="182">
        <v>1.47694</v>
      </c>
      <c r="AI114" s="182">
        <v>0</v>
      </c>
      <c r="AJ114" s="182">
        <v>0</v>
      </c>
      <c r="AK114" s="182">
        <v>0</v>
      </c>
      <c r="AL114" s="182">
        <v>0</v>
      </c>
      <c r="AM114" s="182">
        <v>0</v>
      </c>
      <c r="AN114" s="182">
        <v>0</v>
      </c>
      <c r="AO114" s="182">
        <v>0</v>
      </c>
      <c r="AP114" s="182">
        <v>0</v>
      </c>
      <c r="AQ114" s="182">
        <v>0</v>
      </c>
      <c r="AR114" s="182">
        <v>0.475006</v>
      </c>
      <c r="AS114" s="182">
        <v>0.501289</v>
      </c>
      <c r="AT114" s="182">
        <v>0.500645</v>
      </c>
      <c r="AU114" s="182">
        <v>5.950696</v>
      </c>
      <c r="AV114" s="182">
        <v>0.512287</v>
      </c>
      <c r="AW114" s="182">
        <v>0.498738</v>
      </c>
      <c r="AX114" s="182">
        <v>0.487669</v>
      </c>
      <c r="AY114" s="182">
        <v>0.481979</v>
      </c>
      <c r="AZ114" s="182">
        <v>0.509957</v>
      </c>
      <c r="BA114" s="182">
        <v>0.477786</v>
      </c>
      <c r="BB114" s="182">
        <v>0.504878</v>
      </c>
      <c r="BC114" s="182">
        <v>0.514715</v>
      </c>
      <c r="BD114" s="182">
        <v>0.489686</v>
      </c>
      <c r="BE114" s="182">
        <v>0.493481</v>
      </c>
      <c r="BF114" s="182">
        <v>0.478767</v>
      </c>
      <c r="BG114" s="182">
        <v>0.500753</v>
      </c>
    </row>
    <row r="116" ht="20.4" spans="2:2">
      <c r="B116" s="36" t="s">
        <v>228</v>
      </c>
    </row>
    <row r="117" s="164" customFormat="1" ht="19.2" customHeight="1" spans="2:59">
      <c r="B117" s="153" t="s">
        <v>128</v>
      </c>
      <c r="C117" s="154"/>
      <c r="D117" s="154"/>
      <c r="E117" s="154" t="s">
        <v>209</v>
      </c>
      <c r="F117" s="154" t="s">
        <v>209</v>
      </c>
      <c r="G117" s="181">
        <v>50.117517</v>
      </c>
      <c r="H117" s="181">
        <v>4.165133</v>
      </c>
      <c r="I117" s="181">
        <v>4.185346</v>
      </c>
      <c r="J117" s="181">
        <v>4.157575</v>
      </c>
      <c r="K117" s="181">
        <v>4.207227</v>
      </c>
      <c r="L117" s="181">
        <v>4.148167</v>
      </c>
      <c r="M117" s="181">
        <v>4.17452</v>
      </c>
      <c r="N117" s="181">
        <v>4.269815</v>
      </c>
      <c r="O117" s="181">
        <v>4.178875</v>
      </c>
      <c r="P117" s="181">
        <v>4.126747</v>
      </c>
      <c r="Q117" s="181">
        <v>4.127961</v>
      </c>
      <c r="R117" s="181">
        <v>4.174994</v>
      </c>
      <c r="S117" s="181">
        <v>4.201157</v>
      </c>
      <c r="T117" s="185">
        <f>U117+AH117</f>
        <v>50.3029</v>
      </c>
      <c r="U117" s="181">
        <v>37.677427</v>
      </c>
      <c r="V117" s="181">
        <v>4.212296</v>
      </c>
      <c r="W117" s="181">
        <v>4.173088</v>
      </c>
      <c r="X117" s="181">
        <v>4.187984</v>
      </c>
      <c r="Y117" s="181">
        <v>4.205739</v>
      </c>
      <c r="Z117" s="181">
        <v>4.184269</v>
      </c>
      <c r="AA117" s="181">
        <v>4.230889</v>
      </c>
      <c r="AB117" s="181">
        <v>4.170924</v>
      </c>
      <c r="AC117" s="181">
        <v>4.187561</v>
      </c>
      <c r="AD117" s="181">
        <v>4.124677</v>
      </c>
      <c r="AE117" s="181">
        <v>0</v>
      </c>
      <c r="AF117" s="181">
        <v>0</v>
      </c>
      <c r="AG117" s="181">
        <v>0</v>
      </c>
      <c r="AH117" s="181">
        <v>12.625473</v>
      </c>
      <c r="AI117" s="181">
        <v>0</v>
      </c>
      <c r="AJ117" s="181">
        <v>0</v>
      </c>
      <c r="AK117" s="181">
        <v>0</v>
      </c>
      <c r="AL117" s="181">
        <v>0</v>
      </c>
      <c r="AM117" s="181">
        <v>0</v>
      </c>
      <c r="AN117" s="181">
        <v>0</v>
      </c>
      <c r="AO117" s="181">
        <v>0</v>
      </c>
      <c r="AP117" s="181">
        <v>0</v>
      </c>
      <c r="AQ117" s="181">
        <v>0</v>
      </c>
      <c r="AR117" s="181">
        <v>4.162766</v>
      </c>
      <c r="AS117" s="181">
        <v>4.260377</v>
      </c>
      <c r="AT117" s="181">
        <v>4.20233</v>
      </c>
      <c r="AU117" s="181">
        <v>50.142648</v>
      </c>
      <c r="AV117" s="181">
        <v>4.205568</v>
      </c>
      <c r="AW117" s="181">
        <v>4.259817</v>
      </c>
      <c r="AX117" s="181">
        <v>4.160786</v>
      </c>
      <c r="AY117" s="181">
        <v>4.159965</v>
      </c>
      <c r="AZ117" s="181">
        <v>4.191361</v>
      </c>
      <c r="BA117" s="181">
        <v>4.127625</v>
      </c>
      <c r="BB117" s="181">
        <v>4.163746</v>
      </c>
      <c r="BC117" s="181">
        <v>4.226064</v>
      </c>
      <c r="BD117" s="181">
        <v>4.20702</v>
      </c>
      <c r="BE117" s="181">
        <v>4.164183</v>
      </c>
      <c r="BF117" s="181">
        <v>4.162272</v>
      </c>
      <c r="BG117" s="181">
        <v>4.114241</v>
      </c>
    </row>
    <row r="118" ht="16.2" spans="3:59">
      <c r="C118" s="153" t="s">
        <v>210</v>
      </c>
      <c r="D118" s="153"/>
      <c r="E118" s="157" t="str">
        <f>IF(C118&lt;&gt;"",C118,E115)</f>
        <v>流程中心</v>
      </c>
      <c r="F118" s="157" t="str">
        <f>IF(D118&lt;&gt;"",D118,"*")</f>
        <v>*</v>
      </c>
      <c r="G118" s="182">
        <v>6.876637</v>
      </c>
      <c r="H118" s="182">
        <v>0.563116</v>
      </c>
      <c r="I118" s="182">
        <v>0.571684</v>
      </c>
      <c r="J118" s="182">
        <v>0.571305</v>
      </c>
      <c r="K118" s="182">
        <v>0.587451</v>
      </c>
      <c r="L118" s="182">
        <v>0.578059</v>
      </c>
      <c r="M118" s="182">
        <v>0.555319</v>
      </c>
      <c r="N118" s="182">
        <v>0.592196</v>
      </c>
      <c r="O118" s="182">
        <v>0.563078</v>
      </c>
      <c r="P118" s="182">
        <v>0.562189</v>
      </c>
      <c r="Q118" s="182">
        <v>0.588005</v>
      </c>
      <c r="R118" s="182">
        <v>0.562011</v>
      </c>
      <c r="S118" s="182">
        <v>0.582224</v>
      </c>
      <c r="T118" s="186">
        <f>U118+AH118</f>
        <v>6.908083</v>
      </c>
      <c r="U118" s="182">
        <v>5.179096</v>
      </c>
      <c r="V118" s="182">
        <v>0.55972</v>
      </c>
      <c r="W118" s="182">
        <v>0.582847</v>
      </c>
      <c r="X118" s="182">
        <v>0.589631</v>
      </c>
      <c r="Y118" s="182">
        <v>0.577079</v>
      </c>
      <c r="Z118" s="182">
        <v>0.570736</v>
      </c>
      <c r="AA118" s="182">
        <v>0.575975</v>
      </c>
      <c r="AB118" s="182">
        <v>0.571717</v>
      </c>
      <c r="AC118" s="182">
        <v>0.591354</v>
      </c>
      <c r="AD118" s="182">
        <v>0.560037</v>
      </c>
      <c r="AE118" s="182">
        <v>0</v>
      </c>
      <c r="AF118" s="182">
        <v>0</v>
      </c>
      <c r="AG118" s="182">
        <v>0</v>
      </c>
      <c r="AH118" s="182">
        <v>1.728987</v>
      </c>
      <c r="AI118" s="182">
        <v>0</v>
      </c>
      <c r="AJ118" s="182">
        <v>0</v>
      </c>
      <c r="AK118" s="182">
        <v>0</v>
      </c>
      <c r="AL118" s="182">
        <v>0</v>
      </c>
      <c r="AM118" s="182">
        <v>0</v>
      </c>
      <c r="AN118" s="182">
        <v>0</v>
      </c>
      <c r="AO118" s="182">
        <v>0</v>
      </c>
      <c r="AP118" s="182">
        <v>0</v>
      </c>
      <c r="AQ118" s="182">
        <v>0</v>
      </c>
      <c r="AR118" s="182">
        <v>0.569625</v>
      </c>
      <c r="AS118" s="182">
        <v>0.591296</v>
      </c>
      <c r="AT118" s="182">
        <v>0.568066</v>
      </c>
      <c r="AU118" s="182">
        <v>6.899657</v>
      </c>
      <c r="AV118" s="182">
        <v>0.581373</v>
      </c>
      <c r="AW118" s="182">
        <v>0.592182</v>
      </c>
      <c r="AX118" s="182">
        <v>0.590479</v>
      </c>
      <c r="AY118" s="182">
        <v>0.577448</v>
      </c>
      <c r="AZ118" s="182">
        <v>0.552293</v>
      </c>
      <c r="BA118" s="182">
        <v>0.588012</v>
      </c>
      <c r="BB118" s="182">
        <v>0.558182</v>
      </c>
      <c r="BC118" s="182">
        <v>0.576314</v>
      </c>
      <c r="BD118" s="182">
        <v>0.573188</v>
      </c>
      <c r="BE118" s="182">
        <v>0.569471</v>
      </c>
      <c r="BF118" s="182">
        <v>0.565762</v>
      </c>
      <c r="BG118" s="182">
        <v>0.574953</v>
      </c>
    </row>
    <row r="119" ht="16.2" spans="1:59">
      <c r="A119" s="33" t="s">
        <v>25</v>
      </c>
      <c r="C119" s="153"/>
      <c r="D119" s="153" t="s">
        <v>211</v>
      </c>
      <c r="E119" s="157" t="str">
        <f t="shared" ref="E119:E129" si="35">IF(C119&lt;&gt;"",C119,E118)</f>
        <v>流程中心</v>
      </c>
      <c r="F119" s="157" t="str">
        <f t="shared" ref="F119:F129" si="36">IF(D119&lt;&gt;"",D119,"*")</f>
        <v>销售中心</v>
      </c>
      <c r="G119" s="182">
        <v>3.906979</v>
      </c>
      <c r="H119" s="182">
        <v>0.321148</v>
      </c>
      <c r="I119" s="182">
        <v>0.316416</v>
      </c>
      <c r="J119" s="182">
        <v>0.325054</v>
      </c>
      <c r="K119" s="182">
        <v>0.334671</v>
      </c>
      <c r="L119" s="182">
        <v>0.322236</v>
      </c>
      <c r="M119" s="182">
        <v>0.316951</v>
      </c>
      <c r="N119" s="182">
        <v>0.341274</v>
      </c>
      <c r="O119" s="182">
        <v>0.319123</v>
      </c>
      <c r="P119" s="182">
        <v>0.319135</v>
      </c>
      <c r="Q119" s="182">
        <v>0.342319</v>
      </c>
      <c r="R119" s="182">
        <v>0.322243</v>
      </c>
      <c r="S119" s="182">
        <v>0.326409</v>
      </c>
      <c r="T119" s="186">
        <f t="shared" ref="T119:T129" si="37">U119+AH119</f>
        <v>3.925559</v>
      </c>
      <c r="U119" s="182">
        <v>2.926984</v>
      </c>
      <c r="V119" s="182">
        <v>0.316425</v>
      </c>
      <c r="W119" s="182">
        <v>0.342832</v>
      </c>
      <c r="X119" s="182">
        <v>0.332691</v>
      </c>
      <c r="Y119" s="182">
        <v>0.329633</v>
      </c>
      <c r="Z119" s="182">
        <v>0.320101</v>
      </c>
      <c r="AA119" s="182">
        <v>0.318722</v>
      </c>
      <c r="AB119" s="182">
        <v>0.314748</v>
      </c>
      <c r="AC119" s="182">
        <v>0.335983</v>
      </c>
      <c r="AD119" s="182">
        <v>0.315849</v>
      </c>
      <c r="AE119" s="182">
        <v>0</v>
      </c>
      <c r="AF119" s="182">
        <v>0</v>
      </c>
      <c r="AG119" s="182">
        <v>0</v>
      </c>
      <c r="AH119" s="182">
        <v>0.998575</v>
      </c>
      <c r="AI119" s="182">
        <v>0</v>
      </c>
      <c r="AJ119" s="182">
        <v>0</v>
      </c>
      <c r="AK119" s="182">
        <v>0</v>
      </c>
      <c r="AL119" s="182">
        <v>0</v>
      </c>
      <c r="AM119" s="182">
        <v>0</v>
      </c>
      <c r="AN119" s="182">
        <v>0</v>
      </c>
      <c r="AO119" s="182">
        <v>0</v>
      </c>
      <c r="AP119" s="182">
        <v>0</v>
      </c>
      <c r="AQ119" s="182">
        <v>0</v>
      </c>
      <c r="AR119" s="182">
        <v>0.325865</v>
      </c>
      <c r="AS119" s="182">
        <v>0.338911</v>
      </c>
      <c r="AT119" s="182">
        <v>0.333799</v>
      </c>
      <c r="AU119" s="182">
        <v>3.936543</v>
      </c>
      <c r="AV119" s="182">
        <v>0.331798</v>
      </c>
      <c r="AW119" s="182">
        <v>0.339056</v>
      </c>
      <c r="AX119" s="182">
        <v>0.3333</v>
      </c>
      <c r="AY119" s="182">
        <v>0.327944</v>
      </c>
      <c r="AZ119" s="182">
        <v>0.314999</v>
      </c>
      <c r="BA119" s="182">
        <v>0.338169</v>
      </c>
      <c r="BB119" s="182">
        <v>0.312964</v>
      </c>
      <c r="BC119" s="182">
        <v>0.320001</v>
      </c>
      <c r="BD119" s="182">
        <v>0.334982</v>
      </c>
      <c r="BE119" s="182">
        <v>0.315264</v>
      </c>
      <c r="BF119" s="182">
        <v>0.327678</v>
      </c>
      <c r="BG119" s="182">
        <v>0.340388</v>
      </c>
    </row>
    <row r="120" ht="16.2" spans="1:59">
      <c r="A120" s="33" t="s">
        <v>25</v>
      </c>
      <c r="C120" s="153"/>
      <c r="D120" s="153" t="s">
        <v>212</v>
      </c>
      <c r="E120" s="157" t="str">
        <f t="shared" si="35"/>
        <v>流程中心</v>
      </c>
      <c r="F120" s="157" t="str">
        <f t="shared" si="36"/>
        <v>制造中心</v>
      </c>
      <c r="G120" s="182">
        <v>2.969658</v>
      </c>
      <c r="H120" s="182">
        <v>0.241968</v>
      </c>
      <c r="I120" s="182">
        <v>0.255268</v>
      </c>
      <c r="J120" s="182">
        <v>0.246251</v>
      </c>
      <c r="K120" s="182">
        <v>0.25278</v>
      </c>
      <c r="L120" s="182">
        <v>0.255823</v>
      </c>
      <c r="M120" s="182">
        <v>0.238368</v>
      </c>
      <c r="N120" s="182">
        <v>0.250922</v>
      </c>
      <c r="O120" s="182">
        <v>0.243955</v>
      </c>
      <c r="P120" s="182">
        <v>0.243054</v>
      </c>
      <c r="Q120" s="182">
        <v>0.245686</v>
      </c>
      <c r="R120" s="182">
        <v>0.239768</v>
      </c>
      <c r="S120" s="182">
        <v>0.255815</v>
      </c>
      <c r="T120" s="186">
        <f t="shared" si="37"/>
        <v>2.982524</v>
      </c>
      <c r="U120" s="182">
        <v>2.252112</v>
      </c>
      <c r="V120" s="182">
        <v>0.243295</v>
      </c>
      <c r="W120" s="182">
        <v>0.240015</v>
      </c>
      <c r="X120" s="182">
        <v>0.25694</v>
      </c>
      <c r="Y120" s="182">
        <v>0.247446</v>
      </c>
      <c r="Z120" s="182">
        <v>0.250635</v>
      </c>
      <c r="AA120" s="182">
        <v>0.257253</v>
      </c>
      <c r="AB120" s="182">
        <v>0.256969</v>
      </c>
      <c r="AC120" s="182">
        <v>0.255371</v>
      </c>
      <c r="AD120" s="182">
        <v>0.244188</v>
      </c>
      <c r="AE120" s="182">
        <v>0</v>
      </c>
      <c r="AF120" s="182">
        <v>0</v>
      </c>
      <c r="AG120" s="182">
        <v>0</v>
      </c>
      <c r="AH120" s="182">
        <v>0.730412</v>
      </c>
      <c r="AI120" s="182">
        <v>0</v>
      </c>
      <c r="AJ120" s="182">
        <v>0</v>
      </c>
      <c r="AK120" s="182">
        <v>0</v>
      </c>
      <c r="AL120" s="182">
        <v>0</v>
      </c>
      <c r="AM120" s="182">
        <v>0</v>
      </c>
      <c r="AN120" s="182">
        <v>0</v>
      </c>
      <c r="AO120" s="182">
        <v>0</v>
      </c>
      <c r="AP120" s="182">
        <v>0</v>
      </c>
      <c r="AQ120" s="182">
        <v>0</v>
      </c>
      <c r="AR120" s="182">
        <v>0.24376</v>
      </c>
      <c r="AS120" s="182">
        <v>0.252385</v>
      </c>
      <c r="AT120" s="182">
        <v>0.234267</v>
      </c>
      <c r="AU120" s="182">
        <v>2.963114</v>
      </c>
      <c r="AV120" s="182">
        <v>0.249575</v>
      </c>
      <c r="AW120" s="182">
        <v>0.253126</v>
      </c>
      <c r="AX120" s="182">
        <v>0.257179</v>
      </c>
      <c r="AY120" s="182">
        <v>0.249504</v>
      </c>
      <c r="AZ120" s="182">
        <v>0.237294</v>
      </c>
      <c r="BA120" s="182">
        <v>0.249843</v>
      </c>
      <c r="BB120" s="182">
        <v>0.245218</v>
      </c>
      <c r="BC120" s="182">
        <v>0.256313</v>
      </c>
      <c r="BD120" s="182">
        <v>0.238206</v>
      </c>
      <c r="BE120" s="182">
        <v>0.254207</v>
      </c>
      <c r="BF120" s="182">
        <v>0.238084</v>
      </c>
      <c r="BG120" s="182">
        <v>0.234565</v>
      </c>
    </row>
    <row r="121" ht="16.2" spans="3:59">
      <c r="C121" s="153" t="s">
        <v>213</v>
      </c>
      <c r="D121" s="153"/>
      <c r="E121" s="157" t="str">
        <f t="shared" si="35"/>
        <v>创新中心</v>
      </c>
      <c r="F121" s="157" t="str">
        <f t="shared" si="36"/>
        <v>*</v>
      </c>
      <c r="G121" s="182">
        <v>15.711382</v>
      </c>
      <c r="H121" s="182">
        <v>1.306547</v>
      </c>
      <c r="I121" s="182">
        <v>1.345027</v>
      </c>
      <c r="J121" s="182">
        <v>1.306931</v>
      </c>
      <c r="K121" s="182">
        <v>1.287928</v>
      </c>
      <c r="L121" s="182">
        <v>1.293687</v>
      </c>
      <c r="M121" s="182">
        <v>1.313999</v>
      </c>
      <c r="N121" s="182">
        <v>1.341366</v>
      </c>
      <c r="O121" s="182">
        <v>1.319353</v>
      </c>
      <c r="P121" s="182">
        <v>1.313425</v>
      </c>
      <c r="Q121" s="182">
        <v>1.259138</v>
      </c>
      <c r="R121" s="182">
        <v>1.309689</v>
      </c>
      <c r="S121" s="182">
        <v>1.314292</v>
      </c>
      <c r="T121" s="186">
        <f t="shared" si="37"/>
        <v>15.72751</v>
      </c>
      <c r="U121" s="182">
        <v>11.789237</v>
      </c>
      <c r="V121" s="182">
        <v>1.288347</v>
      </c>
      <c r="W121" s="182">
        <v>1.328323</v>
      </c>
      <c r="X121" s="182">
        <v>1.319732</v>
      </c>
      <c r="Y121" s="182">
        <v>1.324468</v>
      </c>
      <c r="Z121" s="182">
        <v>1.339757</v>
      </c>
      <c r="AA121" s="182">
        <v>1.309579</v>
      </c>
      <c r="AB121" s="182">
        <v>1.284062</v>
      </c>
      <c r="AC121" s="182">
        <v>1.274287</v>
      </c>
      <c r="AD121" s="182">
        <v>1.320682</v>
      </c>
      <c r="AE121" s="182">
        <v>0</v>
      </c>
      <c r="AF121" s="182">
        <v>0</v>
      </c>
      <c r="AG121" s="182">
        <v>0</v>
      </c>
      <c r="AH121" s="182">
        <v>3.938273</v>
      </c>
      <c r="AI121" s="182">
        <v>0</v>
      </c>
      <c r="AJ121" s="182">
        <v>0</v>
      </c>
      <c r="AK121" s="182">
        <v>0</v>
      </c>
      <c r="AL121" s="182">
        <v>0</v>
      </c>
      <c r="AM121" s="182">
        <v>0</v>
      </c>
      <c r="AN121" s="182">
        <v>0</v>
      </c>
      <c r="AO121" s="182">
        <v>0</v>
      </c>
      <c r="AP121" s="182">
        <v>0</v>
      </c>
      <c r="AQ121" s="182">
        <v>0</v>
      </c>
      <c r="AR121" s="182">
        <v>1.300834</v>
      </c>
      <c r="AS121" s="182">
        <v>1.313874</v>
      </c>
      <c r="AT121" s="182">
        <v>1.323565</v>
      </c>
      <c r="AU121" s="182">
        <v>15.685816</v>
      </c>
      <c r="AV121" s="182">
        <v>1.309696</v>
      </c>
      <c r="AW121" s="182">
        <v>1.301891</v>
      </c>
      <c r="AX121" s="182">
        <v>1.275639</v>
      </c>
      <c r="AY121" s="182">
        <v>1.291965</v>
      </c>
      <c r="AZ121" s="182">
        <v>1.326322</v>
      </c>
      <c r="BA121" s="182">
        <v>1.314508</v>
      </c>
      <c r="BB121" s="182">
        <v>1.300322</v>
      </c>
      <c r="BC121" s="182">
        <v>1.320864</v>
      </c>
      <c r="BD121" s="182">
        <v>1.342681</v>
      </c>
      <c r="BE121" s="182">
        <v>1.312508</v>
      </c>
      <c r="BF121" s="182">
        <v>1.290412</v>
      </c>
      <c r="BG121" s="182">
        <v>1.299008</v>
      </c>
    </row>
    <row r="122" ht="16.2" spans="1:59">
      <c r="A122" s="33" t="s">
        <v>25</v>
      </c>
      <c r="C122" s="153"/>
      <c r="D122" s="153" t="s">
        <v>214</v>
      </c>
      <c r="E122" s="157" t="str">
        <f t="shared" si="35"/>
        <v>创新中心</v>
      </c>
      <c r="F122" s="157" t="str">
        <f t="shared" si="36"/>
        <v>产品
研发部</v>
      </c>
      <c r="G122" s="182">
        <v>5.393731</v>
      </c>
      <c r="H122" s="182">
        <v>0.436767</v>
      </c>
      <c r="I122" s="182">
        <v>0.464209</v>
      </c>
      <c r="J122" s="182">
        <v>0.438233</v>
      </c>
      <c r="K122" s="182">
        <v>0.43569</v>
      </c>
      <c r="L122" s="182">
        <v>0.436936</v>
      </c>
      <c r="M122" s="182">
        <v>0.447809</v>
      </c>
      <c r="N122" s="182">
        <v>0.465845</v>
      </c>
      <c r="O122" s="182">
        <v>0.466536</v>
      </c>
      <c r="P122" s="182">
        <v>0.464283</v>
      </c>
      <c r="Q122" s="182">
        <v>0.430413</v>
      </c>
      <c r="R122" s="182">
        <v>0.467389</v>
      </c>
      <c r="S122" s="182">
        <v>0.439621</v>
      </c>
      <c r="T122" s="186">
        <f t="shared" si="37"/>
        <v>5.44392</v>
      </c>
      <c r="U122" s="182">
        <v>4.093639</v>
      </c>
      <c r="V122" s="182">
        <v>0.454376</v>
      </c>
      <c r="W122" s="182">
        <v>0.471644</v>
      </c>
      <c r="X122" s="182">
        <v>0.459167</v>
      </c>
      <c r="Y122" s="182">
        <v>0.463435</v>
      </c>
      <c r="Z122" s="182">
        <v>0.462653</v>
      </c>
      <c r="AA122" s="182">
        <v>0.445799</v>
      </c>
      <c r="AB122" s="182">
        <v>0.458921</v>
      </c>
      <c r="AC122" s="182">
        <v>0.445834</v>
      </c>
      <c r="AD122" s="182">
        <v>0.43181</v>
      </c>
      <c r="AE122" s="182">
        <v>0</v>
      </c>
      <c r="AF122" s="182">
        <v>0</v>
      </c>
      <c r="AG122" s="182">
        <v>0</v>
      </c>
      <c r="AH122" s="182">
        <v>1.350281</v>
      </c>
      <c r="AI122" s="182">
        <v>0</v>
      </c>
      <c r="AJ122" s="182">
        <v>0</v>
      </c>
      <c r="AK122" s="182">
        <v>0</v>
      </c>
      <c r="AL122" s="182">
        <v>0</v>
      </c>
      <c r="AM122" s="182">
        <v>0</v>
      </c>
      <c r="AN122" s="182">
        <v>0</v>
      </c>
      <c r="AO122" s="182">
        <v>0</v>
      </c>
      <c r="AP122" s="182">
        <v>0</v>
      </c>
      <c r="AQ122" s="182">
        <v>0</v>
      </c>
      <c r="AR122" s="182">
        <v>0.461484</v>
      </c>
      <c r="AS122" s="182">
        <v>0.438112</v>
      </c>
      <c r="AT122" s="182">
        <v>0.450685</v>
      </c>
      <c r="AU122" s="182">
        <v>5.396341</v>
      </c>
      <c r="AV122" s="182">
        <v>0.445193</v>
      </c>
      <c r="AW122" s="182">
        <v>0.452811</v>
      </c>
      <c r="AX122" s="182">
        <v>0.429569</v>
      </c>
      <c r="AY122" s="182">
        <v>0.445185</v>
      </c>
      <c r="AZ122" s="182">
        <v>0.458085</v>
      </c>
      <c r="BA122" s="182">
        <v>0.46248</v>
      </c>
      <c r="BB122" s="182">
        <v>0.445077</v>
      </c>
      <c r="BC122" s="182">
        <v>0.46014</v>
      </c>
      <c r="BD122" s="182">
        <v>0.460981</v>
      </c>
      <c r="BE122" s="182">
        <v>0.452055</v>
      </c>
      <c r="BF122" s="182">
        <v>0.44418</v>
      </c>
      <c r="BG122" s="182">
        <v>0.440585</v>
      </c>
    </row>
    <row r="123" ht="16.2" spans="1:59">
      <c r="A123" s="33" t="s">
        <v>25</v>
      </c>
      <c r="C123" s="153"/>
      <c r="D123" s="153" t="s">
        <v>215</v>
      </c>
      <c r="E123" s="157" t="str">
        <f t="shared" si="35"/>
        <v>创新中心</v>
      </c>
      <c r="F123" s="157" t="str">
        <f t="shared" si="36"/>
        <v>XX
试验室</v>
      </c>
      <c r="G123" s="182">
        <v>4.413511</v>
      </c>
      <c r="H123" s="182">
        <v>0.359926</v>
      </c>
      <c r="I123" s="182">
        <v>0.371079</v>
      </c>
      <c r="J123" s="182">
        <v>0.378676</v>
      </c>
      <c r="K123" s="182">
        <v>0.366288</v>
      </c>
      <c r="L123" s="182">
        <v>0.370027</v>
      </c>
      <c r="M123" s="182">
        <v>0.360863</v>
      </c>
      <c r="N123" s="182">
        <v>0.372213</v>
      </c>
      <c r="O123" s="182">
        <v>0.354869</v>
      </c>
      <c r="P123" s="182">
        <v>0.380725</v>
      </c>
      <c r="Q123" s="182">
        <v>0.355518</v>
      </c>
      <c r="R123" s="182">
        <v>0.360361</v>
      </c>
      <c r="S123" s="182">
        <v>0.382966</v>
      </c>
      <c r="T123" s="186">
        <f t="shared" si="37"/>
        <v>4.411033</v>
      </c>
      <c r="U123" s="182">
        <v>3.314666</v>
      </c>
      <c r="V123" s="182">
        <v>0.352894</v>
      </c>
      <c r="W123" s="182">
        <v>0.385688</v>
      </c>
      <c r="X123" s="182">
        <v>0.351523</v>
      </c>
      <c r="Y123" s="182">
        <v>0.368326</v>
      </c>
      <c r="Z123" s="182">
        <v>0.377697</v>
      </c>
      <c r="AA123" s="182">
        <v>0.385745</v>
      </c>
      <c r="AB123" s="182">
        <v>0.35325</v>
      </c>
      <c r="AC123" s="182">
        <v>0.354401</v>
      </c>
      <c r="AD123" s="182">
        <v>0.385142</v>
      </c>
      <c r="AE123" s="182">
        <v>0</v>
      </c>
      <c r="AF123" s="182">
        <v>0</v>
      </c>
      <c r="AG123" s="182">
        <v>0</v>
      </c>
      <c r="AH123" s="182">
        <v>1.096367</v>
      </c>
      <c r="AI123" s="182">
        <v>0</v>
      </c>
      <c r="AJ123" s="182">
        <v>0</v>
      </c>
      <c r="AK123" s="182">
        <v>0</v>
      </c>
      <c r="AL123" s="182">
        <v>0</v>
      </c>
      <c r="AM123" s="182">
        <v>0</v>
      </c>
      <c r="AN123" s="182">
        <v>0</v>
      </c>
      <c r="AO123" s="182">
        <v>0</v>
      </c>
      <c r="AP123" s="182">
        <v>0</v>
      </c>
      <c r="AQ123" s="182">
        <v>0</v>
      </c>
      <c r="AR123" s="182">
        <v>0.356485</v>
      </c>
      <c r="AS123" s="182">
        <v>0.378534</v>
      </c>
      <c r="AT123" s="182">
        <v>0.361348</v>
      </c>
      <c r="AU123" s="182">
        <v>4.345783</v>
      </c>
      <c r="AV123" s="182">
        <v>0.356576</v>
      </c>
      <c r="AW123" s="182">
        <v>0.369569</v>
      </c>
      <c r="AX123" s="182">
        <v>0.351931</v>
      </c>
      <c r="AY123" s="182">
        <v>0.357361</v>
      </c>
      <c r="AZ123" s="182">
        <v>0.362052</v>
      </c>
      <c r="BA123" s="182">
        <v>0.363241</v>
      </c>
      <c r="BB123" s="182">
        <v>0.364865</v>
      </c>
      <c r="BC123" s="182">
        <v>0.373569</v>
      </c>
      <c r="BD123" s="182">
        <v>0.367873</v>
      </c>
      <c r="BE123" s="182">
        <v>0.356801</v>
      </c>
      <c r="BF123" s="182">
        <v>0.366303</v>
      </c>
      <c r="BG123" s="182">
        <v>0.355642</v>
      </c>
    </row>
    <row r="124" ht="16.2" spans="1:59">
      <c r="A124" s="33" t="s">
        <v>25</v>
      </c>
      <c r="C124" s="153"/>
      <c r="D124" s="153" t="s">
        <v>216</v>
      </c>
      <c r="E124" s="157" t="str">
        <f t="shared" si="35"/>
        <v>创新中心</v>
      </c>
      <c r="F124" s="157" t="str">
        <f t="shared" si="36"/>
        <v>XX
孵化业务</v>
      </c>
      <c r="G124" s="182">
        <v>5.90414</v>
      </c>
      <c r="H124" s="182">
        <v>0.509854</v>
      </c>
      <c r="I124" s="182">
        <v>0.509739</v>
      </c>
      <c r="J124" s="182">
        <v>0.490022</v>
      </c>
      <c r="K124" s="182">
        <v>0.48595</v>
      </c>
      <c r="L124" s="182">
        <v>0.486724</v>
      </c>
      <c r="M124" s="182">
        <v>0.505327</v>
      </c>
      <c r="N124" s="182">
        <v>0.503308</v>
      </c>
      <c r="O124" s="182">
        <v>0.497948</v>
      </c>
      <c r="P124" s="182">
        <v>0.468417</v>
      </c>
      <c r="Q124" s="182">
        <v>0.473207</v>
      </c>
      <c r="R124" s="182">
        <v>0.481939</v>
      </c>
      <c r="S124" s="182">
        <v>0.491705</v>
      </c>
      <c r="T124" s="186">
        <f t="shared" si="37"/>
        <v>5.872557</v>
      </c>
      <c r="U124" s="182">
        <v>4.380932</v>
      </c>
      <c r="V124" s="182">
        <v>0.481077</v>
      </c>
      <c r="W124" s="182">
        <v>0.470991</v>
      </c>
      <c r="X124" s="182">
        <v>0.509042</v>
      </c>
      <c r="Y124" s="182">
        <v>0.492707</v>
      </c>
      <c r="Z124" s="182">
        <v>0.499407</v>
      </c>
      <c r="AA124" s="182">
        <v>0.478035</v>
      </c>
      <c r="AB124" s="182">
        <v>0.471891</v>
      </c>
      <c r="AC124" s="182">
        <v>0.474052</v>
      </c>
      <c r="AD124" s="182">
        <v>0.50373</v>
      </c>
      <c r="AE124" s="182">
        <v>0</v>
      </c>
      <c r="AF124" s="182">
        <v>0</v>
      </c>
      <c r="AG124" s="182">
        <v>0</v>
      </c>
      <c r="AH124" s="182">
        <v>1.491625</v>
      </c>
      <c r="AI124" s="182">
        <v>0</v>
      </c>
      <c r="AJ124" s="182">
        <v>0</v>
      </c>
      <c r="AK124" s="182">
        <v>0</v>
      </c>
      <c r="AL124" s="182">
        <v>0</v>
      </c>
      <c r="AM124" s="182">
        <v>0</v>
      </c>
      <c r="AN124" s="182">
        <v>0</v>
      </c>
      <c r="AO124" s="182">
        <v>0</v>
      </c>
      <c r="AP124" s="182">
        <v>0</v>
      </c>
      <c r="AQ124" s="182">
        <v>0</v>
      </c>
      <c r="AR124" s="182">
        <v>0.482865</v>
      </c>
      <c r="AS124" s="182">
        <v>0.497228</v>
      </c>
      <c r="AT124" s="182">
        <v>0.511532</v>
      </c>
      <c r="AU124" s="182">
        <v>5.943692</v>
      </c>
      <c r="AV124" s="182">
        <v>0.507927</v>
      </c>
      <c r="AW124" s="182">
        <v>0.479511</v>
      </c>
      <c r="AX124" s="182">
        <v>0.494139</v>
      </c>
      <c r="AY124" s="182">
        <v>0.489419</v>
      </c>
      <c r="AZ124" s="182">
        <v>0.506185</v>
      </c>
      <c r="BA124" s="182">
        <v>0.488787</v>
      </c>
      <c r="BB124" s="182">
        <v>0.49038</v>
      </c>
      <c r="BC124" s="182">
        <v>0.487155</v>
      </c>
      <c r="BD124" s="182">
        <v>0.513827</v>
      </c>
      <c r="BE124" s="182">
        <v>0.503652</v>
      </c>
      <c r="BF124" s="182">
        <v>0.479929</v>
      </c>
      <c r="BG124" s="182">
        <v>0.502781</v>
      </c>
    </row>
    <row r="125" ht="16.2" spans="3:59">
      <c r="C125" s="153" t="s">
        <v>217</v>
      </c>
      <c r="D125" s="153"/>
      <c r="E125" s="157" t="str">
        <f t="shared" si="35"/>
        <v>支持中心</v>
      </c>
      <c r="F125" s="157" t="str">
        <f t="shared" si="36"/>
        <v>*</v>
      </c>
      <c r="G125" s="182">
        <v>27.529498</v>
      </c>
      <c r="H125" s="182">
        <v>2.29547</v>
      </c>
      <c r="I125" s="182">
        <v>2.268635</v>
      </c>
      <c r="J125" s="182">
        <v>2.279339</v>
      </c>
      <c r="K125" s="182">
        <v>2.331848</v>
      </c>
      <c r="L125" s="182">
        <v>2.276421</v>
      </c>
      <c r="M125" s="182">
        <v>2.305202</v>
      </c>
      <c r="N125" s="182">
        <v>2.336253</v>
      </c>
      <c r="O125" s="182">
        <v>2.296444</v>
      </c>
      <c r="P125" s="182">
        <v>2.251133</v>
      </c>
      <c r="Q125" s="182">
        <v>2.280818</v>
      </c>
      <c r="R125" s="182">
        <v>2.303294</v>
      </c>
      <c r="S125" s="182">
        <v>2.304641</v>
      </c>
      <c r="T125" s="186">
        <f t="shared" si="37"/>
        <v>27.667307</v>
      </c>
      <c r="U125" s="182">
        <v>20.709094</v>
      </c>
      <c r="V125" s="182">
        <v>2.364229</v>
      </c>
      <c r="W125" s="182">
        <v>2.261918</v>
      </c>
      <c r="X125" s="182">
        <v>2.278621</v>
      </c>
      <c r="Y125" s="182">
        <v>2.304192</v>
      </c>
      <c r="Z125" s="182">
        <v>2.273776</v>
      </c>
      <c r="AA125" s="182">
        <v>2.345335</v>
      </c>
      <c r="AB125" s="182">
        <v>2.315145</v>
      </c>
      <c r="AC125" s="182">
        <v>2.32192</v>
      </c>
      <c r="AD125" s="182">
        <v>2.243958</v>
      </c>
      <c r="AE125" s="182">
        <v>0</v>
      </c>
      <c r="AF125" s="182">
        <v>0</v>
      </c>
      <c r="AG125" s="182">
        <v>0</v>
      </c>
      <c r="AH125" s="182">
        <v>6.958213</v>
      </c>
      <c r="AI125" s="182">
        <v>0</v>
      </c>
      <c r="AJ125" s="182">
        <v>0</v>
      </c>
      <c r="AK125" s="182">
        <v>0</v>
      </c>
      <c r="AL125" s="182">
        <v>0</v>
      </c>
      <c r="AM125" s="182">
        <v>0</v>
      </c>
      <c r="AN125" s="182">
        <v>0</v>
      </c>
      <c r="AO125" s="182">
        <v>0</v>
      </c>
      <c r="AP125" s="182">
        <v>0</v>
      </c>
      <c r="AQ125" s="182">
        <v>0</v>
      </c>
      <c r="AR125" s="182">
        <v>2.292307</v>
      </c>
      <c r="AS125" s="182">
        <v>2.355207</v>
      </c>
      <c r="AT125" s="182">
        <v>2.310699</v>
      </c>
      <c r="AU125" s="182">
        <v>27.557175</v>
      </c>
      <c r="AV125" s="182">
        <v>2.314499</v>
      </c>
      <c r="AW125" s="182">
        <v>2.365744</v>
      </c>
      <c r="AX125" s="182">
        <v>2.294668</v>
      </c>
      <c r="AY125" s="182">
        <v>2.290552</v>
      </c>
      <c r="AZ125" s="182">
        <v>2.312746</v>
      </c>
      <c r="BA125" s="182">
        <v>2.225105</v>
      </c>
      <c r="BB125" s="182">
        <v>2.305242</v>
      </c>
      <c r="BC125" s="182">
        <v>2.328886</v>
      </c>
      <c r="BD125" s="182">
        <v>2.291151</v>
      </c>
      <c r="BE125" s="182">
        <v>2.282204</v>
      </c>
      <c r="BF125" s="182">
        <v>2.306098</v>
      </c>
      <c r="BG125" s="182">
        <v>2.24028</v>
      </c>
    </row>
    <row r="126" ht="16.2" spans="1:59">
      <c r="A126" s="33" t="s">
        <v>25</v>
      </c>
      <c r="C126" s="153"/>
      <c r="D126" s="153" t="s">
        <v>218</v>
      </c>
      <c r="E126" s="157" t="str">
        <f t="shared" si="35"/>
        <v>支持中心</v>
      </c>
      <c r="F126" s="157" t="str">
        <f t="shared" si="36"/>
        <v>财务部</v>
      </c>
      <c r="G126" s="182">
        <v>7.038315</v>
      </c>
      <c r="H126" s="182">
        <v>0.573471</v>
      </c>
      <c r="I126" s="182">
        <v>0.579525</v>
      </c>
      <c r="J126" s="182">
        <v>0.574001</v>
      </c>
      <c r="K126" s="182">
        <v>0.610659</v>
      </c>
      <c r="L126" s="182">
        <v>0.582804</v>
      </c>
      <c r="M126" s="182">
        <v>0.610565</v>
      </c>
      <c r="N126" s="182">
        <v>0.566119</v>
      </c>
      <c r="O126" s="182">
        <v>0.589618</v>
      </c>
      <c r="P126" s="182">
        <v>0.607071</v>
      </c>
      <c r="Q126" s="182">
        <v>0.601499</v>
      </c>
      <c r="R126" s="182">
        <v>0.562988</v>
      </c>
      <c r="S126" s="182">
        <v>0.579995</v>
      </c>
      <c r="T126" s="186">
        <f t="shared" si="37"/>
        <v>7.041449</v>
      </c>
      <c r="U126" s="182">
        <v>5.250058</v>
      </c>
      <c r="V126" s="182">
        <v>0.601486</v>
      </c>
      <c r="W126" s="182">
        <v>0.578253</v>
      </c>
      <c r="X126" s="182">
        <v>0.594585</v>
      </c>
      <c r="Y126" s="182">
        <v>0.567627</v>
      </c>
      <c r="Z126" s="182">
        <v>0.563513</v>
      </c>
      <c r="AA126" s="182">
        <v>0.606955</v>
      </c>
      <c r="AB126" s="182">
        <v>0.570848</v>
      </c>
      <c r="AC126" s="182">
        <v>0.604778</v>
      </c>
      <c r="AD126" s="182">
        <v>0.562013</v>
      </c>
      <c r="AE126" s="182">
        <v>0</v>
      </c>
      <c r="AF126" s="182">
        <v>0</v>
      </c>
      <c r="AG126" s="182">
        <v>0</v>
      </c>
      <c r="AH126" s="182">
        <v>1.791391</v>
      </c>
      <c r="AI126" s="182">
        <v>0</v>
      </c>
      <c r="AJ126" s="182">
        <v>0</v>
      </c>
      <c r="AK126" s="182">
        <v>0</v>
      </c>
      <c r="AL126" s="182">
        <v>0</v>
      </c>
      <c r="AM126" s="182">
        <v>0</v>
      </c>
      <c r="AN126" s="182">
        <v>0</v>
      </c>
      <c r="AO126" s="182">
        <v>0</v>
      </c>
      <c r="AP126" s="182">
        <v>0</v>
      </c>
      <c r="AQ126" s="182">
        <v>0</v>
      </c>
      <c r="AR126" s="182">
        <v>0.599499</v>
      </c>
      <c r="AS126" s="182">
        <v>0.598353</v>
      </c>
      <c r="AT126" s="182">
        <v>0.593539</v>
      </c>
      <c r="AU126" s="182">
        <v>7.088882</v>
      </c>
      <c r="AV126" s="182">
        <v>0.605447</v>
      </c>
      <c r="AW126" s="182">
        <v>0.616824</v>
      </c>
      <c r="AX126" s="182">
        <v>0.591907</v>
      </c>
      <c r="AY126" s="182">
        <v>0.600918</v>
      </c>
      <c r="AZ126" s="182">
        <v>0.577639</v>
      </c>
      <c r="BA126" s="182">
        <v>0.569476</v>
      </c>
      <c r="BB126" s="182">
        <v>0.576331</v>
      </c>
      <c r="BC126" s="182">
        <v>0.609152</v>
      </c>
      <c r="BD126" s="182">
        <v>0.582623</v>
      </c>
      <c r="BE126" s="182">
        <v>0.591869</v>
      </c>
      <c r="BF126" s="182">
        <v>0.60127</v>
      </c>
      <c r="BG126" s="182">
        <v>0.565426</v>
      </c>
    </row>
    <row r="127" ht="16.2" spans="1:59">
      <c r="A127" s="33" t="s">
        <v>25</v>
      </c>
      <c r="C127" s="153"/>
      <c r="D127" s="153" t="s">
        <v>219</v>
      </c>
      <c r="E127" s="157" t="str">
        <f t="shared" si="35"/>
        <v>支持中心</v>
      </c>
      <c r="F127" s="157" t="str">
        <f t="shared" si="36"/>
        <v>人力资源部</v>
      </c>
      <c r="G127" s="182">
        <v>6.647918</v>
      </c>
      <c r="H127" s="182">
        <v>0.559505</v>
      </c>
      <c r="I127" s="182">
        <v>0.531054</v>
      </c>
      <c r="J127" s="182">
        <v>0.538381</v>
      </c>
      <c r="K127" s="182">
        <v>0.540075</v>
      </c>
      <c r="L127" s="182">
        <v>0.550708</v>
      </c>
      <c r="M127" s="182">
        <v>0.557781</v>
      </c>
      <c r="N127" s="182">
        <v>0.582667</v>
      </c>
      <c r="O127" s="182">
        <v>0.575315</v>
      </c>
      <c r="P127" s="182">
        <v>0.531286</v>
      </c>
      <c r="Q127" s="182">
        <v>0.555363</v>
      </c>
      <c r="R127" s="182">
        <v>0.583331</v>
      </c>
      <c r="S127" s="182">
        <v>0.542452</v>
      </c>
      <c r="T127" s="186">
        <f t="shared" si="37"/>
        <v>6.823729</v>
      </c>
      <c r="U127" s="182">
        <v>5.083859</v>
      </c>
      <c r="V127" s="182">
        <v>0.578618</v>
      </c>
      <c r="W127" s="182">
        <v>0.550197</v>
      </c>
      <c r="X127" s="182">
        <v>0.548546</v>
      </c>
      <c r="Y127" s="182">
        <v>0.575535</v>
      </c>
      <c r="Z127" s="182">
        <v>0.5613</v>
      </c>
      <c r="AA127" s="182">
        <v>0.581494</v>
      </c>
      <c r="AB127" s="182">
        <v>0.569009</v>
      </c>
      <c r="AC127" s="182">
        <v>0.555699</v>
      </c>
      <c r="AD127" s="182">
        <v>0.563461</v>
      </c>
      <c r="AE127" s="182">
        <v>0</v>
      </c>
      <c r="AF127" s="182">
        <v>0</v>
      </c>
      <c r="AG127" s="182">
        <v>0</v>
      </c>
      <c r="AH127" s="182">
        <v>1.73987</v>
      </c>
      <c r="AI127" s="182">
        <v>0</v>
      </c>
      <c r="AJ127" s="182">
        <v>0</v>
      </c>
      <c r="AK127" s="182">
        <v>0</v>
      </c>
      <c r="AL127" s="182">
        <v>0</v>
      </c>
      <c r="AM127" s="182">
        <v>0</v>
      </c>
      <c r="AN127" s="182">
        <v>0</v>
      </c>
      <c r="AO127" s="182">
        <v>0</v>
      </c>
      <c r="AP127" s="182">
        <v>0</v>
      </c>
      <c r="AQ127" s="182">
        <v>0</v>
      </c>
      <c r="AR127" s="182">
        <v>0.583373</v>
      </c>
      <c r="AS127" s="182">
        <v>0.582061</v>
      </c>
      <c r="AT127" s="182">
        <v>0.574436</v>
      </c>
      <c r="AU127" s="182">
        <v>6.672165</v>
      </c>
      <c r="AV127" s="182">
        <v>0.541747</v>
      </c>
      <c r="AW127" s="182">
        <v>0.570455</v>
      </c>
      <c r="AX127" s="182">
        <v>0.582717</v>
      </c>
      <c r="AY127" s="182">
        <v>0.543976</v>
      </c>
      <c r="AZ127" s="182">
        <v>0.565916</v>
      </c>
      <c r="BA127" s="182">
        <v>0.543323</v>
      </c>
      <c r="BB127" s="182">
        <v>0.571436</v>
      </c>
      <c r="BC127" s="182">
        <v>0.546136</v>
      </c>
      <c r="BD127" s="182">
        <v>0.572054</v>
      </c>
      <c r="BE127" s="182">
        <v>0.544015</v>
      </c>
      <c r="BF127" s="182">
        <v>0.556733</v>
      </c>
      <c r="BG127" s="182">
        <v>0.533657</v>
      </c>
    </row>
    <row r="128" ht="16.2" spans="1:59">
      <c r="A128" s="33" t="s">
        <v>25</v>
      </c>
      <c r="C128" s="153"/>
      <c r="D128" s="153" t="s">
        <v>220</v>
      </c>
      <c r="E128" s="157" t="str">
        <f t="shared" si="35"/>
        <v>支持中心</v>
      </c>
      <c r="F128" s="157" t="str">
        <f t="shared" si="36"/>
        <v>IT部</v>
      </c>
      <c r="G128" s="182">
        <v>5.885254</v>
      </c>
      <c r="H128" s="182">
        <v>0.501454</v>
      </c>
      <c r="I128" s="182">
        <v>0.512226</v>
      </c>
      <c r="J128" s="182">
        <v>0.491178</v>
      </c>
      <c r="K128" s="182">
        <v>0.500384</v>
      </c>
      <c r="L128" s="182">
        <v>0.487845</v>
      </c>
      <c r="M128" s="182">
        <v>0.468426</v>
      </c>
      <c r="N128" s="182">
        <v>0.511151</v>
      </c>
      <c r="O128" s="182">
        <v>0.469481</v>
      </c>
      <c r="P128" s="182">
        <v>0.483026</v>
      </c>
      <c r="Q128" s="182">
        <v>0.476705</v>
      </c>
      <c r="R128" s="182">
        <v>0.475561</v>
      </c>
      <c r="S128" s="182">
        <v>0.507817</v>
      </c>
      <c r="T128" s="186">
        <f t="shared" si="37"/>
        <v>5.854506</v>
      </c>
      <c r="U128" s="182">
        <v>4.396807</v>
      </c>
      <c r="V128" s="182">
        <v>0.50427</v>
      </c>
      <c r="W128" s="182">
        <v>0.476059</v>
      </c>
      <c r="X128" s="182">
        <v>0.492944</v>
      </c>
      <c r="Y128" s="182">
        <v>0.475277</v>
      </c>
      <c r="Z128" s="182">
        <v>0.476259</v>
      </c>
      <c r="AA128" s="182">
        <v>0.510999</v>
      </c>
      <c r="AB128" s="182">
        <v>0.496763</v>
      </c>
      <c r="AC128" s="182">
        <v>0.487028</v>
      </c>
      <c r="AD128" s="182">
        <v>0.477208</v>
      </c>
      <c r="AE128" s="182">
        <v>0</v>
      </c>
      <c r="AF128" s="182">
        <v>0</v>
      </c>
      <c r="AG128" s="182">
        <v>0</v>
      </c>
      <c r="AH128" s="182">
        <v>1.457699</v>
      </c>
      <c r="AI128" s="182">
        <v>0</v>
      </c>
      <c r="AJ128" s="182">
        <v>0</v>
      </c>
      <c r="AK128" s="182">
        <v>0</v>
      </c>
      <c r="AL128" s="182">
        <v>0</v>
      </c>
      <c r="AM128" s="182">
        <v>0</v>
      </c>
      <c r="AN128" s="182">
        <v>0</v>
      </c>
      <c r="AO128" s="182">
        <v>0</v>
      </c>
      <c r="AP128" s="182">
        <v>0</v>
      </c>
      <c r="AQ128" s="182">
        <v>0</v>
      </c>
      <c r="AR128" s="182">
        <v>0.476094</v>
      </c>
      <c r="AS128" s="182">
        <v>0.506408</v>
      </c>
      <c r="AT128" s="182">
        <v>0.475197</v>
      </c>
      <c r="AU128" s="182">
        <v>5.861871</v>
      </c>
      <c r="AV128" s="182">
        <v>0.484256</v>
      </c>
      <c r="AW128" s="182">
        <v>0.513481</v>
      </c>
      <c r="AX128" s="182">
        <v>0.469819</v>
      </c>
      <c r="AY128" s="182">
        <v>0.50302</v>
      </c>
      <c r="AZ128" s="182">
        <v>0.489248</v>
      </c>
      <c r="BA128" s="182">
        <v>0.475258</v>
      </c>
      <c r="BB128" s="182">
        <v>0.484305</v>
      </c>
      <c r="BC128" s="182">
        <v>0.487312</v>
      </c>
      <c r="BD128" s="182">
        <v>0.48356</v>
      </c>
      <c r="BE128" s="182">
        <v>0.488346</v>
      </c>
      <c r="BF128" s="182">
        <v>0.509739</v>
      </c>
      <c r="BG128" s="182">
        <v>0.473527</v>
      </c>
    </row>
    <row r="129" ht="16.2" spans="1:59">
      <c r="A129" s="33" t="s">
        <v>25</v>
      </c>
      <c r="C129" s="153"/>
      <c r="D129" s="153" t="s">
        <v>221</v>
      </c>
      <c r="E129" s="157" t="str">
        <f t="shared" si="35"/>
        <v>支持中心</v>
      </c>
      <c r="F129" s="157" t="str">
        <f t="shared" si="36"/>
        <v>总经办</v>
      </c>
      <c r="G129" s="182">
        <v>7.958011</v>
      </c>
      <c r="H129" s="182">
        <v>0.66104</v>
      </c>
      <c r="I129" s="182">
        <v>0.64583</v>
      </c>
      <c r="J129" s="182">
        <v>0.675779</v>
      </c>
      <c r="K129" s="182">
        <v>0.68073</v>
      </c>
      <c r="L129" s="182">
        <v>0.655064</v>
      </c>
      <c r="M129" s="182">
        <v>0.66843</v>
      </c>
      <c r="N129" s="182">
        <v>0.676316</v>
      </c>
      <c r="O129" s="182">
        <v>0.66203</v>
      </c>
      <c r="P129" s="182">
        <v>0.62975</v>
      </c>
      <c r="Q129" s="182">
        <v>0.647251</v>
      </c>
      <c r="R129" s="182">
        <v>0.681414</v>
      </c>
      <c r="S129" s="182">
        <v>0.674377</v>
      </c>
      <c r="T129" s="186">
        <f t="shared" si="37"/>
        <v>7.947623</v>
      </c>
      <c r="U129" s="182">
        <v>5.97837</v>
      </c>
      <c r="V129" s="182">
        <v>0.679855</v>
      </c>
      <c r="W129" s="182">
        <v>0.657409</v>
      </c>
      <c r="X129" s="182">
        <v>0.642546</v>
      </c>
      <c r="Y129" s="182">
        <v>0.685753</v>
      </c>
      <c r="Z129" s="182">
        <v>0.672704</v>
      </c>
      <c r="AA129" s="182">
        <v>0.645887</v>
      </c>
      <c r="AB129" s="182">
        <v>0.678525</v>
      </c>
      <c r="AC129" s="182">
        <v>0.674415</v>
      </c>
      <c r="AD129" s="182">
        <v>0.641276</v>
      </c>
      <c r="AE129" s="182">
        <v>0</v>
      </c>
      <c r="AF129" s="182">
        <v>0</v>
      </c>
      <c r="AG129" s="182">
        <v>0</v>
      </c>
      <c r="AH129" s="182">
        <v>1.969253</v>
      </c>
      <c r="AI129" s="182">
        <v>0</v>
      </c>
      <c r="AJ129" s="182">
        <v>0</v>
      </c>
      <c r="AK129" s="182">
        <v>0</v>
      </c>
      <c r="AL129" s="182">
        <v>0</v>
      </c>
      <c r="AM129" s="182">
        <v>0</v>
      </c>
      <c r="AN129" s="182">
        <v>0</v>
      </c>
      <c r="AO129" s="182">
        <v>0</v>
      </c>
      <c r="AP129" s="182">
        <v>0</v>
      </c>
      <c r="AQ129" s="182">
        <v>0</v>
      </c>
      <c r="AR129" s="182">
        <v>0.633341</v>
      </c>
      <c r="AS129" s="182">
        <v>0.668385</v>
      </c>
      <c r="AT129" s="182">
        <v>0.667527</v>
      </c>
      <c r="AU129" s="182">
        <v>7.934257</v>
      </c>
      <c r="AV129" s="182">
        <v>0.683049</v>
      </c>
      <c r="AW129" s="182">
        <v>0.664984</v>
      </c>
      <c r="AX129" s="182">
        <v>0.650225</v>
      </c>
      <c r="AY129" s="182">
        <v>0.642638</v>
      </c>
      <c r="AZ129" s="182">
        <v>0.679943</v>
      </c>
      <c r="BA129" s="182">
        <v>0.637048</v>
      </c>
      <c r="BB129" s="182">
        <v>0.67317</v>
      </c>
      <c r="BC129" s="182">
        <v>0.686286</v>
      </c>
      <c r="BD129" s="182">
        <v>0.652914</v>
      </c>
      <c r="BE129" s="182">
        <v>0.657974</v>
      </c>
      <c r="BF129" s="182">
        <v>0.638356</v>
      </c>
      <c r="BG129" s="182">
        <v>0.66767</v>
      </c>
    </row>
    <row r="131" ht="20.4" spans="2:2">
      <c r="B131" s="36" t="s">
        <v>229</v>
      </c>
    </row>
    <row r="132" s="164" customFormat="1" ht="19.2" customHeight="1" spans="2:59">
      <c r="B132" s="153" t="s">
        <v>128</v>
      </c>
      <c r="C132" s="154"/>
      <c r="D132" s="154"/>
      <c r="E132" s="154" t="s">
        <v>209</v>
      </c>
      <c r="F132" s="154" t="s">
        <v>209</v>
      </c>
      <c r="G132" s="181">
        <v>2.98</v>
      </c>
      <c r="H132" s="181">
        <v>2.98</v>
      </c>
      <c r="I132" s="181">
        <v>0</v>
      </c>
      <c r="J132" s="181">
        <v>0</v>
      </c>
      <c r="K132" s="181">
        <v>0</v>
      </c>
      <c r="L132" s="181">
        <v>0</v>
      </c>
      <c r="M132" s="181">
        <v>0</v>
      </c>
      <c r="N132" s="181">
        <v>0</v>
      </c>
      <c r="O132" s="181">
        <v>0</v>
      </c>
      <c r="P132" s="181">
        <v>0</v>
      </c>
      <c r="Q132" s="181">
        <v>0</v>
      </c>
      <c r="R132" s="181">
        <v>0</v>
      </c>
      <c r="S132" s="181">
        <v>0</v>
      </c>
      <c r="T132" s="185">
        <f>U132+AH132</f>
        <v>21.96</v>
      </c>
      <c r="U132" s="181">
        <v>14.98</v>
      </c>
      <c r="V132" s="181">
        <v>14.98</v>
      </c>
      <c r="W132" s="181">
        <v>0</v>
      </c>
      <c r="X132" s="181">
        <v>0</v>
      </c>
      <c r="Y132" s="181">
        <v>0</v>
      </c>
      <c r="Z132" s="181">
        <v>0</v>
      </c>
      <c r="AA132" s="181">
        <v>0</v>
      </c>
      <c r="AB132" s="181">
        <v>0</v>
      </c>
      <c r="AC132" s="181">
        <v>0</v>
      </c>
      <c r="AD132" s="181">
        <v>0</v>
      </c>
      <c r="AE132" s="181">
        <v>0</v>
      </c>
      <c r="AF132" s="181">
        <v>0</v>
      </c>
      <c r="AG132" s="181">
        <v>0</v>
      </c>
      <c r="AH132" s="181">
        <v>6.98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181">
        <v>0</v>
      </c>
      <c r="AR132" s="181">
        <v>0</v>
      </c>
      <c r="AS132" s="181">
        <v>6.98</v>
      </c>
      <c r="AT132" s="181">
        <v>0</v>
      </c>
      <c r="AU132" s="181">
        <v>29.8</v>
      </c>
      <c r="AV132" s="181">
        <v>0</v>
      </c>
      <c r="AW132" s="181">
        <v>0</v>
      </c>
      <c r="AX132" s="181">
        <v>0</v>
      </c>
      <c r="AY132" s="181">
        <v>0</v>
      </c>
      <c r="AZ132" s="181">
        <v>0</v>
      </c>
      <c r="BA132" s="181">
        <v>0</v>
      </c>
      <c r="BB132" s="181">
        <v>0</v>
      </c>
      <c r="BC132" s="181">
        <v>0</v>
      </c>
      <c r="BD132" s="181">
        <v>0</v>
      </c>
      <c r="BE132" s="181">
        <v>29.8</v>
      </c>
      <c r="BF132" s="181">
        <v>0</v>
      </c>
      <c r="BG132" s="181">
        <v>0</v>
      </c>
    </row>
    <row r="133" ht="16.2" spans="3:59">
      <c r="C133" s="153" t="s">
        <v>210</v>
      </c>
      <c r="D133" s="153"/>
      <c r="E133" s="157" t="str">
        <f>IF(C133&lt;&gt;"",C133,E130)</f>
        <v>流程中心</v>
      </c>
      <c r="F133" s="157" t="str">
        <f>IF(D133&lt;&gt;"",D133,"*")</f>
        <v>*</v>
      </c>
      <c r="G133" s="182">
        <v>0</v>
      </c>
      <c r="H133" s="182">
        <v>0</v>
      </c>
      <c r="I133" s="182">
        <v>0</v>
      </c>
      <c r="J133" s="182">
        <v>0</v>
      </c>
      <c r="K133" s="182">
        <v>0</v>
      </c>
      <c r="L133" s="182">
        <v>0</v>
      </c>
      <c r="M133" s="182">
        <v>0</v>
      </c>
      <c r="N133" s="182">
        <v>0</v>
      </c>
      <c r="O133" s="182">
        <v>0</v>
      </c>
      <c r="P133" s="182">
        <v>0</v>
      </c>
      <c r="Q133" s="182">
        <v>0</v>
      </c>
      <c r="R133" s="182">
        <v>0</v>
      </c>
      <c r="S133" s="182">
        <v>0</v>
      </c>
      <c r="T133" s="186">
        <f>U133+AH133</f>
        <v>0</v>
      </c>
      <c r="U133" s="182">
        <v>0</v>
      </c>
      <c r="V133" s="182">
        <v>0</v>
      </c>
      <c r="W133" s="182">
        <v>0</v>
      </c>
      <c r="X133" s="182">
        <v>0</v>
      </c>
      <c r="Y133" s="182">
        <v>0</v>
      </c>
      <c r="Z133" s="182">
        <v>0</v>
      </c>
      <c r="AA133" s="182">
        <v>0</v>
      </c>
      <c r="AB133" s="182">
        <v>0</v>
      </c>
      <c r="AC133" s="182">
        <v>0</v>
      </c>
      <c r="AD133" s="182">
        <v>0</v>
      </c>
      <c r="AE133" s="182">
        <v>0</v>
      </c>
      <c r="AF133" s="182">
        <v>0</v>
      </c>
      <c r="AG133" s="182">
        <v>0</v>
      </c>
      <c r="AH133" s="182">
        <v>0</v>
      </c>
      <c r="AI133" s="182">
        <v>0</v>
      </c>
      <c r="AJ133" s="182">
        <v>0</v>
      </c>
      <c r="AK133" s="182">
        <v>0</v>
      </c>
      <c r="AL133" s="182">
        <v>0</v>
      </c>
      <c r="AM133" s="182">
        <v>0</v>
      </c>
      <c r="AN133" s="182">
        <v>0</v>
      </c>
      <c r="AO133" s="182">
        <v>0</v>
      </c>
      <c r="AP133" s="182">
        <v>0</v>
      </c>
      <c r="AQ133" s="182">
        <v>0</v>
      </c>
      <c r="AR133" s="182">
        <v>0</v>
      </c>
      <c r="AS133" s="182">
        <v>0</v>
      </c>
      <c r="AT133" s="182">
        <v>0</v>
      </c>
      <c r="AU133" s="182">
        <v>0</v>
      </c>
      <c r="AV133" s="182">
        <v>0</v>
      </c>
      <c r="AW133" s="182">
        <v>0</v>
      </c>
      <c r="AX133" s="182">
        <v>0</v>
      </c>
      <c r="AY133" s="182">
        <v>0</v>
      </c>
      <c r="AZ133" s="182">
        <v>0</v>
      </c>
      <c r="BA133" s="182">
        <v>0</v>
      </c>
      <c r="BB133" s="182">
        <v>0</v>
      </c>
      <c r="BC133" s="182">
        <v>0</v>
      </c>
      <c r="BD133" s="182">
        <v>0</v>
      </c>
      <c r="BE133" s="182">
        <v>0</v>
      </c>
      <c r="BF133" s="182">
        <v>0</v>
      </c>
      <c r="BG133" s="182">
        <v>0</v>
      </c>
    </row>
    <row r="134" ht="16.2" spans="1:59">
      <c r="A134" s="33" t="s">
        <v>25</v>
      </c>
      <c r="C134" s="153"/>
      <c r="D134" s="153" t="s">
        <v>211</v>
      </c>
      <c r="E134" s="157" t="str">
        <f t="shared" ref="E134:E144" si="38">IF(C134&lt;&gt;"",C134,E133)</f>
        <v>流程中心</v>
      </c>
      <c r="F134" s="157" t="str">
        <f t="shared" ref="F134:F144" si="39">IF(D134&lt;&gt;"",D134,"*")</f>
        <v>销售中心</v>
      </c>
      <c r="G134" s="182">
        <v>0</v>
      </c>
      <c r="H134" s="182">
        <v>0</v>
      </c>
      <c r="I134" s="182">
        <v>0</v>
      </c>
      <c r="J134" s="182">
        <v>0</v>
      </c>
      <c r="K134" s="182">
        <v>0</v>
      </c>
      <c r="L134" s="182">
        <v>0</v>
      </c>
      <c r="M134" s="182">
        <v>0</v>
      </c>
      <c r="N134" s="182">
        <v>0</v>
      </c>
      <c r="O134" s="182">
        <v>0</v>
      </c>
      <c r="P134" s="182">
        <v>0</v>
      </c>
      <c r="Q134" s="182">
        <v>0</v>
      </c>
      <c r="R134" s="182">
        <v>0</v>
      </c>
      <c r="S134" s="182">
        <v>0</v>
      </c>
      <c r="T134" s="186">
        <f t="shared" ref="T134:T144" si="40">U134+AH134</f>
        <v>0</v>
      </c>
      <c r="U134" s="182">
        <v>0</v>
      </c>
      <c r="V134" s="182">
        <v>0</v>
      </c>
      <c r="W134" s="182">
        <v>0</v>
      </c>
      <c r="X134" s="182">
        <v>0</v>
      </c>
      <c r="Y134" s="182">
        <v>0</v>
      </c>
      <c r="Z134" s="182">
        <v>0</v>
      </c>
      <c r="AA134" s="182">
        <v>0</v>
      </c>
      <c r="AB134" s="182">
        <v>0</v>
      </c>
      <c r="AC134" s="182">
        <v>0</v>
      </c>
      <c r="AD134" s="182">
        <v>0</v>
      </c>
      <c r="AE134" s="182">
        <v>0</v>
      </c>
      <c r="AF134" s="182">
        <v>0</v>
      </c>
      <c r="AG134" s="182">
        <v>0</v>
      </c>
      <c r="AH134" s="182">
        <v>0</v>
      </c>
      <c r="AI134" s="182">
        <v>0</v>
      </c>
      <c r="AJ134" s="182">
        <v>0</v>
      </c>
      <c r="AK134" s="182">
        <v>0</v>
      </c>
      <c r="AL134" s="182">
        <v>0</v>
      </c>
      <c r="AM134" s="182">
        <v>0</v>
      </c>
      <c r="AN134" s="182">
        <v>0</v>
      </c>
      <c r="AO134" s="182">
        <v>0</v>
      </c>
      <c r="AP134" s="182">
        <v>0</v>
      </c>
      <c r="AQ134" s="182">
        <v>0</v>
      </c>
      <c r="AR134" s="182">
        <v>0</v>
      </c>
      <c r="AS134" s="182">
        <v>0</v>
      </c>
      <c r="AT134" s="182">
        <v>0</v>
      </c>
      <c r="AU134" s="182">
        <v>0</v>
      </c>
      <c r="AV134" s="182">
        <v>0</v>
      </c>
      <c r="AW134" s="182">
        <v>0</v>
      </c>
      <c r="AX134" s="182">
        <v>0</v>
      </c>
      <c r="AY134" s="182">
        <v>0</v>
      </c>
      <c r="AZ134" s="182">
        <v>0</v>
      </c>
      <c r="BA134" s="182">
        <v>0</v>
      </c>
      <c r="BB134" s="182">
        <v>0</v>
      </c>
      <c r="BC134" s="182">
        <v>0</v>
      </c>
      <c r="BD134" s="182">
        <v>0</v>
      </c>
      <c r="BE134" s="182">
        <v>0</v>
      </c>
      <c r="BF134" s="182">
        <v>0</v>
      </c>
      <c r="BG134" s="182">
        <v>0</v>
      </c>
    </row>
    <row r="135" ht="16.2" spans="1:59">
      <c r="A135" s="33" t="s">
        <v>25</v>
      </c>
      <c r="C135" s="153"/>
      <c r="D135" s="153" t="s">
        <v>212</v>
      </c>
      <c r="E135" s="157" t="str">
        <f t="shared" si="38"/>
        <v>流程中心</v>
      </c>
      <c r="F135" s="157" t="str">
        <f t="shared" si="39"/>
        <v>制造中心</v>
      </c>
      <c r="G135" s="182">
        <v>0</v>
      </c>
      <c r="H135" s="182">
        <v>0</v>
      </c>
      <c r="I135" s="182">
        <v>0</v>
      </c>
      <c r="J135" s="182">
        <v>0</v>
      </c>
      <c r="K135" s="182">
        <v>0</v>
      </c>
      <c r="L135" s="182">
        <v>0</v>
      </c>
      <c r="M135" s="182">
        <v>0</v>
      </c>
      <c r="N135" s="182">
        <v>0</v>
      </c>
      <c r="O135" s="182">
        <v>0</v>
      </c>
      <c r="P135" s="182">
        <v>0</v>
      </c>
      <c r="Q135" s="182">
        <v>0</v>
      </c>
      <c r="R135" s="182">
        <v>0</v>
      </c>
      <c r="S135" s="182">
        <v>0</v>
      </c>
      <c r="T135" s="186">
        <f t="shared" si="40"/>
        <v>0</v>
      </c>
      <c r="U135" s="182">
        <v>0</v>
      </c>
      <c r="V135" s="182">
        <v>0</v>
      </c>
      <c r="W135" s="182">
        <v>0</v>
      </c>
      <c r="X135" s="182">
        <v>0</v>
      </c>
      <c r="Y135" s="182">
        <v>0</v>
      </c>
      <c r="Z135" s="182">
        <v>0</v>
      </c>
      <c r="AA135" s="182">
        <v>0</v>
      </c>
      <c r="AB135" s="182">
        <v>0</v>
      </c>
      <c r="AC135" s="182">
        <v>0</v>
      </c>
      <c r="AD135" s="182">
        <v>0</v>
      </c>
      <c r="AE135" s="182">
        <v>0</v>
      </c>
      <c r="AF135" s="182">
        <v>0</v>
      </c>
      <c r="AG135" s="182">
        <v>0</v>
      </c>
      <c r="AH135" s="182">
        <v>0</v>
      </c>
      <c r="AI135" s="182">
        <v>0</v>
      </c>
      <c r="AJ135" s="182">
        <v>0</v>
      </c>
      <c r="AK135" s="182">
        <v>0</v>
      </c>
      <c r="AL135" s="182">
        <v>0</v>
      </c>
      <c r="AM135" s="182">
        <v>0</v>
      </c>
      <c r="AN135" s="182">
        <v>0</v>
      </c>
      <c r="AO135" s="182">
        <v>0</v>
      </c>
      <c r="AP135" s="182">
        <v>0</v>
      </c>
      <c r="AQ135" s="182">
        <v>0</v>
      </c>
      <c r="AR135" s="182">
        <v>0</v>
      </c>
      <c r="AS135" s="182">
        <v>0</v>
      </c>
      <c r="AT135" s="182">
        <v>0</v>
      </c>
      <c r="AU135" s="182">
        <v>0</v>
      </c>
      <c r="AV135" s="182">
        <v>0</v>
      </c>
      <c r="AW135" s="182">
        <v>0</v>
      </c>
      <c r="AX135" s="182">
        <v>0</v>
      </c>
      <c r="AY135" s="182">
        <v>0</v>
      </c>
      <c r="AZ135" s="182">
        <v>0</v>
      </c>
      <c r="BA135" s="182">
        <v>0</v>
      </c>
      <c r="BB135" s="182">
        <v>0</v>
      </c>
      <c r="BC135" s="182">
        <v>0</v>
      </c>
      <c r="BD135" s="182">
        <v>0</v>
      </c>
      <c r="BE135" s="182">
        <v>0</v>
      </c>
      <c r="BF135" s="182">
        <v>0</v>
      </c>
      <c r="BG135" s="182">
        <v>0</v>
      </c>
    </row>
    <row r="136" ht="16.2" spans="3:59">
      <c r="C136" s="153" t="s">
        <v>213</v>
      </c>
      <c r="D136" s="153"/>
      <c r="E136" s="157" t="str">
        <f t="shared" si="38"/>
        <v>创新中心</v>
      </c>
      <c r="F136" s="157" t="str">
        <f t="shared" si="39"/>
        <v>*</v>
      </c>
      <c r="G136" s="182">
        <v>0</v>
      </c>
      <c r="H136" s="182">
        <v>0</v>
      </c>
      <c r="I136" s="182">
        <v>0</v>
      </c>
      <c r="J136" s="182">
        <v>0</v>
      </c>
      <c r="K136" s="182">
        <v>0</v>
      </c>
      <c r="L136" s="182">
        <v>0</v>
      </c>
      <c r="M136" s="182">
        <v>0</v>
      </c>
      <c r="N136" s="182">
        <v>0</v>
      </c>
      <c r="O136" s="182">
        <v>0</v>
      </c>
      <c r="P136" s="182">
        <v>0</v>
      </c>
      <c r="Q136" s="182">
        <v>0</v>
      </c>
      <c r="R136" s="182">
        <v>0</v>
      </c>
      <c r="S136" s="182">
        <v>0</v>
      </c>
      <c r="T136" s="186">
        <f t="shared" si="40"/>
        <v>0</v>
      </c>
      <c r="U136" s="182">
        <v>0</v>
      </c>
      <c r="V136" s="182">
        <v>0</v>
      </c>
      <c r="W136" s="182">
        <v>0</v>
      </c>
      <c r="X136" s="182">
        <v>0</v>
      </c>
      <c r="Y136" s="182">
        <v>0</v>
      </c>
      <c r="Z136" s="182">
        <v>0</v>
      </c>
      <c r="AA136" s="182">
        <v>0</v>
      </c>
      <c r="AB136" s="182">
        <v>0</v>
      </c>
      <c r="AC136" s="182">
        <v>0</v>
      </c>
      <c r="AD136" s="182">
        <v>0</v>
      </c>
      <c r="AE136" s="182">
        <v>0</v>
      </c>
      <c r="AF136" s="182">
        <v>0</v>
      </c>
      <c r="AG136" s="182">
        <v>0</v>
      </c>
      <c r="AH136" s="182">
        <v>0</v>
      </c>
      <c r="AI136" s="182">
        <v>0</v>
      </c>
      <c r="AJ136" s="182">
        <v>0</v>
      </c>
      <c r="AK136" s="182">
        <v>0</v>
      </c>
      <c r="AL136" s="182">
        <v>0</v>
      </c>
      <c r="AM136" s="182">
        <v>0</v>
      </c>
      <c r="AN136" s="182">
        <v>0</v>
      </c>
      <c r="AO136" s="182">
        <v>0</v>
      </c>
      <c r="AP136" s="182">
        <v>0</v>
      </c>
      <c r="AQ136" s="182">
        <v>0</v>
      </c>
      <c r="AR136" s="182">
        <v>0</v>
      </c>
      <c r="AS136" s="182">
        <v>0</v>
      </c>
      <c r="AT136" s="182">
        <v>0</v>
      </c>
      <c r="AU136" s="182">
        <v>0</v>
      </c>
      <c r="AV136" s="182">
        <v>0</v>
      </c>
      <c r="AW136" s="182">
        <v>0</v>
      </c>
      <c r="AX136" s="182">
        <v>0</v>
      </c>
      <c r="AY136" s="182">
        <v>0</v>
      </c>
      <c r="AZ136" s="182">
        <v>0</v>
      </c>
      <c r="BA136" s="182">
        <v>0</v>
      </c>
      <c r="BB136" s="182">
        <v>0</v>
      </c>
      <c r="BC136" s="182">
        <v>0</v>
      </c>
      <c r="BD136" s="182">
        <v>0</v>
      </c>
      <c r="BE136" s="182">
        <v>0</v>
      </c>
      <c r="BF136" s="182">
        <v>0</v>
      </c>
      <c r="BG136" s="182">
        <v>0</v>
      </c>
    </row>
    <row r="137" ht="16.2" spans="1:59">
      <c r="A137" s="33" t="s">
        <v>25</v>
      </c>
      <c r="C137" s="153"/>
      <c r="D137" s="153" t="s">
        <v>214</v>
      </c>
      <c r="E137" s="157" t="str">
        <f t="shared" si="38"/>
        <v>创新中心</v>
      </c>
      <c r="F137" s="157" t="str">
        <f t="shared" si="39"/>
        <v>产品
研发部</v>
      </c>
      <c r="G137" s="182">
        <v>0</v>
      </c>
      <c r="H137" s="182">
        <v>0</v>
      </c>
      <c r="I137" s="182">
        <v>0</v>
      </c>
      <c r="J137" s="182">
        <v>0</v>
      </c>
      <c r="K137" s="182">
        <v>0</v>
      </c>
      <c r="L137" s="182">
        <v>0</v>
      </c>
      <c r="M137" s="182">
        <v>0</v>
      </c>
      <c r="N137" s="182">
        <v>0</v>
      </c>
      <c r="O137" s="182">
        <v>0</v>
      </c>
      <c r="P137" s="182">
        <v>0</v>
      </c>
      <c r="Q137" s="182">
        <v>0</v>
      </c>
      <c r="R137" s="182">
        <v>0</v>
      </c>
      <c r="S137" s="182">
        <v>0</v>
      </c>
      <c r="T137" s="186">
        <f t="shared" si="40"/>
        <v>0</v>
      </c>
      <c r="U137" s="182">
        <v>0</v>
      </c>
      <c r="V137" s="182">
        <v>0</v>
      </c>
      <c r="W137" s="182">
        <v>0</v>
      </c>
      <c r="X137" s="182">
        <v>0</v>
      </c>
      <c r="Y137" s="182">
        <v>0</v>
      </c>
      <c r="Z137" s="182">
        <v>0</v>
      </c>
      <c r="AA137" s="182">
        <v>0</v>
      </c>
      <c r="AB137" s="182">
        <v>0</v>
      </c>
      <c r="AC137" s="182">
        <v>0</v>
      </c>
      <c r="AD137" s="182">
        <v>0</v>
      </c>
      <c r="AE137" s="182">
        <v>0</v>
      </c>
      <c r="AF137" s="182">
        <v>0</v>
      </c>
      <c r="AG137" s="182">
        <v>0</v>
      </c>
      <c r="AH137" s="182">
        <v>0</v>
      </c>
      <c r="AI137" s="182">
        <v>0</v>
      </c>
      <c r="AJ137" s="182">
        <v>0</v>
      </c>
      <c r="AK137" s="182">
        <v>0</v>
      </c>
      <c r="AL137" s="182">
        <v>0</v>
      </c>
      <c r="AM137" s="182">
        <v>0</v>
      </c>
      <c r="AN137" s="182">
        <v>0</v>
      </c>
      <c r="AO137" s="182">
        <v>0</v>
      </c>
      <c r="AP137" s="182">
        <v>0</v>
      </c>
      <c r="AQ137" s="182">
        <v>0</v>
      </c>
      <c r="AR137" s="182">
        <v>0</v>
      </c>
      <c r="AS137" s="182">
        <v>0</v>
      </c>
      <c r="AT137" s="182">
        <v>0</v>
      </c>
      <c r="AU137" s="182">
        <v>0</v>
      </c>
      <c r="AV137" s="182">
        <v>0</v>
      </c>
      <c r="AW137" s="182">
        <v>0</v>
      </c>
      <c r="AX137" s="182">
        <v>0</v>
      </c>
      <c r="AY137" s="182">
        <v>0</v>
      </c>
      <c r="AZ137" s="182">
        <v>0</v>
      </c>
      <c r="BA137" s="182">
        <v>0</v>
      </c>
      <c r="BB137" s="182">
        <v>0</v>
      </c>
      <c r="BC137" s="182">
        <v>0</v>
      </c>
      <c r="BD137" s="182">
        <v>0</v>
      </c>
      <c r="BE137" s="182">
        <v>0</v>
      </c>
      <c r="BF137" s="182">
        <v>0</v>
      </c>
      <c r="BG137" s="182">
        <v>0</v>
      </c>
    </row>
    <row r="138" ht="16.2" spans="1:59">
      <c r="A138" s="33" t="s">
        <v>25</v>
      </c>
      <c r="C138" s="153"/>
      <c r="D138" s="153" t="s">
        <v>215</v>
      </c>
      <c r="E138" s="157" t="str">
        <f t="shared" si="38"/>
        <v>创新中心</v>
      </c>
      <c r="F138" s="157" t="str">
        <f t="shared" si="39"/>
        <v>XX
试验室</v>
      </c>
      <c r="G138" s="182">
        <v>0</v>
      </c>
      <c r="H138" s="182">
        <v>0</v>
      </c>
      <c r="I138" s="182">
        <v>0</v>
      </c>
      <c r="J138" s="182">
        <v>0</v>
      </c>
      <c r="K138" s="182">
        <v>0</v>
      </c>
      <c r="L138" s="182">
        <v>0</v>
      </c>
      <c r="M138" s="182">
        <v>0</v>
      </c>
      <c r="N138" s="182">
        <v>0</v>
      </c>
      <c r="O138" s="182">
        <v>0</v>
      </c>
      <c r="P138" s="182">
        <v>0</v>
      </c>
      <c r="Q138" s="182">
        <v>0</v>
      </c>
      <c r="R138" s="182">
        <v>0</v>
      </c>
      <c r="S138" s="182">
        <v>0</v>
      </c>
      <c r="T138" s="186">
        <f t="shared" si="40"/>
        <v>0</v>
      </c>
      <c r="U138" s="182">
        <v>0</v>
      </c>
      <c r="V138" s="182">
        <v>0</v>
      </c>
      <c r="W138" s="182">
        <v>0</v>
      </c>
      <c r="X138" s="182">
        <v>0</v>
      </c>
      <c r="Y138" s="182">
        <v>0</v>
      </c>
      <c r="Z138" s="182">
        <v>0</v>
      </c>
      <c r="AA138" s="182">
        <v>0</v>
      </c>
      <c r="AB138" s="182">
        <v>0</v>
      </c>
      <c r="AC138" s="182">
        <v>0</v>
      </c>
      <c r="AD138" s="182">
        <v>0</v>
      </c>
      <c r="AE138" s="182">
        <v>0</v>
      </c>
      <c r="AF138" s="182">
        <v>0</v>
      </c>
      <c r="AG138" s="182">
        <v>0</v>
      </c>
      <c r="AH138" s="182">
        <v>0</v>
      </c>
      <c r="AI138" s="182">
        <v>0</v>
      </c>
      <c r="AJ138" s="182">
        <v>0</v>
      </c>
      <c r="AK138" s="182">
        <v>0</v>
      </c>
      <c r="AL138" s="182">
        <v>0</v>
      </c>
      <c r="AM138" s="182">
        <v>0</v>
      </c>
      <c r="AN138" s="182">
        <v>0</v>
      </c>
      <c r="AO138" s="182">
        <v>0</v>
      </c>
      <c r="AP138" s="182">
        <v>0</v>
      </c>
      <c r="AQ138" s="182">
        <v>0</v>
      </c>
      <c r="AR138" s="182">
        <v>0</v>
      </c>
      <c r="AS138" s="182">
        <v>0</v>
      </c>
      <c r="AT138" s="182">
        <v>0</v>
      </c>
      <c r="AU138" s="182">
        <v>0</v>
      </c>
      <c r="AV138" s="182">
        <v>0</v>
      </c>
      <c r="AW138" s="182">
        <v>0</v>
      </c>
      <c r="AX138" s="182">
        <v>0</v>
      </c>
      <c r="AY138" s="182">
        <v>0</v>
      </c>
      <c r="AZ138" s="182">
        <v>0</v>
      </c>
      <c r="BA138" s="182">
        <v>0</v>
      </c>
      <c r="BB138" s="182">
        <v>0</v>
      </c>
      <c r="BC138" s="182">
        <v>0</v>
      </c>
      <c r="BD138" s="182">
        <v>0</v>
      </c>
      <c r="BE138" s="182">
        <v>0</v>
      </c>
      <c r="BF138" s="182">
        <v>0</v>
      </c>
      <c r="BG138" s="182">
        <v>0</v>
      </c>
    </row>
    <row r="139" ht="16.2" spans="1:59">
      <c r="A139" s="33" t="s">
        <v>25</v>
      </c>
      <c r="C139" s="153"/>
      <c r="D139" s="153" t="s">
        <v>216</v>
      </c>
      <c r="E139" s="157" t="str">
        <f t="shared" si="38"/>
        <v>创新中心</v>
      </c>
      <c r="F139" s="157" t="str">
        <f t="shared" si="39"/>
        <v>XX
孵化业务</v>
      </c>
      <c r="G139" s="182">
        <v>0</v>
      </c>
      <c r="H139" s="182">
        <v>0</v>
      </c>
      <c r="I139" s="182">
        <v>0</v>
      </c>
      <c r="J139" s="182">
        <v>0</v>
      </c>
      <c r="K139" s="182">
        <v>0</v>
      </c>
      <c r="L139" s="182">
        <v>0</v>
      </c>
      <c r="M139" s="182">
        <v>0</v>
      </c>
      <c r="N139" s="182">
        <v>0</v>
      </c>
      <c r="O139" s="182">
        <v>0</v>
      </c>
      <c r="P139" s="182">
        <v>0</v>
      </c>
      <c r="Q139" s="182">
        <v>0</v>
      </c>
      <c r="R139" s="182">
        <v>0</v>
      </c>
      <c r="S139" s="182">
        <v>0</v>
      </c>
      <c r="T139" s="186">
        <f t="shared" si="40"/>
        <v>0</v>
      </c>
      <c r="U139" s="182">
        <v>0</v>
      </c>
      <c r="V139" s="182">
        <v>0</v>
      </c>
      <c r="W139" s="182">
        <v>0</v>
      </c>
      <c r="X139" s="182">
        <v>0</v>
      </c>
      <c r="Y139" s="182">
        <v>0</v>
      </c>
      <c r="Z139" s="182">
        <v>0</v>
      </c>
      <c r="AA139" s="182">
        <v>0</v>
      </c>
      <c r="AB139" s="182">
        <v>0</v>
      </c>
      <c r="AC139" s="182">
        <v>0</v>
      </c>
      <c r="AD139" s="182">
        <v>0</v>
      </c>
      <c r="AE139" s="182">
        <v>0</v>
      </c>
      <c r="AF139" s="182">
        <v>0</v>
      </c>
      <c r="AG139" s="182">
        <v>0</v>
      </c>
      <c r="AH139" s="182">
        <v>0</v>
      </c>
      <c r="AI139" s="182">
        <v>0</v>
      </c>
      <c r="AJ139" s="182">
        <v>0</v>
      </c>
      <c r="AK139" s="182">
        <v>0</v>
      </c>
      <c r="AL139" s="182">
        <v>0</v>
      </c>
      <c r="AM139" s="182">
        <v>0</v>
      </c>
      <c r="AN139" s="182">
        <v>0</v>
      </c>
      <c r="AO139" s="182">
        <v>0</v>
      </c>
      <c r="AP139" s="182">
        <v>0</v>
      </c>
      <c r="AQ139" s="182">
        <v>0</v>
      </c>
      <c r="AR139" s="182">
        <v>0</v>
      </c>
      <c r="AS139" s="182">
        <v>0</v>
      </c>
      <c r="AT139" s="182">
        <v>0</v>
      </c>
      <c r="AU139" s="182">
        <v>0</v>
      </c>
      <c r="AV139" s="182">
        <v>0</v>
      </c>
      <c r="AW139" s="182">
        <v>0</v>
      </c>
      <c r="AX139" s="182">
        <v>0</v>
      </c>
      <c r="AY139" s="182">
        <v>0</v>
      </c>
      <c r="AZ139" s="182">
        <v>0</v>
      </c>
      <c r="BA139" s="182">
        <v>0</v>
      </c>
      <c r="BB139" s="182">
        <v>0</v>
      </c>
      <c r="BC139" s="182">
        <v>0</v>
      </c>
      <c r="BD139" s="182">
        <v>0</v>
      </c>
      <c r="BE139" s="182">
        <v>0</v>
      </c>
      <c r="BF139" s="182">
        <v>0</v>
      </c>
      <c r="BG139" s="182">
        <v>0</v>
      </c>
    </row>
    <row r="140" ht="16.2" spans="3:59">
      <c r="C140" s="153" t="s">
        <v>217</v>
      </c>
      <c r="D140" s="153"/>
      <c r="E140" s="157" t="str">
        <f t="shared" si="38"/>
        <v>支持中心</v>
      </c>
      <c r="F140" s="157" t="str">
        <f t="shared" si="39"/>
        <v>*</v>
      </c>
      <c r="G140" s="182">
        <v>2.98</v>
      </c>
      <c r="H140" s="182">
        <v>2.98</v>
      </c>
      <c r="I140" s="182">
        <v>0</v>
      </c>
      <c r="J140" s="182">
        <v>0</v>
      </c>
      <c r="K140" s="182">
        <v>0</v>
      </c>
      <c r="L140" s="182">
        <v>0</v>
      </c>
      <c r="M140" s="182">
        <v>0</v>
      </c>
      <c r="N140" s="182">
        <v>0</v>
      </c>
      <c r="O140" s="182">
        <v>0</v>
      </c>
      <c r="P140" s="182">
        <v>0</v>
      </c>
      <c r="Q140" s="182">
        <v>0</v>
      </c>
      <c r="R140" s="182">
        <v>0</v>
      </c>
      <c r="S140" s="182">
        <v>0</v>
      </c>
      <c r="T140" s="186">
        <f t="shared" si="40"/>
        <v>21.96</v>
      </c>
      <c r="U140" s="182">
        <v>14.98</v>
      </c>
      <c r="V140" s="182">
        <v>14.98</v>
      </c>
      <c r="W140" s="182">
        <v>0</v>
      </c>
      <c r="X140" s="182">
        <v>0</v>
      </c>
      <c r="Y140" s="182">
        <v>0</v>
      </c>
      <c r="Z140" s="182">
        <v>0</v>
      </c>
      <c r="AA140" s="182">
        <v>0</v>
      </c>
      <c r="AB140" s="182">
        <v>0</v>
      </c>
      <c r="AC140" s="182">
        <v>0</v>
      </c>
      <c r="AD140" s="182">
        <v>0</v>
      </c>
      <c r="AE140" s="182">
        <v>0</v>
      </c>
      <c r="AF140" s="182">
        <v>0</v>
      </c>
      <c r="AG140" s="182">
        <v>0</v>
      </c>
      <c r="AH140" s="182">
        <v>6.98</v>
      </c>
      <c r="AI140" s="182">
        <v>0</v>
      </c>
      <c r="AJ140" s="182">
        <v>0</v>
      </c>
      <c r="AK140" s="182">
        <v>0</v>
      </c>
      <c r="AL140" s="182">
        <v>0</v>
      </c>
      <c r="AM140" s="182">
        <v>0</v>
      </c>
      <c r="AN140" s="182">
        <v>0</v>
      </c>
      <c r="AO140" s="182">
        <v>0</v>
      </c>
      <c r="AP140" s="182">
        <v>0</v>
      </c>
      <c r="AQ140" s="182">
        <v>0</v>
      </c>
      <c r="AR140" s="182">
        <v>0</v>
      </c>
      <c r="AS140" s="182">
        <v>6.98</v>
      </c>
      <c r="AT140" s="182">
        <v>0</v>
      </c>
      <c r="AU140" s="182">
        <v>29.8</v>
      </c>
      <c r="AV140" s="182">
        <v>0</v>
      </c>
      <c r="AW140" s="182">
        <v>0</v>
      </c>
      <c r="AX140" s="182">
        <v>0</v>
      </c>
      <c r="AY140" s="182">
        <v>0</v>
      </c>
      <c r="AZ140" s="182">
        <v>0</v>
      </c>
      <c r="BA140" s="182">
        <v>0</v>
      </c>
      <c r="BB140" s="182">
        <v>0</v>
      </c>
      <c r="BC140" s="182">
        <v>0</v>
      </c>
      <c r="BD140" s="182">
        <v>0</v>
      </c>
      <c r="BE140" s="182">
        <v>29.8</v>
      </c>
      <c r="BF140" s="182">
        <v>0</v>
      </c>
      <c r="BG140" s="182">
        <v>0</v>
      </c>
    </row>
    <row r="141" ht="16.2" spans="1:59">
      <c r="A141" s="33" t="s">
        <v>25</v>
      </c>
      <c r="C141" s="153"/>
      <c r="D141" s="153" t="s">
        <v>218</v>
      </c>
      <c r="E141" s="157" t="str">
        <f t="shared" si="38"/>
        <v>支持中心</v>
      </c>
      <c r="F141" s="157" t="str">
        <f t="shared" si="39"/>
        <v>财务部</v>
      </c>
      <c r="G141" s="182">
        <v>0</v>
      </c>
      <c r="H141" s="182">
        <v>0</v>
      </c>
      <c r="I141" s="182">
        <v>0</v>
      </c>
      <c r="J141" s="182">
        <v>0</v>
      </c>
      <c r="K141" s="182">
        <v>0</v>
      </c>
      <c r="L141" s="182">
        <v>0</v>
      </c>
      <c r="M141" s="182">
        <v>0</v>
      </c>
      <c r="N141" s="182">
        <v>0</v>
      </c>
      <c r="O141" s="182">
        <v>0</v>
      </c>
      <c r="P141" s="182">
        <v>0</v>
      </c>
      <c r="Q141" s="182">
        <v>0</v>
      </c>
      <c r="R141" s="182">
        <v>0</v>
      </c>
      <c r="S141" s="182">
        <v>0</v>
      </c>
      <c r="T141" s="186">
        <f t="shared" si="40"/>
        <v>0</v>
      </c>
      <c r="U141" s="182">
        <v>0</v>
      </c>
      <c r="V141" s="182">
        <v>0</v>
      </c>
      <c r="W141" s="182">
        <v>0</v>
      </c>
      <c r="X141" s="182">
        <v>0</v>
      </c>
      <c r="Y141" s="182">
        <v>0</v>
      </c>
      <c r="Z141" s="182">
        <v>0</v>
      </c>
      <c r="AA141" s="182">
        <v>0</v>
      </c>
      <c r="AB141" s="182">
        <v>0</v>
      </c>
      <c r="AC141" s="182">
        <v>0</v>
      </c>
      <c r="AD141" s="182">
        <v>0</v>
      </c>
      <c r="AE141" s="182">
        <v>0</v>
      </c>
      <c r="AF141" s="182">
        <v>0</v>
      </c>
      <c r="AG141" s="182">
        <v>0</v>
      </c>
      <c r="AH141" s="182">
        <v>0</v>
      </c>
      <c r="AI141" s="182">
        <v>0</v>
      </c>
      <c r="AJ141" s="182">
        <v>0</v>
      </c>
      <c r="AK141" s="182">
        <v>0</v>
      </c>
      <c r="AL141" s="182">
        <v>0</v>
      </c>
      <c r="AM141" s="182">
        <v>0</v>
      </c>
      <c r="AN141" s="182">
        <v>0</v>
      </c>
      <c r="AO141" s="182">
        <v>0</v>
      </c>
      <c r="AP141" s="182">
        <v>0</v>
      </c>
      <c r="AQ141" s="182">
        <v>0</v>
      </c>
      <c r="AR141" s="182">
        <v>0</v>
      </c>
      <c r="AS141" s="182">
        <v>0</v>
      </c>
      <c r="AT141" s="182">
        <v>0</v>
      </c>
      <c r="AU141" s="182">
        <v>0</v>
      </c>
      <c r="AV141" s="182">
        <v>0</v>
      </c>
      <c r="AW141" s="182">
        <v>0</v>
      </c>
      <c r="AX141" s="182">
        <v>0</v>
      </c>
      <c r="AY141" s="182">
        <v>0</v>
      </c>
      <c r="AZ141" s="182">
        <v>0</v>
      </c>
      <c r="BA141" s="182">
        <v>0</v>
      </c>
      <c r="BB141" s="182">
        <v>0</v>
      </c>
      <c r="BC141" s="182">
        <v>0</v>
      </c>
      <c r="BD141" s="182">
        <v>0</v>
      </c>
      <c r="BE141" s="182">
        <v>0</v>
      </c>
      <c r="BF141" s="182">
        <v>0</v>
      </c>
      <c r="BG141" s="182">
        <v>0</v>
      </c>
    </row>
    <row r="142" ht="16.2" spans="1:59">
      <c r="A142" s="33" t="s">
        <v>25</v>
      </c>
      <c r="C142" s="153"/>
      <c r="D142" s="153" t="s">
        <v>219</v>
      </c>
      <c r="E142" s="157" t="str">
        <f t="shared" si="38"/>
        <v>支持中心</v>
      </c>
      <c r="F142" s="157" t="str">
        <f t="shared" si="39"/>
        <v>人力资源部</v>
      </c>
      <c r="G142" s="182">
        <v>0</v>
      </c>
      <c r="H142" s="182">
        <v>0</v>
      </c>
      <c r="I142" s="182">
        <v>0</v>
      </c>
      <c r="J142" s="182">
        <v>0</v>
      </c>
      <c r="K142" s="182">
        <v>0</v>
      </c>
      <c r="L142" s="182">
        <v>0</v>
      </c>
      <c r="M142" s="182">
        <v>0</v>
      </c>
      <c r="N142" s="182">
        <v>0</v>
      </c>
      <c r="O142" s="182">
        <v>0</v>
      </c>
      <c r="P142" s="182">
        <v>0</v>
      </c>
      <c r="Q142" s="182">
        <v>0</v>
      </c>
      <c r="R142" s="182">
        <v>0</v>
      </c>
      <c r="S142" s="182">
        <v>0</v>
      </c>
      <c r="T142" s="186">
        <f t="shared" si="40"/>
        <v>0</v>
      </c>
      <c r="U142" s="182">
        <v>0</v>
      </c>
      <c r="V142" s="182">
        <v>0</v>
      </c>
      <c r="W142" s="182">
        <v>0</v>
      </c>
      <c r="X142" s="182">
        <v>0</v>
      </c>
      <c r="Y142" s="182">
        <v>0</v>
      </c>
      <c r="Z142" s="182">
        <v>0</v>
      </c>
      <c r="AA142" s="182">
        <v>0</v>
      </c>
      <c r="AB142" s="182">
        <v>0</v>
      </c>
      <c r="AC142" s="182">
        <v>0</v>
      </c>
      <c r="AD142" s="182">
        <v>0</v>
      </c>
      <c r="AE142" s="182">
        <v>0</v>
      </c>
      <c r="AF142" s="182">
        <v>0</v>
      </c>
      <c r="AG142" s="182">
        <v>0</v>
      </c>
      <c r="AH142" s="182">
        <v>0</v>
      </c>
      <c r="AI142" s="182">
        <v>0</v>
      </c>
      <c r="AJ142" s="182">
        <v>0</v>
      </c>
      <c r="AK142" s="182">
        <v>0</v>
      </c>
      <c r="AL142" s="182">
        <v>0</v>
      </c>
      <c r="AM142" s="182">
        <v>0</v>
      </c>
      <c r="AN142" s="182">
        <v>0</v>
      </c>
      <c r="AO142" s="182">
        <v>0</v>
      </c>
      <c r="AP142" s="182">
        <v>0</v>
      </c>
      <c r="AQ142" s="182">
        <v>0</v>
      </c>
      <c r="AR142" s="182">
        <v>0</v>
      </c>
      <c r="AS142" s="182">
        <v>0</v>
      </c>
      <c r="AT142" s="182">
        <v>0</v>
      </c>
      <c r="AU142" s="182">
        <v>0</v>
      </c>
      <c r="AV142" s="182">
        <v>0</v>
      </c>
      <c r="AW142" s="182">
        <v>0</v>
      </c>
      <c r="AX142" s="182">
        <v>0</v>
      </c>
      <c r="AY142" s="182">
        <v>0</v>
      </c>
      <c r="AZ142" s="182">
        <v>0</v>
      </c>
      <c r="BA142" s="182">
        <v>0</v>
      </c>
      <c r="BB142" s="182">
        <v>0</v>
      </c>
      <c r="BC142" s="182">
        <v>0</v>
      </c>
      <c r="BD142" s="182">
        <v>0</v>
      </c>
      <c r="BE142" s="182">
        <v>0</v>
      </c>
      <c r="BF142" s="182">
        <v>0</v>
      </c>
      <c r="BG142" s="182">
        <v>0</v>
      </c>
    </row>
    <row r="143" ht="16.2" spans="1:59">
      <c r="A143" s="33" t="s">
        <v>25</v>
      </c>
      <c r="C143" s="153"/>
      <c r="D143" s="153" t="s">
        <v>220</v>
      </c>
      <c r="E143" s="157" t="str">
        <f t="shared" si="38"/>
        <v>支持中心</v>
      </c>
      <c r="F143" s="157" t="str">
        <f t="shared" si="39"/>
        <v>IT部</v>
      </c>
      <c r="G143" s="182">
        <v>0</v>
      </c>
      <c r="H143" s="182">
        <v>0</v>
      </c>
      <c r="I143" s="182">
        <v>0</v>
      </c>
      <c r="J143" s="182">
        <v>0</v>
      </c>
      <c r="K143" s="182">
        <v>0</v>
      </c>
      <c r="L143" s="182">
        <v>0</v>
      </c>
      <c r="M143" s="182">
        <v>0</v>
      </c>
      <c r="N143" s="182">
        <v>0</v>
      </c>
      <c r="O143" s="182">
        <v>0</v>
      </c>
      <c r="P143" s="182">
        <v>0</v>
      </c>
      <c r="Q143" s="182">
        <v>0</v>
      </c>
      <c r="R143" s="182">
        <v>0</v>
      </c>
      <c r="S143" s="182">
        <v>0</v>
      </c>
      <c r="T143" s="186">
        <f t="shared" si="40"/>
        <v>0</v>
      </c>
      <c r="U143" s="182">
        <v>0</v>
      </c>
      <c r="V143" s="182">
        <v>0</v>
      </c>
      <c r="W143" s="182">
        <v>0</v>
      </c>
      <c r="X143" s="182">
        <v>0</v>
      </c>
      <c r="Y143" s="182">
        <v>0</v>
      </c>
      <c r="Z143" s="182">
        <v>0</v>
      </c>
      <c r="AA143" s="182">
        <v>0</v>
      </c>
      <c r="AB143" s="182">
        <v>0</v>
      </c>
      <c r="AC143" s="182">
        <v>0</v>
      </c>
      <c r="AD143" s="182">
        <v>0</v>
      </c>
      <c r="AE143" s="182">
        <v>0</v>
      </c>
      <c r="AF143" s="182">
        <v>0</v>
      </c>
      <c r="AG143" s="182">
        <v>0</v>
      </c>
      <c r="AH143" s="182">
        <v>0</v>
      </c>
      <c r="AI143" s="182">
        <v>0</v>
      </c>
      <c r="AJ143" s="182">
        <v>0</v>
      </c>
      <c r="AK143" s="182">
        <v>0</v>
      </c>
      <c r="AL143" s="182">
        <v>0</v>
      </c>
      <c r="AM143" s="182">
        <v>0</v>
      </c>
      <c r="AN143" s="182">
        <v>0</v>
      </c>
      <c r="AO143" s="182">
        <v>0</v>
      </c>
      <c r="AP143" s="182">
        <v>0</v>
      </c>
      <c r="AQ143" s="182">
        <v>0</v>
      </c>
      <c r="AR143" s="182">
        <v>0</v>
      </c>
      <c r="AS143" s="182">
        <v>0</v>
      </c>
      <c r="AT143" s="182">
        <v>0</v>
      </c>
      <c r="AU143" s="182">
        <v>0</v>
      </c>
      <c r="AV143" s="182">
        <v>0</v>
      </c>
      <c r="AW143" s="182">
        <v>0</v>
      </c>
      <c r="AX143" s="182">
        <v>0</v>
      </c>
      <c r="AY143" s="182">
        <v>0</v>
      </c>
      <c r="AZ143" s="182">
        <v>0</v>
      </c>
      <c r="BA143" s="182">
        <v>0</v>
      </c>
      <c r="BB143" s="182">
        <v>0</v>
      </c>
      <c r="BC143" s="182">
        <v>0</v>
      </c>
      <c r="BD143" s="182">
        <v>0</v>
      </c>
      <c r="BE143" s="182">
        <v>0</v>
      </c>
      <c r="BF143" s="182">
        <v>0</v>
      </c>
      <c r="BG143" s="182">
        <v>0</v>
      </c>
    </row>
    <row r="144" ht="16.2" spans="1:59">
      <c r="A144" s="33" t="s">
        <v>25</v>
      </c>
      <c r="C144" s="153"/>
      <c r="D144" s="153" t="s">
        <v>221</v>
      </c>
      <c r="E144" s="157" t="str">
        <f t="shared" si="38"/>
        <v>支持中心</v>
      </c>
      <c r="F144" s="157" t="str">
        <f t="shared" si="39"/>
        <v>总经办</v>
      </c>
      <c r="G144" s="182">
        <v>2.98</v>
      </c>
      <c r="H144" s="182">
        <v>2.98</v>
      </c>
      <c r="I144" s="182">
        <v>0</v>
      </c>
      <c r="J144" s="182">
        <v>0</v>
      </c>
      <c r="K144" s="182">
        <v>0</v>
      </c>
      <c r="L144" s="182">
        <v>0</v>
      </c>
      <c r="M144" s="182">
        <v>0</v>
      </c>
      <c r="N144" s="182">
        <v>0</v>
      </c>
      <c r="O144" s="182">
        <v>0</v>
      </c>
      <c r="P144" s="182">
        <v>0</v>
      </c>
      <c r="Q144" s="182">
        <v>0</v>
      </c>
      <c r="R144" s="182">
        <v>0</v>
      </c>
      <c r="S144" s="182">
        <v>0</v>
      </c>
      <c r="T144" s="186">
        <f t="shared" si="40"/>
        <v>21.96</v>
      </c>
      <c r="U144" s="182">
        <v>14.98</v>
      </c>
      <c r="V144" s="182">
        <v>14.98</v>
      </c>
      <c r="W144" s="182">
        <v>0</v>
      </c>
      <c r="X144" s="182">
        <v>0</v>
      </c>
      <c r="Y144" s="182">
        <v>0</v>
      </c>
      <c r="Z144" s="182">
        <v>0</v>
      </c>
      <c r="AA144" s="182">
        <v>0</v>
      </c>
      <c r="AB144" s="182">
        <v>0</v>
      </c>
      <c r="AC144" s="182">
        <v>0</v>
      </c>
      <c r="AD144" s="182">
        <v>0</v>
      </c>
      <c r="AE144" s="182">
        <v>0</v>
      </c>
      <c r="AF144" s="182">
        <v>0</v>
      </c>
      <c r="AG144" s="182">
        <v>0</v>
      </c>
      <c r="AH144" s="182">
        <v>6.98</v>
      </c>
      <c r="AI144" s="182">
        <v>0</v>
      </c>
      <c r="AJ144" s="182">
        <v>0</v>
      </c>
      <c r="AK144" s="182">
        <v>0</v>
      </c>
      <c r="AL144" s="182">
        <v>0</v>
      </c>
      <c r="AM144" s="182">
        <v>0</v>
      </c>
      <c r="AN144" s="182">
        <v>0</v>
      </c>
      <c r="AO144" s="182">
        <v>0</v>
      </c>
      <c r="AP144" s="182">
        <v>0</v>
      </c>
      <c r="AQ144" s="182">
        <v>0</v>
      </c>
      <c r="AR144" s="182">
        <v>0</v>
      </c>
      <c r="AS144" s="182">
        <v>6.98</v>
      </c>
      <c r="AT144" s="182">
        <v>0</v>
      </c>
      <c r="AU144" s="182">
        <v>29.8</v>
      </c>
      <c r="AV144" s="182">
        <v>0</v>
      </c>
      <c r="AW144" s="182">
        <v>0</v>
      </c>
      <c r="AX144" s="182">
        <v>0</v>
      </c>
      <c r="AY144" s="182">
        <v>0</v>
      </c>
      <c r="AZ144" s="182">
        <v>0</v>
      </c>
      <c r="BA144" s="182">
        <v>0</v>
      </c>
      <c r="BB144" s="182">
        <v>0</v>
      </c>
      <c r="BC144" s="182">
        <v>0</v>
      </c>
      <c r="BD144" s="182">
        <v>0</v>
      </c>
      <c r="BE144" s="182">
        <v>29.8</v>
      </c>
      <c r="BF144" s="182">
        <v>0</v>
      </c>
      <c r="BG144" s="182">
        <v>0</v>
      </c>
    </row>
    <row r="146" ht="20.4" spans="2:2">
      <c r="B146" s="36" t="s">
        <v>230</v>
      </c>
    </row>
    <row r="147" s="164" customFormat="1" ht="19.2" customHeight="1" spans="2:59">
      <c r="B147" s="153" t="s">
        <v>128</v>
      </c>
      <c r="C147" s="154"/>
      <c r="D147" s="154"/>
      <c r="E147" s="154" t="s">
        <v>209</v>
      </c>
      <c r="F147" s="154" t="s">
        <v>209</v>
      </c>
      <c r="G147" s="181">
        <v>11</v>
      </c>
      <c r="H147" s="181">
        <v>8</v>
      </c>
      <c r="I147" s="181">
        <v>3</v>
      </c>
      <c r="J147" s="181">
        <v>0</v>
      </c>
      <c r="K147" s="181">
        <v>0</v>
      </c>
      <c r="L147" s="181">
        <v>0</v>
      </c>
      <c r="M147" s="181">
        <v>0</v>
      </c>
      <c r="N147" s="181">
        <v>0</v>
      </c>
      <c r="O147" s="181">
        <v>0</v>
      </c>
      <c r="P147" s="181">
        <v>0</v>
      </c>
      <c r="Q147" s="181">
        <v>0</v>
      </c>
      <c r="R147" s="181">
        <v>0</v>
      </c>
      <c r="S147" s="181">
        <v>0</v>
      </c>
      <c r="T147" s="185">
        <f>U147+AH147</f>
        <v>6.96</v>
      </c>
      <c r="U147" s="181">
        <v>3.98</v>
      </c>
      <c r="V147" s="181">
        <v>3.98</v>
      </c>
      <c r="W147" s="181">
        <v>0</v>
      </c>
      <c r="X147" s="181">
        <v>0</v>
      </c>
      <c r="Y147" s="181">
        <v>0</v>
      </c>
      <c r="Z147" s="181">
        <v>0</v>
      </c>
      <c r="AA147" s="181">
        <v>0</v>
      </c>
      <c r="AB147" s="181">
        <v>0</v>
      </c>
      <c r="AC147" s="181">
        <v>0</v>
      </c>
      <c r="AD147" s="181">
        <v>0</v>
      </c>
      <c r="AE147" s="181">
        <v>0</v>
      </c>
      <c r="AF147" s="181">
        <v>0</v>
      </c>
      <c r="AG147" s="181">
        <v>0</v>
      </c>
      <c r="AH147" s="181">
        <v>2.98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181">
        <v>0</v>
      </c>
      <c r="AR147" s="181">
        <v>0</v>
      </c>
      <c r="AS147" s="181">
        <v>0</v>
      </c>
      <c r="AT147" s="181">
        <v>2.98</v>
      </c>
      <c r="AU147" s="181">
        <v>12</v>
      </c>
      <c r="AV147" s="181">
        <v>0</v>
      </c>
      <c r="AW147" s="181">
        <v>0</v>
      </c>
      <c r="AX147" s="181">
        <v>0</v>
      </c>
      <c r="AY147" s="181">
        <v>0</v>
      </c>
      <c r="AZ147" s="181">
        <v>0</v>
      </c>
      <c r="BA147" s="181">
        <v>0</v>
      </c>
      <c r="BB147" s="181">
        <v>0</v>
      </c>
      <c r="BC147" s="181">
        <v>0</v>
      </c>
      <c r="BD147" s="181">
        <v>0</v>
      </c>
      <c r="BE147" s="181">
        <v>12</v>
      </c>
      <c r="BF147" s="181">
        <v>0</v>
      </c>
      <c r="BG147" s="181">
        <v>0</v>
      </c>
    </row>
    <row r="148" ht="16.2" spans="3:59">
      <c r="C148" s="153" t="s">
        <v>210</v>
      </c>
      <c r="D148" s="153"/>
      <c r="E148" s="157" t="str">
        <f>IF(C148&lt;&gt;"",C148,E145)</f>
        <v>流程中心</v>
      </c>
      <c r="F148" s="157" t="str">
        <f>IF(D148&lt;&gt;"",D148,"*")</f>
        <v>*</v>
      </c>
      <c r="G148" s="182">
        <v>0</v>
      </c>
      <c r="H148" s="182">
        <v>0</v>
      </c>
      <c r="I148" s="182">
        <v>0</v>
      </c>
      <c r="J148" s="182">
        <v>0</v>
      </c>
      <c r="K148" s="182">
        <v>0</v>
      </c>
      <c r="L148" s="182">
        <v>0</v>
      </c>
      <c r="M148" s="182">
        <v>0</v>
      </c>
      <c r="N148" s="182">
        <v>0</v>
      </c>
      <c r="O148" s="182">
        <v>0</v>
      </c>
      <c r="P148" s="182">
        <v>0</v>
      </c>
      <c r="Q148" s="182">
        <v>0</v>
      </c>
      <c r="R148" s="182">
        <v>0</v>
      </c>
      <c r="S148" s="182">
        <v>0</v>
      </c>
      <c r="T148" s="186">
        <f>U148+AH148</f>
        <v>0</v>
      </c>
      <c r="U148" s="182">
        <v>0</v>
      </c>
      <c r="V148" s="182">
        <v>0</v>
      </c>
      <c r="W148" s="182">
        <v>0</v>
      </c>
      <c r="X148" s="182">
        <v>0</v>
      </c>
      <c r="Y148" s="182">
        <v>0</v>
      </c>
      <c r="Z148" s="182">
        <v>0</v>
      </c>
      <c r="AA148" s="182">
        <v>0</v>
      </c>
      <c r="AB148" s="182">
        <v>0</v>
      </c>
      <c r="AC148" s="182">
        <v>0</v>
      </c>
      <c r="AD148" s="182">
        <v>0</v>
      </c>
      <c r="AE148" s="182">
        <v>0</v>
      </c>
      <c r="AF148" s="182">
        <v>0</v>
      </c>
      <c r="AG148" s="182">
        <v>0</v>
      </c>
      <c r="AH148" s="182">
        <v>0</v>
      </c>
      <c r="AI148" s="182">
        <v>0</v>
      </c>
      <c r="AJ148" s="182">
        <v>0</v>
      </c>
      <c r="AK148" s="182">
        <v>0</v>
      </c>
      <c r="AL148" s="182">
        <v>0</v>
      </c>
      <c r="AM148" s="182">
        <v>0</v>
      </c>
      <c r="AN148" s="182">
        <v>0</v>
      </c>
      <c r="AO148" s="182">
        <v>0</v>
      </c>
      <c r="AP148" s="182">
        <v>0</v>
      </c>
      <c r="AQ148" s="182">
        <v>0</v>
      </c>
      <c r="AR148" s="182">
        <v>0</v>
      </c>
      <c r="AS148" s="182">
        <v>0</v>
      </c>
      <c r="AT148" s="182">
        <v>0</v>
      </c>
      <c r="AU148" s="182">
        <v>0</v>
      </c>
      <c r="AV148" s="182">
        <v>0</v>
      </c>
      <c r="AW148" s="182">
        <v>0</v>
      </c>
      <c r="AX148" s="182">
        <v>0</v>
      </c>
      <c r="AY148" s="182">
        <v>0</v>
      </c>
      <c r="AZ148" s="182">
        <v>0</v>
      </c>
      <c r="BA148" s="182">
        <v>0</v>
      </c>
      <c r="BB148" s="182">
        <v>0</v>
      </c>
      <c r="BC148" s="182">
        <v>0</v>
      </c>
      <c r="BD148" s="182">
        <v>0</v>
      </c>
      <c r="BE148" s="182">
        <v>0</v>
      </c>
      <c r="BF148" s="182">
        <v>0</v>
      </c>
      <c r="BG148" s="182">
        <v>0</v>
      </c>
    </row>
    <row r="149" ht="16.2" spans="1:59">
      <c r="A149" s="33" t="s">
        <v>25</v>
      </c>
      <c r="C149" s="153"/>
      <c r="D149" s="153" t="s">
        <v>211</v>
      </c>
      <c r="E149" s="157" t="str">
        <f t="shared" ref="E149:E159" si="41">IF(C149&lt;&gt;"",C149,E148)</f>
        <v>流程中心</v>
      </c>
      <c r="F149" s="157" t="str">
        <f t="shared" ref="F149:F159" si="42">IF(D149&lt;&gt;"",D149,"*")</f>
        <v>销售中心</v>
      </c>
      <c r="G149" s="182">
        <v>0</v>
      </c>
      <c r="H149" s="182">
        <v>0</v>
      </c>
      <c r="I149" s="182">
        <v>0</v>
      </c>
      <c r="J149" s="182">
        <v>0</v>
      </c>
      <c r="K149" s="182">
        <v>0</v>
      </c>
      <c r="L149" s="182">
        <v>0</v>
      </c>
      <c r="M149" s="182">
        <v>0</v>
      </c>
      <c r="N149" s="182">
        <v>0</v>
      </c>
      <c r="O149" s="182">
        <v>0</v>
      </c>
      <c r="P149" s="182">
        <v>0</v>
      </c>
      <c r="Q149" s="182">
        <v>0</v>
      </c>
      <c r="R149" s="182">
        <v>0</v>
      </c>
      <c r="S149" s="182">
        <v>0</v>
      </c>
      <c r="T149" s="186">
        <f t="shared" ref="T149:T159" si="43">U149+AH149</f>
        <v>0</v>
      </c>
      <c r="U149" s="182">
        <v>0</v>
      </c>
      <c r="V149" s="182">
        <v>0</v>
      </c>
      <c r="W149" s="182">
        <v>0</v>
      </c>
      <c r="X149" s="182">
        <v>0</v>
      </c>
      <c r="Y149" s="182">
        <v>0</v>
      </c>
      <c r="Z149" s="182">
        <v>0</v>
      </c>
      <c r="AA149" s="182">
        <v>0</v>
      </c>
      <c r="AB149" s="182">
        <v>0</v>
      </c>
      <c r="AC149" s="182">
        <v>0</v>
      </c>
      <c r="AD149" s="182">
        <v>0</v>
      </c>
      <c r="AE149" s="182">
        <v>0</v>
      </c>
      <c r="AF149" s="182">
        <v>0</v>
      </c>
      <c r="AG149" s="182">
        <v>0</v>
      </c>
      <c r="AH149" s="182">
        <v>0</v>
      </c>
      <c r="AI149" s="182">
        <v>0</v>
      </c>
      <c r="AJ149" s="182">
        <v>0</v>
      </c>
      <c r="AK149" s="182">
        <v>0</v>
      </c>
      <c r="AL149" s="182">
        <v>0</v>
      </c>
      <c r="AM149" s="182">
        <v>0</v>
      </c>
      <c r="AN149" s="182">
        <v>0</v>
      </c>
      <c r="AO149" s="182">
        <v>0</v>
      </c>
      <c r="AP149" s="182">
        <v>0</v>
      </c>
      <c r="AQ149" s="182">
        <v>0</v>
      </c>
      <c r="AR149" s="182">
        <v>0</v>
      </c>
      <c r="AS149" s="182">
        <v>0</v>
      </c>
      <c r="AT149" s="182">
        <v>0</v>
      </c>
      <c r="AU149" s="182">
        <v>0</v>
      </c>
      <c r="AV149" s="182">
        <v>0</v>
      </c>
      <c r="AW149" s="182">
        <v>0</v>
      </c>
      <c r="AX149" s="182">
        <v>0</v>
      </c>
      <c r="AY149" s="182">
        <v>0</v>
      </c>
      <c r="AZ149" s="182">
        <v>0</v>
      </c>
      <c r="BA149" s="182">
        <v>0</v>
      </c>
      <c r="BB149" s="182">
        <v>0</v>
      </c>
      <c r="BC149" s="182">
        <v>0</v>
      </c>
      <c r="BD149" s="182">
        <v>0</v>
      </c>
      <c r="BE149" s="182">
        <v>0</v>
      </c>
      <c r="BF149" s="182">
        <v>0</v>
      </c>
      <c r="BG149" s="182">
        <v>0</v>
      </c>
    </row>
    <row r="150" ht="16.2" spans="1:59">
      <c r="A150" s="33" t="s">
        <v>25</v>
      </c>
      <c r="C150" s="153"/>
      <c r="D150" s="153" t="s">
        <v>212</v>
      </c>
      <c r="E150" s="157" t="str">
        <f t="shared" si="41"/>
        <v>流程中心</v>
      </c>
      <c r="F150" s="157" t="str">
        <f t="shared" si="42"/>
        <v>制造中心</v>
      </c>
      <c r="G150" s="182">
        <v>0</v>
      </c>
      <c r="H150" s="182">
        <v>0</v>
      </c>
      <c r="I150" s="182">
        <v>0</v>
      </c>
      <c r="J150" s="182">
        <v>0</v>
      </c>
      <c r="K150" s="182">
        <v>0</v>
      </c>
      <c r="L150" s="182">
        <v>0</v>
      </c>
      <c r="M150" s="182">
        <v>0</v>
      </c>
      <c r="N150" s="182">
        <v>0</v>
      </c>
      <c r="O150" s="182">
        <v>0</v>
      </c>
      <c r="P150" s="182">
        <v>0</v>
      </c>
      <c r="Q150" s="182">
        <v>0</v>
      </c>
      <c r="R150" s="182">
        <v>0</v>
      </c>
      <c r="S150" s="182">
        <v>0</v>
      </c>
      <c r="T150" s="186">
        <f t="shared" si="43"/>
        <v>0</v>
      </c>
      <c r="U150" s="182">
        <v>0</v>
      </c>
      <c r="V150" s="182">
        <v>0</v>
      </c>
      <c r="W150" s="182">
        <v>0</v>
      </c>
      <c r="X150" s="182">
        <v>0</v>
      </c>
      <c r="Y150" s="182">
        <v>0</v>
      </c>
      <c r="Z150" s="182">
        <v>0</v>
      </c>
      <c r="AA150" s="182">
        <v>0</v>
      </c>
      <c r="AB150" s="182">
        <v>0</v>
      </c>
      <c r="AC150" s="182">
        <v>0</v>
      </c>
      <c r="AD150" s="182">
        <v>0</v>
      </c>
      <c r="AE150" s="182">
        <v>0</v>
      </c>
      <c r="AF150" s="182">
        <v>0</v>
      </c>
      <c r="AG150" s="182">
        <v>0</v>
      </c>
      <c r="AH150" s="182">
        <v>0</v>
      </c>
      <c r="AI150" s="182">
        <v>0</v>
      </c>
      <c r="AJ150" s="182">
        <v>0</v>
      </c>
      <c r="AK150" s="182">
        <v>0</v>
      </c>
      <c r="AL150" s="182">
        <v>0</v>
      </c>
      <c r="AM150" s="182">
        <v>0</v>
      </c>
      <c r="AN150" s="182">
        <v>0</v>
      </c>
      <c r="AO150" s="182">
        <v>0</v>
      </c>
      <c r="AP150" s="182">
        <v>0</v>
      </c>
      <c r="AQ150" s="182">
        <v>0</v>
      </c>
      <c r="AR150" s="182">
        <v>0</v>
      </c>
      <c r="AS150" s="182">
        <v>0</v>
      </c>
      <c r="AT150" s="182">
        <v>0</v>
      </c>
      <c r="AU150" s="182">
        <v>0</v>
      </c>
      <c r="AV150" s="182">
        <v>0</v>
      </c>
      <c r="AW150" s="182">
        <v>0</v>
      </c>
      <c r="AX150" s="182">
        <v>0</v>
      </c>
      <c r="AY150" s="182">
        <v>0</v>
      </c>
      <c r="AZ150" s="182">
        <v>0</v>
      </c>
      <c r="BA150" s="182">
        <v>0</v>
      </c>
      <c r="BB150" s="182">
        <v>0</v>
      </c>
      <c r="BC150" s="182">
        <v>0</v>
      </c>
      <c r="BD150" s="182">
        <v>0</v>
      </c>
      <c r="BE150" s="182">
        <v>0</v>
      </c>
      <c r="BF150" s="182">
        <v>0</v>
      </c>
      <c r="BG150" s="182">
        <v>0</v>
      </c>
    </row>
    <row r="151" ht="16.2" spans="3:59">
      <c r="C151" s="153" t="s">
        <v>213</v>
      </c>
      <c r="D151" s="153"/>
      <c r="E151" s="157" t="str">
        <f t="shared" si="41"/>
        <v>创新中心</v>
      </c>
      <c r="F151" s="157" t="str">
        <f t="shared" si="42"/>
        <v>*</v>
      </c>
      <c r="G151" s="182">
        <v>0</v>
      </c>
      <c r="H151" s="182">
        <v>0</v>
      </c>
      <c r="I151" s="182">
        <v>0</v>
      </c>
      <c r="J151" s="182">
        <v>0</v>
      </c>
      <c r="K151" s="182">
        <v>0</v>
      </c>
      <c r="L151" s="182">
        <v>0</v>
      </c>
      <c r="M151" s="182">
        <v>0</v>
      </c>
      <c r="N151" s="182">
        <v>0</v>
      </c>
      <c r="O151" s="182">
        <v>0</v>
      </c>
      <c r="P151" s="182">
        <v>0</v>
      </c>
      <c r="Q151" s="182">
        <v>0</v>
      </c>
      <c r="R151" s="182">
        <v>0</v>
      </c>
      <c r="S151" s="182">
        <v>0</v>
      </c>
      <c r="T151" s="186">
        <f t="shared" si="43"/>
        <v>0</v>
      </c>
      <c r="U151" s="182">
        <v>0</v>
      </c>
      <c r="V151" s="182">
        <v>0</v>
      </c>
      <c r="W151" s="182">
        <v>0</v>
      </c>
      <c r="X151" s="182">
        <v>0</v>
      </c>
      <c r="Y151" s="182">
        <v>0</v>
      </c>
      <c r="Z151" s="182">
        <v>0</v>
      </c>
      <c r="AA151" s="182">
        <v>0</v>
      </c>
      <c r="AB151" s="182">
        <v>0</v>
      </c>
      <c r="AC151" s="182">
        <v>0</v>
      </c>
      <c r="AD151" s="182">
        <v>0</v>
      </c>
      <c r="AE151" s="182">
        <v>0</v>
      </c>
      <c r="AF151" s="182">
        <v>0</v>
      </c>
      <c r="AG151" s="182">
        <v>0</v>
      </c>
      <c r="AH151" s="182">
        <v>0</v>
      </c>
      <c r="AI151" s="182">
        <v>0</v>
      </c>
      <c r="AJ151" s="182">
        <v>0</v>
      </c>
      <c r="AK151" s="182">
        <v>0</v>
      </c>
      <c r="AL151" s="182">
        <v>0</v>
      </c>
      <c r="AM151" s="182">
        <v>0</v>
      </c>
      <c r="AN151" s="182">
        <v>0</v>
      </c>
      <c r="AO151" s="182">
        <v>0</v>
      </c>
      <c r="AP151" s="182">
        <v>0</v>
      </c>
      <c r="AQ151" s="182">
        <v>0</v>
      </c>
      <c r="AR151" s="182">
        <v>0</v>
      </c>
      <c r="AS151" s="182">
        <v>0</v>
      </c>
      <c r="AT151" s="182">
        <v>0</v>
      </c>
      <c r="AU151" s="182">
        <v>0</v>
      </c>
      <c r="AV151" s="182">
        <v>0</v>
      </c>
      <c r="AW151" s="182">
        <v>0</v>
      </c>
      <c r="AX151" s="182">
        <v>0</v>
      </c>
      <c r="AY151" s="182">
        <v>0</v>
      </c>
      <c r="AZ151" s="182">
        <v>0</v>
      </c>
      <c r="BA151" s="182">
        <v>0</v>
      </c>
      <c r="BB151" s="182">
        <v>0</v>
      </c>
      <c r="BC151" s="182">
        <v>0</v>
      </c>
      <c r="BD151" s="182">
        <v>0</v>
      </c>
      <c r="BE151" s="182">
        <v>0</v>
      </c>
      <c r="BF151" s="182">
        <v>0</v>
      </c>
      <c r="BG151" s="182">
        <v>0</v>
      </c>
    </row>
    <row r="152" ht="16.2" spans="1:59">
      <c r="A152" s="33" t="s">
        <v>25</v>
      </c>
      <c r="C152" s="153"/>
      <c r="D152" s="153" t="s">
        <v>214</v>
      </c>
      <c r="E152" s="157" t="str">
        <f t="shared" si="41"/>
        <v>创新中心</v>
      </c>
      <c r="F152" s="157" t="str">
        <f t="shared" si="42"/>
        <v>产品
研发部</v>
      </c>
      <c r="G152" s="182">
        <v>0</v>
      </c>
      <c r="H152" s="182">
        <v>0</v>
      </c>
      <c r="I152" s="182">
        <v>0</v>
      </c>
      <c r="J152" s="182">
        <v>0</v>
      </c>
      <c r="K152" s="182">
        <v>0</v>
      </c>
      <c r="L152" s="182">
        <v>0</v>
      </c>
      <c r="M152" s="182">
        <v>0</v>
      </c>
      <c r="N152" s="182">
        <v>0</v>
      </c>
      <c r="O152" s="182">
        <v>0</v>
      </c>
      <c r="P152" s="182">
        <v>0</v>
      </c>
      <c r="Q152" s="182">
        <v>0</v>
      </c>
      <c r="R152" s="182">
        <v>0</v>
      </c>
      <c r="S152" s="182">
        <v>0</v>
      </c>
      <c r="T152" s="186">
        <f t="shared" si="43"/>
        <v>0</v>
      </c>
      <c r="U152" s="182">
        <v>0</v>
      </c>
      <c r="V152" s="182">
        <v>0</v>
      </c>
      <c r="W152" s="182">
        <v>0</v>
      </c>
      <c r="X152" s="182">
        <v>0</v>
      </c>
      <c r="Y152" s="182">
        <v>0</v>
      </c>
      <c r="Z152" s="182">
        <v>0</v>
      </c>
      <c r="AA152" s="182">
        <v>0</v>
      </c>
      <c r="AB152" s="182">
        <v>0</v>
      </c>
      <c r="AC152" s="182">
        <v>0</v>
      </c>
      <c r="AD152" s="182">
        <v>0</v>
      </c>
      <c r="AE152" s="182">
        <v>0</v>
      </c>
      <c r="AF152" s="182">
        <v>0</v>
      </c>
      <c r="AG152" s="182">
        <v>0</v>
      </c>
      <c r="AH152" s="182">
        <v>0</v>
      </c>
      <c r="AI152" s="182">
        <v>0</v>
      </c>
      <c r="AJ152" s="182">
        <v>0</v>
      </c>
      <c r="AK152" s="182">
        <v>0</v>
      </c>
      <c r="AL152" s="182">
        <v>0</v>
      </c>
      <c r="AM152" s="182">
        <v>0</v>
      </c>
      <c r="AN152" s="182">
        <v>0</v>
      </c>
      <c r="AO152" s="182">
        <v>0</v>
      </c>
      <c r="AP152" s="182">
        <v>0</v>
      </c>
      <c r="AQ152" s="182">
        <v>0</v>
      </c>
      <c r="AR152" s="182">
        <v>0</v>
      </c>
      <c r="AS152" s="182">
        <v>0</v>
      </c>
      <c r="AT152" s="182">
        <v>0</v>
      </c>
      <c r="AU152" s="182">
        <v>0</v>
      </c>
      <c r="AV152" s="182">
        <v>0</v>
      </c>
      <c r="AW152" s="182">
        <v>0</v>
      </c>
      <c r="AX152" s="182">
        <v>0</v>
      </c>
      <c r="AY152" s="182">
        <v>0</v>
      </c>
      <c r="AZ152" s="182">
        <v>0</v>
      </c>
      <c r="BA152" s="182">
        <v>0</v>
      </c>
      <c r="BB152" s="182">
        <v>0</v>
      </c>
      <c r="BC152" s="182">
        <v>0</v>
      </c>
      <c r="BD152" s="182">
        <v>0</v>
      </c>
      <c r="BE152" s="182">
        <v>0</v>
      </c>
      <c r="BF152" s="182">
        <v>0</v>
      </c>
      <c r="BG152" s="182">
        <v>0</v>
      </c>
    </row>
    <row r="153" ht="16.2" spans="1:59">
      <c r="A153" s="33" t="s">
        <v>25</v>
      </c>
      <c r="C153" s="153"/>
      <c r="D153" s="153" t="s">
        <v>215</v>
      </c>
      <c r="E153" s="157" t="str">
        <f t="shared" si="41"/>
        <v>创新中心</v>
      </c>
      <c r="F153" s="157" t="str">
        <f t="shared" si="42"/>
        <v>XX
试验室</v>
      </c>
      <c r="G153" s="182">
        <v>0</v>
      </c>
      <c r="H153" s="182">
        <v>0</v>
      </c>
      <c r="I153" s="182">
        <v>0</v>
      </c>
      <c r="J153" s="182">
        <v>0</v>
      </c>
      <c r="K153" s="182">
        <v>0</v>
      </c>
      <c r="L153" s="182">
        <v>0</v>
      </c>
      <c r="M153" s="182">
        <v>0</v>
      </c>
      <c r="N153" s="182">
        <v>0</v>
      </c>
      <c r="O153" s="182">
        <v>0</v>
      </c>
      <c r="P153" s="182">
        <v>0</v>
      </c>
      <c r="Q153" s="182">
        <v>0</v>
      </c>
      <c r="R153" s="182">
        <v>0</v>
      </c>
      <c r="S153" s="182">
        <v>0</v>
      </c>
      <c r="T153" s="186">
        <f t="shared" si="43"/>
        <v>0</v>
      </c>
      <c r="U153" s="182">
        <v>0</v>
      </c>
      <c r="V153" s="182">
        <v>0</v>
      </c>
      <c r="W153" s="182">
        <v>0</v>
      </c>
      <c r="X153" s="182">
        <v>0</v>
      </c>
      <c r="Y153" s="182">
        <v>0</v>
      </c>
      <c r="Z153" s="182">
        <v>0</v>
      </c>
      <c r="AA153" s="182">
        <v>0</v>
      </c>
      <c r="AB153" s="182">
        <v>0</v>
      </c>
      <c r="AC153" s="182">
        <v>0</v>
      </c>
      <c r="AD153" s="182">
        <v>0</v>
      </c>
      <c r="AE153" s="182">
        <v>0</v>
      </c>
      <c r="AF153" s="182">
        <v>0</v>
      </c>
      <c r="AG153" s="182">
        <v>0</v>
      </c>
      <c r="AH153" s="182">
        <v>0</v>
      </c>
      <c r="AI153" s="182">
        <v>0</v>
      </c>
      <c r="AJ153" s="182">
        <v>0</v>
      </c>
      <c r="AK153" s="182">
        <v>0</v>
      </c>
      <c r="AL153" s="182">
        <v>0</v>
      </c>
      <c r="AM153" s="182">
        <v>0</v>
      </c>
      <c r="AN153" s="182">
        <v>0</v>
      </c>
      <c r="AO153" s="182">
        <v>0</v>
      </c>
      <c r="AP153" s="182">
        <v>0</v>
      </c>
      <c r="AQ153" s="182">
        <v>0</v>
      </c>
      <c r="AR153" s="182">
        <v>0</v>
      </c>
      <c r="AS153" s="182">
        <v>0</v>
      </c>
      <c r="AT153" s="182">
        <v>0</v>
      </c>
      <c r="AU153" s="182">
        <v>0</v>
      </c>
      <c r="AV153" s="182">
        <v>0</v>
      </c>
      <c r="AW153" s="182">
        <v>0</v>
      </c>
      <c r="AX153" s="182">
        <v>0</v>
      </c>
      <c r="AY153" s="182">
        <v>0</v>
      </c>
      <c r="AZ153" s="182">
        <v>0</v>
      </c>
      <c r="BA153" s="182">
        <v>0</v>
      </c>
      <c r="BB153" s="182">
        <v>0</v>
      </c>
      <c r="BC153" s="182">
        <v>0</v>
      </c>
      <c r="BD153" s="182">
        <v>0</v>
      </c>
      <c r="BE153" s="182">
        <v>0</v>
      </c>
      <c r="BF153" s="182">
        <v>0</v>
      </c>
      <c r="BG153" s="182">
        <v>0</v>
      </c>
    </row>
    <row r="154" ht="16.2" spans="1:59">
      <c r="A154" s="33" t="s">
        <v>25</v>
      </c>
      <c r="C154" s="153"/>
      <c r="D154" s="153" t="s">
        <v>216</v>
      </c>
      <c r="E154" s="157" t="str">
        <f t="shared" si="41"/>
        <v>创新中心</v>
      </c>
      <c r="F154" s="157" t="str">
        <f t="shared" si="42"/>
        <v>XX
孵化业务</v>
      </c>
      <c r="G154" s="182">
        <v>0</v>
      </c>
      <c r="H154" s="182">
        <v>0</v>
      </c>
      <c r="I154" s="182">
        <v>0</v>
      </c>
      <c r="J154" s="182">
        <v>0</v>
      </c>
      <c r="K154" s="182">
        <v>0</v>
      </c>
      <c r="L154" s="182">
        <v>0</v>
      </c>
      <c r="M154" s="182">
        <v>0</v>
      </c>
      <c r="N154" s="182">
        <v>0</v>
      </c>
      <c r="O154" s="182">
        <v>0</v>
      </c>
      <c r="P154" s="182">
        <v>0</v>
      </c>
      <c r="Q154" s="182">
        <v>0</v>
      </c>
      <c r="R154" s="182">
        <v>0</v>
      </c>
      <c r="S154" s="182">
        <v>0</v>
      </c>
      <c r="T154" s="186">
        <f t="shared" si="43"/>
        <v>0</v>
      </c>
      <c r="U154" s="182">
        <v>0</v>
      </c>
      <c r="V154" s="182">
        <v>0</v>
      </c>
      <c r="W154" s="182">
        <v>0</v>
      </c>
      <c r="X154" s="182">
        <v>0</v>
      </c>
      <c r="Y154" s="182">
        <v>0</v>
      </c>
      <c r="Z154" s="182">
        <v>0</v>
      </c>
      <c r="AA154" s="182">
        <v>0</v>
      </c>
      <c r="AB154" s="182">
        <v>0</v>
      </c>
      <c r="AC154" s="182">
        <v>0</v>
      </c>
      <c r="AD154" s="182">
        <v>0</v>
      </c>
      <c r="AE154" s="182">
        <v>0</v>
      </c>
      <c r="AF154" s="182">
        <v>0</v>
      </c>
      <c r="AG154" s="182">
        <v>0</v>
      </c>
      <c r="AH154" s="182">
        <v>0</v>
      </c>
      <c r="AI154" s="182">
        <v>0</v>
      </c>
      <c r="AJ154" s="182">
        <v>0</v>
      </c>
      <c r="AK154" s="182">
        <v>0</v>
      </c>
      <c r="AL154" s="182">
        <v>0</v>
      </c>
      <c r="AM154" s="182">
        <v>0</v>
      </c>
      <c r="AN154" s="182">
        <v>0</v>
      </c>
      <c r="AO154" s="182">
        <v>0</v>
      </c>
      <c r="AP154" s="182">
        <v>0</v>
      </c>
      <c r="AQ154" s="182">
        <v>0</v>
      </c>
      <c r="AR154" s="182">
        <v>0</v>
      </c>
      <c r="AS154" s="182">
        <v>0</v>
      </c>
      <c r="AT154" s="182">
        <v>0</v>
      </c>
      <c r="AU154" s="182">
        <v>0</v>
      </c>
      <c r="AV154" s="182">
        <v>0</v>
      </c>
      <c r="AW154" s="182">
        <v>0</v>
      </c>
      <c r="AX154" s="182">
        <v>0</v>
      </c>
      <c r="AY154" s="182">
        <v>0</v>
      </c>
      <c r="AZ154" s="182">
        <v>0</v>
      </c>
      <c r="BA154" s="182">
        <v>0</v>
      </c>
      <c r="BB154" s="182">
        <v>0</v>
      </c>
      <c r="BC154" s="182">
        <v>0</v>
      </c>
      <c r="BD154" s="182">
        <v>0</v>
      </c>
      <c r="BE154" s="182">
        <v>0</v>
      </c>
      <c r="BF154" s="182">
        <v>0</v>
      </c>
      <c r="BG154" s="182">
        <v>0</v>
      </c>
    </row>
    <row r="155" ht="16.2" spans="3:59">
      <c r="C155" s="153" t="s">
        <v>217</v>
      </c>
      <c r="D155" s="153"/>
      <c r="E155" s="157" t="str">
        <f t="shared" si="41"/>
        <v>支持中心</v>
      </c>
      <c r="F155" s="157" t="str">
        <f t="shared" si="42"/>
        <v>*</v>
      </c>
      <c r="G155" s="182">
        <v>11</v>
      </c>
      <c r="H155" s="182">
        <v>8</v>
      </c>
      <c r="I155" s="182">
        <v>3</v>
      </c>
      <c r="J155" s="182">
        <v>0</v>
      </c>
      <c r="K155" s="182">
        <v>0</v>
      </c>
      <c r="L155" s="182">
        <v>0</v>
      </c>
      <c r="M155" s="182">
        <v>0</v>
      </c>
      <c r="N155" s="182">
        <v>0</v>
      </c>
      <c r="O155" s="182">
        <v>0</v>
      </c>
      <c r="P155" s="182">
        <v>0</v>
      </c>
      <c r="Q155" s="182">
        <v>0</v>
      </c>
      <c r="R155" s="182">
        <v>0</v>
      </c>
      <c r="S155" s="182">
        <v>0</v>
      </c>
      <c r="T155" s="186">
        <f t="shared" si="43"/>
        <v>6.96</v>
      </c>
      <c r="U155" s="182">
        <v>3.98</v>
      </c>
      <c r="V155" s="182">
        <v>3.98</v>
      </c>
      <c r="W155" s="182">
        <v>0</v>
      </c>
      <c r="X155" s="182">
        <v>0</v>
      </c>
      <c r="Y155" s="182">
        <v>0</v>
      </c>
      <c r="Z155" s="182">
        <v>0</v>
      </c>
      <c r="AA155" s="182">
        <v>0</v>
      </c>
      <c r="AB155" s="182">
        <v>0</v>
      </c>
      <c r="AC155" s="182">
        <v>0</v>
      </c>
      <c r="AD155" s="182">
        <v>0</v>
      </c>
      <c r="AE155" s="182">
        <v>0</v>
      </c>
      <c r="AF155" s="182">
        <v>0</v>
      </c>
      <c r="AG155" s="182">
        <v>0</v>
      </c>
      <c r="AH155" s="182">
        <v>2.98</v>
      </c>
      <c r="AI155" s="182">
        <v>0</v>
      </c>
      <c r="AJ155" s="182">
        <v>0</v>
      </c>
      <c r="AK155" s="182">
        <v>0</v>
      </c>
      <c r="AL155" s="182">
        <v>0</v>
      </c>
      <c r="AM155" s="182">
        <v>0</v>
      </c>
      <c r="AN155" s="182">
        <v>0</v>
      </c>
      <c r="AO155" s="182">
        <v>0</v>
      </c>
      <c r="AP155" s="182">
        <v>0</v>
      </c>
      <c r="AQ155" s="182">
        <v>0</v>
      </c>
      <c r="AR155" s="182">
        <v>0</v>
      </c>
      <c r="AS155" s="182">
        <v>0</v>
      </c>
      <c r="AT155" s="182">
        <v>2.98</v>
      </c>
      <c r="AU155" s="182">
        <v>12</v>
      </c>
      <c r="AV155" s="182">
        <v>0</v>
      </c>
      <c r="AW155" s="182">
        <v>0</v>
      </c>
      <c r="AX155" s="182">
        <v>0</v>
      </c>
      <c r="AY155" s="182">
        <v>0</v>
      </c>
      <c r="AZ155" s="182">
        <v>0</v>
      </c>
      <c r="BA155" s="182">
        <v>0</v>
      </c>
      <c r="BB155" s="182">
        <v>0</v>
      </c>
      <c r="BC155" s="182">
        <v>0</v>
      </c>
      <c r="BD155" s="182">
        <v>0</v>
      </c>
      <c r="BE155" s="182">
        <v>12</v>
      </c>
      <c r="BF155" s="182">
        <v>0</v>
      </c>
      <c r="BG155" s="182">
        <v>0</v>
      </c>
    </row>
    <row r="156" ht="16.2" spans="1:59">
      <c r="A156" s="33" t="s">
        <v>25</v>
      </c>
      <c r="C156" s="153"/>
      <c r="D156" s="153" t="s">
        <v>218</v>
      </c>
      <c r="E156" s="157" t="str">
        <f t="shared" si="41"/>
        <v>支持中心</v>
      </c>
      <c r="F156" s="157" t="str">
        <f t="shared" si="42"/>
        <v>财务部</v>
      </c>
      <c r="G156" s="182">
        <v>0</v>
      </c>
      <c r="H156" s="182">
        <v>0</v>
      </c>
      <c r="I156" s="182">
        <v>0</v>
      </c>
      <c r="J156" s="182">
        <v>0</v>
      </c>
      <c r="K156" s="182">
        <v>0</v>
      </c>
      <c r="L156" s="182">
        <v>0</v>
      </c>
      <c r="M156" s="182">
        <v>0</v>
      </c>
      <c r="N156" s="182">
        <v>0</v>
      </c>
      <c r="O156" s="182">
        <v>0</v>
      </c>
      <c r="P156" s="182">
        <v>0</v>
      </c>
      <c r="Q156" s="182">
        <v>0</v>
      </c>
      <c r="R156" s="182">
        <v>0</v>
      </c>
      <c r="S156" s="182">
        <v>0</v>
      </c>
      <c r="T156" s="186">
        <f t="shared" si="43"/>
        <v>0</v>
      </c>
      <c r="U156" s="182">
        <v>0</v>
      </c>
      <c r="V156" s="182">
        <v>0</v>
      </c>
      <c r="W156" s="182">
        <v>0</v>
      </c>
      <c r="X156" s="182">
        <v>0</v>
      </c>
      <c r="Y156" s="182">
        <v>0</v>
      </c>
      <c r="Z156" s="182">
        <v>0</v>
      </c>
      <c r="AA156" s="182">
        <v>0</v>
      </c>
      <c r="AB156" s="182">
        <v>0</v>
      </c>
      <c r="AC156" s="182">
        <v>0</v>
      </c>
      <c r="AD156" s="182">
        <v>0</v>
      </c>
      <c r="AE156" s="182">
        <v>0</v>
      </c>
      <c r="AF156" s="182">
        <v>0</v>
      </c>
      <c r="AG156" s="182">
        <v>0</v>
      </c>
      <c r="AH156" s="182">
        <v>0</v>
      </c>
      <c r="AI156" s="182">
        <v>0</v>
      </c>
      <c r="AJ156" s="182">
        <v>0</v>
      </c>
      <c r="AK156" s="182">
        <v>0</v>
      </c>
      <c r="AL156" s="182">
        <v>0</v>
      </c>
      <c r="AM156" s="182">
        <v>0</v>
      </c>
      <c r="AN156" s="182">
        <v>0</v>
      </c>
      <c r="AO156" s="182">
        <v>0</v>
      </c>
      <c r="AP156" s="182">
        <v>0</v>
      </c>
      <c r="AQ156" s="182">
        <v>0</v>
      </c>
      <c r="AR156" s="182">
        <v>0</v>
      </c>
      <c r="AS156" s="182">
        <v>0</v>
      </c>
      <c r="AT156" s="182">
        <v>0</v>
      </c>
      <c r="AU156" s="182">
        <v>0</v>
      </c>
      <c r="AV156" s="182">
        <v>0</v>
      </c>
      <c r="AW156" s="182">
        <v>0</v>
      </c>
      <c r="AX156" s="182">
        <v>0</v>
      </c>
      <c r="AY156" s="182">
        <v>0</v>
      </c>
      <c r="AZ156" s="182">
        <v>0</v>
      </c>
      <c r="BA156" s="182">
        <v>0</v>
      </c>
      <c r="BB156" s="182">
        <v>0</v>
      </c>
      <c r="BC156" s="182">
        <v>0</v>
      </c>
      <c r="BD156" s="182">
        <v>0</v>
      </c>
      <c r="BE156" s="182">
        <v>0</v>
      </c>
      <c r="BF156" s="182">
        <v>0</v>
      </c>
      <c r="BG156" s="182">
        <v>0</v>
      </c>
    </row>
    <row r="157" ht="16.2" spans="1:59">
      <c r="A157" s="33" t="s">
        <v>25</v>
      </c>
      <c r="C157" s="153"/>
      <c r="D157" s="153" t="s">
        <v>219</v>
      </c>
      <c r="E157" s="157" t="str">
        <f t="shared" si="41"/>
        <v>支持中心</v>
      </c>
      <c r="F157" s="157" t="str">
        <f t="shared" si="42"/>
        <v>人力资源部</v>
      </c>
      <c r="G157" s="182">
        <v>11</v>
      </c>
      <c r="H157" s="182">
        <v>8</v>
      </c>
      <c r="I157" s="182">
        <v>3</v>
      </c>
      <c r="J157" s="182">
        <v>0</v>
      </c>
      <c r="K157" s="182">
        <v>0</v>
      </c>
      <c r="L157" s="182">
        <v>0</v>
      </c>
      <c r="M157" s="182">
        <v>0</v>
      </c>
      <c r="N157" s="182">
        <v>0</v>
      </c>
      <c r="O157" s="182">
        <v>0</v>
      </c>
      <c r="P157" s="182">
        <v>0</v>
      </c>
      <c r="Q157" s="182">
        <v>0</v>
      </c>
      <c r="R157" s="182">
        <v>0</v>
      </c>
      <c r="S157" s="182">
        <v>0</v>
      </c>
      <c r="T157" s="186">
        <f t="shared" si="43"/>
        <v>6.96</v>
      </c>
      <c r="U157" s="182">
        <v>3.98</v>
      </c>
      <c r="V157" s="182">
        <v>3.98</v>
      </c>
      <c r="W157" s="182">
        <v>0</v>
      </c>
      <c r="X157" s="182">
        <v>0</v>
      </c>
      <c r="Y157" s="182">
        <v>0</v>
      </c>
      <c r="Z157" s="182">
        <v>0</v>
      </c>
      <c r="AA157" s="182">
        <v>0</v>
      </c>
      <c r="AB157" s="182">
        <v>0</v>
      </c>
      <c r="AC157" s="182">
        <v>0</v>
      </c>
      <c r="AD157" s="182">
        <v>0</v>
      </c>
      <c r="AE157" s="182">
        <v>0</v>
      </c>
      <c r="AF157" s="182">
        <v>0</v>
      </c>
      <c r="AG157" s="182">
        <v>0</v>
      </c>
      <c r="AH157" s="182">
        <v>2.98</v>
      </c>
      <c r="AI157" s="182">
        <v>0</v>
      </c>
      <c r="AJ157" s="182">
        <v>0</v>
      </c>
      <c r="AK157" s="182">
        <v>0</v>
      </c>
      <c r="AL157" s="182">
        <v>0</v>
      </c>
      <c r="AM157" s="182">
        <v>0</v>
      </c>
      <c r="AN157" s="182">
        <v>0</v>
      </c>
      <c r="AO157" s="182">
        <v>0</v>
      </c>
      <c r="AP157" s="182">
        <v>0</v>
      </c>
      <c r="AQ157" s="182">
        <v>0</v>
      </c>
      <c r="AR157" s="182">
        <v>0</v>
      </c>
      <c r="AS157" s="182">
        <v>0</v>
      </c>
      <c r="AT157" s="182">
        <v>2.98</v>
      </c>
      <c r="AU157" s="182">
        <v>12</v>
      </c>
      <c r="AV157" s="182">
        <v>0</v>
      </c>
      <c r="AW157" s="182">
        <v>0</v>
      </c>
      <c r="AX157" s="182">
        <v>0</v>
      </c>
      <c r="AY157" s="182">
        <v>0</v>
      </c>
      <c r="AZ157" s="182">
        <v>0</v>
      </c>
      <c r="BA157" s="182">
        <v>0</v>
      </c>
      <c r="BB157" s="182">
        <v>0</v>
      </c>
      <c r="BC157" s="182">
        <v>0</v>
      </c>
      <c r="BD157" s="182">
        <v>0</v>
      </c>
      <c r="BE157" s="182">
        <v>12</v>
      </c>
      <c r="BF157" s="182">
        <v>0</v>
      </c>
      <c r="BG157" s="182">
        <v>0</v>
      </c>
    </row>
    <row r="158" ht="16.2" spans="1:59">
      <c r="A158" s="33" t="s">
        <v>25</v>
      </c>
      <c r="C158" s="153"/>
      <c r="D158" s="153" t="s">
        <v>220</v>
      </c>
      <c r="E158" s="157" t="str">
        <f t="shared" si="41"/>
        <v>支持中心</v>
      </c>
      <c r="F158" s="157" t="str">
        <f t="shared" si="42"/>
        <v>IT部</v>
      </c>
      <c r="G158" s="182">
        <v>0</v>
      </c>
      <c r="H158" s="182">
        <v>0</v>
      </c>
      <c r="I158" s="182">
        <v>0</v>
      </c>
      <c r="J158" s="182">
        <v>0</v>
      </c>
      <c r="K158" s="182">
        <v>0</v>
      </c>
      <c r="L158" s="182">
        <v>0</v>
      </c>
      <c r="M158" s="182">
        <v>0</v>
      </c>
      <c r="N158" s="182">
        <v>0</v>
      </c>
      <c r="O158" s="182">
        <v>0</v>
      </c>
      <c r="P158" s="182">
        <v>0</v>
      </c>
      <c r="Q158" s="182">
        <v>0</v>
      </c>
      <c r="R158" s="182">
        <v>0</v>
      </c>
      <c r="S158" s="182">
        <v>0</v>
      </c>
      <c r="T158" s="186">
        <f t="shared" si="43"/>
        <v>0</v>
      </c>
      <c r="U158" s="182">
        <v>0</v>
      </c>
      <c r="V158" s="182">
        <v>0</v>
      </c>
      <c r="W158" s="182">
        <v>0</v>
      </c>
      <c r="X158" s="182">
        <v>0</v>
      </c>
      <c r="Y158" s="182">
        <v>0</v>
      </c>
      <c r="Z158" s="182">
        <v>0</v>
      </c>
      <c r="AA158" s="182">
        <v>0</v>
      </c>
      <c r="AB158" s="182">
        <v>0</v>
      </c>
      <c r="AC158" s="182">
        <v>0</v>
      </c>
      <c r="AD158" s="182">
        <v>0</v>
      </c>
      <c r="AE158" s="182">
        <v>0</v>
      </c>
      <c r="AF158" s="182">
        <v>0</v>
      </c>
      <c r="AG158" s="182">
        <v>0</v>
      </c>
      <c r="AH158" s="182">
        <v>0</v>
      </c>
      <c r="AI158" s="182">
        <v>0</v>
      </c>
      <c r="AJ158" s="182">
        <v>0</v>
      </c>
      <c r="AK158" s="182">
        <v>0</v>
      </c>
      <c r="AL158" s="182">
        <v>0</v>
      </c>
      <c r="AM158" s="182">
        <v>0</v>
      </c>
      <c r="AN158" s="182">
        <v>0</v>
      </c>
      <c r="AO158" s="182">
        <v>0</v>
      </c>
      <c r="AP158" s="182">
        <v>0</v>
      </c>
      <c r="AQ158" s="182">
        <v>0</v>
      </c>
      <c r="AR158" s="182">
        <v>0</v>
      </c>
      <c r="AS158" s="182">
        <v>0</v>
      </c>
      <c r="AT158" s="182">
        <v>0</v>
      </c>
      <c r="AU158" s="182">
        <v>0</v>
      </c>
      <c r="AV158" s="182">
        <v>0</v>
      </c>
      <c r="AW158" s="182">
        <v>0</v>
      </c>
      <c r="AX158" s="182">
        <v>0</v>
      </c>
      <c r="AY158" s="182">
        <v>0</v>
      </c>
      <c r="AZ158" s="182">
        <v>0</v>
      </c>
      <c r="BA158" s="182">
        <v>0</v>
      </c>
      <c r="BB158" s="182">
        <v>0</v>
      </c>
      <c r="BC158" s="182">
        <v>0</v>
      </c>
      <c r="BD158" s="182">
        <v>0</v>
      </c>
      <c r="BE158" s="182">
        <v>0</v>
      </c>
      <c r="BF158" s="182">
        <v>0</v>
      </c>
      <c r="BG158" s="182">
        <v>0</v>
      </c>
    </row>
    <row r="159" ht="16.2" spans="1:59">
      <c r="A159" s="33" t="s">
        <v>25</v>
      </c>
      <c r="C159" s="153"/>
      <c r="D159" s="153" t="s">
        <v>221</v>
      </c>
      <c r="E159" s="157" t="str">
        <f t="shared" si="41"/>
        <v>支持中心</v>
      </c>
      <c r="F159" s="157" t="str">
        <f t="shared" si="42"/>
        <v>总经办</v>
      </c>
      <c r="G159" s="182">
        <v>0</v>
      </c>
      <c r="H159" s="182">
        <v>0</v>
      </c>
      <c r="I159" s="182">
        <v>0</v>
      </c>
      <c r="J159" s="182">
        <v>0</v>
      </c>
      <c r="K159" s="182">
        <v>0</v>
      </c>
      <c r="L159" s="182">
        <v>0</v>
      </c>
      <c r="M159" s="182">
        <v>0</v>
      </c>
      <c r="N159" s="182">
        <v>0</v>
      </c>
      <c r="O159" s="182">
        <v>0</v>
      </c>
      <c r="P159" s="182">
        <v>0</v>
      </c>
      <c r="Q159" s="182">
        <v>0</v>
      </c>
      <c r="R159" s="182">
        <v>0</v>
      </c>
      <c r="S159" s="182">
        <v>0</v>
      </c>
      <c r="T159" s="186">
        <f t="shared" si="43"/>
        <v>0</v>
      </c>
      <c r="U159" s="182">
        <v>0</v>
      </c>
      <c r="V159" s="182">
        <v>0</v>
      </c>
      <c r="W159" s="182">
        <v>0</v>
      </c>
      <c r="X159" s="182">
        <v>0</v>
      </c>
      <c r="Y159" s="182">
        <v>0</v>
      </c>
      <c r="Z159" s="182">
        <v>0</v>
      </c>
      <c r="AA159" s="182">
        <v>0</v>
      </c>
      <c r="AB159" s="182">
        <v>0</v>
      </c>
      <c r="AC159" s="182">
        <v>0</v>
      </c>
      <c r="AD159" s="182">
        <v>0</v>
      </c>
      <c r="AE159" s="182">
        <v>0</v>
      </c>
      <c r="AF159" s="182">
        <v>0</v>
      </c>
      <c r="AG159" s="182">
        <v>0</v>
      </c>
      <c r="AH159" s="182">
        <v>0</v>
      </c>
      <c r="AI159" s="182">
        <v>0</v>
      </c>
      <c r="AJ159" s="182">
        <v>0</v>
      </c>
      <c r="AK159" s="182">
        <v>0</v>
      </c>
      <c r="AL159" s="182">
        <v>0</v>
      </c>
      <c r="AM159" s="182">
        <v>0</v>
      </c>
      <c r="AN159" s="182">
        <v>0</v>
      </c>
      <c r="AO159" s="182">
        <v>0</v>
      </c>
      <c r="AP159" s="182">
        <v>0</v>
      </c>
      <c r="AQ159" s="182">
        <v>0</v>
      </c>
      <c r="AR159" s="182">
        <v>0</v>
      </c>
      <c r="AS159" s="182">
        <v>0</v>
      </c>
      <c r="AT159" s="182">
        <v>0</v>
      </c>
      <c r="AU159" s="182">
        <v>0</v>
      </c>
      <c r="AV159" s="182">
        <v>0</v>
      </c>
      <c r="AW159" s="182">
        <v>0</v>
      </c>
      <c r="AX159" s="182">
        <v>0</v>
      </c>
      <c r="AY159" s="182">
        <v>0</v>
      </c>
      <c r="AZ159" s="182">
        <v>0</v>
      </c>
      <c r="BA159" s="182">
        <v>0</v>
      </c>
      <c r="BB159" s="182">
        <v>0</v>
      </c>
      <c r="BC159" s="182">
        <v>0</v>
      </c>
      <c r="BD159" s="182">
        <v>0</v>
      </c>
      <c r="BE159" s="182">
        <v>0</v>
      </c>
      <c r="BF159" s="182">
        <v>0</v>
      </c>
      <c r="BG159" s="182">
        <v>0</v>
      </c>
    </row>
  </sheetData>
  <sheetProtection formatCells="0" formatColumns="0" formatRows="0" insertRows="0" insertColumns="0" autoFilter="0"/>
  <mergeCells count="12">
    <mergeCell ref="C3:D3"/>
    <mergeCell ref="B5:F5"/>
    <mergeCell ref="H5:S5"/>
    <mergeCell ref="V5:AG5"/>
    <mergeCell ref="AI5:AT5"/>
    <mergeCell ref="AV5:BG5"/>
    <mergeCell ref="G7:G8"/>
    <mergeCell ref="T7:T8"/>
    <mergeCell ref="U7:U8"/>
    <mergeCell ref="AH7:AH8"/>
    <mergeCell ref="AU7:AU8"/>
    <mergeCell ref="B6:F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showGridLines="0" workbookViewId="0">
      <pane xSplit="8" ySplit="3" topLeftCell="I4" activePane="bottomRight" state="frozen"/>
      <selection/>
      <selection pane="topRight"/>
      <selection pane="bottomLeft"/>
      <selection pane="bottomRight" activeCell="K9" sqref="K9"/>
    </sheetView>
  </sheetViews>
  <sheetFormatPr defaultColWidth="9" defaultRowHeight="13.8"/>
  <cols>
    <col min="1" max="1" width="8.8" style="33"/>
    <col min="2" max="2" width="2.4" style="33" customWidth="1"/>
    <col min="3" max="3" width="2.7" style="33" customWidth="1"/>
    <col min="4" max="4" width="16.5" style="33" customWidth="1"/>
    <col min="5" max="5" width="1.8" style="33" customWidth="1"/>
    <col min="6" max="6" width="2" style="33" customWidth="1"/>
    <col min="7" max="7" width="14.3" style="33" customWidth="1"/>
    <col min="8" max="8" width="2.1" style="33" customWidth="1"/>
    <col min="9" max="9" width="20.6" style="33" customWidth="1"/>
    <col min="10" max="10" width="2.1" style="33" customWidth="1"/>
    <col min="11" max="11" width="22.2" style="33" customWidth="1"/>
    <col min="12" max="12" width="2.1" style="33" customWidth="1"/>
    <col min="13" max="13" width="13.8" style="33" customWidth="1"/>
    <col min="14" max="14" width="2.1" style="33" customWidth="1"/>
    <col min="15" max="15" width="14.1" style="33" customWidth="1"/>
    <col min="16" max="16384" width="8.8" style="33"/>
  </cols>
  <sheetData>
    <row r="1" ht="15" spans="7:15">
      <c r="G1" s="150" t="s">
        <v>103</v>
      </c>
      <c r="I1" s="150" t="s">
        <v>104</v>
      </c>
      <c r="K1" s="150" t="s">
        <v>105</v>
      </c>
      <c r="M1" s="150" t="s">
        <v>106</v>
      </c>
      <c r="O1" s="150" t="s">
        <v>107</v>
      </c>
    </row>
    <row r="2" ht="23.4" spans="7:15">
      <c r="G2" s="151" t="s">
        <v>108</v>
      </c>
      <c r="I2" s="151" t="s">
        <v>109</v>
      </c>
      <c r="K2" s="151" t="s">
        <v>110</v>
      </c>
      <c r="M2" s="151" t="s">
        <v>111</v>
      </c>
      <c r="O2" s="151" t="s">
        <v>112</v>
      </c>
    </row>
    <row r="3" ht="17.4" spans="7:15">
      <c r="G3" s="152" t="s">
        <v>19</v>
      </c>
      <c r="I3" s="152" t="s">
        <v>19</v>
      </c>
      <c r="K3" s="152" t="s">
        <v>19</v>
      </c>
      <c r="M3" s="152" t="s">
        <v>19</v>
      </c>
      <c r="O3" s="152" t="s">
        <v>19</v>
      </c>
    </row>
    <row r="4" ht="16.2" spans="2:15">
      <c r="B4" s="153" t="s">
        <v>128</v>
      </c>
      <c r="C4" s="154"/>
      <c r="D4" s="154"/>
      <c r="E4" s="154" t="s">
        <v>209</v>
      </c>
      <c r="F4" s="154" t="s">
        <v>209</v>
      </c>
      <c r="G4" s="155">
        <v>122.135</v>
      </c>
      <c r="H4" s="155"/>
      <c r="I4" s="155">
        <v>155.091666666667</v>
      </c>
      <c r="J4" s="155"/>
      <c r="K4" s="155">
        <v>47.6733333333333</v>
      </c>
      <c r="L4" s="155"/>
      <c r="M4" s="155">
        <v>202.765</v>
      </c>
      <c r="N4" s="155"/>
      <c r="O4" s="155">
        <v>284.02</v>
      </c>
    </row>
    <row r="5" ht="15.6" spans="3:15">
      <c r="C5" s="156" t="s">
        <v>210</v>
      </c>
      <c r="D5" s="156"/>
      <c r="E5" s="157" t="str">
        <f t="shared" ref="E5:E19" si="0">IF(C5&lt;&gt;"",C5,E4)</f>
        <v>流程中心</v>
      </c>
      <c r="F5" s="157" t="str">
        <f>IF(D5&lt;&gt;"",D5,"*")</f>
        <v>*</v>
      </c>
      <c r="G5" s="155">
        <v>120.175</v>
      </c>
      <c r="H5" s="155"/>
      <c r="I5" s="155">
        <v>152.791666666667</v>
      </c>
      <c r="J5" s="155"/>
      <c r="K5" s="155">
        <v>47.1833333333333</v>
      </c>
      <c r="L5" s="155"/>
      <c r="M5" s="155">
        <v>199.975</v>
      </c>
      <c r="N5" s="155"/>
      <c r="O5" s="155">
        <v>280.25</v>
      </c>
    </row>
    <row r="6" ht="15.6" spans="1:15">
      <c r="A6" s="33" t="s">
        <v>25</v>
      </c>
      <c r="C6" s="158"/>
      <c r="D6" s="156" t="s">
        <v>211</v>
      </c>
      <c r="E6" s="157" t="str">
        <f t="shared" si="0"/>
        <v>流程中心</v>
      </c>
      <c r="F6" s="157" t="str">
        <f t="shared" ref="F6:F19" si="1">IF(D6&lt;&gt;"",D6,"*")</f>
        <v>销售中心</v>
      </c>
      <c r="G6" s="155">
        <v>0</v>
      </c>
      <c r="H6" s="155"/>
      <c r="I6" s="155">
        <v>0</v>
      </c>
      <c r="J6" s="155"/>
      <c r="K6" s="155">
        <v>0</v>
      </c>
      <c r="L6" s="155"/>
      <c r="M6" s="155">
        <v>0</v>
      </c>
      <c r="N6" s="155"/>
      <c r="O6" s="155">
        <v>0</v>
      </c>
    </row>
    <row r="7" ht="15.6" spans="3:15">
      <c r="C7" s="158"/>
      <c r="D7" s="156" t="s">
        <v>212</v>
      </c>
      <c r="E7" s="157" t="str">
        <f t="shared" si="0"/>
        <v>流程中心</v>
      </c>
      <c r="F7" s="157" t="str">
        <f t="shared" si="1"/>
        <v>制造中心</v>
      </c>
      <c r="G7" s="155">
        <v>120.175</v>
      </c>
      <c r="H7" s="155"/>
      <c r="I7" s="155">
        <v>152.791666666667</v>
      </c>
      <c r="J7" s="155"/>
      <c r="K7" s="155">
        <v>47.1833333333333</v>
      </c>
      <c r="L7" s="155"/>
      <c r="M7" s="155">
        <v>199.975</v>
      </c>
      <c r="N7" s="155"/>
      <c r="O7" s="155">
        <v>280.25</v>
      </c>
    </row>
    <row r="8" ht="15.6" spans="3:15">
      <c r="C8" s="156" t="s">
        <v>231</v>
      </c>
      <c r="D8" s="156"/>
      <c r="E8" s="157" t="str">
        <f t="shared" si="0"/>
        <v>改善中心</v>
      </c>
      <c r="F8" s="157" t="str">
        <f t="shared" si="1"/>
        <v>*</v>
      </c>
      <c r="G8" s="155">
        <v>0</v>
      </c>
      <c r="H8" s="155"/>
      <c r="I8" s="155">
        <v>0</v>
      </c>
      <c r="J8" s="155"/>
      <c r="K8" s="155">
        <v>0</v>
      </c>
      <c r="L8" s="155"/>
      <c r="M8" s="155">
        <v>0</v>
      </c>
      <c r="N8" s="155"/>
      <c r="O8" s="155">
        <v>0</v>
      </c>
    </row>
    <row r="9" ht="15.6" spans="1:15">
      <c r="A9" s="33" t="s">
        <v>25</v>
      </c>
      <c r="C9" s="158" t="str">
        <f>C8</f>
        <v>改善中心</v>
      </c>
      <c r="D9" s="156" t="s">
        <v>232</v>
      </c>
      <c r="E9" s="157" t="str">
        <f t="shared" si="0"/>
        <v>改善中心</v>
      </c>
      <c r="F9" s="157" t="str">
        <f t="shared" si="1"/>
        <v>流程优化项目小组</v>
      </c>
      <c r="G9" s="155">
        <v>0</v>
      </c>
      <c r="H9" s="155"/>
      <c r="I9" s="155">
        <v>0</v>
      </c>
      <c r="J9" s="155"/>
      <c r="K9" s="155">
        <v>0</v>
      </c>
      <c r="L9" s="155"/>
      <c r="M9" s="155">
        <v>0</v>
      </c>
      <c r="N9" s="155"/>
      <c r="O9" s="155">
        <v>0</v>
      </c>
    </row>
    <row r="10" ht="15.6" spans="1:15">
      <c r="A10" s="33" t="s">
        <v>25</v>
      </c>
      <c r="C10" s="158" t="str">
        <f t="shared" ref="C10" si="2">C9</f>
        <v>改善中心</v>
      </c>
      <c r="D10" s="156" t="s">
        <v>233</v>
      </c>
      <c r="E10" s="157" t="str">
        <f t="shared" si="0"/>
        <v>改善中心</v>
      </c>
      <c r="F10" s="157" t="str">
        <f t="shared" si="1"/>
        <v>战略预算项目小组</v>
      </c>
      <c r="G10" s="155">
        <v>0</v>
      </c>
      <c r="H10" s="155"/>
      <c r="I10" s="155">
        <v>0</v>
      </c>
      <c r="J10" s="155"/>
      <c r="K10" s="155">
        <v>0</v>
      </c>
      <c r="L10" s="155"/>
      <c r="M10" s="155">
        <v>0</v>
      </c>
      <c r="N10" s="155"/>
      <c r="O10" s="155">
        <v>0</v>
      </c>
    </row>
    <row r="11" ht="15.6" spans="3:15">
      <c r="C11" s="156" t="s">
        <v>213</v>
      </c>
      <c r="D11" s="156"/>
      <c r="E11" s="157" t="str">
        <f t="shared" si="0"/>
        <v>创新中心</v>
      </c>
      <c r="F11" s="157" t="str">
        <f t="shared" si="1"/>
        <v>*</v>
      </c>
      <c r="G11" s="155">
        <v>0</v>
      </c>
      <c r="H11" s="155"/>
      <c r="I11" s="155">
        <v>0</v>
      </c>
      <c r="J11" s="155"/>
      <c r="K11" s="155">
        <v>0</v>
      </c>
      <c r="L11" s="155"/>
      <c r="M11" s="155">
        <v>0</v>
      </c>
      <c r="N11" s="155"/>
      <c r="O11" s="155">
        <v>0</v>
      </c>
    </row>
    <row r="12" ht="15.6" spans="1:15">
      <c r="A12" s="33" t="s">
        <v>25</v>
      </c>
      <c r="C12" s="158" t="str">
        <f>C11</f>
        <v>创新中心</v>
      </c>
      <c r="D12" s="156" t="s">
        <v>234</v>
      </c>
      <c r="E12" s="157" t="str">
        <f t="shared" si="0"/>
        <v>创新中心</v>
      </c>
      <c r="F12" s="157" t="str">
        <f t="shared" si="1"/>
        <v>产品研发部</v>
      </c>
      <c r="G12" s="155">
        <v>0</v>
      </c>
      <c r="H12" s="155"/>
      <c r="I12" s="155">
        <v>0</v>
      </c>
      <c r="J12" s="155"/>
      <c r="K12" s="155">
        <v>0</v>
      </c>
      <c r="L12" s="155"/>
      <c r="M12" s="155">
        <v>0</v>
      </c>
      <c r="N12" s="155"/>
      <c r="O12" s="155">
        <v>0</v>
      </c>
    </row>
    <row r="13" ht="15.6" spans="1:15">
      <c r="A13" s="33" t="s">
        <v>25</v>
      </c>
      <c r="C13" s="158" t="str">
        <f t="shared" ref="C13:C14" si="3">C12</f>
        <v>创新中心</v>
      </c>
      <c r="D13" s="156" t="s">
        <v>235</v>
      </c>
      <c r="E13" s="157" t="str">
        <f t="shared" si="0"/>
        <v>创新中心</v>
      </c>
      <c r="F13" s="157" t="str">
        <f t="shared" si="1"/>
        <v>XX试验室</v>
      </c>
      <c r="G13" s="155">
        <v>0</v>
      </c>
      <c r="H13" s="155"/>
      <c r="I13" s="155">
        <v>0</v>
      </c>
      <c r="J13" s="155"/>
      <c r="K13" s="155">
        <v>0</v>
      </c>
      <c r="L13" s="155"/>
      <c r="M13" s="155">
        <v>0</v>
      </c>
      <c r="N13" s="155"/>
      <c r="O13" s="155">
        <v>0</v>
      </c>
    </row>
    <row r="14" ht="15.6" spans="1:15">
      <c r="A14" s="33" t="s">
        <v>25</v>
      </c>
      <c r="C14" s="158" t="str">
        <f t="shared" si="3"/>
        <v>创新中心</v>
      </c>
      <c r="D14" s="156" t="s">
        <v>236</v>
      </c>
      <c r="E14" s="157" t="str">
        <f t="shared" si="0"/>
        <v>创新中心</v>
      </c>
      <c r="F14" s="157" t="str">
        <f t="shared" si="1"/>
        <v>XX孵化业务</v>
      </c>
      <c r="G14" s="155">
        <v>0</v>
      </c>
      <c r="H14" s="155"/>
      <c r="I14" s="155">
        <v>0</v>
      </c>
      <c r="J14" s="155"/>
      <c r="K14" s="155">
        <v>0</v>
      </c>
      <c r="L14" s="155"/>
      <c r="M14" s="155">
        <v>0</v>
      </c>
      <c r="N14" s="155"/>
      <c r="O14" s="155">
        <v>0</v>
      </c>
    </row>
    <row r="15" ht="15.6" spans="3:15">
      <c r="C15" s="156" t="s">
        <v>217</v>
      </c>
      <c r="D15" s="156"/>
      <c r="E15" s="157" t="str">
        <f t="shared" si="0"/>
        <v>支持中心</v>
      </c>
      <c r="F15" s="157" t="str">
        <f t="shared" si="1"/>
        <v>*</v>
      </c>
      <c r="G15" s="155">
        <v>1.96</v>
      </c>
      <c r="H15" s="155"/>
      <c r="I15" s="155">
        <v>2.3</v>
      </c>
      <c r="J15" s="155"/>
      <c r="K15" s="155">
        <v>0.49</v>
      </c>
      <c r="L15" s="155"/>
      <c r="M15" s="155">
        <v>2.79</v>
      </c>
      <c r="N15" s="155"/>
      <c r="O15" s="155">
        <v>3.77</v>
      </c>
    </row>
    <row r="16" ht="15.6" spans="1:15">
      <c r="A16" s="33" t="s">
        <v>25</v>
      </c>
      <c r="C16" s="158" t="str">
        <f>C15</f>
        <v>支持中心</v>
      </c>
      <c r="D16" s="156" t="s">
        <v>218</v>
      </c>
      <c r="E16" s="157" t="str">
        <f t="shared" si="0"/>
        <v>支持中心</v>
      </c>
      <c r="F16" s="157" t="str">
        <f t="shared" si="1"/>
        <v>财务部</v>
      </c>
      <c r="G16" s="155">
        <v>1.96</v>
      </c>
      <c r="H16" s="155"/>
      <c r="I16" s="155">
        <v>0</v>
      </c>
      <c r="J16" s="155"/>
      <c r="K16" s="155">
        <v>0.49</v>
      </c>
      <c r="L16" s="155"/>
      <c r="M16" s="155">
        <v>0.49</v>
      </c>
      <c r="N16" s="155"/>
      <c r="O16" s="155">
        <v>1.47</v>
      </c>
    </row>
    <row r="17" ht="15.6" spans="1:15">
      <c r="A17" s="33" t="s">
        <v>25</v>
      </c>
      <c r="C17" s="158" t="str">
        <f t="shared" ref="C17:C19" si="4">C16</f>
        <v>支持中心</v>
      </c>
      <c r="D17" s="156" t="s">
        <v>219</v>
      </c>
      <c r="E17" s="157" t="str">
        <f t="shared" si="0"/>
        <v>支持中心</v>
      </c>
      <c r="F17" s="157" t="str">
        <f t="shared" si="1"/>
        <v>人力资源部</v>
      </c>
      <c r="G17" s="155">
        <v>0</v>
      </c>
      <c r="H17" s="155"/>
      <c r="I17" s="155">
        <v>0</v>
      </c>
      <c r="J17" s="155"/>
      <c r="K17" s="155">
        <v>0</v>
      </c>
      <c r="L17" s="155"/>
      <c r="M17" s="155">
        <v>0</v>
      </c>
      <c r="N17" s="155"/>
      <c r="O17" s="155">
        <v>0</v>
      </c>
    </row>
    <row r="18" ht="15.6" spans="1:15">
      <c r="A18" s="33" t="s">
        <v>25</v>
      </c>
      <c r="C18" s="158" t="str">
        <f t="shared" si="4"/>
        <v>支持中心</v>
      </c>
      <c r="D18" s="156" t="s">
        <v>220</v>
      </c>
      <c r="E18" s="157" t="str">
        <f t="shared" si="0"/>
        <v>支持中心</v>
      </c>
      <c r="F18" s="157" t="str">
        <f t="shared" si="1"/>
        <v>IT部</v>
      </c>
      <c r="G18" s="155">
        <v>0</v>
      </c>
      <c r="H18" s="155"/>
      <c r="I18" s="155">
        <v>0</v>
      </c>
      <c r="J18" s="155"/>
      <c r="K18" s="155">
        <v>0</v>
      </c>
      <c r="L18" s="155"/>
      <c r="M18" s="155">
        <v>0</v>
      </c>
      <c r="N18" s="155"/>
      <c r="O18" s="155">
        <v>0</v>
      </c>
    </row>
    <row r="19" ht="15.6" spans="1:15">
      <c r="A19" s="33" t="s">
        <v>25</v>
      </c>
      <c r="C19" s="158" t="str">
        <f t="shared" si="4"/>
        <v>支持中心</v>
      </c>
      <c r="D19" s="159" t="s">
        <v>237</v>
      </c>
      <c r="E19" s="157" t="str">
        <f t="shared" si="0"/>
        <v>支持中心</v>
      </c>
      <c r="F19" s="157" t="str">
        <f t="shared" si="1"/>
        <v>行政部</v>
      </c>
      <c r="G19" s="155">
        <v>0</v>
      </c>
      <c r="H19" s="155"/>
      <c r="I19" s="155">
        <v>2.3</v>
      </c>
      <c r="J19" s="155"/>
      <c r="K19" s="155">
        <v>0</v>
      </c>
      <c r="L19" s="155"/>
      <c r="M19" s="155">
        <v>2.3</v>
      </c>
      <c r="N19" s="155"/>
      <c r="O19" s="155">
        <v>2.3</v>
      </c>
    </row>
    <row r="20" ht="15.6" spans="7:15">
      <c r="G20" s="160"/>
      <c r="H20" s="160"/>
      <c r="I20" s="160"/>
      <c r="J20" s="160"/>
      <c r="K20" s="160"/>
      <c r="L20" s="160"/>
      <c r="M20" s="160"/>
      <c r="N20" s="160"/>
      <c r="O20" s="160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2:AC41"/>
  <sheetViews>
    <sheetView showGridLines="0" zoomScale="85" zoomScaleNormal="85" workbookViewId="0">
      <pane xSplit="11" ySplit="13" topLeftCell="L21" activePane="bottomRight" state="frozen"/>
      <selection/>
      <selection pane="topRight"/>
      <selection pane="bottomLeft"/>
      <selection pane="bottomRight" activeCell="L14" sqref="L14"/>
    </sheetView>
  </sheetViews>
  <sheetFormatPr defaultColWidth="9" defaultRowHeight="13.8"/>
  <cols>
    <col min="1" max="1" width="8.8" style="33"/>
    <col min="2" max="2" width="3.5" style="33" customWidth="1"/>
    <col min="3" max="4" width="2.8" style="33" customWidth="1"/>
    <col min="5" max="5" width="13.1" style="33" customWidth="1"/>
    <col min="6" max="7" width="1.1" style="31" hidden="1" customWidth="1"/>
    <col min="8" max="8" width="2" style="31" hidden="1" customWidth="1"/>
    <col min="9" max="9" width="9.9" style="33" customWidth="1"/>
    <col min="10" max="10" width="5.5" style="34" customWidth="1"/>
    <col min="11" max="11" width="10.3" style="33" customWidth="1"/>
    <col min="12" max="12" width="10.5" style="33" customWidth="1"/>
    <col min="13" max="13" width="7.7" style="34" customWidth="1"/>
    <col min="14" max="14" width="0.9" style="33" customWidth="1"/>
    <col min="15" max="15" width="9.5" style="33" customWidth="1" outlineLevel="1"/>
    <col min="16" max="16" width="9.5" style="34" customWidth="1" outlineLevel="1"/>
    <col min="17" max="17" width="10.5" style="33" customWidth="1" outlineLevel="1"/>
    <col min="18" max="18" width="10.5" style="34" customWidth="1" outlineLevel="1"/>
    <col min="19" max="19" width="9.7" style="33" customWidth="1"/>
    <col min="20" max="20" width="7.8" style="34" customWidth="1"/>
    <col min="21" max="21" width="9.2" style="33" hidden="1" customWidth="1" outlineLevel="1"/>
    <col min="22" max="22" width="4.5" style="33" hidden="1" customWidth="1" outlineLevel="1"/>
    <col min="23" max="23" width="13.3" style="33" hidden="1" customWidth="1" outlineLevel="1"/>
    <col min="24" max="24" width="0.9" style="33" customWidth="1" collapsed="1"/>
    <col min="25" max="25" width="12" style="33" customWidth="1"/>
    <col min="26" max="26" width="7.7" style="34" customWidth="1"/>
    <col min="27" max="27" width="7.9" style="33" hidden="1" customWidth="1" outlineLevel="1"/>
    <col min="28" max="28" width="7.2" style="33" hidden="1" customWidth="1" outlineLevel="1"/>
    <col min="29" max="29" width="12.4" style="33" hidden="1" customWidth="1" outlineLevel="1"/>
    <col min="30" max="30" width="1.6" style="33" customWidth="1" collapsed="1"/>
    <col min="31" max="16384" width="8.8" style="33"/>
  </cols>
  <sheetData>
    <row r="2" ht="28.2" spans="2:11">
      <c r="B2" s="35" t="s">
        <v>238</v>
      </c>
      <c r="C2" s="36"/>
      <c r="D2" s="36"/>
      <c r="E2" s="37"/>
      <c r="F2" s="38"/>
      <c r="G2" s="38"/>
      <c r="H2" s="38"/>
      <c r="I2" s="37"/>
      <c r="J2" s="78"/>
      <c r="K2" s="37"/>
    </row>
    <row r="3" ht="12" customHeight="1" spans="2:11">
      <c r="B3" s="39"/>
      <c r="C3" s="39"/>
      <c r="D3" s="39"/>
      <c r="E3" s="40"/>
      <c r="F3" s="41"/>
      <c r="G3" s="41"/>
      <c r="H3" s="41"/>
      <c r="I3" s="40"/>
      <c r="J3" s="79"/>
      <c r="K3" s="40"/>
    </row>
    <row r="4" ht="16.35" spans="2:20">
      <c r="B4" s="42" t="s">
        <v>207</v>
      </c>
      <c r="C4" s="42"/>
      <c r="D4" s="42"/>
      <c r="E4" s="42"/>
      <c r="F4" s="43"/>
      <c r="G4" s="43"/>
      <c r="H4" s="43"/>
      <c r="I4" s="80">
        <v>44469</v>
      </c>
      <c r="J4" s="80"/>
      <c r="K4" s="42"/>
      <c r="N4" s="81"/>
      <c r="O4" s="81"/>
      <c r="P4" s="81"/>
      <c r="Q4" s="81"/>
      <c r="R4" s="81"/>
      <c r="S4" s="81"/>
      <c r="T4" s="125"/>
    </row>
    <row r="5" ht="15.6" customHeight="1" spans="2:29">
      <c r="B5" s="44" t="s">
        <v>239</v>
      </c>
      <c r="C5" s="45"/>
      <c r="D5" s="45"/>
      <c r="E5" s="46"/>
      <c r="I5" s="82" t="str">
        <f>"B"&amp;YEAR(I4)+1</f>
        <v>B2022</v>
      </c>
      <c r="J5" s="83" t="s">
        <v>20</v>
      </c>
      <c r="K5" s="82" t="s">
        <v>240</v>
      </c>
      <c r="L5" s="82" t="str">
        <f>"A"&amp;YEAR($I$4)-1</f>
        <v>A2020</v>
      </c>
      <c r="M5" s="83" t="s">
        <v>20</v>
      </c>
      <c r="O5" s="82" t="str">
        <f>"A"&amp;YEAR($I$4)</f>
        <v>A2021</v>
      </c>
      <c r="P5" s="83" t="s">
        <v>20</v>
      </c>
      <c r="Q5" s="82" t="str">
        <f>"E"&amp;YEAR($I$4)</f>
        <v>E2021</v>
      </c>
      <c r="R5" s="83" t="s">
        <v>20</v>
      </c>
      <c r="S5" s="82" t="str">
        <f>"E"&amp;YEAR($I$4)</f>
        <v>E2021</v>
      </c>
      <c r="T5" s="83" t="s">
        <v>20</v>
      </c>
      <c r="U5" s="126" t="s">
        <v>151</v>
      </c>
      <c r="V5" s="126"/>
      <c r="W5" s="126"/>
      <c r="X5" s="127"/>
      <c r="Y5" s="82" t="str">
        <f>"B"&amp;YEAR($I$4)+1</f>
        <v>B2022</v>
      </c>
      <c r="Z5" s="83" t="s">
        <v>20</v>
      </c>
      <c r="AA5" s="126" t="s">
        <v>152</v>
      </c>
      <c r="AB5" s="126"/>
      <c r="AC5" s="147"/>
    </row>
    <row r="6" ht="15.75" spans="2:29">
      <c r="B6" s="47"/>
      <c r="C6" s="48"/>
      <c r="D6" s="48"/>
      <c r="E6" s="49"/>
      <c r="I6" s="84" t="s">
        <v>241</v>
      </c>
      <c r="J6" s="85"/>
      <c r="K6" s="86"/>
      <c r="L6" s="84" t="s">
        <v>242</v>
      </c>
      <c r="M6" s="85"/>
      <c r="O6" s="84" t="s">
        <v>243</v>
      </c>
      <c r="P6" s="85"/>
      <c r="Q6" s="84" t="s">
        <v>244</v>
      </c>
      <c r="R6" s="85"/>
      <c r="S6" s="84" t="s">
        <v>242</v>
      </c>
      <c r="T6" s="85"/>
      <c r="U6" s="128" t="s">
        <v>245</v>
      </c>
      <c r="V6" s="128" t="s">
        <v>246</v>
      </c>
      <c r="W6" s="128" t="s">
        <v>247</v>
      </c>
      <c r="X6" s="129"/>
      <c r="Y6" s="84" t="s">
        <v>242</v>
      </c>
      <c r="Z6" s="85"/>
      <c r="AA6" s="128" t="s">
        <v>245</v>
      </c>
      <c r="AB6" s="128" t="s">
        <v>246</v>
      </c>
      <c r="AC6" s="148" t="s">
        <v>247</v>
      </c>
    </row>
    <row r="7" s="31" customFormat="1" ht="16.2" hidden="1" customHeight="1" spans="9:29">
      <c r="I7" s="87"/>
      <c r="J7" s="87"/>
      <c r="K7" s="88"/>
      <c r="L7" s="89" t="str">
        <f>LEFT(L5,1)</f>
        <v>A</v>
      </c>
      <c r="M7" s="90"/>
      <c r="N7" s="91"/>
      <c r="O7" s="89" t="str">
        <f>LEFT(O5,1)</f>
        <v>A</v>
      </c>
      <c r="P7" s="90"/>
      <c r="Q7" s="89" t="str">
        <f>LEFT(Q5,1)</f>
        <v>E</v>
      </c>
      <c r="R7" s="90"/>
      <c r="S7" s="91"/>
      <c r="T7" s="130"/>
      <c r="U7" s="91"/>
      <c r="V7" s="91"/>
      <c r="W7" s="91"/>
      <c r="X7" s="91"/>
      <c r="Y7" s="89" t="str">
        <f>LEFT(Y5,1)</f>
        <v>B</v>
      </c>
      <c r="Z7" s="90"/>
      <c r="AA7" s="91"/>
      <c r="AB7" s="91"/>
      <c r="AC7" s="91"/>
    </row>
    <row r="8" s="31" customFormat="1" ht="15.6" hidden="1" spans="9:29">
      <c r="I8" s="87"/>
      <c r="J8" s="87"/>
      <c r="K8" s="88"/>
      <c r="L8" s="89">
        <f>DATE(YEAR($I$4)-1,1,1)</f>
        <v>43831</v>
      </c>
      <c r="M8" s="90"/>
      <c r="N8" s="91"/>
      <c r="O8" s="89">
        <f>DATE(YEAR($I$4),1,1)</f>
        <v>44197</v>
      </c>
      <c r="P8" s="90"/>
      <c r="Q8" s="89">
        <f>O9+1</f>
        <v>44470</v>
      </c>
      <c r="R8" s="90"/>
      <c r="S8" s="91"/>
      <c r="T8" s="130"/>
      <c r="U8" s="91"/>
      <c r="V8" s="91"/>
      <c r="W8" s="91"/>
      <c r="X8" s="91"/>
      <c r="Y8" s="89">
        <f>DATE(YEAR($I$4)+1,1,1)</f>
        <v>44562</v>
      </c>
      <c r="Z8" s="90"/>
      <c r="AA8" s="91"/>
      <c r="AB8" s="91"/>
      <c r="AC8" s="91"/>
    </row>
    <row r="9" s="31" customFormat="1" ht="15.6" hidden="1" spans="9:29">
      <c r="I9" s="87"/>
      <c r="J9" s="87"/>
      <c r="K9" s="88"/>
      <c r="L9" s="89">
        <f>DATE(YEAR($I$4)-1,12,31)</f>
        <v>44196</v>
      </c>
      <c r="M9" s="90"/>
      <c r="N9" s="91"/>
      <c r="O9" s="89">
        <f>EOMONTH(DATE(YEAR($I$4),MONTH(I4),1),0)</f>
        <v>44469</v>
      </c>
      <c r="P9" s="90"/>
      <c r="Q9" s="89">
        <f>DATE(YEAR($I$4),12,31)</f>
        <v>44561</v>
      </c>
      <c r="R9" s="90"/>
      <c r="S9" s="91"/>
      <c r="T9" s="130"/>
      <c r="U9" s="91"/>
      <c r="V9" s="91"/>
      <c r="W9" s="91"/>
      <c r="X9" s="91"/>
      <c r="Y9" s="89">
        <f>DATE(YEAR($I$4)+1,12,31)</f>
        <v>44926</v>
      </c>
      <c r="Z9" s="90"/>
      <c r="AA9" s="91"/>
      <c r="AB9" s="91"/>
      <c r="AC9" s="91"/>
    </row>
    <row r="10" s="32" customFormat="1" spans="6:29">
      <c r="F10" s="50"/>
      <c r="G10" s="50"/>
      <c r="H10" s="50"/>
      <c r="J10" s="92"/>
      <c r="L10" s="93"/>
      <c r="M10" s="94"/>
      <c r="N10" s="95"/>
      <c r="O10" s="93"/>
      <c r="P10" s="94"/>
      <c r="Q10" s="93"/>
      <c r="R10" s="94"/>
      <c r="S10" s="93"/>
      <c r="T10" s="94"/>
      <c r="U10" s="93"/>
      <c r="V10" s="93"/>
      <c r="W10" s="93"/>
      <c r="X10" s="93"/>
      <c r="Y10" s="93"/>
      <c r="Z10" s="94"/>
      <c r="AA10" s="93"/>
      <c r="AB10" s="93"/>
      <c r="AC10" s="93"/>
    </row>
    <row r="11" ht="15" spans="2:29">
      <c r="B11" s="51" t="s">
        <v>248</v>
      </c>
      <c r="C11" s="52"/>
      <c r="D11" s="52"/>
      <c r="E11" s="53"/>
      <c r="F11" s="54"/>
      <c r="G11" s="54"/>
      <c r="H11" s="54"/>
      <c r="I11" s="96">
        <v>9200</v>
      </c>
      <c r="J11" s="96"/>
      <c r="K11" s="97" t="str">
        <f>IF(AND(Y11&gt;=I11,Y11/I11&lt;=1.2),"已校准",IF(Y11&lt;I11,"未校准","可接受"))</f>
        <v>已校准</v>
      </c>
      <c r="L11" s="98">
        <v>8700</v>
      </c>
      <c r="M11" s="98"/>
      <c r="N11" s="99"/>
      <c r="O11" s="96">
        <v>6900</v>
      </c>
      <c r="P11" s="96"/>
      <c r="Q11" s="131">
        <f>S11-O11</f>
        <v>2000</v>
      </c>
      <c r="R11" s="131"/>
      <c r="S11" s="96">
        <v>8900</v>
      </c>
      <c r="T11" s="96"/>
      <c r="U11" s="132">
        <f>S11-L11</f>
        <v>200</v>
      </c>
      <c r="V11" s="133">
        <f>IFERROR(U11/O11,"NA")</f>
        <v>0.0289855072463768</v>
      </c>
      <c r="W11" s="134"/>
      <c r="X11" s="95"/>
      <c r="Y11" s="96">
        <v>9300</v>
      </c>
      <c r="Z11" s="96"/>
      <c r="AA11" s="132">
        <f>Y11-S11</f>
        <v>400</v>
      </c>
      <c r="AB11" s="133">
        <f>AA11/S11</f>
        <v>0.0449438202247191</v>
      </c>
      <c r="AC11" s="134"/>
    </row>
    <row r="12" ht="15" spans="2:29">
      <c r="B12" s="55" t="s">
        <v>249</v>
      </c>
      <c r="C12" s="56"/>
      <c r="D12" s="56"/>
      <c r="E12" s="57"/>
      <c r="F12" s="58"/>
      <c r="G12" s="58"/>
      <c r="H12" s="58"/>
      <c r="I12" s="100">
        <f>I11*J12</f>
        <v>3036</v>
      </c>
      <c r="J12" s="101">
        <v>0.33</v>
      </c>
      <c r="K12" s="102" t="str">
        <f>IF(AND(Y12&gt;=I12,Y12/I12&lt;=1.2),"已校准",IF(Y12&lt;I12,"未校准","可接受"))</f>
        <v>已校准</v>
      </c>
      <c r="L12" s="103">
        <f>L11*M12</f>
        <v>2958</v>
      </c>
      <c r="M12" s="104">
        <v>0.34</v>
      </c>
      <c r="N12" s="105"/>
      <c r="O12" s="100">
        <f>O11*P12</f>
        <v>2484</v>
      </c>
      <c r="P12" s="101">
        <v>0.36</v>
      </c>
      <c r="Q12" s="100">
        <f>S12-O12</f>
        <v>720</v>
      </c>
      <c r="R12" s="135">
        <f>Q12/Q11</f>
        <v>0.36</v>
      </c>
      <c r="S12" s="100">
        <f>S11*T12</f>
        <v>3204</v>
      </c>
      <c r="T12" s="101">
        <v>0.36</v>
      </c>
      <c r="U12" s="136">
        <f t="shared" ref="U12" si="0">S12-L12</f>
        <v>246</v>
      </c>
      <c r="V12" s="137">
        <f>IFERROR(U12/O12,"NA")</f>
        <v>0.0990338164251208</v>
      </c>
      <c r="W12" s="138"/>
      <c r="X12" s="95"/>
      <c r="Y12" s="100">
        <f>Y11*Z12</f>
        <v>3069</v>
      </c>
      <c r="Z12" s="101">
        <v>0.33</v>
      </c>
      <c r="AA12" s="136">
        <f>Y12-S12</f>
        <v>-135</v>
      </c>
      <c r="AB12" s="137">
        <f>AA12/S12</f>
        <v>-0.0421348314606742</v>
      </c>
      <c r="AC12" s="138"/>
    </row>
    <row r="13" s="32" customFormat="1" spans="6:29">
      <c r="F13" s="50"/>
      <c r="G13" s="50"/>
      <c r="H13" s="50"/>
      <c r="J13" s="92"/>
      <c r="L13" s="93"/>
      <c r="M13" s="94"/>
      <c r="N13" s="95"/>
      <c r="O13" s="93"/>
      <c r="P13" s="94"/>
      <c r="Q13" s="93"/>
      <c r="R13" s="94"/>
      <c r="S13" s="93"/>
      <c r="T13" s="94"/>
      <c r="U13" s="93"/>
      <c r="V13" s="93"/>
      <c r="W13" s="93"/>
      <c r="X13" s="93"/>
      <c r="Y13" s="93"/>
      <c r="Z13" s="94"/>
      <c r="AA13" s="93"/>
      <c r="AB13" s="93"/>
      <c r="AC13" s="93"/>
    </row>
    <row r="14" ht="15.6" spans="2:29">
      <c r="B14" s="59" t="s">
        <v>250</v>
      </c>
      <c r="C14" s="52"/>
      <c r="D14" s="52"/>
      <c r="E14" s="60"/>
      <c r="F14" s="61" t="s">
        <v>209</v>
      </c>
      <c r="G14" s="61" t="s">
        <v>209</v>
      </c>
      <c r="H14" s="61" t="s">
        <v>209</v>
      </c>
      <c r="I14" s="106">
        <v>1410</v>
      </c>
      <c r="J14" s="107">
        <f>I14/I$11</f>
        <v>0.153260869565217</v>
      </c>
      <c r="K14" s="97" t="str">
        <f>IF(AND(I14&gt;=Y14,I14/IF(Y14=0,0.001,Y14)&lt;=1.2),"已校准",IF(I14&lt;Y14,"未校准","可接受"))</f>
        <v>已校准</v>
      </c>
      <c r="L14" s="108">
        <v>675.20551</v>
      </c>
      <c r="M14" s="109">
        <f>L14/L$11</f>
        <v>0.0776098287356321</v>
      </c>
      <c r="N14" s="110"/>
      <c r="O14" s="111">
        <v>461.538314212601</v>
      </c>
      <c r="P14" s="109">
        <f>O14/O$11</f>
        <v>0.0668896107554494</v>
      </c>
      <c r="Q14" s="111">
        <v>229.719233</v>
      </c>
      <c r="R14" s="109">
        <f>Q14/Q$11</f>
        <v>0.1148596165</v>
      </c>
      <c r="S14" s="139">
        <f>O14+Q14</f>
        <v>691.2575472126</v>
      </c>
      <c r="T14" s="107">
        <f>S14/S$11</f>
        <v>0.0776693873272585</v>
      </c>
      <c r="U14" s="140">
        <f>S14-L14</f>
        <v>16.0520372126009</v>
      </c>
      <c r="V14" s="141">
        <f>IFERROR(U14/O14,"NA")</f>
        <v>0.0347794250624376</v>
      </c>
      <c r="W14" s="60"/>
      <c r="X14" s="110"/>
      <c r="Y14" s="111">
        <v>1402.8630572126</v>
      </c>
      <c r="Z14" s="109">
        <f>Y14/Y$11</f>
        <v>0.15084549002286</v>
      </c>
      <c r="AA14" s="140">
        <f>Y14-S14</f>
        <v>711.605509999999</v>
      </c>
      <c r="AB14" s="141">
        <f>IFERROR(AA14/S14,"NA")</f>
        <v>1.02943615280506</v>
      </c>
      <c r="AC14" s="149"/>
    </row>
    <row r="15" ht="15.6" spans="2:29">
      <c r="B15" s="62"/>
      <c r="C15" s="63" t="s">
        <v>210</v>
      </c>
      <c r="E15" s="64"/>
      <c r="F15" s="65" t="str">
        <f t="shared" ref="F15:F28" si="1">IF(C15=0,F14,C15)</f>
        <v>流程中心</v>
      </c>
      <c r="G15" s="65" t="str">
        <f>IF(D15=0,IF(COUNTA($C15:C15)=0,G14,"*"),D15)</f>
        <v>*</v>
      </c>
      <c r="H15" s="65" t="str">
        <f>IF(E15=0,IF(COUNTA($C15:D15)=0,H14,"*"),E15)</f>
        <v>*</v>
      </c>
      <c r="I15" s="112">
        <v>1300</v>
      </c>
      <c r="J15" s="113">
        <f t="shared" ref="J15:J28" si="2">I15/I$11</f>
        <v>0.141304347826087</v>
      </c>
      <c r="K15" s="114" t="str">
        <f>IF(AND(I15&gt;=Y15,I15/IF(Y15=0,0.001,Y15)&lt;=1.2),"已校准",IF(I15&lt;Y15,"未校准","可接受"))</f>
        <v>未校准</v>
      </c>
      <c r="L15" s="115">
        <v>675.20551</v>
      </c>
      <c r="M15" s="116">
        <f t="shared" ref="M15:M28" si="3">L15/L$11</f>
        <v>0.0776098287356321</v>
      </c>
      <c r="N15" s="117"/>
      <c r="O15" s="118">
        <v>461.538314212601</v>
      </c>
      <c r="P15" s="116">
        <f t="shared" ref="P15:P28" si="4">O15/O$11</f>
        <v>0.0668896107554494</v>
      </c>
      <c r="Q15" s="118">
        <v>221.719233</v>
      </c>
      <c r="R15" s="116">
        <f t="shared" ref="R15:R28" si="5">Q15/Q$11</f>
        <v>0.1108596165</v>
      </c>
      <c r="S15" s="118">
        <f>O15+Q15</f>
        <v>683.2575472126</v>
      </c>
      <c r="T15" s="113">
        <f t="shared" ref="T15:T28" si="6">S15/S$11</f>
        <v>0.0767705109227641</v>
      </c>
      <c r="U15" s="142">
        <f t="shared" ref="U15:U28" si="7">S15-L15</f>
        <v>8.05203721260091</v>
      </c>
      <c r="V15" s="143">
        <f t="shared" ref="V15:V28" si="8">IFERROR(U15/O15,"NA")</f>
        <v>0.0174460861961979</v>
      </c>
      <c r="W15" s="64"/>
      <c r="X15" s="117"/>
      <c r="Y15" s="118">
        <v>1352.8630572126</v>
      </c>
      <c r="Z15" s="116">
        <f t="shared" ref="Z15:Z28" si="9">Y15/Y$11</f>
        <v>0.145469145936839</v>
      </c>
      <c r="AA15" s="142">
        <f t="shared" ref="AA15:AA28" si="10">Y15-S15</f>
        <v>669.605509999999</v>
      </c>
      <c r="AB15" s="143">
        <f t="shared" ref="AB15:AB28" si="11">IFERROR(AA15/S15,"NA")</f>
        <v>0.980019192955429</v>
      </c>
      <c r="AC15" s="66"/>
    </row>
    <row r="16" ht="15.6" spans="1:29">
      <c r="A16" s="33" t="s">
        <v>25</v>
      </c>
      <c r="B16" s="62"/>
      <c r="C16" s="63"/>
      <c r="D16" s="66" t="s">
        <v>211</v>
      </c>
      <c r="E16" s="64"/>
      <c r="F16" s="65" t="str">
        <f t="shared" si="1"/>
        <v>流程中心</v>
      </c>
      <c r="G16" s="65" t="str">
        <f>IF(D16=0,IF(COUNTA($C16:C16)=0,G15,"*"),D16)</f>
        <v>销售中心</v>
      </c>
      <c r="H16" s="65" t="str">
        <f>IF(E16=0,IF(COUNTA($C16:D16)=0,H15,"*"),E16)</f>
        <v>*</v>
      </c>
      <c r="I16" s="112"/>
      <c r="J16" s="113">
        <f t="shared" si="2"/>
        <v>0</v>
      </c>
      <c r="K16" s="119"/>
      <c r="L16" s="115">
        <v>669.60551</v>
      </c>
      <c r="M16" s="116">
        <f t="shared" si="3"/>
        <v>0.0769661505747126</v>
      </c>
      <c r="N16" s="117"/>
      <c r="O16" s="118">
        <v>461.538314212601</v>
      </c>
      <c r="P16" s="116">
        <f t="shared" si="4"/>
        <v>0.0668896107554494</v>
      </c>
      <c r="Q16" s="118">
        <v>221.719233</v>
      </c>
      <c r="R16" s="116">
        <f t="shared" si="5"/>
        <v>0.1108596165</v>
      </c>
      <c r="S16" s="118">
        <f>O16+Q16</f>
        <v>683.2575472126</v>
      </c>
      <c r="T16" s="113">
        <f t="shared" si="6"/>
        <v>0.0767705109227641</v>
      </c>
      <c r="U16" s="142">
        <f t="shared" si="7"/>
        <v>13.6520372126008</v>
      </c>
      <c r="V16" s="143">
        <f t="shared" si="8"/>
        <v>0.0295794234025655</v>
      </c>
      <c r="W16" s="64"/>
      <c r="X16" s="117"/>
      <c r="Y16" s="118">
        <v>1352.8630572126</v>
      </c>
      <c r="Z16" s="116">
        <f t="shared" si="9"/>
        <v>0.145469145936839</v>
      </c>
      <c r="AA16" s="142">
        <f t="shared" si="10"/>
        <v>669.605509999999</v>
      </c>
      <c r="AB16" s="143">
        <f t="shared" si="11"/>
        <v>0.980019192955429</v>
      </c>
      <c r="AC16" s="66"/>
    </row>
    <row r="17" ht="15.6" collapsed="1" spans="2:29">
      <c r="B17" s="62"/>
      <c r="C17" s="63"/>
      <c r="D17" s="66" t="s">
        <v>212</v>
      </c>
      <c r="E17" s="64"/>
      <c r="F17" s="65" t="str">
        <f t="shared" si="1"/>
        <v>流程中心</v>
      </c>
      <c r="G17" s="65" t="str">
        <f>IF(D17=0,IF(COUNTA($C17:C17)=0,G16,"*"),D17)</f>
        <v>制造中心</v>
      </c>
      <c r="H17" s="65" t="str">
        <f>IF(E17=0,IF(COUNTA($C17:D17)=0,H16,"*"),E17)</f>
        <v>*</v>
      </c>
      <c r="I17" s="112"/>
      <c r="J17" s="113">
        <f t="shared" si="2"/>
        <v>0</v>
      </c>
      <c r="K17" s="119"/>
      <c r="L17" s="115">
        <v>5.6</v>
      </c>
      <c r="M17" s="116">
        <f t="shared" si="3"/>
        <v>0.00064367816091954</v>
      </c>
      <c r="N17" s="117"/>
      <c r="O17" s="118">
        <v>0</v>
      </c>
      <c r="P17" s="116">
        <f t="shared" si="4"/>
        <v>0</v>
      </c>
      <c r="Q17" s="118">
        <v>0</v>
      </c>
      <c r="R17" s="116">
        <f t="shared" si="5"/>
        <v>0</v>
      </c>
      <c r="S17" s="118">
        <f t="shared" ref="S17:S28" si="12">O17+Q17</f>
        <v>0</v>
      </c>
      <c r="T17" s="113">
        <f t="shared" si="6"/>
        <v>0</v>
      </c>
      <c r="U17" s="142">
        <f t="shared" si="7"/>
        <v>-5.6</v>
      </c>
      <c r="V17" s="143" t="str">
        <f t="shared" si="8"/>
        <v>NA</v>
      </c>
      <c r="W17" s="64"/>
      <c r="X17" s="117"/>
      <c r="Y17" s="118">
        <v>0</v>
      </c>
      <c r="Z17" s="116">
        <f t="shared" si="9"/>
        <v>0</v>
      </c>
      <c r="AA17" s="142">
        <f t="shared" si="10"/>
        <v>0</v>
      </c>
      <c r="AB17" s="143" t="str">
        <f t="shared" si="11"/>
        <v>NA</v>
      </c>
      <c r="AC17" s="66"/>
    </row>
    <row r="18" ht="15.6" hidden="1" outlineLevel="1" spans="2:29">
      <c r="B18" s="63"/>
      <c r="C18" s="63" t="s">
        <v>231</v>
      </c>
      <c r="E18" s="64"/>
      <c r="F18" s="65" t="str">
        <f t="shared" si="1"/>
        <v>改善中心</v>
      </c>
      <c r="G18" s="65" t="str">
        <f>IF(D18=0,IF(COUNTA($C18:C18)=0,G17,"*"),D18)</f>
        <v>*</v>
      </c>
      <c r="H18" s="65" t="str">
        <f>IF(E18=0,IF(COUNTA($C18:D18)=0,H17,"*"),E18)</f>
        <v>*</v>
      </c>
      <c r="I18" s="112">
        <v>23</v>
      </c>
      <c r="J18" s="113">
        <f t="shared" si="2"/>
        <v>0.0025</v>
      </c>
      <c r="K18" s="114" t="str">
        <f>IF(AND(I18&gt;=Y18,I18/IF(Y18=0,0.001,Y18)&lt;=1.2),"已校准",IF(I18&lt;Y18,"未校准","可接受"))</f>
        <v>可接受</v>
      </c>
      <c r="L18" s="115">
        <v>0</v>
      </c>
      <c r="M18" s="116">
        <f t="shared" si="3"/>
        <v>0</v>
      </c>
      <c r="N18" s="117"/>
      <c r="O18" s="118">
        <v>0</v>
      </c>
      <c r="P18" s="116">
        <f t="shared" si="4"/>
        <v>0</v>
      </c>
      <c r="Q18" s="118">
        <v>0</v>
      </c>
      <c r="R18" s="116">
        <f t="shared" si="5"/>
        <v>0</v>
      </c>
      <c r="S18" s="118">
        <f t="shared" si="12"/>
        <v>0</v>
      </c>
      <c r="T18" s="113">
        <f t="shared" si="6"/>
        <v>0</v>
      </c>
      <c r="U18" s="142">
        <f t="shared" si="7"/>
        <v>0</v>
      </c>
      <c r="V18" s="143" t="str">
        <f t="shared" si="8"/>
        <v>NA</v>
      </c>
      <c r="W18" s="64"/>
      <c r="X18" s="117"/>
      <c r="Y18" s="118">
        <v>15</v>
      </c>
      <c r="Z18" s="116">
        <f t="shared" si="9"/>
        <v>0.00161290322580645</v>
      </c>
      <c r="AA18" s="142">
        <f t="shared" si="10"/>
        <v>15</v>
      </c>
      <c r="AB18" s="143" t="str">
        <f t="shared" si="11"/>
        <v>NA</v>
      </c>
      <c r="AC18" s="117"/>
    </row>
    <row r="19" ht="15.6" spans="1:29">
      <c r="A19" s="33" t="s">
        <v>25</v>
      </c>
      <c r="B19" s="63"/>
      <c r="C19" s="63"/>
      <c r="D19" s="63" t="s">
        <v>232</v>
      </c>
      <c r="E19" s="64"/>
      <c r="F19" s="65" t="str">
        <f t="shared" si="1"/>
        <v>改善中心</v>
      </c>
      <c r="G19" s="65" t="str">
        <f>IF(D19=0,IF(COUNTA($C19:C19)=0,G18,"*"),D19)</f>
        <v>流程优化项目小组</v>
      </c>
      <c r="H19" s="65" t="str">
        <f>IF(E19=0,IF(COUNTA($C19:D19)=0,H18,"*"),E19)</f>
        <v>*</v>
      </c>
      <c r="I19" s="112"/>
      <c r="J19" s="113">
        <f t="shared" si="2"/>
        <v>0</v>
      </c>
      <c r="K19" s="119"/>
      <c r="L19" s="115">
        <v>0</v>
      </c>
      <c r="M19" s="116">
        <f t="shared" si="3"/>
        <v>0</v>
      </c>
      <c r="N19" s="117"/>
      <c r="O19" s="118">
        <v>0</v>
      </c>
      <c r="P19" s="116">
        <f t="shared" si="4"/>
        <v>0</v>
      </c>
      <c r="Q19" s="118">
        <v>0</v>
      </c>
      <c r="R19" s="116">
        <f t="shared" si="5"/>
        <v>0</v>
      </c>
      <c r="S19" s="118">
        <f t="shared" si="12"/>
        <v>0</v>
      </c>
      <c r="T19" s="113">
        <f t="shared" si="6"/>
        <v>0</v>
      </c>
      <c r="U19" s="142">
        <f t="shared" si="7"/>
        <v>0</v>
      </c>
      <c r="V19" s="143" t="str">
        <f t="shared" si="8"/>
        <v>NA</v>
      </c>
      <c r="W19" s="64"/>
      <c r="X19" s="117"/>
      <c r="Y19" s="118">
        <v>0</v>
      </c>
      <c r="Z19" s="116">
        <f t="shared" si="9"/>
        <v>0</v>
      </c>
      <c r="AA19" s="142">
        <f t="shared" si="10"/>
        <v>0</v>
      </c>
      <c r="AB19" s="143" t="str">
        <f t="shared" si="11"/>
        <v>NA</v>
      </c>
      <c r="AC19" s="117"/>
    </row>
    <row r="20" ht="15.6" spans="1:29">
      <c r="A20" s="33" t="s">
        <v>25</v>
      </c>
      <c r="B20" s="63"/>
      <c r="C20" s="63"/>
      <c r="D20" s="63" t="s">
        <v>233</v>
      </c>
      <c r="E20" s="64"/>
      <c r="F20" s="65" t="str">
        <f t="shared" si="1"/>
        <v>改善中心</v>
      </c>
      <c r="G20" s="65" t="str">
        <f>IF(D20=0,IF(COUNTA($C20:C20)=0,G19,"*"),D20)</f>
        <v>战略预算项目小组</v>
      </c>
      <c r="H20" s="65" t="str">
        <f>IF(E20=0,IF(COUNTA($C20:D20)=0,H19,"*"),E20)</f>
        <v>*</v>
      </c>
      <c r="I20" s="112"/>
      <c r="J20" s="113">
        <f t="shared" si="2"/>
        <v>0</v>
      </c>
      <c r="K20" s="119"/>
      <c r="L20" s="115">
        <v>0</v>
      </c>
      <c r="M20" s="116">
        <f t="shared" si="3"/>
        <v>0</v>
      </c>
      <c r="N20" s="117"/>
      <c r="O20" s="118">
        <v>0</v>
      </c>
      <c r="P20" s="116">
        <f t="shared" si="4"/>
        <v>0</v>
      </c>
      <c r="Q20" s="118">
        <v>0</v>
      </c>
      <c r="R20" s="116">
        <f t="shared" si="5"/>
        <v>0</v>
      </c>
      <c r="S20" s="118">
        <f t="shared" si="12"/>
        <v>0</v>
      </c>
      <c r="T20" s="113">
        <f t="shared" si="6"/>
        <v>0</v>
      </c>
      <c r="U20" s="142">
        <f t="shared" si="7"/>
        <v>0</v>
      </c>
      <c r="V20" s="143" t="str">
        <f t="shared" si="8"/>
        <v>NA</v>
      </c>
      <c r="W20" s="64"/>
      <c r="X20" s="117"/>
      <c r="Y20" s="118">
        <v>15</v>
      </c>
      <c r="Z20" s="116">
        <f t="shared" si="9"/>
        <v>0.00161290322580645</v>
      </c>
      <c r="AA20" s="142">
        <f t="shared" si="10"/>
        <v>15</v>
      </c>
      <c r="AB20" s="143" t="str">
        <f t="shared" si="11"/>
        <v>NA</v>
      </c>
      <c r="AC20" s="117"/>
    </row>
    <row r="21" ht="15.6" spans="2:29">
      <c r="B21" s="63"/>
      <c r="C21" s="66" t="s">
        <v>213</v>
      </c>
      <c r="E21" s="64"/>
      <c r="F21" s="65" t="str">
        <f t="shared" si="1"/>
        <v>创新中心</v>
      </c>
      <c r="G21" s="65" t="str">
        <f>IF(D21=0,IF(COUNTA($C21:C21)=0,G20,"*"),D21)</f>
        <v>*</v>
      </c>
      <c r="H21" s="65" t="str">
        <f>IF(E21=0,IF(COUNTA($C21:D21)=0,H20,"*"),E21)</f>
        <v>*</v>
      </c>
      <c r="I21" s="112">
        <v>15</v>
      </c>
      <c r="J21" s="113">
        <f t="shared" si="2"/>
        <v>0.0016304347826087</v>
      </c>
      <c r="K21" s="114" t="str">
        <f>IF(AND(I21&gt;=Y21,I21/IF(Y21=0,0.001,Y21)&lt;=1.2),"已校准",IF(I21&lt;Y21,"未校准","可接受"))</f>
        <v>未校准</v>
      </c>
      <c r="L21" s="115">
        <v>0</v>
      </c>
      <c r="M21" s="116">
        <f t="shared" si="3"/>
        <v>0</v>
      </c>
      <c r="N21" s="117"/>
      <c r="O21" s="118">
        <v>0</v>
      </c>
      <c r="P21" s="116">
        <f t="shared" si="4"/>
        <v>0</v>
      </c>
      <c r="Q21" s="118">
        <v>0</v>
      </c>
      <c r="R21" s="116">
        <f t="shared" si="5"/>
        <v>0</v>
      </c>
      <c r="S21" s="118">
        <f t="shared" si="12"/>
        <v>0</v>
      </c>
      <c r="T21" s="113">
        <f t="shared" si="6"/>
        <v>0</v>
      </c>
      <c r="U21" s="142">
        <f t="shared" si="7"/>
        <v>0</v>
      </c>
      <c r="V21" s="143" t="str">
        <f t="shared" si="8"/>
        <v>NA</v>
      </c>
      <c r="W21" s="64"/>
      <c r="X21" s="117"/>
      <c r="Y21" s="118">
        <v>35</v>
      </c>
      <c r="Z21" s="116">
        <f t="shared" si="9"/>
        <v>0.00376344086021505</v>
      </c>
      <c r="AA21" s="142">
        <f t="shared" si="10"/>
        <v>35</v>
      </c>
      <c r="AB21" s="143" t="str">
        <f t="shared" si="11"/>
        <v>NA</v>
      </c>
      <c r="AC21" s="117"/>
    </row>
    <row r="22" ht="15.6" spans="1:29">
      <c r="A22" s="33" t="s">
        <v>25</v>
      </c>
      <c r="B22" s="63"/>
      <c r="C22" s="63"/>
      <c r="D22" s="63" t="s">
        <v>234</v>
      </c>
      <c r="E22" s="64"/>
      <c r="F22" s="65" t="str">
        <f t="shared" si="1"/>
        <v>创新中心</v>
      </c>
      <c r="G22" s="65" t="str">
        <f>IF(D22=0,IF(COUNTA($C22:C22)=0,G21,"*"),D22)</f>
        <v>产品研发部</v>
      </c>
      <c r="H22" s="65" t="str">
        <f>IF(E22=0,IF(COUNTA($C22:D22)=0,H21,"*"),E22)</f>
        <v>*</v>
      </c>
      <c r="I22" s="112"/>
      <c r="J22" s="113">
        <f t="shared" si="2"/>
        <v>0</v>
      </c>
      <c r="K22" s="119"/>
      <c r="L22" s="115">
        <v>0</v>
      </c>
      <c r="M22" s="116">
        <f t="shared" si="3"/>
        <v>0</v>
      </c>
      <c r="N22" s="117"/>
      <c r="O22" s="118">
        <v>0</v>
      </c>
      <c r="P22" s="116">
        <f t="shared" si="4"/>
        <v>0</v>
      </c>
      <c r="Q22" s="118">
        <v>0</v>
      </c>
      <c r="R22" s="116">
        <f t="shared" si="5"/>
        <v>0</v>
      </c>
      <c r="S22" s="118">
        <f t="shared" si="12"/>
        <v>0</v>
      </c>
      <c r="T22" s="113">
        <f t="shared" si="6"/>
        <v>0</v>
      </c>
      <c r="U22" s="142">
        <f t="shared" si="7"/>
        <v>0</v>
      </c>
      <c r="V22" s="143" t="str">
        <f t="shared" si="8"/>
        <v>NA</v>
      </c>
      <c r="W22" s="64"/>
      <c r="X22" s="117"/>
      <c r="Y22" s="118">
        <v>35</v>
      </c>
      <c r="Z22" s="116">
        <f t="shared" si="9"/>
        <v>0.00376344086021505</v>
      </c>
      <c r="AA22" s="142">
        <f t="shared" si="10"/>
        <v>35</v>
      </c>
      <c r="AB22" s="143" t="str">
        <f t="shared" si="11"/>
        <v>NA</v>
      </c>
      <c r="AC22" s="117"/>
    </row>
    <row r="23" ht="15.6" spans="1:29">
      <c r="A23" s="33" t="s">
        <v>25</v>
      </c>
      <c r="B23" s="63"/>
      <c r="C23" s="63"/>
      <c r="D23" s="63" t="s">
        <v>235</v>
      </c>
      <c r="E23" s="64"/>
      <c r="F23" s="65" t="str">
        <f t="shared" si="1"/>
        <v>创新中心</v>
      </c>
      <c r="G23" s="65" t="str">
        <f>IF(D23=0,IF(COUNTA($C23:C23)=0,G22,"*"),D23)</f>
        <v>XX试验室</v>
      </c>
      <c r="H23" s="65" t="str">
        <f>IF(E23=0,IF(COUNTA($C23:D23)=0,H22,"*"),E23)</f>
        <v>*</v>
      </c>
      <c r="I23" s="112"/>
      <c r="J23" s="113">
        <f t="shared" si="2"/>
        <v>0</v>
      </c>
      <c r="K23" s="119"/>
      <c r="L23" s="115">
        <v>0</v>
      </c>
      <c r="M23" s="116">
        <f t="shared" si="3"/>
        <v>0</v>
      </c>
      <c r="N23" s="117"/>
      <c r="O23" s="118">
        <v>0</v>
      </c>
      <c r="P23" s="116">
        <f t="shared" si="4"/>
        <v>0</v>
      </c>
      <c r="Q23" s="118">
        <v>0</v>
      </c>
      <c r="R23" s="116">
        <f t="shared" si="5"/>
        <v>0</v>
      </c>
      <c r="S23" s="118">
        <f t="shared" si="12"/>
        <v>0</v>
      </c>
      <c r="T23" s="113">
        <f t="shared" si="6"/>
        <v>0</v>
      </c>
      <c r="U23" s="142">
        <f t="shared" si="7"/>
        <v>0</v>
      </c>
      <c r="V23" s="143" t="str">
        <f t="shared" si="8"/>
        <v>NA</v>
      </c>
      <c r="W23" s="64"/>
      <c r="X23" s="117"/>
      <c r="Y23" s="118">
        <v>0</v>
      </c>
      <c r="Z23" s="116">
        <f t="shared" si="9"/>
        <v>0</v>
      </c>
      <c r="AA23" s="142">
        <f t="shared" si="10"/>
        <v>0</v>
      </c>
      <c r="AB23" s="143" t="str">
        <f t="shared" si="11"/>
        <v>NA</v>
      </c>
      <c r="AC23" s="117"/>
    </row>
    <row r="24" ht="15.6" spans="1:29">
      <c r="A24" s="33" t="s">
        <v>25</v>
      </c>
      <c r="B24" s="63"/>
      <c r="C24" s="63"/>
      <c r="D24" s="63" t="s">
        <v>236</v>
      </c>
      <c r="E24" s="64"/>
      <c r="F24" s="65" t="str">
        <f t="shared" si="1"/>
        <v>创新中心</v>
      </c>
      <c r="G24" s="65" t="str">
        <f>IF(D24=0,IF(COUNTA($C24:C24)=0,G23,"*"),D24)</f>
        <v>XX孵化业务</v>
      </c>
      <c r="H24" s="65" t="str">
        <f>IF(E24=0,IF(COUNTA($C24:D24)=0,H23,"*"),E24)</f>
        <v>*</v>
      </c>
      <c r="I24" s="112"/>
      <c r="J24" s="113">
        <f t="shared" si="2"/>
        <v>0</v>
      </c>
      <c r="K24" s="119"/>
      <c r="L24" s="115">
        <v>0</v>
      </c>
      <c r="M24" s="116">
        <f t="shared" si="3"/>
        <v>0</v>
      </c>
      <c r="N24" s="117"/>
      <c r="O24" s="118">
        <v>0</v>
      </c>
      <c r="P24" s="116">
        <f t="shared" si="4"/>
        <v>0</v>
      </c>
      <c r="Q24" s="118">
        <v>0</v>
      </c>
      <c r="R24" s="116">
        <f t="shared" si="5"/>
        <v>0</v>
      </c>
      <c r="S24" s="118">
        <f t="shared" si="12"/>
        <v>0</v>
      </c>
      <c r="T24" s="113">
        <f t="shared" si="6"/>
        <v>0</v>
      </c>
      <c r="U24" s="142">
        <f t="shared" si="7"/>
        <v>0</v>
      </c>
      <c r="V24" s="143" t="str">
        <f t="shared" si="8"/>
        <v>NA</v>
      </c>
      <c r="W24" s="64"/>
      <c r="X24" s="117"/>
      <c r="Y24" s="118">
        <v>0</v>
      </c>
      <c r="Z24" s="116">
        <f t="shared" si="9"/>
        <v>0</v>
      </c>
      <c r="AA24" s="142">
        <f t="shared" si="10"/>
        <v>0</v>
      </c>
      <c r="AB24" s="143" t="str">
        <f t="shared" si="11"/>
        <v>NA</v>
      </c>
      <c r="AC24" s="117"/>
    </row>
    <row r="25" ht="15.6" spans="2:29">
      <c r="B25" s="63"/>
      <c r="C25" s="66" t="s">
        <v>217</v>
      </c>
      <c r="E25" s="64"/>
      <c r="F25" s="65" t="str">
        <f t="shared" si="1"/>
        <v>支持中心</v>
      </c>
      <c r="G25" s="65" t="str">
        <f>IF(D25=0,IF(COUNTA($C25:C25)=0,G24,"*"),D25)</f>
        <v>*</v>
      </c>
      <c r="H25" s="65" t="str">
        <f>IF(E25=0,IF(COUNTA($C25:D25)=0,H24,"*"),E25)</f>
        <v>*</v>
      </c>
      <c r="I25" s="112">
        <v>8</v>
      </c>
      <c r="J25" s="113">
        <f t="shared" si="2"/>
        <v>0.000869565217391304</v>
      </c>
      <c r="K25" s="114" t="str">
        <f>IF(AND(I25&gt;=Y25,I25/IF(Y25=0,0.001,Y25)&lt;=1.2),"已校准",IF(I25&lt;Y25,"未校准","可接受"))</f>
        <v>可接受</v>
      </c>
      <c r="L25" s="115">
        <v>0</v>
      </c>
      <c r="M25" s="116">
        <f t="shared" si="3"/>
        <v>0</v>
      </c>
      <c r="N25" s="117"/>
      <c r="O25" s="118">
        <v>0</v>
      </c>
      <c r="P25" s="116">
        <f t="shared" si="4"/>
        <v>0</v>
      </c>
      <c r="Q25" s="118">
        <v>8</v>
      </c>
      <c r="R25" s="116">
        <f t="shared" si="5"/>
        <v>0.004</v>
      </c>
      <c r="S25" s="118">
        <f t="shared" si="12"/>
        <v>8</v>
      </c>
      <c r="T25" s="113">
        <f t="shared" si="6"/>
        <v>0.000898876404494382</v>
      </c>
      <c r="U25" s="142">
        <f t="shared" si="7"/>
        <v>8</v>
      </c>
      <c r="V25" s="143" t="str">
        <f t="shared" si="8"/>
        <v>NA</v>
      </c>
      <c r="W25" s="64"/>
      <c r="X25" s="117"/>
      <c r="Y25" s="118">
        <v>0</v>
      </c>
      <c r="Z25" s="116">
        <f t="shared" si="9"/>
        <v>0</v>
      </c>
      <c r="AA25" s="142">
        <f t="shared" si="10"/>
        <v>-8</v>
      </c>
      <c r="AB25" s="143">
        <f t="shared" si="11"/>
        <v>-1</v>
      </c>
      <c r="AC25" s="117"/>
    </row>
    <row r="26" ht="15.6" spans="1:29">
      <c r="A26" s="33" t="s">
        <v>25</v>
      </c>
      <c r="B26" s="63"/>
      <c r="C26" s="63"/>
      <c r="D26" s="63" t="s">
        <v>218</v>
      </c>
      <c r="E26" s="64"/>
      <c r="F26" s="65" t="str">
        <f t="shared" si="1"/>
        <v>支持中心</v>
      </c>
      <c r="G26" s="65" t="str">
        <f>IF(D26=0,IF(COUNTA($C26:C26)=0,G25,"*"),D26)</f>
        <v>财务部</v>
      </c>
      <c r="H26" s="65" t="str">
        <f>IF(E26=0,IF(COUNTA($C26:D26)=0,H25,"*"),E26)</f>
        <v>*</v>
      </c>
      <c r="I26" s="112"/>
      <c r="J26" s="113">
        <f t="shared" si="2"/>
        <v>0</v>
      </c>
      <c r="K26" s="119"/>
      <c r="L26" s="115">
        <v>0</v>
      </c>
      <c r="M26" s="116">
        <f t="shared" si="3"/>
        <v>0</v>
      </c>
      <c r="N26" s="117"/>
      <c r="O26" s="118">
        <v>0</v>
      </c>
      <c r="P26" s="116">
        <f t="shared" si="4"/>
        <v>0</v>
      </c>
      <c r="Q26" s="118">
        <v>8</v>
      </c>
      <c r="R26" s="116">
        <f t="shared" si="5"/>
        <v>0.004</v>
      </c>
      <c r="S26" s="118">
        <f t="shared" si="12"/>
        <v>8</v>
      </c>
      <c r="T26" s="113">
        <f t="shared" si="6"/>
        <v>0.000898876404494382</v>
      </c>
      <c r="U26" s="142">
        <f t="shared" si="7"/>
        <v>8</v>
      </c>
      <c r="V26" s="143" t="str">
        <f t="shared" si="8"/>
        <v>NA</v>
      </c>
      <c r="W26" s="64"/>
      <c r="X26" s="117"/>
      <c r="Y26" s="118">
        <v>0</v>
      </c>
      <c r="Z26" s="116">
        <f t="shared" si="9"/>
        <v>0</v>
      </c>
      <c r="AA26" s="142">
        <f t="shared" si="10"/>
        <v>-8</v>
      </c>
      <c r="AB26" s="143">
        <f t="shared" si="11"/>
        <v>-1</v>
      </c>
      <c r="AC26" s="117"/>
    </row>
    <row r="27" ht="15.6" spans="1:29">
      <c r="A27" s="33" t="s">
        <v>25</v>
      </c>
      <c r="B27" s="63"/>
      <c r="C27" s="63"/>
      <c r="D27" s="63" t="s">
        <v>219</v>
      </c>
      <c r="E27" s="64"/>
      <c r="F27" s="65" t="str">
        <f t="shared" si="1"/>
        <v>支持中心</v>
      </c>
      <c r="G27" s="65" t="str">
        <f>IF(D27=0,IF(COUNTA($C27:C27)=0,G26,"*"),D27)</f>
        <v>人力资源部</v>
      </c>
      <c r="H27" s="65" t="str">
        <f>IF(E27=0,IF(COUNTA($C27:D27)=0,H26,"*"),E27)</f>
        <v>*</v>
      </c>
      <c r="I27" s="112"/>
      <c r="J27" s="113">
        <f t="shared" si="2"/>
        <v>0</v>
      </c>
      <c r="K27" s="119"/>
      <c r="L27" s="115">
        <v>0</v>
      </c>
      <c r="M27" s="116">
        <f t="shared" si="3"/>
        <v>0</v>
      </c>
      <c r="N27" s="117"/>
      <c r="O27" s="118">
        <v>0</v>
      </c>
      <c r="P27" s="116">
        <f t="shared" si="4"/>
        <v>0</v>
      </c>
      <c r="Q27" s="118">
        <v>0</v>
      </c>
      <c r="R27" s="116">
        <f t="shared" si="5"/>
        <v>0</v>
      </c>
      <c r="S27" s="118">
        <f t="shared" si="12"/>
        <v>0</v>
      </c>
      <c r="T27" s="113">
        <f t="shared" si="6"/>
        <v>0</v>
      </c>
      <c r="U27" s="142">
        <f t="shared" si="7"/>
        <v>0</v>
      </c>
      <c r="V27" s="143" t="str">
        <f t="shared" si="8"/>
        <v>NA</v>
      </c>
      <c r="W27" s="64"/>
      <c r="X27" s="117"/>
      <c r="Y27" s="118">
        <v>0</v>
      </c>
      <c r="Z27" s="116">
        <f t="shared" si="9"/>
        <v>0</v>
      </c>
      <c r="AA27" s="142">
        <f t="shared" si="10"/>
        <v>0</v>
      </c>
      <c r="AB27" s="143" t="str">
        <f t="shared" si="11"/>
        <v>NA</v>
      </c>
      <c r="AC27" s="117"/>
    </row>
    <row r="28" ht="15.6" spans="1:29">
      <c r="A28" s="33" t="s">
        <v>25</v>
      </c>
      <c r="B28" s="63"/>
      <c r="C28" s="63"/>
      <c r="D28" s="63" t="s">
        <v>220</v>
      </c>
      <c r="E28" s="64"/>
      <c r="F28" s="65" t="str">
        <f t="shared" si="1"/>
        <v>支持中心</v>
      </c>
      <c r="G28" s="65" t="str">
        <f>IF(D28=0,IF(COUNTA($C28:C28)=0,G27,"*"),D28)</f>
        <v>IT部</v>
      </c>
      <c r="H28" s="65" t="str">
        <f>IF(E28=0,IF(COUNTA($C28:D28)=0,H27,"*"),E28)</f>
        <v>*</v>
      </c>
      <c r="I28" s="112"/>
      <c r="J28" s="113">
        <f t="shared" si="2"/>
        <v>0</v>
      </c>
      <c r="K28" s="119"/>
      <c r="L28" s="115">
        <v>0</v>
      </c>
      <c r="M28" s="116">
        <f t="shared" si="3"/>
        <v>0</v>
      </c>
      <c r="N28" s="117"/>
      <c r="O28" s="118">
        <v>0</v>
      </c>
      <c r="P28" s="116">
        <f t="shared" si="4"/>
        <v>0</v>
      </c>
      <c r="Q28" s="118">
        <v>0</v>
      </c>
      <c r="R28" s="116">
        <f t="shared" si="5"/>
        <v>0</v>
      </c>
      <c r="S28" s="118">
        <f t="shared" si="12"/>
        <v>0</v>
      </c>
      <c r="T28" s="113">
        <f t="shared" si="6"/>
        <v>0</v>
      </c>
      <c r="U28" s="142">
        <f t="shared" si="7"/>
        <v>0</v>
      </c>
      <c r="V28" s="143" t="str">
        <f t="shared" si="8"/>
        <v>NA</v>
      </c>
      <c r="W28" s="64"/>
      <c r="X28" s="117"/>
      <c r="Y28" s="118">
        <v>0</v>
      </c>
      <c r="Z28" s="116">
        <f t="shared" si="9"/>
        <v>0</v>
      </c>
      <c r="AA28" s="142">
        <f t="shared" si="10"/>
        <v>0</v>
      </c>
      <c r="AB28" s="143" t="str">
        <f t="shared" si="11"/>
        <v>NA</v>
      </c>
      <c r="AC28" s="117"/>
    </row>
    <row r="29" spans="2:29">
      <c r="B29" s="63"/>
      <c r="C29" s="63"/>
      <c r="E29" s="64"/>
      <c r="F29" s="65"/>
      <c r="G29" s="65"/>
      <c r="H29" s="65"/>
      <c r="I29" s="112"/>
      <c r="K29" s="119"/>
      <c r="L29" s="64"/>
      <c r="M29" s="120"/>
      <c r="N29" s="117"/>
      <c r="O29" s="117"/>
      <c r="P29" s="120"/>
      <c r="Q29" s="117"/>
      <c r="R29" s="120"/>
      <c r="S29" s="117"/>
      <c r="T29" s="144"/>
      <c r="U29" s="62"/>
      <c r="V29" s="119"/>
      <c r="W29" s="64"/>
      <c r="X29" s="117"/>
      <c r="Y29" s="117"/>
      <c r="Z29" s="120"/>
      <c r="AA29" s="62"/>
      <c r="AB29" s="119"/>
      <c r="AC29" s="117"/>
    </row>
    <row r="30" spans="2:29">
      <c r="B30" s="63"/>
      <c r="C30" s="63"/>
      <c r="E30" s="64"/>
      <c r="F30" s="65"/>
      <c r="G30" s="65"/>
      <c r="H30" s="65"/>
      <c r="I30" s="112"/>
      <c r="K30" s="119"/>
      <c r="L30" s="64"/>
      <c r="M30" s="120"/>
      <c r="N30" s="117"/>
      <c r="O30" s="117"/>
      <c r="P30" s="120"/>
      <c r="Q30" s="117"/>
      <c r="R30" s="120"/>
      <c r="S30" s="117"/>
      <c r="T30" s="144"/>
      <c r="U30" s="62"/>
      <c r="V30" s="119"/>
      <c r="W30" s="64"/>
      <c r="X30" s="117"/>
      <c r="Y30" s="117"/>
      <c r="Z30" s="120"/>
      <c r="AA30" s="62"/>
      <c r="AB30" s="119"/>
      <c r="AC30" s="117"/>
    </row>
    <row r="31" spans="2:29">
      <c r="B31" s="67"/>
      <c r="C31" s="68"/>
      <c r="D31" s="68"/>
      <c r="E31" s="69"/>
      <c r="F31" s="70"/>
      <c r="G31" s="70"/>
      <c r="H31" s="70"/>
      <c r="I31" s="69"/>
      <c r="J31" s="121"/>
      <c r="K31" s="122"/>
      <c r="L31" s="69"/>
      <c r="M31" s="123"/>
      <c r="N31" s="124"/>
      <c r="O31" s="124"/>
      <c r="P31" s="123"/>
      <c r="Q31" s="124"/>
      <c r="R31" s="123"/>
      <c r="S31" s="124"/>
      <c r="T31" s="145"/>
      <c r="U31" s="146"/>
      <c r="V31" s="122"/>
      <c r="W31" s="69"/>
      <c r="X31" s="124"/>
      <c r="Y31" s="124"/>
      <c r="Z31" s="123"/>
      <c r="AA31" s="146"/>
      <c r="AB31" s="122"/>
      <c r="AC31" s="124"/>
    </row>
    <row r="34" spans="2:4">
      <c r="B34" s="71" t="s">
        <v>251</v>
      </c>
      <c r="C34" s="72"/>
      <c r="D34" s="72"/>
    </row>
    <row r="35" ht="15" spans="2:5">
      <c r="B35" s="73"/>
      <c r="C35" s="74"/>
      <c r="D35" s="75"/>
      <c r="E35" s="76" t="s">
        <v>252</v>
      </c>
    </row>
    <row r="36" spans="2:4">
      <c r="B36" s="71"/>
      <c r="C36" s="72"/>
      <c r="D36" s="72"/>
    </row>
    <row r="37" ht="15" spans="2:5">
      <c r="B37" s="77" t="s">
        <v>253</v>
      </c>
      <c r="C37" s="77"/>
      <c r="D37" s="77"/>
      <c r="E37" s="76" t="s">
        <v>254</v>
      </c>
    </row>
    <row r="38" ht="15" spans="2:5">
      <c r="B38" s="77" t="s">
        <v>255</v>
      </c>
      <c r="C38" s="77"/>
      <c r="D38" s="77"/>
      <c r="E38" s="76" t="s">
        <v>256</v>
      </c>
    </row>
    <row r="39" ht="15" spans="2:5">
      <c r="B39" s="77" t="s">
        <v>257</v>
      </c>
      <c r="C39" s="77"/>
      <c r="D39" s="77"/>
      <c r="E39" s="76" t="s">
        <v>258</v>
      </c>
    </row>
    <row r="41" spans="2:2">
      <c r="B41" s="71" t="s">
        <v>259</v>
      </c>
    </row>
  </sheetData>
  <sheetProtection formatCells="0" formatColumns="0" formatRows="0" insertRows="0" insertColumns="0" autoFilter="0"/>
  <mergeCells count="15">
    <mergeCell ref="B4:E4"/>
    <mergeCell ref="I4:J4"/>
    <mergeCell ref="U5:W5"/>
    <mergeCell ref="AA5:AC5"/>
    <mergeCell ref="B35:D35"/>
    <mergeCell ref="B37:D37"/>
    <mergeCell ref="B38:D38"/>
    <mergeCell ref="B39:D39"/>
    <mergeCell ref="J5:J6"/>
    <mergeCell ref="K5:K6"/>
    <mergeCell ref="M5:M6"/>
    <mergeCell ref="P5:P6"/>
    <mergeCell ref="R5:R6"/>
    <mergeCell ref="T5:T6"/>
    <mergeCell ref="Z5:Z6"/>
  </mergeCells>
  <conditionalFormatting sqref="K11">
    <cfRule type="cellIs" dxfId="1" priority="28" operator="equal">
      <formula>"未校准"</formula>
    </cfRule>
    <cfRule type="cellIs" dxfId="2" priority="29" operator="equal">
      <formula>"可接受"</formula>
    </cfRule>
    <cfRule type="cellIs" dxfId="3" priority="30" operator="equal">
      <formula>"已校准"</formula>
    </cfRule>
  </conditionalFormatting>
  <conditionalFormatting sqref="K12">
    <cfRule type="cellIs" dxfId="1" priority="25" operator="equal">
      <formula>"未校准"</formula>
    </cfRule>
    <cfRule type="cellIs" dxfId="2" priority="26" operator="equal">
      <formula>"可接受"</formula>
    </cfRule>
    <cfRule type="cellIs" dxfId="3" priority="27" operator="equal">
      <formula>"已校准"</formula>
    </cfRule>
  </conditionalFormatting>
  <conditionalFormatting sqref="K14">
    <cfRule type="cellIs" dxfId="1" priority="10" operator="equal">
      <formula>"未校准"</formula>
    </cfRule>
    <cfRule type="cellIs" dxfId="2" priority="11" operator="equal">
      <formula>"可接受"</formula>
    </cfRule>
    <cfRule type="cellIs" dxfId="3" priority="12" operator="equal">
      <formula>"已校准"</formula>
    </cfRule>
  </conditionalFormatting>
  <conditionalFormatting sqref="K15">
    <cfRule type="cellIs" dxfId="1" priority="13" operator="equal">
      <formula>"未校准"</formula>
    </cfRule>
    <cfRule type="cellIs" dxfId="2" priority="14" operator="equal">
      <formula>"可接受"</formula>
    </cfRule>
    <cfRule type="cellIs" dxfId="3" priority="15" operator="equal">
      <formula>"已校准"</formula>
    </cfRule>
  </conditionalFormatting>
  <conditionalFormatting sqref="K18">
    <cfRule type="cellIs" dxfId="1" priority="16" operator="equal">
      <formula>"未校准"</formula>
    </cfRule>
    <cfRule type="cellIs" dxfId="2" priority="17" operator="equal">
      <formula>"可接受"</formula>
    </cfRule>
    <cfRule type="cellIs" dxfId="3" priority="18" operator="equal">
      <formula>"已校准"</formula>
    </cfRule>
  </conditionalFormatting>
  <conditionalFormatting sqref="K21">
    <cfRule type="cellIs" dxfId="1" priority="19" operator="equal">
      <formula>"未校准"</formula>
    </cfRule>
    <cfRule type="cellIs" dxfId="2" priority="20" operator="equal">
      <formula>"可接受"</formula>
    </cfRule>
    <cfRule type="cellIs" dxfId="3" priority="21" operator="equal">
      <formula>"已校准"</formula>
    </cfRule>
  </conditionalFormatting>
  <conditionalFormatting sqref="K25">
    <cfRule type="cellIs" dxfId="1" priority="22" operator="equal">
      <formula>"未校准"</formula>
    </cfRule>
    <cfRule type="cellIs" dxfId="2" priority="23" operator="equal">
      <formula>"可接受"</formula>
    </cfRule>
    <cfRule type="cellIs" dxfId="3" priority="24" operator="equal">
      <formula>"已校准"</formula>
    </cfRule>
  </conditionalFormatting>
  <conditionalFormatting sqref="B37">
    <cfRule type="cellIs" dxfId="1" priority="7" operator="equal">
      <formula>"未校准"</formula>
    </cfRule>
    <cfRule type="cellIs" dxfId="2" priority="8" operator="equal">
      <formula>"可接受"</formula>
    </cfRule>
    <cfRule type="cellIs" dxfId="3" priority="9" operator="equal">
      <formula>"已校准"</formula>
    </cfRule>
  </conditionalFormatting>
  <conditionalFormatting sqref="B38">
    <cfRule type="cellIs" dxfId="1" priority="4" operator="equal">
      <formula>"未校准"</formula>
    </cfRule>
    <cfRule type="cellIs" dxfId="2" priority="5" operator="equal">
      <formula>"可接受"</formula>
    </cfRule>
    <cfRule type="cellIs" dxfId="3" priority="6" operator="equal">
      <formula>"已校准"</formula>
    </cfRule>
  </conditionalFormatting>
  <conditionalFormatting sqref="B39">
    <cfRule type="cellIs" dxfId="1" priority="1" operator="equal">
      <formula>"未校准"</formula>
    </cfRule>
    <cfRule type="cellIs" dxfId="2" priority="2" operator="equal">
      <formula>"可接受"</formula>
    </cfRule>
    <cfRule type="cellIs" dxfId="3" priority="3" operator="equal">
      <formula>"已校准"</formula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22"/>
  <sheetViews>
    <sheetView showGridLines="0" workbookViewId="0">
      <pane xSplit="4" ySplit="4" topLeftCell="E5" activePane="bottomRight" state="frozen"/>
      <selection/>
      <selection pane="topRight"/>
      <selection pane="bottomLeft"/>
      <selection pane="bottomRight" activeCell="O14" sqref="O14"/>
    </sheetView>
  </sheetViews>
  <sheetFormatPr defaultColWidth="9" defaultRowHeight="17.4"/>
  <cols>
    <col min="1" max="1" width="8.8" style="1"/>
    <col min="2" max="2" width="4.8" style="1" customWidth="1"/>
    <col min="3" max="3" width="12.5" style="1" customWidth="1"/>
    <col min="4" max="4" width="1.2" style="1" customWidth="1"/>
    <col min="5" max="5" width="12.3" style="1" customWidth="1"/>
    <col min="6" max="6" width="1.2" style="1" customWidth="1"/>
    <col min="7" max="7" width="11" style="1" customWidth="1"/>
    <col min="8" max="8" width="1.2" style="1" customWidth="1"/>
    <col min="9" max="9" width="11" style="1" customWidth="1"/>
    <col min="10" max="10" width="5.5" style="1" customWidth="1"/>
    <col min="11" max="16384" width="8.8" style="1"/>
  </cols>
  <sheetData>
    <row r="4" spans="2:9">
      <c r="B4" s="2" t="s">
        <v>18</v>
      </c>
      <c r="C4" s="3"/>
      <c r="D4" s="2"/>
      <c r="E4" s="4" t="str">
        <f>"实际"&amp;YEAR([2]主页!$D$9)-1</f>
        <v>实际2020</v>
      </c>
      <c r="F4" s="2"/>
      <c r="G4" s="4" t="str">
        <f>"估计"&amp;YEAR([2]主页!$D$9)</f>
        <v>估计2021</v>
      </c>
      <c r="H4" s="2"/>
      <c r="I4" s="4" t="str">
        <f>"预算"&amp;YEAR([2]主页!$D$9)+1</f>
        <v>预算2022</v>
      </c>
    </row>
    <row r="5" ht="23.4" customHeight="1" spans="2:9">
      <c r="B5" s="5" t="s">
        <v>260</v>
      </c>
      <c r="C5" s="6"/>
      <c r="D5" s="7"/>
      <c r="E5" s="7"/>
      <c r="F5" s="7"/>
      <c r="G5" s="7"/>
      <c r="H5" s="7"/>
      <c r="I5" s="7"/>
    </row>
    <row r="6" spans="2:10">
      <c r="B6" s="8"/>
      <c r="C6" s="9" t="s">
        <v>261</v>
      </c>
      <c r="D6" s="10"/>
      <c r="E6" s="11">
        <f>SUM([2]上年!$O:$O)/10000</f>
        <v>1270</v>
      </c>
      <c r="F6" s="10"/>
      <c r="G6" s="11">
        <f>SUM([2]当年!$O:$O)/10000</f>
        <v>1236.96</v>
      </c>
      <c r="H6" s="10">
        <f>E9-G6</f>
        <v>0</v>
      </c>
      <c r="I6" s="11">
        <f>SUM([2]下年!$O:$O)/10000</f>
        <v>4710.24</v>
      </c>
      <c r="J6" s="29">
        <f>G9-I6</f>
        <v>0</v>
      </c>
    </row>
    <row r="7" spans="2:9">
      <c r="B7" s="8"/>
      <c r="C7" s="9" t="s">
        <v>262</v>
      </c>
      <c r="D7" s="10"/>
      <c r="E7" s="11">
        <f>SUM([2]上年!$P:$P)/10000</f>
        <v>1.96</v>
      </c>
      <c r="F7" s="10"/>
      <c r="G7" s="11">
        <f>SUM([2]当年!$P:$P)/10000</f>
        <v>3503.28</v>
      </c>
      <c r="H7" s="10"/>
      <c r="I7" s="11">
        <f>SUM([2]下年!$P:$P)/10000</f>
        <v>0.98</v>
      </c>
    </row>
    <row r="8" spans="2:9">
      <c r="B8" s="8"/>
      <c r="C8" s="9" t="s">
        <v>263</v>
      </c>
      <c r="D8" s="10"/>
      <c r="E8" s="11">
        <f>SUM([2]上年!$Q:$Q)/10000</f>
        <v>35</v>
      </c>
      <c r="F8" s="10"/>
      <c r="G8" s="11">
        <f>SUM([2]当年!$Q:$Q)/10000</f>
        <v>30</v>
      </c>
      <c r="H8" s="10"/>
      <c r="I8" s="11">
        <f>SUM([2]下年!$Q:$Q)/10000</f>
        <v>5</v>
      </c>
    </row>
    <row r="9" spans="2:9">
      <c r="B9" s="8"/>
      <c r="C9" s="9" t="s">
        <v>264</v>
      </c>
      <c r="D9" s="10"/>
      <c r="E9" s="11">
        <f>SUM([2]上年!$R:$R)/10000</f>
        <v>1236.96</v>
      </c>
      <c r="F9" s="10"/>
      <c r="G9" s="11">
        <f>SUM([2]当年!$R:$R)/10000</f>
        <v>4710.24</v>
      </c>
      <c r="H9" s="10"/>
      <c r="I9" s="11">
        <f>SUM([2]下年!$R:$R)/10000</f>
        <v>4706.22</v>
      </c>
    </row>
    <row r="10" spans="2:9">
      <c r="B10" s="12"/>
      <c r="C10" s="13" t="s">
        <v>265</v>
      </c>
      <c r="D10" s="14"/>
      <c r="E10" s="15">
        <f>E6+E7-E8-E9</f>
        <v>0</v>
      </c>
      <c r="F10" s="14"/>
      <c r="G10" s="15">
        <f>G6+G7-G8-G9</f>
        <v>0</v>
      </c>
      <c r="H10" s="14">
        <f>I6+I7-I8-I9</f>
        <v>0</v>
      </c>
      <c r="I10" s="30"/>
    </row>
    <row r="11" spans="2:9">
      <c r="B11" s="5" t="s">
        <v>266</v>
      </c>
      <c r="C11" s="6"/>
      <c r="D11" s="16"/>
      <c r="E11" s="17"/>
      <c r="F11" s="16"/>
      <c r="G11" s="17"/>
      <c r="H11" s="16"/>
      <c r="I11" s="17"/>
    </row>
    <row r="12" spans="2:10">
      <c r="B12" s="8"/>
      <c r="C12" s="9" t="s">
        <v>261</v>
      </c>
      <c r="D12" s="10"/>
      <c r="E12" s="11">
        <f>SUM([2]上年!$T:$T)/10000</f>
        <v>170.64375</v>
      </c>
      <c r="F12" s="10"/>
      <c r="G12" s="11">
        <f>SUM([2]当年!$T:$T)/10000</f>
        <v>268.6725</v>
      </c>
      <c r="H12" s="10">
        <f>E15-G12</f>
        <v>0</v>
      </c>
      <c r="I12" s="11">
        <f>SUM([2]下年!$T:$T)/10000</f>
        <v>453.625</v>
      </c>
      <c r="J12" s="29">
        <f>G15-I12</f>
        <v>0</v>
      </c>
    </row>
    <row r="13" spans="2:9">
      <c r="B13" s="8"/>
      <c r="C13" s="9" t="s">
        <v>262</v>
      </c>
      <c r="D13" s="10"/>
      <c r="E13" s="11">
        <f>SUM([2]上年!$U:$U)/10000</f>
        <v>122.135</v>
      </c>
      <c r="F13" s="10"/>
      <c r="G13" s="11">
        <f>SUM([2]当年!$U:$U)/10000</f>
        <v>202.765</v>
      </c>
      <c r="H13" s="10"/>
      <c r="I13" s="11">
        <f>SUM([2]下年!$U:$U)/10000</f>
        <v>281.72</v>
      </c>
    </row>
    <row r="14" spans="2:9">
      <c r="B14" s="8"/>
      <c r="C14" s="9" t="s">
        <v>263</v>
      </c>
      <c r="D14" s="10"/>
      <c r="E14" s="11">
        <f>SUM([2]上年!$V:$V)/10000</f>
        <v>24.10625</v>
      </c>
      <c r="F14" s="10"/>
      <c r="G14" s="11">
        <f>SUM([2]当年!$V:$V)/10000</f>
        <v>17.8125</v>
      </c>
      <c r="H14" s="10"/>
      <c r="I14" s="11">
        <f>SUM([2]下年!$V:$V)/10000</f>
        <v>0</v>
      </c>
    </row>
    <row r="15" spans="2:9">
      <c r="B15" s="8"/>
      <c r="C15" s="9" t="s">
        <v>264</v>
      </c>
      <c r="D15" s="10"/>
      <c r="E15" s="11">
        <f>SUM([2]上年!$W:$W)/10000</f>
        <v>268.6725</v>
      </c>
      <c r="F15" s="10"/>
      <c r="G15" s="11">
        <f>SUM([2]当年!$W:$W)/10000</f>
        <v>453.625</v>
      </c>
      <c r="H15" s="10"/>
      <c r="I15" s="11">
        <f>SUM([2]下年!$W:$W)/10000</f>
        <v>735.345</v>
      </c>
    </row>
    <row r="16" spans="2:9">
      <c r="B16" s="12"/>
      <c r="C16" s="13" t="s">
        <v>265</v>
      </c>
      <c r="D16" s="18"/>
      <c r="E16" s="15">
        <f>E12+E13-E14-E15</f>
        <v>0</v>
      </c>
      <c r="F16" s="18"/>
      <c r="G16" s="15">
        <f>G12+G13-G14-G15</f>
        <v>0</v>
      </c>
      <c r="H16" s="18"/>
      <c r="I16" s="15">
        <f>I12+I13-I14-I15</f>
        <v>0</v>
      </c>
    </row>
    <row r="17" spans="2:9">
      <c r="B17" s="5" t="s">
        <v>267</v>
      </c>
      <c r="C17" s="6"/>
      <c r="D17" s="16"/>
      <c r="E17" s="19">
        <f>SUM([2]上年!$AB:$AB)/10000</f>
        <v>302</v>
      </c>
      <c r="F17" s="16"/>
      <c r="G17" s="19">
        <f>SUM([2]当年!$AB:$AB)/10000</f>
        <v>304.073333333333</v>
      </c>
      <c r="H17" s="16"/>
      <c r="I17" s="19">
        <f>SUM([2]下年!$AB:$AB)/10000</f>
        <v>304.073333333333</v>
      </c>
    </row>
    <row r="18" spans="2:9">
      <c r="B18" s="20" t="s">
        <v>86</v>
      </c>
      <c r="C18" s="21" t="s">
        <v>268</v>
      </c>
      <c r="D18" s="22"/>
      <c r="E18" s="23">
        <f>SUMIFS([2]上年!$AB:$AB,[2]上年!$G:$G,$C18)/10000</f>
        <v>302</v>
      </c>
      <c r="F18" s="22"/>
      <c r="G18" s="23">
        <f>SUMIFS([2]当年!$AB:$AB,[2]当年!$G:$G,$C18)/10000</f>
        <v>302</v>
      </c>
      <c r="H18" s="22"/>
      <c r="I18" s="23">
        <f>SUMIFS([2]下年!$AB:$AB,[2]下年!$G:$G,$C18)/10000</f>
        <v>302</v>
      </c>
    </row>
    <row r="19" spans="2:9">
      <c r="B19" s="8"/>
      <c r="C19" s="21" t="s">
        <v>218</v>
      </c>
      <c r="D19" s="22"/>
      <c r="E19" s="23">
        <f>SUMIFS([2]上年!$AB:$AB,[2]上年!$G:$G,$C19)/10000</f>
        <v>0</v>
      </c>
      <c r="F19" s="22"/>
      <c r="G19" s="23">
        <f>SUMIFS([2]当年!$AB:$AB,[2]当年!$G:$G,$C19)/10000</f>
        <v>1.30666666666667</v>
      </c>
      <c r="H19" s="22"/>
      <c r="I19" s="23">
        <f>SUMIFS([2]下年!$AB:$AB,[2]下年!$G:$G,$C19)/10000</f>
        <v>1.30666666666667</v>
      </c>
    </row>
    <row r="20" spans="2:9">
      <c r="B20" s="12"/>
      <c r="C20" s="24" t="s">
        <v>237</v>
      </c>
      <c r="D20" s="18"/>
      <c r="E20" s="25">
        <f>SUMIFS([2]上年!$AB:$AB,[2]上年!$G:$G,$C20)/10000</f>
        <v>0</v>
      </c>
      <c r="F20" s="26"/>
      <c r="G20" s="25">
        <f>SUMIFS([2]当年!$AB:$AB,[2]当年!$G:$G,$C20)/10000</f>
        <v>0.766666666666667</v>
      </c>
      <c r="H20" s="26"/>
      <c r="I20" s="25">
        <f>SUMIFS([2]下年!$AB:$AB,[2]下年!$G:$G,$C20)/10000</f>
        <v>0.766666666666667</v>
      </c>
    </row>
    <row r="21" spans="4:9">
      <c r="D21" s="27"/>
      <c r="E21" s="28"/>
      <c r="F21" s="27"/>
      <c r="G21" s="28"/>
      <c r="H21" s="27"/>
      <c r="I21" s="28"/>
    </row>
    <row r="22" spans="4:9">
      <c r="D22" s="27"/>
      <c r="E22" s="28"/>
      <c r="F22" s="27"/>
      <c r="G22" s="28"/>
      <c r="H22" s="27"/>
      <c r="I22" s="2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主页</vt:lpstr>
      <vt:lpstr> 利润表</vt:lpstr>
      <vt:lpstr>现金流</vt:lpstr>
      <vt:lpstr>资产</vt:lpstr>
      <vt:lpstr>税金</vt:lpstr>
      <vt:lpstr>其他</vt:lpstr>
      <vt:lpstr>销售收入及毛利</vt:lpstr>
      <vt:lpstr>销售及收现</vt:lpstr>
      <vt:lpstr>销售差异分析底稿</vt:lpstr>
      <vt:lpstr>生产、采购及付现</vt:lpstr>
      <vt:lpstr>人力资源</vt:lpstr>
      <vt:lpstr>财务折旧</vt:lpstr>
      <vt:lpstr>日常费用</vt:lpstr>
      <vt:lpstr>长期资产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来自 www.3722.cn 中国最大的资料库下载《</dc:creator>
  <cp:lastModifiedBy>陈东捷</cp:lastModifiedBy>
  <dcterms:created xsi:type="dcterms:W3CDTF">2004-10-26T11:01:00Z</dcterms:created>
  <cp:lastPrinted>2004-10-27T02:25:00Z</cp:lastPrinted>
  <dcterms:modified xsi:type="dcterms:W3CDTF">2022-12-04T19:20:01Z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229DB766296B44FABC50B8C9D427B79E</vt:lpwstr>
  </property>
  <property fmtid="{D5CDD505-2E9C-101B-9397-08002B2CF9AE}" pid="3" name="KSOProductBuildVer">
    <vt:lpwstr>2052-11.1.0.12763</vt:lpwstr>
  </property>
</Properties>
</file>