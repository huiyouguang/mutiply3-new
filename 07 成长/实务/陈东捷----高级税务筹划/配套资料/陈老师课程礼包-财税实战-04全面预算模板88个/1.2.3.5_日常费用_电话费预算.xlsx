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电话费预算" sheetId="1" r:id="rId1"/>
  </sheets>
  <calcPr calcId="144525"/>
</workbook>
</file>

<file path=xl/sharedStrings.xml><?xml version="1.0" encoding="utf-8"?>
<sst xmlns="http://schemas.openxmlformats.org/spreadsheetml/2006/main" count="34" uniqueCount="28">
  <si>
    <t>某公司20XX年电话费预算</t>
  </si>
  <si>
    <t>组织机构及岗位名称</t>
  </si>
  <si>
    <t>电话号码</t>
  </si>
  <si>
    <t>有效工作时间</t>
  </si>
  <si>
    <t>通话
时间</t>
  </si>
  <si>
    <t>国内
电话费</t>
  </si>
  <si>
    <t>国际
长途费</t>
  </si>
  <si>
    <t>手机费</t>
  </si>
  <si>
    <t>其他</t>
  </si>
  <si>
    <t>预算金额</t>
  </si>
  <si>
    <t>工作
时间</t>
  </si>
  <si>
    <t>节假日</t>
  </si>
  <si>
    <t>公司年假</t>
  </si>
  <si>
    <t>合计</t>
  </si>
  <si>
    <t>每天通话时长</t>
  </si>
  <si>
    <t>分
钟</t>
  </si>
  <si>
    <t>标准</t>
  </si>
  <si>
    <t>金额</t>
  </si>
  <si>
    <t>老板</t>
  </si>
  <si>
    <t>销售总监</t>
  </si>
  <si>
    <t>销售区域经理</t>
  </si>
  <si>
    <t>销售主管</t>
  </si>
  <si>
    <t>销售员(上海)</t>
  </si>
  <si>
    <t>销售员(浙江)</t>
  </si>
  <si>
    <t>销售员(福建)</t>
  </si>
  <si>
    <t>销售员(江苏)</t>
  </si>
  <si>
    <t>销售员(安徽)</t>
  </si>
  <si>
    <t>编制说明：
1.电话费是员工为了高效沟通而使用通信工具所产生的支出。
2. 电话费在公司支出中并不是大钱。但是从改变资源使用的风气，让每个人都跟财务经理一样“抠门”的角度而言，仍旧有必要算细账。但要注意别抠出血来。
3.电话费中包含市内电话费、国内长话费、国际长话费、手机通话费、信息费等，计费标准和计费方法各不相同。
4.合理确定开通权限。每个岗位由于工作性质的不同，会有不同的通话需求，但不可能每个有通话需求的人都需要国际通话权限。
5.确定合理的通话时间。通常，这个合理性的界定，是从人的精力、体力和时间来考虑的。公司可以规定，在电话联络可能会超过30分钟的情况下，应该考虑改用其他经济的通信方式，如发E-mail、发传真、发短信等。
6.有费用预算控制，可能带来意想不到的节约效果。比如，员工因为有预算控制，在打国际长途时就可能会想到可以让对方打过来。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</si>
</sst>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6">
    <font>
      <sz val="11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sz val="11"/>
      <color theme="1"/>
      <name val="Microsoft YaHei Light"/>
      <charset val="134"/>
    </font>
    <font>
      <b/>
      <sz val="18"/>
      <color theme="1"/>
      <name val="Microsoft YaHei Light"/>
      <charset val="134"/>
    </font>
    <font>
      <b/>
      <sz val="12"/>
      <color rgb="FF000000"/>
      <name val="Microsoft YaHei Light"/>
      <charset val="134"/>
    </font>
    <font>
      <sz val="12"/>
      <color rgb="FF000000"/>
      <name val="Microsoft YaHei Light"/>
      <charset val="134"/>
    </font>
    <font>
      <sz val="14"/>
      <color theme="1"/>
      <name val="Microsoft YaHei Light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28" applyNumberFormat="0" applyAlignment="0" applyProtection="0">
      <alignment vertical="center"/>
    </xf>
    <xf numFmtId="0" fontId="20" fillId="13" borderId="24" applyNumberFormat="0" applyAlignment="0" applyProtection="0">
      <alignment vertical="center"/>
    </xf>
    <xf numFmtId="0" fontId="21" fillId="14" borderId="29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9" xfId="0" applyFont="1" applyBorder="1"/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/>
    <xf numFmtId="0" fontId="5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176" fontId="5" fillId="3" borderId="8" xfId="0" applyNumberFormat="1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76" fontId="5" fillId="3" borderId="2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28"/>
  <sheetViews>
    <sheetView showGridLines="0" tabSelected="1" zoomScale="80" zoomScaleNormal="80" workbookViewId="0">
      <pane xSplit="7" ySplit="5" topLeftCell="H6" activePane="bottomRight" state="frozen"/>
      <selection/>
      <selection pane="topRight"/>
      <selection pane="bottomLeft"/>
      <selection pane="bottomRight" activeCell="AD16" sqref="AD16"/>
    </sheetView>
  </sheetViews>
  <sheetFormatPr defaultColWidth="9" defaultRowHeight="15.6"/>
  <cols>
    <col min="1" max="1" width="5.66666666666667" style="2" customWidth="1"/>
    <col min="2" max="2" width="2.41666666666667" style="2" customWidth="1"/>
    <col min="3" max="3" width="3.58333333333333" style="2" customWidth="1"/>
    <col min="4" max="4" width="4.75" style="2" customWidth="1"/>
    <col min="5" max="5" width="5.16666666666667" style="2" customWidth="1"/>
    <col min="6" max="6" width="13.3333333333333" style="2" customWidth="1"/>
    <col min="7" max="7" width="11.25" style="2" customWidth="1"/>
    <col min="8" max="9" width="9.16666666666667" style="2" customWidth="1"/>
    <col min="10" max="10" width="7" style="2" customWidth="1"/>
    <col min="11" max="12" width="9.16666666666667" style="2" customWidth="1"/>
    <col min="13" max="13" width="11.5" style="2" customWidth="1"/>
    <col min="14" max="14" width="8.66666666666667" style="2"/>
    <col min="15" max="15" width="14.4166666666667" style="2" customWidth="1"/>
    <col min="16" max="16" width="8.66666666666667" style="2"/>
    <col min="17" max="17" width="9.58333333333333" style="2" customWidth="1"/>
    <col min="18" max="19" width="8.66666666666667" style="2"/>
    <col min="20" max="20" width="6.5" style="2" customWidth="1"/>
    <col min="21" max="21" width="10.5" style="2" customWidth="1"/>
    <col min="22" max="16384" width="8.66666666666667" style="2"/>
  </cols>
  <sheetData>
    <row r="2" s="1" customFormat="1" ht="27" customHeight="1" spans="2:2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2.75" customHeight="1"/>
    <row r="4" ht="44" customHeight="1" spans="2:21">
      <c r="B4" s="4" t="s">
        <v>1</v>
      </c>
      <c r="C4" s="5"/>
      <c r="D4" s="5"/>
      <c r="E4" s="5"/>
      <c r="F4" s="6"/>
      <c r="G4" s="7" t="s">
        <v>2</v>
      </c>
      <c r="H4" s="7" t="s">
        <v>3</v>
      </c>
      <c r="I4" s="7"/>
      <c r="J4" s="7"/>
      <c r="K4" s="7"/>
      <c r="L4" s="7"/>
      <c r="M4" s="7" t="s">
        <v>4</v>
      </c>
      <c r="N4" s="7" t="s">
        <v>5</v>
      </c>
      <c r="O4" s="7"/>
      <c r="P4" s="7" t="s">
        <v>6</v>
      </c>
      <c r="Q4" s="7"/>
      <c r="R4" s="7" t="s">
        <v>7</v>
      </c>
      <c r="S4" s="7"/>
      <c r="T4" s="7" t="s">
        <v>8</v>
      </c>
      <c r="U4" s="33" t="s">
        <v>9</v>
      </c>
    </row>
    <row r="5" ht="35.25" customHeight="1" spans="2:21">
      <c r="B5" s="8"/>
      <c r="C5" s="9"/>
      <c r="D5" s="9"/>
      <c r="E5" s="9"/>
      <c r="F5" s="10"/>
      <c r="G5" s="11"/>
      <c r="H5" s="11" t="s">
        <v>10</v>
      </c>
      <c r="I5" s="11" t="s">
        <v>11</v>
      </c>
      <c r="J5" s="11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  <c r="P5" s="11" t="s">
        <v>16</v>
      </c>
      <c r="Q5" s="11" t="s">
        <v>17</v>
      </c>
      <c r="R5" s="11" t="s">
        <v>16</v>
      </c>
      <c r="S5" s="11" t="s">
        <v>17</v>
      </c>
      <c r="T5" s="11"/>
      <c r="U5" s="34"/>
    </row>
    <row r="6" ht="17.65" customHeight="1" spans="2:21">
      <c r="B6" s="12" t="s">
        <v>18</v>
      </c>
      <c r="C6" s="13"/>
      <c r="D6" s="13"/>
      <c r="E6" s="13"/>
      <c r="F6" s="13"/>
      <c r="G6" s="14"/>
      <c r="H6" s="14">
        <v>364</v>
      </c>
      <c r="I6" s="14">
        <v>-112</v>
      </c>
      <c r="J6" s="14">
        <v>-21</v>
      </c>
      <c r="K6" s="14">
        <v>231</v>
      </c>
      <c r="L6" s="28">
        <v>60</v>
      </c>
      <c r="M6" s="28">
        <f>K6*L6</f>
        <v>13860</v>
      </c>
      <c r="N6" s="14">
        <v>0.15</v>
      </c>
      <c r="O6" s="14">
        <f>M6*N6</f>
        <v>2079</v>
      </c>
      <c r="P6" s="14"/>
      <c r="Q6" s="14">
        <v>19800</v>
      </c>
      <c r="R6" s="14">
        <v>500</v>
      </c>
      <c r="S6" s="14">
        <v>6000</v>
      </c>
      <c r="T6" s="14"/>
      <c r="U6" s="35">
        <f>O6+Q6+S6</f>
        <v>27879</v>
      </c>
    </row>
    <row r="7" ht="17.65" customHeight="1" spans="2:21">
      <c r="B7" s="15"/>
      <c r="C7" s="16" t="s">
        <v>19</v>
      </c>
      <c r="D7" s="17"/>
      <c r="E7" s="17"/>
      <c r="F7" s="17"/>
      <c r="G7" s="14"/>
      <c r="H7" s="14">
        <v>364</v>
      </c>
      <c r="I7" s="14">
        <v>-112</v>
      </c>
      <c r="J7" s="14">
        <v>-14</v>
      </c>
      <c r="K7" s="14">
        <v>238</v>
      </c>
      <c r="L7" s="28">
        <v>120</v>
      </c>
      <c r="M7" s="28">
        <f>L7*K7</f>
        <v>28560</v>
      </c>
      <c r="N7" s="14">
        <v>0.15</v>
      </c>
      <c r="O7" s="14">
        <f t="shared" ref="O7:O15" si="0">M7*N7</f>
        <v>4284</v>
      </c>
      <c r="P7" s="14"/>
      <c r="Q7" s="14">
        <v>5000</v>
      </c>
      <c r="R7" s="14">
        <v>500</v>
      </c>
      <c r="S7" s="14">
        <v>6000</v>
      </c>
      <c r="T7" s="14"/>
      <c r="U7" s="35">
        <f t="shared" ref="U7:U15" si="1">O7+Q7+S7</f>
        <v>15284</v>
      </c>
    </row>
    <row r="8" ht="17.65" customHeight="1" spans="2:21">
      <c r="B8" s="15"/>
      <c r="D8" s="16" t="s">
        <v>20</v>
      </c>
      <c r="E8" s="17"/>
      <c r="F8" s="17"/>
      <c r="G8" s="14"/>
      <c r="H8" s="14">
        <v>364</v>
      </c>
      <c r="I8" s="14">
        <v>-112</v>
      </c>
      <c r="J8" s="14">
        <v>-10</v>
      </c>
      <c r="K8" s="14">
        <v>242</v>
      </c>
      <c r="L8" s="28">
        <v>120</v>
      </c>
      <c r="M8" s="28">
        <f t="shared" ref="M8:M15" si="2">L8*K8</f>
        <v>29040</v>
      </c>
      <c r="N8" s="14">
        <v>0.15</v>
      </c>
      <c r="O8" s="14">
        <f t="shared" si="0"/>
        <v>4356</v>
      </c>
      <c r="P8" s="14"/>
      <c r="Q8" s="14">
        <v>3000</v>
      </c>
      <c r="R8" s="14">
        <v>400</v>
      </c>
      <c r="S8" s="14">
        <v>4800</v>
      </c>
      <c r="T8" s="14"/>
      <c r="U8" s="35">
        <f t="shared" si="1"/>
        <v>12156</v>
      </c>
    </row>
    <row r="9" ht="17.65" customHeight="1" spans="2:21">
      <c r="B9" s="15"/>
      <c r="D9" s="17"/>
      <c r="E9" s="16" t="s">
        <v>21</v>
      </c>
      <c r="F9" s="17"/>
      <c r="G9" s="14"/>
      <c r="H9" s="14">
        <v>364</v>
      </c>
      <c r="I9" s="14">
        <v>-112</v>
      </c>
      <c r="J9" s="14">
        <v>-7</v>
      </c>
      <c r="K9" s="14">
        <v>245</v>
      </c>
      <c r="L9" s="28">
        <v>120</v>
      </c>
      <c r="M9" s="28">
        <f t="shared" si="2"/>
        <v>29400</v>
      </c>
      <c r="N9" s="14">
        <v>0.15</v>
      </c>
      <c r="O9" s="14">
        <f t="shared" si="0"/>
        <v>4410</v>
      </c>
      <c r="P9" s="14"/>
      <c r="Q9" s="14">
        <v>0</v>
      </c>
      <c r="R9" s="14">
        <v>200</v>
      </c>
      <c r="S9" s="14">
        <v>2400</v>
      </c>
      <c r="T9" s="14"/>
      <c r="U9" s="35">
        <f t="shared" si="1"/>
        <v>6810</v>
      </c>
    </row>
    <row r="10" ht="17.65" customHeight="1" spans="2:21">
      <c r="B10" s="15"/>
      <c r="D10" s="17"/>
      <c r="E10" s="16"/>
      <c r="F10" s="16" t="s">
        <v>22</v>
      </c>
      <c r="G10" s="14"/>
      <c r="H10" s="14">
        <v>364</v>
      </c>
      <c r="I10" s="14">
        <v>-112</v>
      </c>
      <c r="J10" s="14">
        <v>-5</v>
      </c>
      <c r="K10" s="14">
        <v>247</v>
      </c>
      <c r="L10" s="28">
        <v>120</v>
      </c>
      <c r="M10" s="28">
        <f t="shared" si="2"/>
        <v>29640</v>
      </c>
      <c r="N10" s="14">
        <v>0.15</v>
      </c>
      <c r="O10" s="14">
        <f t="shared" si="0"/>
        <v>4446</v>
      </c>
      <c r="P10" s="14"/>
      <c r="Q10" s="14">
        <v>0</v>
      </c>
      <c r="R10" s="14">
        <v>200</v>
      </c>
      <c r="S10" s="14">
        <v>2400</v>
      </c>
      <c r="T10" s="14"/>
      <c r="U10" s="35">
        <f t="shared" si="1"/>
        <v>6846</v>
      </c>
    </row>
    <row r="11" ht="17.65" customHeight="1" spans="2:21">
      <c r="B11" s="15"/>
      <c r="D11" s="17"/>
      <c r="E11" s="16"/>
      <c r="F11" s="16" t="s">
        <v>23</v>
      </c>
      <c r="G11" s="14"/>
      <c r="H11" s="14">
        <v>364</v>
      </c>
      <c r="I11" s="14">
        <v>-112</v>
      </c>
      <c r="J11" s="14">
        <v>-5</v>
      </c>
      <c r="K11" s="14">
        <v>247</v>
      </c>
      <c r="L11" s="28">
        <v>120</v>
      </c>
      <c r="M11" s="28">
        <f t="shared" si="2"/>
        <v>29640</v>
      </c>
      <c r="N11" s="14">
        <v>0.15</v>
      </c>
      <c r="O11" s="14">
        <f t="shared" si="0"/>
        <v>4446</v>
      </c>
      <c r="P11" s="14"/>
      <c r="Q11" s="14">
        <v>0</v>
      </c>
      <c r="R11" s="14">
        <v>200</v>
      </c>
      <c r="S11" s="14">
        <v>2400</v>
      </c>
      <c r="T11" s="14"/>
      <c r="U11" s="35">
        <f t="shared" si="1"/>
        <v>6846</v>
      </c>
    </row>
    <row r="12" ht="17.65" customHeight="1" spans="2:21">
      <c r="B12" s="15"/>
      <c r="D12" s="17"/>
      <c r="E12" s="16"/>
      <c r="F12" s="16" t="s">
        <v>24</v>
      </c>
      <c r="G12" s="14"/>
      <c r="H12" s="14">
        <v>364</v>
      </c>
      <c r="I12" s="14">
        <v>-112</v>
      </c>
      <c r="J12" s="14">
        <v>-5</v>
      </c>
      <c r="K12" s="14">
        <v>247</v>
      </c>
      <c r="L12" s="28">
        <v>120</v>
      </c>
      <c r="M12" s="28">
        <f t="shared" si="2"/>
        <v>29640</v>
      </c>
      <c r="N12" s="14">
        <v>0.15</v>
      </c>
      <c r="O12" s="14">
        <f t="shared" si="0"/>
        <v>4446</v>
      </c>
      <c r="P12" s="14"/>
      <c r="Q12" s="14">
        <v>0</v>
      </c>
      <c r="R12" s="14">
        <v>200</v>
      </c>
      <c r="S12" s="14">
        <v>2400</v>
      </c>
      <c r="T12" s="14"/>
      <c r="U12" s="35">
        <f t="shared" si="1"/>
        <v>6846</v>
      </c>
    </row>
    <row r="13" ht="17.65" customHeight="1" spans="2:21">
      <c r="B13" s="15"/>
      <c r="D13" s="17"/>
      <c r="E13" s="16" t="s">
        <v>21</v>
      </c>
      <c r="F13" s="17"/>
      <c r="G13" s="14"/>
      <c r="H13" s="14">
        <v>364</v>
      </c>
      <c r="I13" s="14">
        <v>-112</v>
      </c>
      <c r="J13" s="14">
        <v>-7</v>
      </c>
      <c r="K13" s="14">
        <v>245</v>
      </c>
      <c r="L13" s="28">
        <v>120</v>
      </c>
      <c r="M13" s="28">
        <f t="shared" si="2"/>
        <v>29400</v>
      </c>
      <c r="N13" s="14">
        <v>0.15</v>
      </c>
      <c r="O13" s="14">
        <f t="shared" si="0"/>
        <v>4410</v>
      </c>
      <c r="P13" s="14"/>
      <c r="Q13" s="14">
        <v>0</v>
      </c>
      <c r="R13" s="14">
        <v>200</v>
      </c>
      <c r="S13" s="14">
        <v>2400</v>
      </c>
      <c r="T13" s="14"/>
      <c r="U13" s="35">
        <f t="shared" si="1"/>
        <v>6810</v>
      </c>
    </row>
    <row r="14" ht="18" customHeight="1" spans="2:21">
      <c r="B14" s="15"/>
      <c r="D14" s="17"/>
      <c r="F14" s="16" t="s">
        <v>25</v>
      </c>
      <c r="G14" s="14"/>
      <c r="H14" s="14">
        <v>364</v>
      </c>
      <c r="I14" s="14">
        <v>-112</v>
      </c>
      <c r="J14" s="14">
        <v>-5</v>
      </c>
      <c r="K14" s="14">
        <v>247</v>
      </c>
      <c r="L14" s="28">
        <v>120</v>
      </c>
      <c r="M14" s="28">
        <f t="shared" si="2"/>
        <v>29640</v>
      </c>
      <c r="N14" s="14">
        <v>0.15</v>
      </c>
      <c r="O14" s="14">
        <f t="shared" si="0"/>
        <v>4446</v>
      </c>
      <c r="P14" s="14"/>
      <c r="Q14" s="14">
        <v>0</v>
      </c>
      <c r="R14" s="14">
        <v>200</v>
      </c>
      <c r="S14" s="14">
        <v>2400</v>
      </c>
      <c r="T14" s="14"/>
      <c r="U14" s="35">
        <f t="shared" si="1"/>
        <v>6846</v>
      </c>
    </row>
    <row r="15" ht="17.4" spans="2:21">
      <c r="B15" s="15"/>
      <c r="D15" s="17"/>
      <c r="F15" s="16" t="s">
        <v>26</v>
      </c>
      <c r="G15" s="14"/>
      <c r="H15" s="14">
        <v>364</v>
      </c>
      <c r="I15" s="14">
        <v>-112</v>
      </c>
      <c r="J15" s="14">
        <v>-5</v>
      </c>
      <c r="K15" s="14">
        <v>247</v>
      </c>
      <c r="L15" s="28">
        <v>120</v>
      </c>
      <c r="M15" s="28">
        <f t="shared" si="2"/>
        <v>29640</v>
      </c>
      <c r="N15" s="14">
        <v>0.15</v>
      </c>
      <c r="O15" s="14">
        <f t="shared" si="0"/>
        <v>4446</v>
      </c>
      <c r="P15" s="14"/>
      <c r="Q15" s="14">
        <v>0</v>
      </c>
      <c r="R15" s="14">
        <v>200</v>
      </c>
      <c r="S15" s="14">
        <v>2400</v>
      </c>
      <c r="T15" s="14"/>
      <c r="U15" s="35">
        <f t="shared" si="1"/>
        <v>6846</v>
      </c>
    </row>
    <row r="16" ht="17.4" spans="2:21">
      <c r="B16" s="18"/>
      <c r="C16" s="19"/>
      <c r="D16" s="19"/>
      <c r="E16" s="19"/>
      <c r="F16" s="19"/>
      <c r="G16" s="20"/>
      <c r="H16" s="20"/>
      <c r="I16" s="20"/>
      <c r="J16" s="20"/>
      <c r="K16" s="20"/>
      <c r="L16" s="29"/>
      <c r="M16" s="29"/>
      <c r="N16" s="30"/>
      <c r="O16" s="30"/>
      <c r="P16" s="30"/>
      <c r="Q16" s="30"/>
      <c r="R16" s="30"/>
      <c r="S16" s="30"/>
      <c r="T16" s="30"/>
      <c r="U16" s="36"/>
    </row>
    <row r="17" ht="15.75" customHeight="1" spans="2:21">
      <c r="B17" s="21" t="s">
        <v>13</v>
      </c>
      <c r="C17" s="22"/>
      <c r="D17" s="22"/>
      <c r="E17" s="22"/>
      <c r="F17" s="23"/>
      <c r="G17" s="24"/>
      <c r="H17" s="25"/>
      <c r="I17" s="25"/>
      <c r="J17" s="25"/>
      <c r="K17" s="25"/>
      <c r="L17" s="25"/>
      <c r="M17" s="25">
        <f>SUM(M6:M16)</f>
        <v>278460</v>
      </c>
      <c r="N17" s="31"/>
      <c r="O17" s="32">
        <f>SUM(O6:O16)</f>
        <v>41769</v>
      </c>
      <c r="P17" s="25">
        <v>20</v>
      </c>
      <c r="Q17" s="32">
        <f>SUM(Q6:Q16)</f>
        <v>27800</v>
      </c>
      <c r="R17" s="25"/>
      <c r="S17" s="32">
        <f>SUM(S6:S16)</f>
        <v>33600</v>
      </c>
      <c r="T17" s="32">
        <f>SUM(T6:T16)</f>
        <v>0</v>
      </c>
      <c r="U17" s="37">
        <f>SUM(U6:U16)</f>
        <v>103169</v>
      </c>
    </row>
    <row r="18" ht="15.75" customHeight="1" spans="3:21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15.75" customHeight="1" spans="2:21">
      <c r="B19" s="26" t="s">
        <v>27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</row>
    <row r="20" spans="2:21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</row>
    <row r="21" spans="2:21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spans="2:21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2:21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2:21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spans="2:21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spans="2:2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spans="2:21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ht="30" customHeight="1" spans="2:21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</row>
  </sheetData>
  <mergeCells count="11">
    <mergeCell ref="B2:U2"/>
    <mergeCell ref="H4:K4"/>
    <mergeCell ref="N4:O4"/>
    <mergeCell ref="P4:Q4"/>
    <mergeCell ref="R4:S4"/>
    <mergeCell ref="B17:F17"/>
    <mergeCell ref="G4:G5"/>
    <mergeCell ref="T4:T5"/>
    <mergeCell ref="U4:U5"/>
    <mergeCell ref="B4:F5"/>
    <mergeCell ref="B19:U2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电话费预算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2021-09-22T11:40:00Z</dcterms:created>
  <dcterms:modified xsi:type="dcterms:W3CDTF">2022-12-03T16:08:16Z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06ACA7A403C845E19D621516FED6F95A</vt:lpwstr>
  </property>
  <property fmtid="{D5CDD505-2E9C-101B-9397-08002B2CF9AE}" pid="3" name="KSOProductBuildVer">
    <vt:lpwstr>2052-11.1.0.12763</vt:lpwstr>
  </property>
</Properties>
</file>