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75" windowWidth="20355" windowHeight="7545"/>
  </bookViews>
  <sheets>
    <sheet name="可租物业清单" sheetId="4" r:id="rId1"/>
    <sheet name="一-2、其他业务现金收入预算表" sheetId="1" r:id="rId2"/>
    <sheet name="一-5其他成本" sheetId="2" r:id="rId3"/>
    <sheet name="4、其他业务利润" sheetId="3"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132__123Graph_ACHART_2" hidden="1">#REF!</definedName>
    <definedName name="_165__123Graph_LBL_ACHART_1" hidden="1">#REF!</definedName>
    <definedName name="_198__123Graph_LBL_ACHART_2" hidden="1">#REF!</definedName>
    <definedName name="_231__123Graph_XCHART_1" hidden="1">#REF!</definedName>
    <definedName name="_264__123Graph_XCHART_2" hidden="1">#REF!</definedName>
    <definedName name="_33_">[1]RGDP!#REF!</definedName>
    <definedName name="_66UN">[2]HKBUD!#REF!</definedName>
    <definedName name="_99__123Graph_ACHART_1" hidden="1">#REF!</definedName>
    <definedName name="_A65600">[3]Control!#REF!</definedName>
    <definedName name="_A66000">[3]Control!#REF!</definedName>
    <definedName name="_A75000">[3]Control!#REF!</definedName>
    <definedName name="_KeP1">#REF!</definedName>
    <definedName name="_KeP10">#REF!</definedName>
    <definedName name="_KeP11">#REF!</definedName>
    <definedName name="_KeP12">#REF!</definedName>
    <definedName name="_KeP13">#REF!</definedName>
    <definedName name="_KeP14">#REF!</definedName>
    <definedName name="_KeP15">#REF!</definedName>
    <definedName name="_KeP16">#REF!</definedName>
    <definedName name="_KeP17">#REF!</definedName>
    <definedName name="_KeP18">#REF!</definedName>
    <definedName name="_KeP19">#REF!</definedName>
    <definedName name="_KeP2">#REF!</definedName>
    <definedName name="_KeP20">#REF!</definedName>
    <definedName name="_KeP21">#REF!</definedName>
    <definedName name="_KeP22">#REF!</definedName>
    <definedName name="_KeP23">#REF!</definedName>
    <definedName name="_KeP24">#REF!</definedName>
    <definedName name="_KeP25">#REF!</definedName>
    <definedName name="_KeP26">#REF!</definedName>
    <definedName name="_KeP27">#REF!</definedName>
    <definedName name="_KeP28">#REF!</definedName>
    <definedName name="_KeP29">#REF!</definedName>
    <definedName name="_KeP3">#REF!</definedName>
    <definedName name="_KeP30">#REF!</definedName>
    <definedName name="_KeP31">#REF!</definedName>
    <definedName name="_KeP32">#REF!</definedName>
    <definedName name="_KeP33">#REF!</definedName>
    <definedName name="_KeP34">#REF!</definedName>
    <definedName name="_KeP35">#REF!</definedName>
    <definedName name="_KeP36">#REF!</definedName>
    <definedName name="_KeP37">#REF!</definedName>
    <definedName name="_KeP38">#REF!</definedName>
    <definedName name="_KeP39">#REF!</definedName>
    <definedName name="_KeP4">#REF!</definedName>
    <definedName name="_KeP40">#REF!</definedName>
    <definedName name="_KeP41">#REF!</definedName>
    <definedName name="_KeP42">#REF!</definedName>
    <definedName name="_KeP43">#REF!</definedName>
    <definedName name="_KeP44">#REF!</definedName>
    <definedName name="_KeP45">#REF!</definedName>
    <definedName name="_KeP46">#REF!</definedName>
    <definedName name="_KeP47">#REF!</definedName>
    <definedName name="_KeP48">#REF!</definedName>
    <definedName name="_KeP49">#REF!</definedName>
    <definedName name="_KeP5">#REF!</definedName>
    <definedName name="_KeP50">#REF!</definedName>
    <definedName name="_KeP51">#REF!</definedName>
    <definedName name="_KeP52">#REF!</definedName>
    <definedName name="_KeP53">#REF!</definedName>
    <definedName name="_KeP54">#REF!</definedName>
    <definedName name="_KeP55">#REF!</definedName>
    <definedName name="_KeP56">#REF!</definedName>
    <definedName name="_KeP57">#REF!</definedName>
    <definedName name="_KeP58">#REF!</definedName>
    <definedName name="_KeP59">#REF!</definedName>
    <definedName name="_KeP6">#REF!</definedName>
    <definedName name="_KeP60">#REF!</definedName>
    <definedName name="_KeP61">#REF!</definedName>
    <definedName name="_KeP62">#REF!</definedName>
    <definedName name="_KeP63">#REF!</definedName>
    <definedName name="_KeP64">#REF!</definedName>
    <definedName name="_KeP65">#REF!</definedName>
    <definedName name="_KeP66">#REF!</definedName>
    <definedName name="_KeP67">#REF!</definedName>
    <definedName name="_KeP68">#REF!</definedName>
    <definedName name="_KeP7">#REF!</definedName>
    <definedName name="_KeP8">#REF!</definedName>
    <definedName name="_KeP9">#REF!</definedName>
    <definedName name="_Key1" hidden="1">#REF!</definedName>
    <definedName name="_Key2" hidden="1">#REF!</definedName>
    <definedName name="_LinkPic_37248C7B3E124066B287771A302E1C81">'[4]average price'!$A$2:$C$14</definedName>
    <definedName name="_LinkPic_475A41B23F8C467F86010210B21E5B4B">'[4]05年预售率'!$J$54</definedName>
    <definedName name="_LinkPic_54F4C4D08A3849E3ACB68735C6A69B59">'[4]05年预售率'!$H$41:$I$61</definedName>
    <definedName name="_LinkPic_55685CE3DB214FBCA36C229AC2B53A5F">'[5]company operations'!$N$22</definedName>
    <definedName name="_LinkPic_5AE27CE1EA194B7E832D79E4D6C5F500">'[4]average price'!$B$2:$C$14</definedName>
    <definedName name="_LinkPic_9C96745DAFF347DF99F7FD42DC5A12C3">'[4]2006年宏观调控对绿城的影响'!$A$21:$H$26</definedName>
    <definedName name="_LinkPic_A9A5B9F7B9204F1F8DEAA14267FF4D7B">'[4]05年预售率'!$H$41:$Q$50</definedName>
    <definedName name="_LinkPic_B0371C0C610B4337A172E08CD9201342">[5]hangzhou2!$A$42:$D$52</definedName>
    <definedName name="_Order1" hidden="1">255</definedName>
    <definedName name="_Order2" hidden="1">255</definedName>
    <definedName name="_Regression_Out" hidden="1">#REF!</definedName>
    <definedName name="_Regression_X" hidden="1">#REF!</definedName>
    <definedName name="_Regression_Y" hidden="1">#REF!</definedName>
    <definedName name="_Sort" hidden="1">#REF!</definedName>
    <definedName name="_Table2_In1" hidden="1">#REF!</definedName>
    <definedName name="_Table2_In2" hidden="1">#REF!</definedName>
    <definedName name="_Table2_Out" hidden="1">#REF!</definedName>
    <definedName name="_Table3_In2" hidden="1">#REF!</definedName>
    <definedName name="base">[6]Setting!$S$20</definedName>
    <definedName name="baseyear">[7]Setting!$S$20</definedName>
    <definedName name="BLPH1" hidden="1">#REF!</definedName>
    <definedName name="BS_Account_payable">[3]Control!#REF!</definedName>
    <definedName name="BS_Account_receivable">[3]Control!#REF!</definedName>
    <definedName name="BS_Advance_to_affiliates">[3]Control!#REF!</definedName>
    <definedName name="BS_amount_due_to_intercompanies">[3]Control!#REF!</definedName>
    <definedName name="BS_bank_debt_net_change">'[3]Bank Debt'!#REF!</definedName>
    <definedName name="BS_liabilites_plus_shareholders__equity">[3]Control!#REF!</definedName>
    <definedName name="CapIncP1">#REF!</definedName>
    <definedName name="CapIncP10">#REF!</definedName>
    <definedName name="CapIncP11">#REF!</definedName>
    <definedName name="CapIncP12">#REF!</definedName>
    <definedName name="CapIncP13">#REF!</definedName>
    <definedName name="CapIncP14">#REF!</definedName>
    <definedName name="CapIncP15">#REF!</definedName>
    <definedName name="CapIncP16">#REF!</definedName>
    <definedName name="CapIncP17">#REF!</definedName>
    <definedName name="CapIncP18">#REF!</definedName>
    <definedName name="CapIncP19">#REF!</definedName>
    <definedName name="CapIncP2">#REF!</definedName>
    <definedName name="CapIncP20">#REF!</definedName>
    <definedName name="CapIncP21">#REF!</definedName>
    <definedName name="CapIncP22">#REF!</definedName>
    <definedName name="CapIncP23">#REF!</definedName>
    <definedName name="CapIncP24">#REF!</definedName>
    <definedName name="CapIncP25">#REF!</definedName>
    <definedName name="CapIncP26">#REF!</definedName>
    <definedName name="CapIncP27">#REF!</definedName>
    <definedName name="CapIncP28">#REF!</definedName>
    <definedName name="CapIncP29">#REF!</definedName>
    <definedName name="CapIncP3">#REF!</definedName>
    <definedName name="CapIncP30">#REF!</definedName>
    <definedName name="CapIncP31">#REF!</definedName>
    <definedName name="CapIncP32">#REF!</definedName>
    <definedName name="CapIncP33">#REF!</definedName>
    <definedName name="CapIncP34">#REF!</definedName>
    <definedName name="CapIncP35">#REF!</definedName>
    <definedName name="CapIncP36">#REF!</definedName>
    <definedName name="CapIncP37">#REF!</definedName>
    <definedName name="CapIncP38">#REF!</definedName>
    <definedName name="CapIncP39">#REF!</definedName>
    <definedName name="CapIncP4">#REF!</definedName>
    <definedName name="CapIncP40">#REF!</definedName>
    <definedName name="CapIncP41">#REF!</definedName>
    <definedName name="CapIncP42">#REF!</definedName>
    <definedName name="CapIncP43">#REF!</definedName>
    <definedName name="CapIncP44">#REF!</definedName>
    <definedName name="CapIncP45">#REF!</definedName>
    <definedName name="CapIncP46">#REF!</definedName>
    <definedName name="CapIncP47">#REF!</definedName>
    <definedName name="CapIncP48">#REF!</definedName>
    <definedName name="CapIncP49">#REF!</definedName>
    <definedName name="CapIncP5">#REF!</definedName>
    <definedName name="CapIncP50">#REF!</definedName>
    <definedName name="CapIncP51">#REF!</definedName>
    <definedName name="CapIncP52">#REF!</definedName>
    <definedName name="CapIncP53">#REF!</definedName>
    <definedName name="CapIncP54">#REF!</definedName>
    <definedName name="CapIncP55">#REF!</definedName>
    <definedName name="CapIncP56">#REF!</definedName>
    <definedName name="CapIncP57">#REF!</definedName>
    <definedName name="CapIncP58">#REF!</definedName>
    <definedName name="CapIncP59">#REF!</definedName>
    <definedName name="CapIncP6">#REF!</definedName>
    <definedName name="CapIncP60">#REF!</definedName>
    <definedName name="CapIncP61">#REF!</definedName>
    <definedName name="CapIncP62">#REF!</definedName>
    <definedName name="CapIncP63">#REF!</definedName>
    <definedName name="CapIncP64">#REF!</definedName>
    <definedName name="CapIncP65">#REF!</definedName>
    <definedName name="CapIncP66">#REF!</definedName>
    <definedName name="CapIncP67">#REF!</definedName>
    <definedName name="CapIncP68">#REF!</definedName>
    <definedName name="CapIncP7">#REF!</definedName>
    <definedName name="CapIncP8">#REF!</definedName>
    <definedName name="CapIncP9">#REF!</definedName>
    <definedName name="capp1">#REF!</definedName>
    <definedName name="Capp10">#REF!</definedName>
    <definedName name="Capp11">#REF!</definedName>
    <definedName name="CapP12">#REF!</definedName>
    <definedName name="CapP13">#REF!</definedName>
    <definedName name="CapP14">#REF!</definedName>
    <definedName name="CapP15">#REF!</definedName>
    <definedName name="CapP16">#REF!</definedName>
    <definedName name="CapP17">#REF!</definedName>
    <definedName name="CapP18">#REF!</definedName>
    <definedName name="CapP19">#REF!</definedName>
    <definedName name="Capp2">#REF!</definedName>
    <definedName name="CapP20">#REF!</definedName>
    <definedName name="CapP21">#REF!</definedName>
    <definedName name="CapP22">#REF!</definedName>
    <definedName name="CapP23">#REF!</definedName>
    <definedName name="CapP24">#REF!</definedName>
    <definedName name="CapP25">#REF!</definedName>
    <definedName name="CapP26">#REF!</definedName>
    <definedName name="CapP27">#REF!</definedName>
    <definedName name="CapP28">#REF!</definedName>
    <definedName name="CapP29">#REF!</definedName>
    <definedName name="Capp3">#REF!</definedName>
    <definedName name="CapP30">#REF!</definedName>
    <definedName name="CapP31">#REF!</definedName>
    <definedName name="CapP32">#REF!</definedName>
    <definedName name="CapP33">#REF!</definedName>
    <definedName name="CapP34">#REF!</definedName>
    <definedName name="CAPP35">#REF!</definedName>
    <definedName name="CAPP36">#REF!</definedName>
    <definedName name="CAPP37">#REF!</definedName>
    <definedName name="CAPP38">#REF!</definedName>
    <definedName name="CAPP39">#REF!</definedName>
    <definedName name="Capp4">#REF!</definedName>
    <definedName name="CAPP40">#REF!</definedName>
    <definedName name="CAPP41">#REF!</definedName>
    <definedName name="CAPP42">#REF!</definedName>
    <definedName name="CAPP43">#REF!</definedName>
    <definedName name="CAPP44">#REF!</definedName>
    <definedName name="CAPP45">#REF!</definedName>
    <definedName name="CAPP46">#REF!</definedName>
    <definedName name="CAPP47">#REF!</definedName>
    <definedName name="CAPP48">#REF!</definedName>
    <definedName name="CAPP49">#REF!</definedName>
    <definedName name="Capp5">#REF!</definedName>
    <definedName name="CAPP50">#REF!</definedName>
    <definedName name="CAPP51">#REF!</definedName>
    <definedName name="CAPP52">#REF!</definedName>
    <definedName name="CAPP53">#REF!</definedName>
    <definedName name="CAPP54">#REF!</definedName>
    <definedName name="CAPP55">#REF!</definedName>
    <definedName name="CAPP56">#REF!</definedName>
    <definedName name="CAPP57">#REF!</definedName>
    <definedName name="CAPP58">#REF!</definedName>
    <definedName name="CAPP59">#REF!</definedName>
    <definedName name="Capp6">#REF!</definedName>
    <definedName name="CAPP60">#REF!</definedName>
    <definedName name="CAPP61">#REF!</definedName>
    <definedName name="CAPP62">#REF!</definedName>
    <definedName name="CAPP63">#REF!</definedName>
    <definedName name="CAPP64">#REF!</definedName>
    <definedName name="CAPP65">#REF!</definedName>
    <definedName name="CAPP66">#REF!</definedName>
    <definedName name="CAPP67">#REF!</definedName>
    <definedName name="CAPP68">#REF!</definedName>
    <definedName name="Capp7">#REF!</definedName>
    <definedName name="Capp8">#REF!</definedName>
    <definedName name="Capp9">#REF!</definedName>
    <definedName name="Car_park_GFA">[3]GFA!#REF!</definedName>
    <definedName name="dbTitle_builder">[8]G2TempSheet!$C$4</definedName>
    <definedName name="dbTitle_projectname">[8]G2TempSheet!$D$4</definedName>
    <definedName name="dbTitle_title">[8]G2TempSheet!$B$4</definedName>
    <definedName name="Delievery_Quarter">[3]Control!#REF!</definedName>
    <definedName name="Discount_rate_I">#REF!</definedName>
    <definedName name="Discount_rate_II">#REF!</definedName>
    <definedName name="DocType" localSheetId="3">Word</definedName>
    <definedName name="DocType" localSheetId="2">Word</definedName>
    <definedName name="DocType">Word</definedName>
    <definedName name="million">'[9]Financial highligts'!$C$39</definedName>
    <definedName name="P200_PreLATRate">[3]Control!#REF!</definedName>
    <definedName name="P67_PreLATRate">[3]Control!#REF!</definedName>
    <definedName name="P68_PreLATRate">[3]Control!#REF!</definedName>
    <definedName name="payable_to_third_party">[3]Control!#REF!</definedName>
    <definedName name="pbPrinterFormat">"\\nhkgc040pps1\PHKG00311 on Ne03:"</definedName>
    <definedName name="receivable_from_third_party">[3]Control!#REF!</definedName>
    <definedName name="RMB">[10]Sheet1!$C$1</definedName>
    <definedName name="Share_Capital">[3]Control!#REF!</definedName>
    <definedName name="stakeP1">[3]Control!#REF!</definedName>
    <definedName name="stakeP10">[3]Control!#REF!</definedName>
    <definedName name="stakeP11">[3]Control!#REF!</definedName>
    <definedName name="stakeP12">[3]Control!#REF!</definedName>
    <definedName name="stakeP13">[3]Control!#REF!</definedName>
    <definedName name="stakeP14">[3]Control!#REF!</definedName>
    <definedName name="stakeP15">[3]Control!#REF!</definedName>
    <definedName name="stakeP16">[3]Control!#REF!</definedName>
    <definedName name="stakeP17">[3]Control!#REF!</definedName>
    <definedName name="stakeP18">[3]Control!#REF!</definedName>
    <definedName name="stakeP19">[3]Control!#REF!</definedName>
    <definedName name="stakeP2">[3]Control!#REF!</definedName>
    <definedName name="stakeP20">[3]Control!#REF!</definedName>
    <definedName name="stakeP21">[3]Control!#REF!</definedName>
    <definedName name="stakeP22">[3]Control!#REF!</definedName>
    <definedName name="stakeP23">[3]Control!#REF!</definedName>
    <definedName name="stakeP24">[3]Control!#REF!</definedName>
    <definedName name="stakeP25">[3]Control!#REF!</definedName>
    <definedName name="stakeP26">[3]Control!#REF!</definedName>
    <definedName name="stakeP27">[3]Control!#REF!</definedName>
    <definedName name="stakeP28">[3]Control!#REF!</definedName>
    <definedName name="stakeP29">[3]Control!#REF!</definedName>
    <definedName name="stakeP3">[3]Control!#REF!</definedName>
    <definedName name="stakeP30">[3]Control!#REF!</definedName>
    <definedName name="stakeP31">[3]Control!#REF!</definedName>
    <definedName name="stakeP32">[3]Control!#REF!</definedName>
    <definedName name="stakeP33">[3]Control!#REF!</definedName>
    <definedName name="stakeP34">[3]Control!#REF!</definedName>
    <definedName name="stakeP35">[3]Control!#REF!</definedName>
    <definedName name="stakeP36">[3]Control!#REF!</definedName>
    <definedName name="stakeP37">[3]Control!#REF!</definedName>
    <definedName name="stakeP38">[3]Control!#REF!</definedName>
    <definedName name="stakeP39">[3]Control!#REF!</definedName>
    <definedName name="stakeP4">[3]Control!#REF!</definedName>
    <definedName name="stakeP40">[3]Control!#REF!</definedName>
    <definedName name="stakeP41">[3]Control!#REF!</definedName>
    <definedName name="stakeP42">[3]Control!#REF!</definedName>
    <definedName name="stakeP43">[3]Control!#REF!</definedName>
    <definedName name="stakeP44">[3]Control!#REF!</definedName>
    <definedName name="stakeP45">[3]Control!#REF!</definedName>
    <definedName name="stakeP46">[3]Control!#REF!</definedName>
    <definedName name="stakeP47">[3]Control!#REF!</definedName>
    <definedName name="stakeP48">[3]Control!#REF!</definedName>
    <definedName name="stakeP49">[3]Control!#REF!</definedName>
    <definedName name="stakeP5">[3]Control!#REF!</definedName>
    <definedName name="stakeP50">[3]Control!#REF!</definedName>
    <definedName name="stakeP51">[3]Control!#REF!</definedName>
    <definedName name="stakeP52">[3]Control!#REF!</definedName>
    <definedName name="stakeP53">[3]Control!#REF!</definedName>
    <definedName name="stakeP54">[3]Control!#REF!</definedName>
    <definedName name="stakeP55">[3]Control!#REF!</definedName>
    <definedName name="stakeP56">[3]Control!#REF!</definedName>
    <definedName name="stakeP57">[3]Control!#REF!</definedName>
    <definedName name="stakeP58">[3]Control!#REF!</definedName>
    <definedName name="stakeP59">[3]Control!#REF!</definedName>
    <definedName name="stakeP6">[3]Control!#REF!</definedName>
    <definedName name="stakeP60">[3]Control!#REF!</definedName>
    <definedName name="stakeP61">[3]Control!#REF!</definedName>
    <definedName name="stakeP62">[3]Control!#REF!</definedName>
    <definedName name="stakeP63">[3]Control!#REF!</definedName>
    <definedName name="stakeP64">[3]Control!#REF!</definedName>
    <definedName name="stakeP65">[3]Control!#REF!</definedName>
    <definedName name="stakeP66">[3]Control!#REF!</definedName>
    <definedName name="stakeP67">[3]Control!#REF!</definedName>
    <definedName name="stakeP68">[3]Control!#REF!</definedName>
    <definedName name="stakeP7">[3]Control!#REF!</definedName>
    <definedName name="stakeP8">[3]Control!#REF!</definedName>
    <definedName name="stakeP9">[3]Control!#REF!</definedName>
    <definedName name="USD">'[9]Financial highligts'!$C$40</definedName>
    <definedName name="ValuationOffset">#REF!</definedName>
    <definedName name="wrn.All._.Stock_10_12_14." localSheetId="3"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localSheetId="2"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Stock_10_12_14." hidden="1">{"Has Gets","$10, All Stock, Purchase",FALSE,"Has Gets";"Has Gets","$10, All Stock, Pooling",FALSE,"Has Gets";"Has Gets","$12, All Stock, Purchase",FALSE,"Has Gets";"Has Gets","$12, All Stock, Pooling",FALSE,"Has Gets";"Has Gets","$14, All Stock, Purchase",FALSE,"Has Gets";"Has Gets","$14, All Stock, Pooling",FALSE,"Has Gets"}</definedName>
    <definedName name="部门">[11]参数!$A$2:$A$13</definedName>
    <definedName name="开发间接费用">#REF!</definedName>
  </definedNames>
  <calcPr calcId="145621"/>
</workbook>
</file>

<file path=xl/calcChain.xml><?xml version="1.0" encoding="utf-8"?>
<calcChain xmlns="http://schemas.openxmlformats.org/spreadsheetml/2006/main">
  <c r="A4" i="3" l="1"/>
  <c r="A4" i="2"/>
  <c r="F4" i="1"/>
  <c r="A4" i="1"/>
  <c r="R15" i="3" l="1"/>
  <c r="Q15" i="3"/>
  <c r="P15" i="3"/>
  <c r="N15" i="3"/>
  <c r="M15" i="3"/>
  <c r="L15" i="3"/>
  <c r="J15" i="3"/>
  <c r="I15" i="3"/>
  <c r="H15" i="3"/>
  <c r="F15" i="3"/>
  <c r="E15" i="3"/>
  <c r="D15" i="3"/>
  <c r="R14" i="3"/>
  <c r="Q14" i="3"/>
  <c r="P14" i="3"/>
  <c r="N14" i="3"/>
  <c r="M14" i="3"/>
  <c r="L14" i="3"/>
  <c r="J14" i="3"/>
  <c r="I14" i="3"/>
  <c r="H14" i="3"/>
  <c r="F14" i="3"/>
  <c r="E14" i="3"/>
  <c r="D14" i="3"/>
  <c r="R10" i="3"/>
  <c r="Q10" i="3"/>
  <c r="P10" i="3"/>
  <c r="N10" i="3"/>
  <c r="M10" i="3"/>
  <c r="L10" i="3"/>
  <c r="J10" i="3"/>
  <c r="I10" i="3"/>
  <c r="G10" i="3" s="1"/>
  <c r="H10" i="3"/>
  <c r="F10" i="3"/>
  <c r="E10" i="3"/>
  <c r="D10" i="3"/>
  <c r="R9" i="3"/>
  <c r="Q9" i="3"/>
  <c r="P9" i="3"/>
  <c r="N9" i="3"/>
  <c r="M9" i="3"/>
  <c r="L9" i="3"/>
  <c r="J9" i="3"/>
  <c r="I9" i="3"/>
  <c r="H9" i="3"/>
  <c r="F9" i="3"/>
  <c r="E9" i="3"/>
  <c r="D9" i="3"/>
  <c r="R8" i="3"/>
  <c r="Q8" i="3"/>
  <c r="P8" i="3"/>
  <c r="N8" i="3"/>
  <c r="M8" i="3"/>
  <c r="L8" i="3"/>
  <c r="J8" i="3"/>
  <c r="I8" i="3"/>
  <c r="H8" i="3"/>
  <c r="F8" i="3"/>
  <c r="E8" i="3"/>
  <c r="D8" i="3"/>
  <c r="D24" i="3"/>
  <c r="F24" i="3" s="1"/>
  <c r="F23" i="3"/>
  <c r="D23" i="3"/>
  <c r="F20" i="3"/>
  <c r="O15" i="3"/>
  <c r="K15" i="3"/>
  <c r="G15" i="3"/>
  <c r="C15" i="3"/>
  <c r="O14" i="3"/>
  <c r="K14" i="3"/>
  <c r="G14" i="3"/>
  <c r="C14" i="3"/>
  <c r="S12" i="3"/>
  <c r="U12" i="3" s="1"/>
  <c r="V12" i="3" s="1"/>
  <c r="C11" i="3"/>
  <c r="O10" i="3"/>
  <c r="K10" i="3"/>
  <c r="C10" i="3"/>
  <c r="O9" i="3"/>
  <c r="K9" i="3"/>
  <c r="G9" i="3"/>
  <c r="C9" i="3"/>
  <c r="O8" i="3"/>
  <c r="K8" i="3"/>
  <c r="G8" i="3"/>
  <c r="C8" i="3"/>
  <c r="O15" i="2"/>
  <c r="K15" i="2"/>
  <c r="S15" i="2" s="1"/>
  <c r="G15" i="2"/>
  <c r="C15" i="2"/>
  <c r="O14" i="2"/>
  <c r="S14" i="2" s="1"/>
  <c r="K14" i="2"/>
  <c r="G14" i="2"/>
  <c r="C14" i="2"/>
  <c r="O13" i="2"/>
  <c r="K13" i="2"/>
  <c r="S13" i="2" s="1"/>
  <c r="G13" i="2"/>
  <c r="C13" i="2"/>
  <c r="O12" i="2"/>
  <c r="S12" i="2" s="1"/>
  <c r="K12" i="2"/>
  <c r="G12" i="2"/>
  <c r="C12" i="2"/>
  <c r="O11" i="2"/>
  <c r="K11" i="2"/>
  <c r="S11" i="2" s="1"/>
  <c r="G11" i="2"/>
  <c r="C11" i="2"/>
  <c r="O10" i="2"/>
  <c r="S10" i="2" s="1"/>
  <c r="K10" i="2"/>
  <c r="G10" i="2"/>
  <c r="C10" i="2"/>
  <c r="O9" i="2"/>
  <c r="K9" i="2"/>
  <c r="S9" i="2" s="1"/>
  <c r="G9" i="2"/>
  <c r="C9" i="2"/>
  <c r="R8" i="2"/>
  <c r="R16" i="2" s="1"/>
  <c r="Q8" i="2"/>
  <c r="Q16" i="2" s="1"/>
  <c r="P8" i="2"/>
  <c r="N8" i="2"/>
  <c r="N16" i="2" s="1"/>
  <c r="M8" i="2"/>
  <c r="M16" i="2" s="1"/>
  <c r="L8" i="2"/>
  <c r="J8" i="2"/>
  <c r="J16" i="2" s="1"/>
  <c r="I8" i="2"/>
  <c r="I16" i="2" s="1"/>
  <c r="H8" i="2"/>
  <c r="G8" i="2" s="1"/>
  <c r="G16" i="2" s="1"/>
  <c r="F8" i="2"/>
  <c r="F16" i="2" s="1"/>
  <c r="E8" i="2"/>
  <c r="E16" i="2" s="1"/>
  <c r="D8" i="2"/>
  <c r="C8" i="2" s="1"/>
  <c r="C16" i="2" s="1"/>
  <c r="K4" i="2"/>
  <c r="O4" i="3" s="1"/>
  <c r="C17" i="1"/>
  <c r="S16" i="1"/>
  <c r="O16" i="1"/>
  <c r="K16" i="1"/>
  <c r="G16" i="1"/>
  <c r="W16" i="1" s="1"/>
  <c r="E16" i="1"/>
  <c r="S15" i="1"/>
  <c r="W15" i="1" s="1"/>
  <c r="O15" i="1"/>
  <c r="K15" i="1"/>
  <c r="G15" i="1"/>
  <c r="E15" i="1"/>
  <c r="X15" i="1" s="1"/>
  <c r="S14" i="1"/>
  <c r="W14" i="1" s="1"/>
  <c r="X14" i="1" s="1"/>
  <c r="O14" i="1"/>
  <c r="K14" i="1"/>
  <c r="G14" i="1"/>
  <c r="E14" i="1"/>
  <c r="S13" i="1"/>
  <c r="O13" i="1"/>
  <c r="K13" i="1"/>
  <c r="W13" i="1" s="1"/>
  <c r="X13" i="1" s="1"/>
  <c r="G13" i="1"/>
  <c r="E13" i="1"/>
  <c r="S12" i="1"/>
  <c r="O12" i="1"/>
  <c r="K12" i="1"/>
  <c r="G12" i="1"/>
  <c r="E12" i="1"/>
  <c r="S11" i="1"/>
  <c r="W11" i="1" s="1"/>
  <c r="O11" i="1"/>
  <c r="K11" i="1"/>
  <c r="G11" i="1"/>
  <c r="E11" i="1"/>
  <c r="X11" i="1" s="1"/>
  <c r="V17" i="1"/>
  <c r="R11" i="3" s="1"/>
  <c r="U17" i="1"/>
  <c r="Q11" i="3" s="1"/>
  <c r="T17" i="1"/>
  <c r="P11" i="3" s="1"/>
  <c r="R17" i="1"/>
  <c r="N11" i="3" s="1"/>
  <c r="Q17" i="1"/>
  <c r="M11" i="3" s="1"/>
  <c r="P17" i="1"/>
  <c r="L11" i="3" s="1"/>
  <c r="N17" i="1"/>
  <c r="J11" i="3" s="1"/>
  <c r="M17" i="1"/>
  <c r="I11" i="3" s="1"/>
  <c r="L17" i="1"/>
  <c r="H11" i="3" s="1"/>
  <c r="J10" i="1"/>
  <c r="J17" i="1" s="1"/>
  <c r="F11" i="3" s="1"/>
  <c r="I10" i="1"/>
  <c r="I17" i="1" s="1"/>
  <c r="E11" i="3" s="1"/>
  <c r="H10" i="1"/>
  <c r="H17" i="1" s="1"/>
  <c r="D11" i="3" s="1"/>
  <c r="E10" i="1"/>
  <c r="D10" i="1"/>
  <c r="D17" i="1" s="1"/>
  <c r="W12" i="1" l="1"/>
  <c r="O8" i="2"/>
  <c r="K8" i="2"/>
  <c r="K16" i="2" s="1"/>
  <c r="S8" i="3"/>
  <c r="U8" i="3" s="1"/>
  <c r="V8" i="3" s="1"/>
  <c r="S9" i="3"/>
  <c r="U9" i="3" s="1"/>
  <c r="V9" i="3" s="1"/>
  <c r="S10" i="3"/>
  <c r="U10" i="3" s="1"/>
  <c r="V10" i="3" s="1"/>
  <c r="S15" i="3"/>
  <c r="U15" i="3" s="1"/>
  <c r="V15" i="3" s="1"/>
  <c r="S14" i="3"/>
  <c r="U14" i="3" s="1"/>
  <c r="V14" i="3" s="1"/>
  <c r="E13" i="3"/>
  <c r="E16" i="3" s="1"/>
  <c r="E17" i="3" s="1"/>
  <c r="I13" i="3"/>
  <c r="I16" i="3" s="1"/>
  <c r="I17" i="3" s="1"/>
  <c r="M13" i="3"/>
  <c r="M16" i="3" s="1"/>
  <c r="M17" i="3" s="1"/>
  <c r="Q13" i="3"/>
  <c r="Q16" i="3" s="1"/>
  <c r="Q17" i="3" s="1"/>
  <c r="D22" i="3"/>
  <c r="F22" i="3" s="1"/>
  <c r="F13" i="3"/>
  <c r="F16" i="3" s="1"/>
  <c r="F17" i="3" s="1"/>
  <c r="J13" i="3"/>
  <c r="J16" i="3" s="1"/>
  <c r="J17" i="3" s="1"/>
  <c r="N13" i="3"/>
  <c r="N16" i="3" s="1"/>
  <c r="N17" i="3" s="1"/>
  <c r="R13" i="3"/>
  <c r="R16" i="3" s="1"/>
  <c r="R17" i="3" s="1"/>
  <c r="D21" i="3"/>
  <c r="F21" i="3" s="1"/>
  <c r="F26" i="3" s="1"/>
  <c r="F28" i="3" s="1"/>
  <c r="D13" i="3"/>
  <c r="H13" i="3"/>
  <c r="L13" i="3"/>
  <c r="P13" i="3"/>
  <c r="O16" i="2"/>
  <c r="S8" i="2"/>
  <c r="S16" i="2" s="1"/>
  <c r="D16" i="2"/>
  <c r="H16" i="2"/>
  <c r="L16" i="2"/>
  <c r="P16" i="2"/>
  <c r="X12" i="1"/>
  <c r="X16" i="1"/>
  <c r="E17" i="1"/>
  <c r="G10" i="1"/>
  <c r="G17" i="1" s="1"/>
  <c r="K10" i="1"/>
  <c r="K17" i="1" s="1"/>
  <c r="G11" i="3" s="1"/>
  <c r="O10" i="1"/>
  <c r="O17" i="1" s="1"/>
  <c r="K11" i="3" s="1"/>
  <c r="S10" i="1"/>
  <c r="K13" i="3" l="1"/>
  <c r="K16" i="3" s="1"/>
  <c r="K17" i="3" s="1"/>
  <c r="L16" i="3"/>
  <c r="L17" i="3" s="1"/>
  <c r="G13" i="3"/>
  <c r="G16" i="3" s="1"/>
  <c r="G17" i="3" s="1"/>
  <c r="H16" i="3"/>
  <c r="H17" i="3" s="1"/>
  <c r="C13" i="3"/>
  <c r="C16" i="3" s="1"/>
  <c r="C17" i="3" s="1"/>
  <c r="D16" i="3"/>
  <c r="D17" i="3" s="1"/>
  <c r="O13" i="3"/>
  <c r="P16" i="3"/>
  <c r="P17" i="3" s="1"/>
  <c r="W10" i="1"/>
  <c r="S17" i="1"/>
  <c r="O11" i="3" s="1"/>
  <c r="S11" i="3" s="1"/>
  <c r="U11" i="3" s="1"/>
  <c r="V11" i="3" s="1"/>
  <c r="O16" i="3" l="1"/>
  <c r="S13" i="3"/>
  <c r="U13" i="3" s="1"/>
  <c r="V13" i="3" s="1"/>
  <c r="W17" i="1"/>
  <c r="X10" i="1"/>
  <c r="X17" i="1" s="1"/>
  <c r="S16" i="3" l="1"/>
  <c r="U16" i="3" s="1"/>
  <c r="V16" i="3" s="1"/>
  <c r="O17" i="3"/>
  <c r="S17" i="3" s="1"/>
  <c r="U17" i="3" s="1"/>
  <c r="V17" i="3" s="1"/>
</calcChain>
</file>

<file path=xl/sharedStrings.xml><?xml version="1.0" encoding="utf-8"?>
<sst xmlns="http://schemas.openxmlformats.org/spreadsheetml/2006/main" count="145" uniqueCount="118">
  <si>
    <t>附表：2</t>
    <phoneticPr fontId="3" type="noConversion"/>
  </si>
  <si>
    <t>返回</t>
  </si>
  <si>
    <t xml:space="preserve">           其他业务收入现金预算表　　　　　　　</t>
    <phoneticPr fontId="3" type="noConversion"/>
  </si>
  <si>
    <t>单位：万元</t>
    <phoneticPr fontId="3" type="noConversion"/>
  </si>
  <si>
    <t>项    目</t>
  </si>
  <si>
    <t>上年转入本年应收帐款</t>
    <phoneticPr fontId="3" type="noConversion"/>
  </si>
  <si>
    <t>本年预计新增营业额</t>
    <phoneticPr fontId="3" type="noConversion"/>
  </si>
  <si>
    <t>本年预计应收营业额</t>
    <phoneticPr fontId="3" type="noConversion"/>
  </si>
  <si>
    <t>收款率％</t>
    <phoneticPr fontId="3" type="noConversion"/>
  </si>
  <si>
    <t>全年预计现金流入量</t>
    <phoneticPr fontId="3" type="noConversion"/>
  </si>
  <si>
    <t>应收未收帐款余额</t>
    <phoneticPr fontId="3" type="noConversion"/>
  </si>
  <si>
    <t>预算责任人</t>
    <phoneticPr fontId="3" type="noConversion"/>
  </si>
  <si>
    <t>１季度</t>
    <phoneticPr fontId="3" type="noConversion"/>
  </si>
  <si>
    <t>1月</t>
    <phoneticPr fontId="3" type="noConversion"/>
  </si>
  <si>
    <t>2月</t>
    <phoneticPr fontId="3" type="noConversion"/>
  </si>
  <si>
    <t>3月</t>
    <phoneticPr fontId="3" type="noConversion"/>
  </si>
  <si>
    <t>２季度</t>
    <phoneticPr fontId="3" type="noConversion"/>
  </si>
  <si>
    <t>4月</t>
    <phoneticPr fontId="3" type="noConversion"/>
  </si>
  <si>
    <t>5月</t>
    <phoneticPr fontId="3" type="noConversion"/>
  </si>
  <si>
    <t>6月</t>
    <phoneticPr fontId="3" type="noConversion"/>
  </si>
  <si>
    <t>３季度</t>
    <phoneticPr fontId="3" type="noConversion"/>
  </si>
  <si>
    <t>7月</t>
    <phoneticPr fontId="3" type="noConversion"/>
  </si>
  <si>
    <t>8月</t>
    <phoneticPr fontId="3" type="noConversion"/>
  </si>
  <si>
    <t>9月</t>
    <phoneticPr fontId="3" type="noConversion"/>
  </si>
  <si>
    <t>４季度</t>
    <phoneticPr fontId="3" type="noConversion"/>
  </si>
  <si>
    <t>10月</t>
    <phoneticPr fontId="3" type="noConversion"/>
  </si>
  <si>
    <t>11月</t>
    <phoneticPr fontId="3" type="noConversion"/>
  </si>
  <si>
    <t>12月</t>
    <phoneticPr fontId="3" type="noConversion"/>
  </si>
  <si>
    <t>合计</t>
    <phoneticPr fontId="3" type="noConversion"/>
  </si>
  <si>
    <t>金额</t>
    <phoneticPr fontId="3" type="noConversion"/>
  </si>
  <si>
    <t>(1)</t>
    <phoneticPr fontId="3" type="noConversion"/>
  </si>
  <si>
    <t>(2)</t>
    <phoneticPr fontId="3" type="noConversion"/>
  </si>
  <si>
    <t>(3)=(1)+(2)</t>
    <phoneticPr fontId="3" type="noConversion"/>
  </si>
  <si>
    <t>(4)</t>
    <phoneticPr fontId="3" type="noConversion"/>
  </si>
  <si>
    <t>(5)</t>
    <phoneticPr fontId="3" type="noConversion"/>
  </si>
  <si>
    <t>(6)</t>
    <phoneticPr fontId="3" type="noConversion"/>
  </si>
  <si>
    <t>(7)</t>
    <phoneticPr fontId="3" type="noConversion"/>
  </si>
  <si>
    <t>(8)</t>
    <phoneticPr fontId="3" type="noConversion"/>
  </si>
  <si>
    <t>(9)=(3)*(4)=(5)+(6)+(7)+(8)</t>
    <phoneticPr fontId="3" type="noConversion"/>
  </si>
  <si>
    <t>(10)=(3)-(9)</t>
    <phoneticPr fontId="3" type="noConversion"/>
  </si>
  <si>
    <t>其他业务收入</t>
    <phoneticPr fontId="3" type="noConversion"/>
  </si>
  <si>
    <t>一、租金收入</t>
    <phoneticPr fontId="3" type="noConversion"/>
  </si>
  <si>
    <t>二、物业收入</t>
    <phoneticPr fontId="3" type="noConversion"/>
  </si>
  <si>
    <t>三、车位租金收入</t>
    <phoneticPr fontId="3" type="noConversion"/>
  </si>
  <si>
    <t>四、其他收入</t>
    <phoneticPr fontId="3" type="noConversion"/>
  </si>
  <si>
    <t>编制说明：</t>
    <phoneticPr fontId="3" type="noConversion"/>
  </si>
  <si>
    <t>制表人：</t>
    <phoneticPr fontId="3" type="noConversion"/>
  </si>
  <si>
    <r>
      <t>1</t>
    </r>
    <r>
      <rPr>
        <sz val="10"/>
        <rFont val="宋体"/>
        <family val="3"/>
        <charset val="134"/>
      </rPr>
      <t>、上年转入本年应收未收款；</t>
    </r>
    <phoneticPr fontId="3" type="noConversion"/>
  </si>
  <si>
    <r>
      <t>2</t>
    </r>
    <r>
      <rPr>
        <sz val="10"/>
        <rFont val="宋体"/>
        <family val="3"/>
        <charset val="134"/>
      </rPr>
      <t>、本年预计销售收入：指依据预算年度经营计划，本年当期应该实现的销售收入；</t>
    </r>
    <phoneticPr fontId="3" type="noConversion"/>
  </si>
  <si>
    <r>
      <t>3</t>
    </r>
    <r>
      <rPr>
        <sz val="10"/>
        <rFont val="宋体"/>
        <family val="3"/>
        <charset val="134"/>
      </rPr>
      <t>、指本年应该达到的现金收入总额，即“（</t>
    </r>
    <r>
      <rPr>
        <sz val="10"/>
        <rFont val="Times New Roman"/>
        <family val="1"/>
      </rPr>
      <t>1</t>
    </r>
    <r>
      <rPr>
        <sz val="10"/>
        <rFont val="宋体"/>
        <family val="3"/>
        <charset val="134"/>
      </rPr>
      <t>）”</t>
    </r>
    <r>
      <rPr>
        <sz val="10"/>
        <rFont val="Times New Roman"/>
        <family val="1"/>
      </rPr>
      <t>+</t>
    </r>
    <r>
      <rPr>
        <sz val="10"/>
        <rFont val="宋体"/>
        <family val="3"/>
        <charset val="134"/>
      </rPr>
      <t>“（</t>
    </r>
    <r>
      <rPr>
        <sz val="10"/>
        <rFont val="Times New Roman"/>
        <family val="1"/>
      </rPr>
      <t>2</t>
    </r>
    <r>
      <rPr>
        <sz val="10"/>
        <rFont val="宋体"/>
        <family val="3"/>
        <charset val="134"/>
      </rPr>
      <t>）”的合计数；</t>
    </r>
    <phoneticPr fontId="3" type="noConversion"/>
  </si>
  <si>
    <r>
      <t>4</t>
    </r>
    <r>
      <rPr>
        <sz val="10"/>
        <rFont val="宋体"/>
        <family val="3"/>
        <charset val="134"/>
      </rPr>
      <t>、预计现金流入额：各级公司应根据“其他业务收入”会计科目明细填列，预计应该在本年实现的现金流入数按照月度分解；</t>
    </r>
    <phoneticPr fontId="3" type="noConversion"/>
  </si>
  <si>
    <r>
      <t>5</t>
    </r>
    <r>
      <rPr>
        <sz val="10"/>
        <rFont val="宋体"/>
        <family val="3"/>
        <charset val="134"/>
      </rPr>
      <t>、应收未收帐款余额：</t>
    </r>
    <phoneticPr fontId="3" type="noConversion"/>
  </si>
  <si>
    <t>附表一-5</t>
    <phoneticPr fontId="3" type="noConversion"/>
  </si>
  <si>
    <t xml:space="preserve"> 其他业务成本支出现金预算表   </t>
    <phoneticPr fontId="3" type="noConversion"/>
  </si>
  <si>
    <t>项目</t>
    <phoneticPr fontId="3" type="noConversion"/>
  </si>
  <si>
    <t>全年预计现金流出量</t>
    <phoneticPr fontId="3" type="noConversion"/>
  </si>
  <si>
    <r>
      <t>1</t>
    </r>
    <r>
      <rPr>
        <b/>
        <sz val="12"/>
        <rFont val="宋体"/>
        <family val="3"/>
        <charset val="134"/>
      </rPr>
      <t>季度</t>
    </r>
    <phoneticPr fontId="3" type="noConversion"/>
  </si>
  <si>
    <r>
      <t>1</t>
    </r>
    <r>
      <rPr>
        <b/>
        <sz val="12"/>
        <rFont val="宋体"/>
        <family val="3"/>
        <charset val="134"/>
      </rPr>
      <t>月</t>
    </r>
    <phoneticPr fontId="3" type="noConversion"/>
  </si>
  <si>
    <r>
      <t>2</t>
    </r>
    <r>
      <rPr>
        <b/>
        <sz val="12"/>
        <rFont val="宋体"/>
        <family val="3"/>
        <charset val="134"/>
      </rPr>
      <t>月</t>
    </r>
    <phoneticPr fontId="3" type="noConversion"/>
  </si>
  <si>
    <r>
      <t>3</t>
    </r>
    <r>
      <rPr>
        <b/>
        <sz val="12"/>
        <rFont val="宋体"/>
        <family val="3"/>
        <charset val="134"/>
      </rPr>
      <t>月</t>
    </r>
    <phoneticPr fontId="3" type="noConversion"/>
  </si>
  <si>
    <r>
      <t>2</t>
    </r>
    <r>
      <rPr>
        <b/>
        <sz val="12"/>
        <rFont val="宋体"/>
        <family val="3"/>
        <charset val="134"/>
      </rPr>
      <t>季度</t>
    </r>
    <phoneticPr fontId="3" type="noConversion"/>
  </si>
  <si>
    <r>
      <t>4</t>
    </r>
    <r>
      <rPr>
        <b/>
        <sz val="12"/>
        <rFont val="宋体"/>
        <family val="3"/>
        <charset val="134"/>
      </rPr>
      <t>月</t>
    </r>
    <phoneticPr fontId="3" type="noConversion"/>
  </si>
  <si>
    <r>
      <t>5</t>
    </r>
    <r>
      <rPr>
        <b/>
        <sz val="12"/>
        <rFont val="宋体"/>
        <family val="3"/>
        <charset val="134"/>
      </rPr>
      <t>月</t>
    </r>
    <phoneticPr fontId="3" type="noConversion"/>
  </si>
  <si>
    <r>
      <t>6</t>
    </r>
    <r>
      <rPr>
        <b/>
        <sz val="12"/>
        <rFont val="宋体"/>
        <family val="3"/>
        <charset val="134"/>
      </rPr>
      <t>月</t>
    </r>
    <phoneticPr fontId="3" type="noConversion"/>
  </si>
  <si>
    <r>
      <t>3</t>
    </r>
    <r>
      <rPr>
        <b/>
        <sz val="12"/>
        <rFont val="宋体"/>
        <family val="3"/>
        <charset val="134"/>
      </rPr>
      <t>季度</t>
    </r>
  </si>
  <si>
    <r>
      <t>7</t>
    </r>
    <r>
      <rPr>
        <b/>
        <sz val="12"/>
        <rFont val="宋体"/>
        <family val="3"/>
        <charset val="134"/>
      </rPr>
      <t>月</t>
    </r>
    <phoneticPr fontId="3" type="noConversion"/>
  </si>
  <si>
    <r>
      <t>8</t>
    </r>
    <r>
      <rPr>
        <b/>
        <sz val="12"/>
        <rFont val="宋体"/>
        <family val="3"/>
        <charset val="134"/>
      </rPr>
      <t>月</t>
    </r>
    <phoneticPr fontId="3" type="noConversion"/>
  </si>
  <si>
    <r>
      <t>9</t>
    </r>
    <r>
      <rPr>
        <b/>
        <sz val="12"/>
        <rFont val="宋体"/>
        <family val="3"/>
        <charset val="134"/>
      </rPr>
      <t>月</t>
    </r>
    <phoneticPr fontId="3" type="noConversion"/>
  </si>
  <si>
    <r>
      <t>4</t>
    </r>
    <r>
      <rPr>
        <b/>
        <sz val="12"/>
        <rFont val="宋体"/>
        <family val="3"/>
        <charset val="134"/>
      </rPr>
      <t>季度</t>
    </r>
  </si>
  <si>
    <r>
      <t>10</t>
    </r>
    <r>
      <rPr>
        <b/>
        <sz val="12"/>
        <rFont val="宋体"/>
        <family val="3"/>
        <charset val="134"/>
      </rPr>
      <t>月</t>
    </r>
    <phoneticPr fontId="3" type="noConversion"/>
  </si>
  <si>
    <r>
      <t>11</t>
    </r>
    <r>
      <rPr>
        <b/>
        <sz val="12"/>
        <rFont val="宋体"/>
        <family val="3"/>
        <charset val="134"/>
      </rPr>
      <t>月</t>
    </r>
    <phoneticPr fontId="3" type="noConversion"/>
  </si>
  <si>
    <r>
      <t>12</t>
    </r>
    <r>
      <rPr>
        <b/>
        <sz val="12"/>
        <rFont val="宋体"/>
        <family val="3"/>
        <charset val="134"/>
      </rPr>
      <t>月</t>
    </r>
    <phoneticPr fontId="3" type="noConversion"/>
  </si>
  <si>
    <t>全年</t>
  </si>
  <si>
    <t>(3)</t>
    <phoneticPr fontId="3" type="noConversion"/>
  </si>
  <si>
    <t>(5)=(1)+(2)+(3)+(4)</t>
    <phoneticPr fontId="3" type="noConversion"/>
  </si>
  <si>
    <t>一、租赁成本</t>
    <phoneticPr fontId="3" type="noConversion"/>
  </si>
  <si>
    <t>二、物业管理成本</t>
    <phoneticPr fontId="3" type="noConversion"/>
  </si>
  <si>
    <t>三、其他成本</t>
    <phoneticPr fontId="3" type="noConversion"/>
  </si>
  <si>
    <t>合   计</t>
  </si>
  <si>
    <r>
      <t>1</t>
    </r>
    <r>
      <rPr>
        <sz val="10"/>
        <rFont val="宋体"/>
        <family val="3"/>
        <charset val="134"/>
      </rPr>
      <t>、按照非主营业务项目分别预计现金支出；</t>
    </r>
    <phoneticPr fontId="3" type="noConversion"/>
  </si>
  <si>
    <r>
      <t>2</t>
    </r>
    <r>
      <rPr>
        <sz val="10"/>
        <rFont val="宋体"/>
        <family val="3"/>
        <charset val="134"/>
      </rPr>
      <t>、公司根据自身实际情况，按照成本明细项目填列。</t>
    </r>
    <phoneticPr fontId="3" type="noConversion"/>
  </si>
  <si>
    <r>
      <t>3</t>
    </r>
    <r>
      <rPr>
        <sz val="10"/>
        <rFont val="宋体"/>
        <family val="3"/>
        <charset val="134"/>
      </rPr>
      <t>、假设：当年列支，当年全额结转。</t>
    </r>
    <phoneticPr fontId="3" type="noConversion"/>
  </si>
  <si>
    <t>4、其他业务的成本应有更明细的表格来支持本表。</t>
    <phoneticPr fontId="3" type="noConversion"/>
  </si>
  <si>
    <t>附表：二--4</t>
    <phoneticPr fontId="3" type="noConversion"/>
  </si>
  <si>
    <t>其他业务利润预算表</t>
    <phoneticPr fontId="3" type="noConversion"/>
  </si>
  <si>
    <t>单位：元</t>
    <phoneticPr fontId="3" type="noConversion"/>
  </si>
  <si>
    <r>
      <t>1</t>
    </r>
    <r>
      <rPr>
        <b/>
        <sz val="10"/>
        <rFont val="宋体"/>
        <family val="3"/>
        <charset val="134"/>
      </rPr>
      <t>季度</t>
    </r>
    <phoneticPr fontId="3" type="noConversion"/>
  </si>
  <si>
    <r>
      <t>1</t>
    </r>
    <r>
      <rPr>
        <b/>
        <sz val="10"/>
        <rFont val="宋体"/>
        <family val="3"/>
        <charset val="134"/>
      </rPr>
      <t>月</t>
    </r>
    <phoneticPr fontId="3" type="noConversion"/>
  </si>
  <si>
    <r>
      <t>2</t>
    </r>
    <r>
      <rPr>
        <b/>
        <sz val="10"/>
        <rFont val="宋体"/>
        <family val="3"/>
        <charset val="134"/>
      </rPr>
      <t>月</t>
    </r>
    <phoneticPr fontId="3" type="noConversion"/>
  </si>
  <si>
    <r>
      <t>3</t>
    </r>
    <r>
      <rPr>
        <b/>
        <sz val="10"/>
        <rFont val="宋体"/>
        <family val="3"/>
        <charset val="134"/>
      </rPr>
      <t>月</t>
    </r>
    <phoneticPr fontId="3" type="noConversion"/>
  </si>
  <si>
    <r>
      <t>2</t>
    </r>
    <r>
      <rPr>
        <b/>
        <sz val="10"/>
        <rFont val="宋体"/>
        <family val="3"/>
        <charset val="134"/>
      </rPr>
      <t>季度</t>
    </r>
    <phoneticPr fontId="3" type="noConversion"/>
  </si>
  <si>
    <r>
      <t>4</t>
    </r>
    <r>
      <rPr>
        <b/>
        <sz val="10"/>
        <rFont val="宋体"/>
        <family val="3"/>
        <charset val="134"/>
      </rPr>
      <t>月</t>
    </r>
    <phoneticPr fontId="3" type="noConversion"/>
  </si>
  <si>
    <r>
      <t>5</t>
    </r>
    <r>
      <rPr>
        <b/>
        <sz val="10"/>
        <rFont val="宋体"/>
        <family val="3"/>
        <charset val="134"/>
      </rPr>
      <t>月</t>
    </r>
    <phoneticPr fontId="3" type="noConversion"/>
  </si>
  <si>
    <r>
      <t>6</t>
    </r>
    <r>
      <rPr>
        <b/>
        <sz val="10"/>
        <rFont val="宋体"/>
        <family val="3"/>
        <charset val="134"/>
      </rPr>
      <t>月</t>
    </r>
    <phoneticPr fontId="3" type="noConversion"/>
  </si>
  <si>
    <r>
      <t>3</t>
    </r>
    <r>
      <rPr>
        <b/>
        <sz val="10"/>
        <rFont val="宋体"/>
        <family val="3"/>
        <charset val="134"/>
      </rPr>
      <t>季度</t>
    </r>
  </si>
  <si>
    <r>
      <t>7</t>
    </r>
    <r>
      <rPr>
        <b/>
        <sz val="10"/>
        <rFont val="宋体"/>
        <family val="3"/>
        <charset val="134"/>
      </rPr>
      <t>月</t>
    </r>
    <phoneticPr fontId="3" type="noConversion"/>
  </si>
  <si>
    <r>
      <t>8</t>
    </r>
    <r>
      <rPr>
        <b/>
        <sz val="10"/>
        <rFont val="宋体"/>
        <family val="3"/>
        <charset val="134"/>
      </rPr>
      <t>月</t>
    </r>
    <phoneticPr fontId="3" type="noConversion"/>
  </si>
  <si>
    <r>
      <t>9</t>
    </r>
    <r>
      <rPr>
        <b/>
        <sz val="10"/>
        <rFont val="宋体"/>
        <family val="3"/>
        <charset val="134"/>
      </rPr>
      <t>月</t>
    </r>
    <phoneticPr fontId="3" type="noConversion"/>
  </si>
  <si>
    <r>
      <t>4</t>
    </r>
    <r>
      <rPr>
        <b/>
        <sz val="10"/>
        <rFont val="宋体"/>
        <family val="3"/>
        <charset val="134"/>
      </rPr>
      <t>季度</t>
    </r>
  </si>
  <si>
    <r>
      <t>10</t>
    </r>
    <r>
      <rPr>
        <b/>
        <sz val="10"/>
        <rFont val="宋体"/>
        <family val="3"/>
        <charset val="134"/>
      </rPr>
      <t>月</t>
    </r>
    <phoneticPr fontId="3" type="noConversion"/>
  </si>
  <si>
    <r>
      <t>11</t>
    </r>
    <r>
      <rPr>
        <b/>
        <sz val="10"/>
        <rFont val="宋体"/>
        <family val="3"/>
        <charset val="134"/>
      </rPr>
      <t>月</t>
    </r>
    <phoneticPr fontId="3" type="noConversion"/>
  </si>
  <si>
    <r>
      <t>12</t>
    </r>
    <r>
      <rPr>
        <b/>
        <sz val="10"/>
        <rFont val="宋体"/>
        <family val="3"/>
        <charset val="134"/>
      </rPr>
      <t>月</t>
    </r>
    <phoneticPr fontId="3" type="noConversion"/>
  </si>
  <si>
    <t>上年实际</t>
    <phoneticPr fontId="3" type="noConversion"/>
  </si>
  <si>
    <t>增减数</t>
    <phoneticPr fontId="3" type="noConversion"/>
  </si>
  <si>
    <t>增减（%）</t>
    <phoneticPr fontId="3" type="noConversion"/>
  </si>
  <si>
    <t>(7)=(5)-(6)</t>
    <phoneticPr fontId="3" type="noConversion"/>
  </si>
  <si>
    <t>(8)=((5)-(6))/(6)</t>
    <phoneticPr fontId="3" type="noConversion"/>
  </si>
  <si>
    <t>一、其他业务收入</t>
    <phoneticPr fontId="3" type="noConversion"/>
  </si>
  <si>
    <t>二、物业收入</t>
    <phoneticPr fontId="3" type="noConversion"/>
  </si>
  <si>
    <t>三、其他收入</t>
    <phoneticPr fontId="3" type="noConversion"/>
  </si>
  <si>
    <r>
      <t>小</t>
    </r>
    <r>
      <rPr>
        <b/>
        <sz val="12"/>
        <rFont val="Times New Roman"/>
        <family val="1"/>
      </rPr>
      <t xml:space="preserve">     </t>
    </r>
    <r>
      <rPr>
        <b/>
        <sz val="12"/>
        <rFont val="宋体"/>
        <family val="3"/>
        <charset val="134"/>
      </rPr>
      <t>计</t>
    </r>
    <phoneticPr fontId="3" type="noConversion"/>
  </si>
  <si>
    <t>二、其他业务支出</t>
    <phoneticPr fontId="3" type="noConversion"/>
  </si>
  <si>
    <t>三、其他业务利润</t>
    <phoneticPr fontId="3" type="noConversion"/>
  </si>
  <si>
    <t>该表格式由商业发展部自行设计</t>
    <phoneticPr fontId="3" type="noConversion"/>
  </si>
  <si>
    <t>应包括商业发展部管辖的集团所有何租物业</t>
    <phoneticPr fontId="3" type="noConversion"/>
  </si>
  <si>
    <r>
      <t>6</t>
    </r>
    <r>
      <rPr>
        <sz val="10"/>
        <rFont val="宋体"/>
        <family val="3"/>
        <charset val="134"/>
      </rPr>
      <t>、</t>
    </r>
    <r>
      <rPr>
        <sz val="10"/>
        <rFont val="Times New Roman"/>
        <family val="1"/>
      </rPr>
      <t>“</t>
    </r>
    <r>
      <rPr>
        <sz val="10"/>
        <rFont val="宋体"/>
        <family val="3"/>
        <charset val="134"/>
      </rPr>
      <t>其他业务收入</t>
    </r>
    <r>
      <rPr>
        <sz val="10"/>
        <rFont val="Times New Roman"/>
        <family val="1"/>
      </rPr>
      <t>”</t>
    </r>
    <r>
      <rPr>
        <sz val="10"/>
        <rFont val="宋体"/>
        <family val="3"/>
        <charset val="134"/>
      </rPr>
      <t>：各公司根据自身实际情况，按照会计科目</t>
    </r>
    <r>
      <rPr>
        <sz val="10"/>
        <rFont val="Times New Roman"/>
        <family val="1"/>
      </rPr>
      <t>“</t>
    </r>
    <r>
      <rPr>
        <sz val="10"/>
        <rFont val="宋体"/>
        <family val="3"/>
        <charset val="134"/>
      </rPr>
      <t>其他业务收入</t>
    </r>
    <r>
      <rPr>
        <sz val="10"/>
        <rFont val="Times New Roman"/>
        <family val="1"/>
      </rPr>
      <t>”</t>
    </r>
    <r>
      <rPr>
        <sz val="10"/>
        <rFont val="宋体"/>
        <family val="3"/>
        <charset val="134"/>
      </rPr>
      <t>分项明细填列；</t>
    </r>
    <phoneticPr fontId="3" type="noConversion"/>
  </si>
  <si>
    <t>7、商业发展部负责租金收放和车位租金收入的预算编制。</t>
    <phoneticPr fontId="3" type="noConversion"/>
  </si>
  <si>
    <t>8、物业收入、其他收入由财务中心从物业公司及其他子公司预算表格获取数据填列。</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</si>
</sst>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5">
    <numFmt numFmtId="43" formatCode="_ * #,##0.00_ ;_ * \-#,##0.00_ ;_ * &quot;-&quot;??_ ;_ @_ "/>
    <numFmt numFmtId="176" formatCode="_ &quot;￥&quot;* #,##0.00_ ;_ &quot;￥&quot;* \-#,##0.00_ ;_ &quot;￥&quot;* &quot;-&quot;??_ ;_ @_ "/>
    <numFmt numFmtId="177" formatCode="0_ "/>
    <numFmt numFmtId="178" formatCode="0_);[Red]\(0\)"/>
    <numFmt numFmtId="179" formatCode="0.00_ "/>
    <numFmt numFmtId="180" formatCode="_(* #,##0.00_);_(* \(#,##0.00\);_(* &quot;-&quot;??_);_(@_)"/>
    <numFmt numFmtId="181" formatCode="mmm\-d\-yyyy"/>
    <numFmt numFmtId="182" formatCode="mmm\-yyyy"/>
    <numFmt numFmtId="183" formatCode="#,##0.0_);[Red]\(#,##0.0\)"/>
    <numFmt numFmtId="184" formatCode="0.0%"/>
    <numFmt numFmtId="185" formatCode="0.00_);[Red]\(0.00\)"/>
    <numFmt numFmtId="186" formatCode="#,##0.0\x_);[Red]\(#,##0.0\x\);&quot;--  &quot;"/>
    <numFmt numFmtId="187" formatCode="0.0"/>
    <numFmt numFmtId="188" formatCode="_(* #,##0_);_(* \(#,##0\);_(* &quot;-&quot;_);_(@_)"/>
    <numFmt numFmtId="189" formatCode="0.000000_);\(0.000000\)"/>
  </numFmts>
  <fonts count="32">
    <font>
      <sz val="12"/>
      <name val="宋体"/>
      <family val="3"/>
      <charset val="134"/>
    </font>
    <font>
      <sz val="12"/>
      <name val="宋体"/>
      <family val="3"/>
      <charset val="134"/>
    </font>
    <font>
      <b/>
      <sz val="11"/>
      <name val="宋体"/>
      <family val="3"/>
      <charset val="134"/>
    </font>
    <font>
      <sz val="9"/>
      <name val="宋体"/>
      <family val="3"/>
      <charset val="134"/>
    </font>
    <font>
      <u/>
      <sz val="12"/>
      <color indexed="12"/>
      <name val="宋体"/>
      <family val="3"/>
      <charset val="134"/>
    </font>
    <font>
      <b/>
      <sz val="18"/>
      <name val="宋体"/>
      <family val="3"/>
      <charset val="134"/>
    </font>
    <font>
      <b/>
      <sz val="12"/>
      <name val="宋体"/>
      <family val="3"/>
      <charset val="134"/>
    </font>
    <font>
      <b/>
      <sz val="14"/>
      <name val="宋体"/>
      <family val="3"/>
      <charset val="134"/>
    </font>
    <font>
      <b/>
      <sz val="10"/>
      <name val="宋体"/>
      <family val="3"/>
      <charset val="134"/>
    </font>
    <font>
      <sz val="10"/>
      <name val="Times New Roman"/>
      <family val="1"/>
    </font>
    <font>
      <sz val="8"/>
      <name val="Times New Roman"/>
      <family val="1"/>
    </font>
    <font>
      <sz val="10"/>
      <name val="宋体"/>
      <family val="3"/>
      <charset val="134"/>
    </font>
    <font>
      <sz val="10"/>
      <name val="Geneva"/>
      <family val="2"/>
    </font>
    <font>
      <sz val="10"/>
      <color indexed="8"/>
      <name val="ARIAL"/>
      <family val="2"/>
    </font>
    <font>
      <sz val="12"/>
      <name val="Times New Roman"/>
      <family val="1"/>
    </font>
    <font>
      <sz val="11"/>
      <color indexed="12"/>
      <name val="Arial"/>
      <family val="2"/>
    </font>
    <font>
      <sz val="10"/>
      <name val="Arial"/>
      <family val="2"/>
    </font>
    <font>
      <b/>
      <u/>
      <sz val="10"/>
      <color indexed="16"/>
      <name val="Arial"/>
      <family val="2"/>
    </font>
    <font>
      <sz val="8"/>
      <name val="Arial"/>
      <family val="2"/>
    </font>
    <font>
      <b/>
      <sz val="8"/>
      <name val="Arial"/>
      <family val="2"/>
    </font>
    <font>
      <sz val="10"/>
      <color indexed="17"/>
      <name val="Arial"/>
      <family val="2"/>
    </font>
    <font>
      <sz val="8"/>
      <color indexed="10"/>
      <name val="Arial"/>
      <family val="2"/>
    </font>
    <font>
      <sz val="6"/>
      <name val="Arial"/>
      <family val="2"/>
    </font>
    <font>
      <sz val="11"/>
      <color theme="1"/>
      <name val="宋体"/>
      <family val="3"/>
      <charset val="134"/>
      <scheme val="minor"/>
    </font>
    <font>
      <sz val="11"/>
      <color indexed="20"/>
      <name val="宋体"/>
      <family val="3"/>
      <charset val="134"/>
    </font>
    <font>
      <u/>
      <sz val="11"/>
      <color theme="10"/>
      <name val="宋体"/>
      <family val="3"/>
      <charset val="134"/>
    </font>
    <font>
      <sz val="11"/>
      <color indexed="17"/>
      <name val="宋体"/>
      <family val="3"/>
      <charset val="134"/>
    </font>
    <font>
      <u/>
      <sz val="12"/>
      <color indexed="20"/>
      <name val="宋体"/>
      <family val="3"/>
      <charset val="134"/>
    </font>
    <font>
      <sz val="11"/>
      <name val="宋体"/>
      <family val="3"/>
      <charset val="134"/>
    </font>
    <font>
      <b/>
      <sz val="12"/>
      <name val="Times New Roman"/>
      <family val="1"/>
    </font>
    <font>
      <sz val="14"/>
      <name val="宋体"/>
      <family val="3"/>
      <charset val="134"/>
    </font>
    <font>
      <b/>
      <sz val="10"/>
      <name val="Times New Roman"/>
      <family val="1"/>
    </font>
  </fonts>
  <fills count="10">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9"/>
        <bgColor indexed="64"/>
      </patternFill>
    </fill>
    <fill>
      <patternFill patternType="solid">
        <fgColor indexed="26"/>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s>
  <borders count="16">
    <border>
      <left/>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22"/>
      </left>
      <right style="thin">
        <color indexed="22"/>
      </right>
      <top style="thin">
        <color indexed="22"/>
      </top>
      <bottom style="thin">
        <color indexed="22"/>
      </bottom>
      <diagonal/>
    </border>
  </borders>
  <cellStyleXfs count="169">
    <xf numFmtId="0" fontId="0" fillId="0" borderId="0"/>
    <xf numFmtId="0" fontId="4" fillId="0" borderId="0" applyNumberFormat="0" applyFill="0" applyBorder="0" applyAlignment="0" applyProtection="0">
      <alignment vertical="top"/>
      <protection locked="0"/>
    </xf>
    <xf numFmtId="0" fontId="12" fillId="0" borderId="0"/>
    <xf numFmtId="0" fontId="13" fillId="0" borderId="0">
      <alignment vertical="top"/>
    </xf>
    <xf numFmtId="0" fontId="12" fillId="0" borderId="0"/>
    <xf numFmtId="0" fontId="13" fillId="0" borderId="0">
      <alignment vertical="top"/>
    </xf>
    <xf numFmtId="0" fontId="13" fillId="0" borderId="0">
      <alignment vertical="top"/>
    </xf>
    <xf numFmtId="0" fontId="12" fillId="0" borderId="0"/>
    <xf numFmtId="0" fontId="1" fillId="0" borderId="0"/>
    <xf numFmtId="0" fontId="14" fillId="0" borderId="0"/>
    <xf numFmtId="0" fontId="1" fillId="0" borderId="0"/>
    <xf numFmtId="0" fontId="6" fillId="0" borderId="0" applyNumberFormat="0" applyFill="0" applyBorder="0" applyAlignment="0" applyProtection="0">
      <alignment vertical="center"/>
    </xf>
    <xf numFmtId="0" fontId="15" fillId="0" borderId="0">
      <alignment horizontal="right"/>
    </xf>
    <xf numFmtId="180" fontId="16" fillId="0" borderId="0" applyFont="0" applyFill="0" applyBorder="0" applyAlignment="0" applyProtection="0"/>
    <xf numFmtId="0" fontId="17" fillId="0" borderId="0"/>
    <xf numFmtId="181" fontId="18" fillId="5" borderId="0" applyFont="0" applyFill="0" applyBorder="0" applyAlignment="0" applyProtection="0"/>
    <xf numFmtId="182" fontId="19" fillId="0" borderId="1"/>
    <xf numFmtId="183" fontId="18" fillId="0" borderId="0" applyFill="0" applyBorder="0">
      <alignment horizontal="right"/>
    </xf>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0" fontId="19" fillId="0" borderId="0" applyFont="0" applyFill="0" applyBorder="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37" fontId="18" fillId="5" borderId="15" applyNumberFormat="0" applyFont="0" applyAlignment="0" applyProtection="0"/>
    <xf numFmtId="184" fontId="20" fillId="0" borderId="0"/>
    <xf numFmtId="185" fontId="16" fillId="0" borderId="0" applyFont="0" applyFill="0" applyBorder="0" applyAlignment="0" applyProtection="0"/>
    <xf numFmtId="0" fontId="16" fillId="0" borderId="0"/>
    <xf numFmtId="183" fontId="18" fillId="0" borderId="0"/>
    <xf numFmtId="186" fontId="18" fillId="0" borderId="0" applyFont="0" applyFill="0" applyBorder="0" applyAlignment="0" applyProtection="0"/>
    <xf numFmtId="10" fontId="16" fillId="0" borderId="0" applyFont="0" applyFill="0" applyBorder="0" applyAlignment="0" applyProtection="0"/>
    <xf numFmtId="187" fontId="13" fillId="0" borderId="0"/>
    <xf numFmtId="183" fontId="21" fillId="0" borderId="0" applyNumberFormat="0" applyFill="0" applyBorder="0" applyAlignment="0" applyProtection="0"/>
    <xf numFmtId="1" fontId="22" fillId="0" borderId="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9" fontId="23" fillId="0" borderId="0" applyFont="0" applyFill="0" applyBorder="0" applyAlignment="0" applyProtection="0">
      <alignment vertical="center"/>
    </xf>
    <xf numFmtId="9" fontId="1" fillId="0" borderId="0" applyFont="0" applyFill="0" applyBorder="0" applyAlignment="0" applyProtection="0">
      <alignment vertical="center"/>
    </xf>
    <xf numFmtId="9" fontId="1" fillId="0" borderId="0" applyFont="0" applyFill="0" applyBorder="0" applyAlignment="0" applyProtection="0">
      <alignment vertical="center"/>
    </xf>
    <xf numFmtId="0" fontId="24" fillId="6" borderId="0" applyNumberFormat="0" applyBorder="0" applyAlignment="0" applyProtection="0">
      <alignment vertical="center"/>
    </xf>
    <xf numFmtId="0" fontId="24" fillId="7" borderId="0" applyNumberFormat="0" applyBorder="0" applyAlignment="0" applyProtection="0">
      <alignment vertical="center"/>
    </xf>
    <xf numFmtId="0" fontId="1" fillId="0" borderId="0"/>
    <xf numFmtId="0" fontId="1" fillId="0" borderId="0"/>
    <xf numFmtId="0" fontId="1" fillId="0" borderId="0"/>
    <xf numFmtId="0" fontId="23"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alignment vertical="center"/>
    </xf>
    <xf numFmtId="0" fontId="4"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8" borderId="0" applyNumberFormat="0" applyBorder="0" applyAlignment="0" applyProtection="0">
      <alignment vertical="center"/>
    </xf>
    <xf numFmtId="0" fontId="26" fillId="9" borderId="0" applyNumberFormat="0" applyBorder="0" applyAlignment="0" applyProtection="0">
      <alignment vertical="center"/>
    </xf>
    <xf numFmtId="0" fontId="27" fillId="0" borderId="0" applyNumberFormat="0" applyFill="0" applyBorder="0" applyAlignment="0" applyProtection="0">
      <alignment vertical="top"/>
      <protection locked="0"/>
    </xf>
    <xf numFmtId="176" fontId="1" fillId="0" borderId="0" applyFont="0" applyFill="0" applyBorder="0" applyAlignment="0" applyProtection="0">
      <alignment vertical="center"/>
    </xf>
    <xf numFmtId="188" fontId="14" fillId="0" borderId="0" applyFont="0" applyFill="0" applyBorder="0" applyAlignment="0" applyProtection="0"/>
    <xf numFmtId="180" fontId="14" fillId="0" borderId="0" applyFont="0" applyFill="0" applyBorder="0" applyAlignment="0" applyProtection="0"/>
    <xf numFmtId="43" fontId="1" fillId="0" borderId="0" applyFont="0" applyFill="0" applyBorder="0" applyAlignment="0" applyProtection="0">
      <alignment vertical="center"/>
    </xf>
    <xf numFmtId="189" fontId="16" fillId="0" borderId="0" applyFont="0" applyFill="0" applyBorder="0" applyAlignment="0" applyProtection="0"/>
    <xf numFmtId="43" fontId="1" fillId="0" borderId="0" applyFont="0" applyFill="0" applyBorder="0" applyAlignment="0" applyProtection="0"/>
    <xf numFmtId="43" fontId="23"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43" fontId="1" fillId="0" borderId="0" applyFont="0" applyFill="0" applyBorder="0" applyAlignment="0" applyProtection="0">
      <alignment vertical="center"/>
    </xf>
    <xf numFmtId="0" fontId="14" fillId="0" borderId="0"/>
    <xf numFmtId="0" fontId="14" fillId="0" borderId="0"/>
  </cellStyleXfs>
  <cellXfs count="139">
    <xf numFmtId="0" fontId="0" fillId="0" borderId="0" xfId="0"/>
    <xf numFmtId="177" fontId="2" fillId="0" borderId="0" xfId="0" applyNumberFormat="1" applyFont="1"/>
    <xf numFmtId="177" fontId="1" fillId="0" borderId="0" xfId="0" applyNumberFormat="1" applyFont="1"/>
    <xf numFmtId="177" fontId="4" fillId="0" borderId="0" xfId="1" applyNumberFormat="1" applyAlignment="1" applyProtection="1"/>
    <xf numFmtId="177" fontId="2" fillId="0" borderId="1" xfId="0" applyNumberFormat="1" applyFont="1" applyBorder="1" applyAlignment="1">
      <alignment horizontal="left"/>
    </xf>
    <xf numFmtId="177" fontId="6" fillId="0" borderId="1" xfId="0" applyNumberFormat="1" applyFont="1" applyBorder="1" applyAlignment="1">
      <alignment horizontal="left"/>
    </xf>
    <xf numFmtId="177" fontId="7" fillId="0" borderId="0" xfId="0" applyNumberFormat="1" applyFont="1" applyBorder="1" applyAlignment="1">
      <alignment horizontal="left"/>
    </xf>
    <xf numFmtId="177" fontId="7" fillId="0" borderId="0" xfId="0" applyNumberFormat="1" applyFont="1" applyBorder="1" applyAlignment="1">
      <alignment horizontal="center"/>
    </xf>
    <xf numFmtId="177" fontId="6" fillId="0" borderId="0" xfId="0" applyNumberFormat="1" applyFont="1" applyBorder="1" applyAlignment="1">
      <alignment horizontal="left"/>
    </xf>
    <xf numFmtId="177" fontId="1" fillId="0" borderId="0" xfId="0" applyNumberFormat="1" applyFont="1" applyAlignment="1">
      <alignment vertical="center"/>
    </xf>
    <xf numFmtId="177" fontId="6" fillId="0" borderId="10" xfId="0" applyNumberFormat="1" applyFont="1" applyBorder="1" applyAlignment="1">
      <alignment horizontal="center" vertical="center" wrapText="1"/>
    </xf>
    <xf numFmtId="177" fontId="6" fillId="0" borderId="12" xfId="0" applyNumberFormat="1" applyFont="1" applyBorder="1" applyAlignment="1">
      <alignment horizontal="center" vertical="center" wrapText="1"/>
    </xf>
    <xf numFmtId="177" fontId="8" fillId="0" borderId="12" xfId="0" applyNumberFormat="1" applyFont="1" applyBorder="1" applyAlignment="1">
      <alignment horizontal="center" vertical="center" wrapText="1"/>
    </xf>
    <xf numFmtId="177" fontId="9" fillId="0" borderId="6" xfId="0" applyNumberFormat="1" applyFont="1" applyBorder="1" applyAlignment="1">
      <alignment horizontal="center" vertical="center" wrapText="1"/>
    </xf>
    <xf numFmtId="177" fontId="9" fillId="0" borderId="13" xfId="0" applyNumberFormat="1" applyFont="1" applyBorder="1" applyAlignment="1">
      <alignment horizontal="center" vertical="center" wrapText="1"/>
    </xf>
    <xf numFmtId="177" fontId="9" fillId="0" borderId="12" xfId="0" applyNumberFormat="1" applyFont="1" applyBorder="1" applyAlignment="1">
      <alignment horizontal="center" vertical="center" wrapText="1"/>
    </xf>
    <xf numFmtId="177" fontId="10" fillId="0" borderId="12" xfId="0" applyNumberFormat="1" applyFont="1" applyBorder="1" applyAlignment="1">
      <alignment horizontal="center" vertical="center" wrapText="1"/>
    </xf>
    <xf numFmtId="177" fontId="11" fillId="0" borderId="0" xfId="0" applyNumberFormat="1" applyFont="1" applyAlignment="1">
      <alignment vertical="center"/>
    </xf>
    <xf numFmtId="177" fontId="11" fillId="0" borderId="13" xfId="0" applyNumberFormat="1" applyFont="1" applyBorder="1" applyAlignment="1">
      <alignment horizontal="left" vertical="center" wrapText="1"/>
    </xf>
    <xf numFmtId="177" fontId="1" fillId="0" borderId="6" xfId="0" applyNumberFormat="1" applyFont="1" applyBorder="1"/>
    <xf numFmtId="177" fontId="11" fillId="2" borderId="5" xfId="0" applyNumberFormat="1" applyFont="1" applyFill="1" applyBorder="1" applyAlignment="1">
      <alignment horizontal="left" vertical="center" wrapText="1"/>
    </xf>
    <xf numFmtId="177" fontId="11" fillId="0" borderId="5" xfId="0" applyNumberFormat="1" applyFont="1" applyBorder="1" applyAlignment="1">
      <alignment horizontal="left" vertical="center" wrapText="1"/>
    </xf>
    <xf numFmtId="179" fontId="1" fillId="3" borderId="6" xfId="0" applyNumberFormat="1" applyFont="1" applyFill="1" applyBorder="1" applyAlignment="1">
      <alignment horizontal="right"/>
    </xf>
    <xf numFmtId="4" fontId="1" fillId="2" borderId="6" xfId="0" applyNumberFormat="1" applyFont="1" applyFill="1" applyBorder="1"/>
    <xf numFmtId="179" fontId="1" fillId="2" borderId="6" xfId="0" applyNumberFormat="1" applyFont="1" applyFill="1" applyBorder="1"/>
    <xf numFmtId="177" fontId="1" fillId="3" borderId="6" xfId="0" applyNumberFormat="1" applyFont="1" applyFill="1" applyBorder="1" applyAlignment="1">
      <alignment horizontal="right"/>
    </xf>
    <xf numFmtId="177" fontId="1" fillId="0" borderId="6" xfId="0" applyNumberFormat="1" applyFont="1" applyBorder="1" applyAlignment="1">
      <alignment horizontal="right"/>
    </xf>
    <xf numFmtId="177" fontId="1" fillId="2" borderId="6" xfId="0" applyNumberFormat="1" applyFont="1" applyFill="1" applyBorder="1"/>
    <xf numFmtId="177" fontId="11" fillId="2" borderId="5" xfId="0" applyNumberFormat="1" applyFont="1" applyFill="1" applyBorder="1" applyAlignment="1">
      <alignment horizontal="center" vertical="center" wrapText="1"/>
    </xf>
    <xf numFmtId="177" fontId="11" fillId="0" borderId="5" xfId="0" applyNumberFormat="1" applyFont="1" applyBorder="1" applyAlignment="1">
      <alignment horizontal="center" vertical="center" wrapText="1"/>
    </xf>
    <xf numFmtId="177" fontId="11" fillId="2" borderId="6" xfId="0" applyNumberFormat="1" applyFont="1" applyFill="1" applyBorder="1" applyAlignment="1">
      <alignment horizontal="left"/>
    </xf>
    <xf numFmtId="177" fontId="11" fillId="0" borderId="6" xfId="0" applyNumberFormat="1" applyFont="1" applyBorder="1" applyAlignment="1">
      <alignment horizontal="left"/>
    </xf>
    <xf numFmtId="177" fontId="1" fillId="2" borderId="6" xfId="0" applyNumberFormat="1" applyFont="1" applyFill="1" applyBorder="1" applyAlignment="1">
      <alignment horizontal="left"/>
    </xf>
    <xf numFmtId="177" fontId="1" fillId="0" borderId="6" xfId="0" applyNumberFormat="1" applyFont="1" applyBorder="1" applyAlignment="1">
      <alignment horizontal="left"/>
    </xf>
    <xf numFmtId="177" fontId="1" fillId="0" borderId="5" xfId="0" applyNumberFormat="1" applyFont="1" applyBorder="1" applyAlignment="1">
      <alignment horizontal="left"/>
    </xf>
    <xf numFmtId="177" fontId="11" fillId="0" borderId="14" xfId="0" applyNumberFormat="1" applyFont="1" applyBorder="1" applyAlignment="1">
      <alignment horizontal="left" vertical="center" wrapText="1"/>
    </xf>
    <xf numFmtId="177" fontId="1" fillId="0" borderId="14" xfId="0" applyNumberFormat="1" applyFont="1" applyBorder="1"/>
    <xf numFmtId="177" fontId="6" fillId="0" borderId="0" xfId="0" applyNumberFormat="1" applyFont="1" applyBorder="1"/>
    <xf numFmtId="177" fontId="6" fillId="0" borderId="0" xfId="0" applyNumberFormat="1" applyFont="1"/>
    <xf numFmtId="177" fontId="9" fillId="4" borderId="0" xfId="0" applyNumberFormat="1" applyFont="1" applyFill="1"/>
    <xf numFmtId="177" fontId="2" fillId="0" borderId="0" xfId="0" applyNumberFormat="1" applyFont="1" applyAlignment="1">
      <alignment vertical="center"/>
    </xf>
    <xf numFmtId="179" fontId="1" fillId="0" borderId="0" xfId="0" applyNumberFormat="1" applyFont="1" applyAlignment="1">
      <alignment vertical="center"/>
    </xf>
    <xf numFmtId="177" fontId="4" fillId="0" borderId="0" xfId="1" applyNumberFormat="1" applyAlignment="1" applyProtection="1">
      <alignment vertical="center"/>
    </xf>
    <xf numFmtId="177" fontId="2" fillId="0" borderId="1" xfId="0" applyNumberFormat="1" applyFont="1" applyBorder="1" applyAlignment="1">
      <alignment horizontal="left" vertical="center"/>
    </xf>
    <xf numFmtId="177" fontId="2" fillId="0" borderId="0" xfId="0" applyNumberFormat="1" applyFont="1" applyBorder="1" applyAlignment="1">
      <alignment horizontal="left" vertical="center"/>
    </xf>
    <xf numFmtId="177" fontId="2" fillId="0" borderId="0" xfId="0" applyNumberFormat="1" applyFont="1" applyBorder="1" applyAlignment="1">
      <alignment horizontal="center" vertical="center"/>
    </xf>
    <xf numFmtId="177" fontId="28" fillId="0" borderId="0" xfId="0" applyNumberFormat="1" applyFont="1" applyAlignment="1">
      <alignment vertical="center"/>
    </xf>
    <xf numFmtId="179" fontId="28" fillId="0" borderId="0" xfId="0" applyNumberFormat="1" applyFont="1" applyAlignment="1">
      <alignment vertical="center"/>
    </xf>
    <xf numFmtId="177" fontId="29" fillId="0" borderId="6" xfId="0" applyNumberFormat="1" applyFont="1" applyBorder="1" applyAlignment="1">
      <alignment horizontal="center"/>
    </xf>
    <xf numFmtId="179" fontId="29" fillId="0" borderId="6" xfId="0" applyNumberFormat="1" applyFont="1" applyBorder="1" applyAlignment="1">
      <alignment horizontal="center"/>
    </xf>
    <xf numFmtId="177" fontId="6" fillId="0" borderId="6" xfId="0" applyNumberFormat="1" applyFont="1" applyBorder="1" applyAlignment="1">
      <alignment horizontal="center" vertical="center"/>
    </xf>
    <xf numFmtId="177" fontId="9" fillId="0" borderId="6" xfId="0" applyNumberFormat="1" applyFont="1" applyBorder="1" applyAlignment="1">
      <alignment horizontal="center" vertical="center"/>
    </xf>
    <xf numFmtId="179" fontId="9" fillId="0" borderId="12" xfId="0" applyNumberFormat="1" applyFont="1" applyBorder="1" applyAlignment="1">
      <alignment horizontal="center" vertical="center"/>
    </xf>
    <xf numFmtId="177" fontId="9" fillId="0" borderId="12" xfId="0" applyNumberFormat="1" applyFont="1" applyBorder="1" applyAlignment="1">
      <alignment horizontal="center" vertical="center"/>
    </xf>
    <xf numFmtId="177" fontId="9" fillId="2" borderId="6" xfId="0" applyNumberFormat="1" applyFont="1" applyFill="1" applyBorder="1" applyAlignment="1">
      <alignment horizontal="center" vertical="center"/>
    </xf>
    <xf numFmtId="179" fontId="9" fillId="2" borderId="6" xfId="0" applyNumberFormat="1" applyFont="1" applyFill="1" applyBorder="1" applyAlignment="1">
      <alignment horizontal="center" vertical="center"/>
    </xf>
    <xf numFmtId="179" fontId="9" fillId="2" borderId="12" xfId="0" applyNumberFormat="1" applyFont="1" applyFill="1" applyBorder="1" applyAlignment="1">
      <alignment horizontal="center" vertical="center"/>
    </xf>
    <xf numFmtId="177" fontId="9" fillId="0" borderId="6" xfId="0" applyNumberFormat="1" applyFont="1" applyFill="1" applyBorder="1" applyAlignment="1">
      <alignment horizontal="center" vertical="center"/>
    </xf>
    <xf numFmtId="179" fontId="9" fillId="0" borderId="12" xfId="0" applyNumberFormat="1" applyFont="1" applyFill="1" applyBorder="1" applyAlignment="1">
      <alignment horizontal="center" vertical="center"/>
    </xf>
    <xf numFmtId="177" fontId="1" fillId="0" borderId="6" xfId="0" applyNumberFormat="1" applyFont="1" applyFill="1" applyBorder="1" applyAlignment="1">
      <alignment vertical="center"/>
    </xf>
    <xf numFmtId="179" fontId="1" fillId="0" borderId="12" xfId="0" applyNumberFormat="1" applyFont="1" applyFill="1" applyBorder="1" applyAlignment="1">
      <alignment vertical="center"/>
    </xf>
    <xf numFmtId="177" fontId="1" fillId="4" borderId="6" xfId="0" applyNumberFormat="1" applyFont="1" applyFill="1" applyBorder="1" applyAlignment="1">
      <alignment vertical="center"/>
    </xf>
    <xf numFmtId="177" fontId="1" fillId="4" borderId="0" xfId="0" applyNumberFormat="1" applyFont="1" applyFill="1" applyAlignment="1">
      <alignment vertical="center"/>
    </xf>
    <xf numFmtId="177" fontId="1" fillId="0" borderId="6" xfId="0" applyNumberFormat="1" applyFont="1" applyBorder="1" applyAlignment="1">
      <alignment horizontal="centerContinuous" vertical="center"/>
    </xf>
    <xf numFmtId="177" fontId="1" fillId="0" borderId="6" xfId="0" applyNumberFormat="1" applyFont="1" applyBorder="1" applyAlignment="1">
      <alignment vertical="center"/>
    </xf>
    <xf numFmtId="179" fontId="1" fillId="0" borderId="6" xfId="0" applyNumberFormat="1" applyFont="1" applyBorder="1" applyAlignment="1">
      <alignment vertical="center"/>
    </xf>
    <xf numFmtId="179" fontId="11" fillId="0" borderId="0" xfId="0" applyNumberFormat="1" applyFont="1" applyAlignment="1">
      <alignment vertical="center"/>
    </xf>
    <xf numFmtId="177" fontId="8" fillId="0" borderId="0" xfId="0" applyNumberFormat="1" applyFont="1" applyAlignment="1">
      <alignment horizontal="right" vertical="center"/>
    </xf>
    <xf numFmtId="177" fontId="9" fillId="0" borderId="0" xfId="0" applyNumberFormat="1" applyFont="1" applyAlignment="1">
      <alignment vertical="center"/>
    </xf>
    <xf numFmtId="177" fontId="11" fillId="0" borderId="0" xfId="0" applyNumberFormat="1" applyFont="1"/>
    <xf numFmtId="177" fontId="30" fillId="0" borderId="0" xfId="0" applyNumberFormat="1" applyFont="1"/>
    <xf numFmtId="177" fontId="8" fillId="0" borderId="0" xfId="0" applyNumberFormat="1" applyFont="1"/>
    <xf numFmtId="177" fontId="8" fillId="0" borderId="0" xfId="0" applyNumberFormat="1" applyFont="1" applyAlignment="1">
      <alignment horizontal="right"/>
    </xf>
    <xf numFmtId="177" fontId="31" fillId="0" borderId="6" xfId="0" applyNumberFormat="1" applyFont="1" applyBorder="1" applyAlignment="1">
      <alignment horizontal="center"/>
    </xf>
    <xf numFmtId="177" fontId="8" fillId="0" borderId="6" xfId="0" applyNumberFormat="1" applyFont="1" applyBorder="1" applyAlignment="1">
      <alignment horizontal="center" vertical="center"/>
    </xf>
    <xf numFmtId="177" fontId="8" fillId="0" borderId="6" xfId="0" applyNumberFormat="1" applyFont="1" applyBorder="1" applyAlignment="1">
      <alignment horizontal="center" vertical="center" wrapText="1"/>
    </xf>
    <xf numFmtId="177" fontId="6" fillId="0" borderId="0" xfId="0" applyNumberFormat="1" applyFont="1" applyAlignment="1">
      <alignment vertical="center"/>
    </xf>
    <xf numFmtId="177" fontId="9" fillId="0" borderId="6" xfId="0" applyNumberFormat="1" applyFont="1" applyBorder="1" applyAlignment="1" applyProtection="1">
      <alignment horizontal="center" vertical="center" wrapText="1"/>
    </xf>
    <xf numFmtId="177" fontId="11" fillId="0" borderId="6" xfId="0" applyNumberFormat="1" applyFont="1" applyBorder="1" applyAlignment="1">
      <alignment horizontal="center"/>
    </xf>
    <xf numFmtId="177" fontId="11" fillId="0" borderId="6" xfId="0" applyNumberFormat="1" applyFont="1" applyBorder="1"/>
    <xf numFmtId="177" fontId="11" fillId="3" borderId="6" xfId="0" applyNumberFormat="1" applyFont="1" applyFill="1" applyBorder="1" applyAlignment="1">
      <alignment horizontal="right"/>
    </xf>
    <xf numFmtId="177" fontId="9" fillId="0" borderId="6" xfId="0" applyNumberFormat="1" applyFont="1" applyFill="1" applyBorder="1" applyProtection="1">
      <protection locked="0"/>
    </xf>
    <xf numFmtId="177" fontId="11" fillId="0" borderId="6" xfId="0" applyNumberFormat="1" applyFont="1" applyBorder="1" applyAlignment="1">
      <alignment horizontal="right"/>
    </xf>
    <xf numFmtId="177" fontId="11" fillId="2" borderId="6" xfId="0" applyNumberFormat="1" applyFont="1" applyFill="1" applyBorder="1"/>
    <xf numFmtId="177" fontId="11" fillId="0" borderId="6" xfId="0" applyNumberFormat="1" applyFont="1" applyFill="1" applyBorder="1"/>
    <xf numFmtId="177" fontId="1" fillId="0" borderId="6" xfId="0" applyNumberFormat="1" applyFont="1" applyFill="1" applyBorder="1"/>
    <xf numFmtId="177" fontId="1" fillId="0" borderId="0" xfId="0" applyNumberFormat="1" applyFont="1" applyFill="1"/>
    <xf numFmtId="177" fontId="11" fillId="0" borderId="6" xfId="0" applyNumberFormat="1" applyFont="1" applyFill="1" applyBorder="1" applyProtection="1">
      <protection locked="0"/>
    </xf>
    <xf numFmtId="177" fontId="1" fillId="0" borderId="6" xfId="0" applyNumberFormat="1" applyFont="1" applyBorder="1" applyAlignment="1">
      <alignment horizontal="centerContinuous"/>
    </xf>
    <xf numFmtId="10" fontId="11" fillId="0" borderId="0" xfId="124" applyNumberFormat="1" applyFont="1"/>
    <xf numFmtId="4" fontId="11" fillId="0" borderId="0" xfId="0" applyNumberFormat="1" applyFont="1"/>
    <xf numFmtId="177" fontId="5" fillId="0" borderId="0" xfId="0" applyNumberFormat="1" applyFont="1" applyBorder="1" applyAlignment="1">
      <alignment horizontal="center"/>
    </xf>
    <xf numFmtId="177" fontId="6" fillId="0" borderId="1" xfId="0" applyNumberFormat="1" applyFont="1" applyBorder="1" applyAlignment="1">
      <alignment horizontal="left"/>
    </xf>
    <xf numFmtId="177" fontId="6" fillId="0" borderId="1" xfId="0" applyNumberFormat="1" applyFont="1" applyBorder="1" applyAlignment="1">
      <alignment horizontal="right"/>
    </xf>
    <xf numFmtId="177" fontId="6" fillId="0" borderId="2" xfId="0" applyNumberFormat="1" applyFont="1" applyBorder="1" applyAlignment="1">
      <alignment horizontal="center" vertical="center"/>
    </xf>
    <xf numFmtId="177" fontId="6" fillId="0" borderId="3" xfId="0" applyNumberFormat="1" applyFont="1" applyBorder="1" applyAlignment="1">
      <alignment horizontal="center" vertical="center"/>
    </xf>
    <xf numFmtId="177" fontId="6" fillId="0" borderId="7" xfId="0" applyNumberFormat="1" applyFont="1" applyBorder="1" applyAlignment="1">
      <alignment horizontal="center" vertical="center"/>
    </xf>
    <xf numFmtId="177" fontId="6" fillId="0" borderId="8" xfId="0" applyNumberFormat="1" applyFont="1" applyBorder="1" applyAlignment="1">
      <alignment horizontal="center" vertical="center"/>
    </xf>
    <xf numFmtId="177" fontId="6" fillId="0" borderId="11" xfId="0" applyNumberFormat="1" applyFont="1" applyBorder="1" applyAlignment="1">
      <alignment horizontal="center" vertical="center"/>
    </xf>
    <xf numFmtId="177" fontId="6" fillId="0" borderId="13" xfId="0" applyNumberFormat="1" applyFont="1" applyBorder="1" applyAlignment="1">
      <alignment horizontal="center" vertical="center"/>
    </xf>
    <xf numFmtId="177" fontId="8" fillId="0" borderId="4" xfId="0" applyNumberFormat="1" applyFont="1" applyBorder="1" applyAlignment="1">
      <alignment horizontal="center" vertical="center" wrapText="1"/>
    </xf>
    <xf numFmtId="177" fontId="8" fillId="0" borderId="9" xfId="0" applyNumberFormat="1" applyFont="1" applyBorder="1" applyAlignment="1">
      <alignment horizontal="center" vertical="center" wrapText="1"/>
    </xf>
    <xf numFmtId="177" fontId="8" fillId="0" borderId="12" xfId="0" applyNumberFormat="1" applyFont="1" applyBorder="1" applyAlignment="1">
      <alignment horizontal="center" vertical="center" wrapText="1"/>
    </xf>
    <xf numFmtId="177" fontId="6" fillId="0" borderId="5" xfId="0" applyNumberFormat="1" applyFont="1" applyBorder="1" applyAlignment="1">
      <alignment horizontal="center" vertical="center" wrapText="1"/>
    </xf>
    <xf numFmtId="177" fontId="6" fillId="0" borderId="6" xfId="0" applyNumberFormat="1" applyFont="1" applyBorder="1" applyAlignment="1">
      <alignment horizontal="center" vertical="center" wrapText="1"/>
    </xf>
    <xf numFmtId="177" fontId="6" fillId="0" borderId="2" xfId="0" applyNumberFormat="1" applyFont="1" applyBorder="1" applyAlignment="1">
      <alignment horizontal="center" vertical="center" wrapText="1"/>
    </xf>
    <xf numFmtId="177" fontId="6" fillId="0" borderId="11" xfId="0" applyNumberFormat="1" applyFont="1" applyBorder="1" applyAlignment="1">
      <alignment horizontal="center" vertical="center" wrapText="1"/>
    </xf>
    <xf numFmtId="177" fontId="6" fillId="0" borderId="4" xfId="0" applyNumberFormat="1" applyFont="1" applyBorder="1" applyAlignment="1">
      <alignment horizontal="center" vertical="center" wrapText="1"/>
    </xf>
    <xf numFmtId="177" fontId="6" fillId="0" borderId="9" xfId="0" applyNumberFormat="1" applyFont="1" applyBorder="1" applyAlignment="1">
      <alignment horizontal="center" vertical="center" wrapText="1"/>
    </xf>
    <xf numFmtId="177" fontId="6" fillId="0" borderId="12" xfId="0" applyNumberFormat="1" applyFont="1" applyBorder="1" applyAlignment="1">
      <alignment horizontal="center" vertical="center" wrapText="1"/>
    </xf>
    <xf numFmtId="178" fontId="2" fillId="0" borderId="4" xfId="0" applyNumberFormat="1" applyFont="1" applyBorder="1" applyAlignment="1">
      <alignment horizontal="center" vertical="center" wrapText="1"/>
    </xf>
    <xf numFmtId="178" fontId="2" fillId="0" borderId="12" xfId="0" applyNumberFormat="1" applyFont="1" applyBorder="1" applyAlignment="1">
      <alignment horizontal="center" vertical="center" wrapText="1"/>
    </xf>
    <xf numFmtId="178" fontId="2" fillId="0" borderId="6" xfId="0" applyNumberFormat="1" applyFont="1" applyBorder="1" applyAlignment="1">
      <alignment horizontal="center" vertical="center" wrapText="1"/>
    </xf>
    <xf numFmtId="177" fontId="11" fillId="4" borderId="10" xfId="0" applyNumberFormat="1" applyFont="1" applyFill="1" applyBorder="1" applyAlignment="1">
      <alignment horizontal="center"/>
    </xf>
    <xf numFmtId="177" fontId="11" fillId="4" borderId="5" xfId="0" applyNumberFormat="1" applyFont="1" applyFill="1" applyBorder="1" applyAlignment="1">
      <alignment horizontal="center"/>
    </xf>
    <xf numFmtId="177" fontId="8" fillId="0" borderId="10" xfId="0" applyNumberFormat="1" applyFont="1" applyBorder="1" applyAlignment="1">
      <alignment horizontal="left" vertical="center" wrapText="1"/>
    </xf>
    <xf numFmtId="177" fontId="8" fillId="0" borderId="5" xfId="0" applyNumberFormat="1" applyFont="1" applyBorder="1" applyAlignment="1">
      <alignment horizontal="left" vertical="center" wrapText="1"/>
    </xf>
    <xf numFmtId="177" fontId="11" fillId="0" borderId="10" xfId="0" applyNumberFormat="1" applyFont="1" applyBorder="1" applyAlignment="1">
      <alignment horizontal="center" wrapText="1"/>
    </xf>
    <xf numFmtId="177" fontId="11" fillId="0" borderId="5" xfId="0" applyNumberFormat="1" applyFont="1" applyBorder="1" applyAlignment="1">
      <alignment horizontal="center" wrapText="1"/>
    </xf>
    <xf numFmtId="177" fontId="11" fillId="0" borderId="6" xfId="0" applyNumberFormat="1" applyFont="1" applyBorder="1" applyAlignment="1">
      <alignment horizontal="left"/>
    </xf>
    <xf numFmtId="177" fontId="1" fillId="0" borderId="6" xfId="0" applyNumberFormat="1" applyFont="1" applyBorder="1" applyAlignment="1">
      <alignment horizontal="left"/>
    </xf>
    <xf numFmtId="177" fontId="11" fillId="0" borderId="10" xfId="0" applyNumberFormat="1" applyFont="1" applyBorder="1" applyAlignment="1">
      <alignment horizontal="center" vertical="center" wrapText="1"/>
    </xf>
    <xf numFmtId="177" fontId="11" fillId="0" borderId="5" xfId="0" applyNumberFormat="1" applyFont="1" applyBorder="1" applyAlignment="1">
      <alignment horizontal="center" vertical="center" wrapText="1"/>
    </xf>
    <xf numFmtId="177" fontId="6" fillId="0" borderId="10" xfId="0" applyNumberFormat="1" applyFont="1" applyBorder="1" applyAlignment="1">
      <alignment horizontal="center"/>
    </xf>
    <xf numFmtId="177" fontId="6" fillId="0" borderId="5" xfId="0" applyNumberFormat="1" applyFont="1" applyBorder="1" applyAlignment="1">
      <alignment horizontal="center"/>
    </xf>
    <xf numFmtId="177" fontId="11" fillId="0" borderId="14" xfId="0" applyNumberFormat="1" applyFont="1" applyBorder="1" applyAlignment="1">
      <alignment horizontal="left" vertical="center" wrapText="1"/>
    </xf>
    <xf numFmtId="177" fontId="11" fillId="4" borderId="10" xfId="0" applyNumberFormat="1" applyFont="1" applyFill="1" applyBorder="1" applyAlignment="1">
      <alignment horizontal="left" vertical="center"/>
    </xf>
    <xf numFmtId="177" fontId="11" fillId="4" borderId="5" xfId="0" applyNumberFormat="1" applyFont="1" applyFill="1" applyBorder="1" applyAlignment="1">
      <alignment horizontal="left" vertical="center"/>
    </xf>
    <xf numFmtId="177" fontId="5" fillId="0" borderId="0" xfId="0" applyNumberFormat="1" applyFont="1" applyBorder="1" applyAlignment="1">
      <alignment horizontal="center" vertical="center"/>
    </xf>
    <xf numFmtId="177" fontId="6" fillId="0" borderId="6" xfId="0" applyNumberFormat="1" applyFont="1" applyBorder="1" applyAlignment="1">
      <alignment horizontal="center" vertical="center"/>
    </xf>
    <xf numFmtId="177" fontId="11" fillId="0" borderId="10" xfId="0" applyNumberFormat="1" applyFont="1" applyBorder="1" applyAlignment="1">
      <alignment horizontal="left" vertical="center" wrapText="1"/>
    </xf>
    <xf numFmtId="177" fontId="11" fillId="0" borderId="5" xfId="0" applyNumberFormat="1" applyFont="1" applyBorder="1" applyAlignment="1">
      <alignment horizontal="left" vertical="center" wrapText="1"/>
    </xf>
    <xf numFmtId="177" fontId="9" fillId="0" borderId="0" xfId="0" applyNumberFormat="1" applyFont="1" applyAlignment="1">
      <alignment horizontal="left" vertical="center" wrapText="1"/>
    </xf>
    <xf numFmtId="177" fontId="11" fillId="0" borderId="0" xfId="0" applyNumberFormat="1" applyFont="1" applyAlignment="1">
      <alignment horizontal="left" vertical="center" wrapText="1"/>
    </xf>
    <xf numFmtId="177" fontId="6" fillId="0" borderId="10" xfId="0" applyNumberFormat="1" applyFont="1" applyBorder="1" applyAlignment="1">
      <alignment horizontal="center" vertical="center"/>
    </xf>
    <xf numFmtId="177" fontId="6" fillId="0" borderId="5" xfId="0" applyNumberFormat="1" applyFont="1" applyBorder="1" applyAlignment="1">
      <alignment horizontal="center" vertical="center"/>
    </xf>
    <xf numFmtId="177" fontId="1" fillId="0" borderId="6" xfId="0" applyNumberFormat="1" applyFont="1" applyBorder="1" applyAlignment="1">
      <alignment horizontal="center" vertical="center"/>
    </xf>
    <xf numFmtId="177" fontId="5" fillId="0" borderId="0" xfId="0" applyNumberFormat="1" applyFont="1" applyAlignment="1">
      <alignment horizontal="center"/>
    </xf>
    <xf numFmtId="177" fontId="6" fillId="0" borderId="0" xfId="0" applyNumberFormat="1" applyFont="1" applyBorder="1" applyAlignment="1">
      <alignment horizontal="right"/>
    </xf>
  </cellXfs>
  <cellStyles count="169">
    <cellStyle name="_2009年经营计划-临安西子公司(3亿)" xfId="2"/>
    <cellStyle name="_2323 FAR" xfId="3"/>
    <cellStyle name="_Copy of 09060U265b 1_eng (2)" xfId="4"/>
    <cellStyle name="_gross profit of main products_eng (2)" xfId="5"/>
    <cellStyle name="_PartB_FinaStatements" xfId="6"/>
    <cellStyle name="_PRC" xfId="7"/>
    <cellStyle name="0,0_x000d__x000a_NA_x000d__x000a_" xfId="8"/>
    <cellStyle name="0,0_x000d__x000a_NA_x000d__x000a_ 2" xfId="9"/>
    <cellStyle name="0,0_x000d__x000a_NA_x000d__x000a__三期2011" xfId="10"/>
    <cellStyle name="ColLevel_0" xfId="11"/>
    <cellStyle name="Column Title" xfId="12"/>
    <cellStyle name="Comma_Profit Forecast Memo_Mar 29" xfId="13"/>
    <cellStyle name="Company" xfId="14"/>
    <cellStyle name="Date [mmm-d-yyyy]" xfId="15"/>
    <cellStyle name="Date [mmm-yyyy]" xfId="16"/>
    <cellStyle name="Date2" xfId="17"/>
    <cellStyle name="General" xfId="18"/>
    <cellStyle name="General 10" xfId="19"/>
    <cellStyle name="General 11" xfId="20"/>
    <cellStyle name="General 12" xfId="21"/>
    <cellStyle name="General 13" xfId="22"/>
    <cellStyle name="General 14" xfId="23"/>
    <cellStyle name="General 15" xfId="24"/>
    <cellStyle name="General 16" xfId="25"/>
    <cellStyle name="General 17" xfId="26"/>
    <cellStyle name="General 18" xfId="27"/>
    <cellStyle name="General 19" xfId="28"/>
    <cellStyle name="General 2" xfId="29"/>
    <cellStyle name="General 20" xfId="30"/>
    <cellStyle name="General 21" xfId="31"/>
    <cellStyle name="General 22" xfId="32"/>
    <cellStyle name="General 23" xfId="33"/>
    <cellStyle name="General 24" xfId="34"/>
    <cellStyle name="General 25" xfId="35"/>
    <cellStyle name="General 26" xfId="36"/>
    <cellStyle name="General 27" xfId="37"/>
    <cellStyle name="General 28" xfId="38"/>
    <cellStyle name="General 29" xfId="39"/>
    <cellStyle name="General 3" xfId="40"/>
    <cellStyle name="General 30" xfId="41"/>
    <cellStyle name="General 31" xfId="42"/>
    <cellStyle name="General 32" xfId="43"/>
    <cellStyle name="General 33" xfId="44"/>
    <cellStyle name="General 34" xfId="45"/>
    <cellStyle name="General 35" xfId="46"/>
    <cellStyle name="General 36" xfId="47"/>
    <cellStyle name="General 37" xfId="48"/>
    <cellStyle name="General 38" xfId="49"/>
    <cellStyle name="General 39" xfId="50"/>
    <cellStyle name="General 4" xfId="51"/>
    <cellStyle name="General 40" xfId="52"/>
    <cellStyle name="General 41" xfId="53"/>
    <cellStyle name="General 42" xfId="54"/>
    <cellStyle name="General 43" xfId="55"/>
    <cellStyle name="General 44" xfId="56"/>
    <cellStyle name="General 45" xfId="57"/>
    <cellStyle name="General 46" xfId="58"/>
    <cellStyle name="General 47" xfId="59"/>
    <cellStyle name="General 5" xfId="60"/>
    <cellStyle name="General 6" xfId="61"/>
    <cellStyle name="General 7" xfId="62"/>
    <cellStyle name="General 8" xfId="63"/>
    <cellStyle name="General 9" xfId="64"/>
    <cellStyle name="Input" xfId="65"/>
    <cellStyle name="Input 10" xfId="66"/>
    <cellStyle name="Input 11" xfId="67"/>
    <cellStyle name="Input 12" xfId="68"/>
    <cellStyle name="Input 13" xfId="69"/>
    <cellStyle name="Input 14" xfId="70"/>
    <cellStyle name="Input 15" xfId="71"/>
    <cellStyle name="Input 16" xfId="72"/>
    <cellStyle name="Input 17" xfId="73"/>
    <cellStyle name="Input 18" xfId="74"/>
    <cellStyle name="Input 19" xfId="75"/>
    <cellStyle name="Input 2" xfId="76"/>
    <cellStyle name="Input 20" xfId="77"/>
    <cellStyle name="Input 21" xfId="78"/>
    <cellStyle name="Input 22" xfId="79"/>
    <cellStyle name="Input 23" xfId="80"/>
    <cellStyle name="Input 24" xfId="81"/>
    <cellStyle name="Input 25" xfId="82"/>
    <cellStyle name="Input 26" xfId="83"/>
    <cellStyle name="Input 27" xfId="84"/>
    <cellStyle name="Input 28" xfId="85"/>
    <cellStyle name="Input 29" xfId="86"/>
    <cellStyle name="Input 3" xfId="87"/>
    <cellStyle name="Input 30" xfId="88"/>
    <cellStyle name="Input 31" xfId="89"/>
    <cellStyle name="Input 32" xfId="90"/>
    <cellStyle name="Input 33" xfId="91"/>
    <cellStyle name="Input 34" xfId="92"/>
    <cellStyle name="Input 35" xfId="93"/>
    <cellStyle name="Input 36" xfId="94"/>
    <cellStyle name="Input 37" xfId="95"/>
    <cellStyle name="Input 38" xfId="96"/>
    <cellStyle name="Input 39" xfId="97"/>
    <cellStyle name="Input 4" xfId="98"/>
    <cellStyle name="Input 40" xfId="99"/>
    <cellStyle name="Input 41" xfId="100"/>
    <cellStyle name="Input 42" xfId="101"/>
    <cellStyle name="Input 43" xfId="102"/>
    <cellStyle name="Input 44" xfId="103"/>
    <cellStyle name="Input 45" xfId="104"/>
    <cellStyle name="Input 5" xfId="105"/>
    <cellStyle name="Input 6" xfId="106"/>
    <cellStyle name="Input 7" xfId="107"/>
    <cellStyle name="Input 8" xfId="108"/>
    <cellStyle name="Input 9" xfId="109"/>
    <cellStyle name="Margin" xfId="110"/>
    <cellStyle name="n" xfId="111"/>
    <cellStyle name="Normal_Dilution_analysis_Ken" xfId="112"/>
    <cellStyle name="NormalMultiple" xfId="113"/>
    <cellStyle name="NormalX" xfId="114"/>
    <cellStyle name="p" xfId="115"/>
    <cellStyle name="Profit figure" xfId="116"/>
    <cellStyle name="Red Font" xfId="117"/>
    <cellStyle name="Tag" xfId="118"/>
    <cellStyle name="百分比 10" xfId="119"/>
    <cellStyle name="百分比 12" xfId="120"/>
    <cellStyle name="百分比 14" xfId="121"/>
    <cellStyle name="百分比 16" xfId="122"/>
    <cellStyle name="百分比 18" xfId="123"/>
    <cellStyle name="百分比 2" xfId="124"/>
    <cellStyle name="百分比 2 2" xfId="125"/>
    <cellStyle name="百分比 20" xfId="126"/>
    <cellStyle name="百分比 22" xfId="127"/>
    <cellStyle name="百分比 23" xfId="128"/>
    <cellStyle name="百分比 24" xfId="129"/>
    <cellStyle name="百分比 25" xfId="130"/>
    <cellStyle name="百分比 26" xfId="131"/>
    <cellStyle name="百分比 27" xfId="132"/>
    <cellStyle name="百分比 3" xfId="133"/>
    <cellStyle name="百分比 6" xfId="134"/>
    <cellStyle name="百分比 8" xfId="135"/>
    <cellStyle name="差_2009年经营计划初稿-临安西子公司081130" xfId="136"/>
    <cellStyle name="差_2009年经营计划-临安西子公司(3亿)" xfId="137"/>
    <cellStyle name="常规" xfId="0" builtinId="0"/>
    <cellStyle name="常规 107" xfId="138"/>
    <cellStyle name="常规 107 2" xfId="139"/>
    <cellStyle name="常规 2" xfId="140"/>
    <cellStyle name="常规 2 2" xfId="141"/>
    <cellStyle name="常规 29" xfId="142"/>
    <cellStyle name="常规 3" xfId="143"/>
    <cellStyle name="常规 3 2" xfId="144"/>
    <cellStyle name="常规 4" xfId="145"/>
    <cellStyle name="常规 41" xfId="146"/>
    <cellStyle name="常规 45" xfId="147"/>
    <cellStyle name="常规 5" xfId="148"/>
    <cellStyle name="常规 6" xfId="149"/>
    <cellStyle name="常规 7" xfId="150"/>
    <cellStyle name="超级链接" xfId="151"/>
    <cellStyle name="超链接" xfId="1" builtinId="8"/>
    <cellStyle name="超链接 2" xfId="152"/>
    <cellStyle name="好_2009年经营计划初稿-临安西子公司081130" xfId="153"/>
    <cellStyle name="好_2009年经营计划-临安西子公司(3亿)" xfId="154"/>
    <cellStyle name="后继超级链接" xfId="155"/>
    <cellStyle name="货币 2" xfId="156"/>
    <cellStyle name="千分位[0]_Sheet1 (2)" xfId="157"/>
    <cellStyle name="千分位_Sheet1 (2)" xfId="158"/>
    <cellStyle name="千位分隔 10" xfId="159"/>
    <cellStyle name="千位分隔 13" xfId="160"/>
    <cellStyle name="千位分隔 2" xfId="161"/>
    <cellStyle name="千位分隔 3" xfId="162"/>
    <cellStyle name="千位分隔 3 2" xfId="163"/>
    <cellStyle name="千位分隔 41" xfId="164"/>
    <cellStyle name="千位分隔 42" xfId="165"/>
    <cellStyle name="千位分隔 43" xfId="166"/>
    <cellStyle name="样式 1" xfId="167"/>
    <cellStyle name="一般_99-12-31" xfId="16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10" Type="http://schemas.openxmlformats.org/officeDocument/2006/relationships/externalLink" Target="externalLinks/externalLink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AMY\SIMON\ASI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M:\DBASE\STATS\FISCB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9044;&#31639;&#30456;&#20851;&#36164;&#26009;/&#19990;&#32426;&#22478;/&#21508;&#39033;&#30446;&#21033;&#28070;&#26680;&#23545;/&#22791;&#26597;/&#21508;&#39033;&#30446;&#21033;&#28070;&#26680;&#23545;/&#22791;&#26597;/Detail-4.2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yuecha/Local%20Settings/Temp/Documentum/Viewed/11599877692132173/Copy_of_09060U265_en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leungwi/Desktop/Copy%20of%2010060V783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ocuments%20and%20Settings\xiaoshou\Local%20Settings\Temporary%20Internet%20Files\Content.IE5\C927GTE3\&#19978;&#24066;&#30408;&#21033;&#39044;&#27979;\JP&#27169;&#22411;\Greentown_model&#32838;&#35759;&#2151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9978;&#24066;&#30408;&#21033;&#39044;&#27979;/JP&#27169;&#22411;/Greentown_model&#32838;&#35759;&#2151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5104;&#26412;&#39044;&#31639;/&#20854;&#20182;&#36153;&#29992;&#28165;&#21333;(&#22303;&#24314;)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9044;&#31639;&#30456;&#20851;&#36164;&#26009;/&#19990;&#32426;&#22478;/&#21508;&#39033;&#30446;&#21033;&#28070;&#26680;&#23545;/&#22791;&#26597;/&#21508;&#39033;&#30446;&#21033;&#28070;&#26680;&#23545;/&#22791;&#26597;/Greentown%20Model-0403.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ata/U388725/Projects/Project%20Westlake/IPO/presentation%20to%20RE%20team.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53;&#29992;&#39044;&#31639;.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8468;&#20214;&#19968;&#65306;&#36130;&#21153;&#39044;&#31639;&#22871;&#3492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013&#24180;&#39044;&#31639;&#34920;&#2668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GDP"/>
      <sheetName val="ASIA"/>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KBUD"/>
      <sheetName val="FISCBAL"/>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预计利润表－项目核对"/>
      <sheetName val="Setting"/>
      <sheetName val="Global"/>
      <sheetName val="Detail"/>
      <sheetName val="Consolidate"/>
      <sheetName val="output"/>
      <sheetName val="2009"/>
      <sheetName val="2010"/>
      <sheetName val="Summary"/>
      <sheetName val="GFA"/>
      <sheetName val="Control"/>
      <sheetName val="Bank Debt"/>
      <sheetName val="New Report"/>
      <sheetName val="Financial statements"/>
      <sheetName val="Hotel input"/>
      <sheetName val="Cash to JV"/>
      <sheetName val="Ratio output"/>
      <sheetName val="Roadshow presentation"/>
      <sheetName val="Invest CF"/>
      <sheetName val="Credit credential"/>
      <sheetName val="Forecast panel (2009)"/>
      <sheetName val="Forecast panel (2010)"/>
      <sheetName val="Forecast panel (2011)"/>
      <sheetName val="Forecast panel (2012)"/>
      <sheetName val="Forecast panel (2013)"/>
      <sheetName val="Holdc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中国宏观经济强劲"/>
      <sheetName val="高增长高利润的经营业绩 (2)"/>
      <sheetName val="收入基础多元化"/>
      <sheetName val="2006年宏观调控对绿城的影响"/>
      <sheetName val="new1"/>
      <sheetName val="Revenue"/>
      <sheetName val="Excellent"/>
      <sheetName val="breakdown"/>
      <sheetName val="GFA"/>
      <sheetName val="Site"/>
      <sheetName val="主要房地产市场发展趋势—北京"/>
      <sheetName val="主要房地产市场发展趋势—上海"/>
      <sheetName val="主要房地产市场发展趋势—浙江"/>
      <sheetName val="主要房地产市场发展趋势—杭州"/>
      <sheetName val="高增长高利润的经营业绩"/>
      <sheetName val="多元化高质量的土地储备"/>
      <sheetName val="05年预售率"/>
      <sheetName val="average price"/>
      <sheetName val="Sheet1"/>
      <sheetName val="Sheet3"/>
      <sheetName val="Sheet2"/>
      <sheetName val="Sheet4"/>
    </sheetNames>
    <sheetDataSet>
      <sheetData sheetId="0" refreshError="1"/>
      <sheetData sheetId="1" refreshError="1"/>
      <sheetData sheetId="2" refreshError="1"/>
      <sheetData sheetId="3">
        <row r="21">
          <cell r="C21" t="str">
            <v>总销售面积(平方米)</v>
          </cell>
          <cell r="D21" t="str">
            <v>已预售销售面积(平方米)</v>
          </cell>
          <cell r="E21" t="str">
            <v>预售率</v>
          </cell>
          <cell r="F21" t="str">
            <v>预计税前利润(百万人民币)</v>
          </cell>
          <cell r="G21" t="str">
            <v>预计已锁定利润(百万人民币)</v>
          </cell>
          <cell r="H21" t="str">
            <v>占总利润</v>
          </cell>
        </row>
        <row r="22">
          <cell r="A22" t="str">
            <v>Deep Blue Plaza</v>
          </cell>
          <cell r="B22" t="str">
            <v>深蓝广场</v>
          </cell>
          <cell r="C22">
            <v>97834</v>
          </cell>
          <cell r="D22">
            <v>73498</v>
          </cell>
          <cell r="E22">
            <v>0.75</v>
          </cell>
          <cell r="F22">
            <v>931</v>
          </cell>
          <cell r="G22">
            <v>699</v>
          </cell>
          <cell r="H22">
            <v>0.75</v>
          </cell>
        </row>
        <row r="23">
          <cell r="A23" t="str">
            <v>Chunjiang Huayue - Phase IV &amp; V</v>
          </cell>
          <cell r="B23" t="str">
            <v>春江花月四五期</v>
          </cell>
          <cell r="C23">
            <v>114256</v>
          </cell>
          <cell r="D23">
            <v>72542</v>
          </cell>
          <cell r="E23">
            <v>0.63</v>
          </cell>
          <cell r="F23">
            <v>614</v>
          </cell>
          <cell r="G23">
            <v>390</v>
          </cell>
          <cell r="H23">
            <v>0.63</v>
          </cell>
        </row>
        <row r="24">
          <cell r="A24" t="str">
            <v>Taohuayuan West</v>
          </cell>
          <cell r="B24" t="str">
            <v>桃花源西区一期</v>
          </cell>
          <cell r="C24">
            <v>62937</v>
          </cell>
          <cell r="D24">
            <v>53742</v>
          </cell>
          <cell r="E24">
            <v>0.85</v>
          </cell>
          <cell r="F24">
            <v>611</v>
          </cell>
          <cell r="G24">
            <v>522</v>
          </cell>
          <cell r="H24">
            <v>0.85</v>
          </cell>
        </row>
        <row r="25">
          <cell r="A25" t="str">
            <v>Chunjiang Huayue - Phase III</v>
          </cell>
          <cell r="B25" t="str">
            <v>春江花月三期</v>
          </cell>
          <cell r="C25">
            <v>39464</v>
          </cell>
          <cell r="D25">
            <v>36196</v>
          </cell>
          <cell r="E25">
            <v>0.92</v>
          </cell>
          <cell r="F25">
            <v>319</v>
          </cell>
          <cell r="G25">
            <v>293</v>
          </cell>
          <cell r="H25">
            <v>0.92</v>
          </cell>
        </row>
        <row r="26">
          <cell r="A26" t="str">
            <v>2006年总计</v>
          </cell>
          <cell r="C26">
            <v>314491</v>
          </cell>
          <cell r="D26">
            <v>235978</v>
          </cell>
          <cell r="E26">
            <v>0.25</v>
          </cell>
          <cell r="F26">
            <v>2498</v>
          </cell>
          <cell r="G26">
            <v>1904</v>
          </cell>
          <cell r="H26">
            <v>0.76</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41">
          <cell r="H41" t="str">
            <v>所有2005年项目</v>
          </cell>
          <cell r="J41" t="str">
            <v>杭州上海地区项目合计</v>
          </cell>
        </row>
        <row r="42">
          <cell r="H42" t="str">
            <v>总已售建筑面积</v>
          </cell>
          <cell r="I42">
            <v>579474.69999999995</v>
          </cell>
          <cell r="J42" t="str">
            <v>总已售建筑面积</v>
          </cell>
          <cell r="K42">
            <v>398498.11</v>
          </cell>
          <cell r="L42" t="str">
            <v>总已售建筑面积</v>
          </cell>
          <cell r="M42">
            <v>398498.11</v>
          </cell>
          <cell r="N42" t="str">
            <v>总已售建筑面积</v>
          </cell>
          <cell r="O42">
            <v>398498.11</v>
          </cell>
          <cell r="P42" t="str">
            <v>总已售建筑面积</v>
          </cell>
          <cell r="Q42">
            <v>398498.11</v>
          </cell>
        </row>
        <row r="43">
          <cell r="H43" t="str">
            <v>总完工建筑面积</v>
          </cell>
          <cell r="I43">
            <v>687007.98</v>
          </cell>
          <cell r="J43" t="str">
            <v>总完工建筑面积</v>
          </cell>
          <cell r="K43">
            <v>417745.96</v>
          </cell>
          <cell r="L43" t="str">
            <v>总完工建筑面积</v>
          </cell>
          <cell r="M43">
            <v>417745.96</v>
          </cell>
          <cell r="N43" t="str">
            <v>总完工建筑面积</v>
          </cell>
          <cell r="O43">
            <v>417745.96</v>
          </cell>
          <cell r="P43" t="str">
            <v>总完工建筑面积</v>
          </cell>
          <cell r="Q43">
            <v>417745.96</v>
          </cell>
        </row>
        <row r="44">
          <cell r="H44" t="str">
            <v>预售率</v>
          </cell>
          <cell r="I44">
            <v>0.8434759374992995</v>
          </cell>
          <cell r="J44" t="str">
            <v>预售率</v>
          </cell>
          <cell r="K44">
            <v>0.9539245095272737</v>
          </cell>
          <cell r="L44" t="str">
            <v>预售率</v>
          </cell>
          <cell r="M44">
            <v>0.9539245095272737</v>
          </cell>
          <cell r="N44" t="str">
            <v>预售率</v>
          </cell>
          <cell r="O44">
            <v>0.9539245095272737</v>
          </cell>
          <cell r="P44" t="str">
            <v>预售率</v>
          </cell>
          <cell r="Q44">
            <v>0.9539245095272737</v>
          </cell>
        </row>
        <row r="45">
          <cell r="H45" t="str">
            <v>存货率</v>
          </cell>
          <cell r="I45">
            <v>0.1565240625007005</v>
          </cell>
          <cell r="J45" t="str">
            <v>存货率</v>
          </cell>
          <cell r="K45">
            <v>4.6075490472726299E-2</v>
          </cell>
          <cell r="L45" t="str">
            <v>存货率</v>
          </cell>
          <cell r="M45">
            <v>4.6075490472726299E-2</v>
          </cell>
          <cell r="N45" t="str">
            <v>存货率</v>
          </cell>
          <cell r="O45">
            <v>4.6075490472726299E-2</v>
          </cell>
          <cell r="P45" t="str">
            <v>存货率</v>
          </cell>
          <cell r="Q45">
            <v>4.6075490472726299E-2</v>
          </cell>
        </row>
        <row r="47">
          <cell r="H47" t="str">
            <v>总销售收入</v>
          </cell>
          <cell r="I47">
            <v>377320.27980000002</v>
          </cell>
          <cell r="J47" t="str">
            <v>总销售收入</v>
          </cell>
          <cell r="K47">
            <v>318950.82340000005</v>
          </cell>
          <cell r="L47" t="str">
            <v>总销售收入</v>
          </cell>
          <cell r="M47">
            <v>318950.82340000005</v>
          </cell>
          <cell r="N47" t="str">
            <v>总销售收入</v>
          </cell>
          <cell r="O47">
            <v>318950.82340000005</v>
          </cell>
          <cell r="P47" t="str">
            <v>总销售收入</v>
          </cell>
          <cell r="Q47">
            <v>318950.82340000005</v>
          </cell>
        </row>
        <row r="48">
          <cell r="H48" t="str">
            <v>总完工项目金额</v>
          </cell>
          <cell r="I48">
            <v>431811.22511</v>
          </cell>
          <cell r="J48" t="str">
            <v>总完工项目金额</v>
          </cell>
          <cell r="K48">
            <v>336340.03019999998</v>
          </cell>
          <cell r="L48" t="str">
            <v>总完工项目金额</v>
          </cell>
          <cell r="M48">
            <v>336340.03019999998</v>
          </cell>
          <cell r="N48" t="str">
            <v>总完工项目金额</v>
          </cell>
          <cell r="O48">
            <v>336340.03019999998</v>
          </cell>
          <cell r="P48" t="str">
            <v>总完工项目金额</v>
          </cell>
          <cell r="Q48">
            <v>336340.03019999998</v>
          </cell>
        </row>
        <row r="49">
          <cell r="H49" t="str">
            <v>预售率</v>
          </cell>
          <cell r="I49">
            <v>0.87380840945920546</v>
          </cell>
          <cell r="J49" t="str">
            <v>预售率</v>
          </cell>
          <cell r="K49">
            <v>0.94829872974186369</v>
          </cell>
          <cell r="L49" t="str">
            <v>预售率</v>
          </cell>
          <cell r="M49">
            <v>0.94829872974186369</v>
          </cell>
          <cell r="N49" t="str">
            <v>预售率</v>
          </cell>
          <cell r="O49">
            <v>0.94829872974186369</v>
          </cell>
          <cell r="P49" t="str">
            <v>预售率</v>
          </cell>
          <cell r="Q49">
            <v>0.94829872974186369</v>
          </cell>
        </row>
        <row r="50">
          <cell r="H50" t="str">
            <v>存货率</v>
          </cell>
          <cell r="I50">
            <v>0.12619159054079454</v>
          </cell>
          <cell r="J50" t="str">
            <v>存货率</v>
          </cell>
          <cell r="K50">
            <v>5.1701270258136311E-2</v>
          </cell>
          <cell r="L50" t="str">
            <v>存货率</v>
          </cell>
          <cell r="M50">
            <v>5.1701270258136311E-2</v>
          </cell>
          <cell r="N50" t="str">
            <v>存货率</v>
          </cell>
          <cell r="O50">
            <v>5.1701270258136311E-2</v>
          </cell>
          <cell r="P50" t="str">
            <v>存货率</v>
          </cell>
          <cell r="Q50">
            <v>5.1701270258136311E-2</v>
          </cell>
        </row>
      </sheetData>
      <sheetData sheetId="17">
        <row r="2">
          <cell r="A2" t="str">
            <v>Rank</v>
          </cell>
          <cell r="B2" t="str">
            <v>City</v>
          </cell>
          <cell r="C2" t="str">
            <v>Average house price (Rmb/sqm)</v>
          </cell>
        </row>
        <row r="3">
          <cell r="A3">
            <v>1</v>
          </cell>
          <cell r="B3" t="str">
            <v>Wenzhou</v>
          </cell>
          <cell r="C3">
            <v>9278</v>
          </cell>
        </row>
        <row r="4">
          <cell r="A4">
            <v>2</v>
          </cell>
          <cell r="B4" t="str">
            <v>Shanghai</v>
          </cell>
          <cell r="C4">
            <v>8627</v>
          </cell>
        </row>
        <row r="5">
          <cell r="A5">
            <v>3</v>
          </cell>
          <cell r="B5" t="str">
            <v>Hangzhou</v>
          </cell>
          <cell r="C5">
            <v>7210</v>
          </cell>
        </row>
        <row r="6">
          <cell r="A6">
            <v>4</v>
          </cell>
          <cell r="B6" t="str">
            <v>Beijing</v>
          </cell>
          <cell r="C6">
            <v>6232</v>
          </cell>
        </row>
        <row r="7">
          <cell r="A7">
            <v>5</v>
          </cell>
          <cell r="B7" t="str">
            <v>Shenzhen</v>
          </cell>
          <cell r="C7">
            <v>6037</v>
          </cell>
        </row>
        <row r="8">
          <cell r="A8">
            <v>6</v>
          </cell>
          <cell r="B8" t="str">
            <v>Ningbo</v>
          </cell>
          <cell r="C8">
            <v>5900</v>
          </cell>
        </row>
        <row r="9">
          <cell r="A9">
            <v>7</v>
          </cell>
          <cell r="B9" t="str">
            <v>Nanjing</v>
          </cell>
          <cell r="C9">
            <v>4960</v>
          </cell>
        </row>
        <row r="10">
          <cell r="A10">
            <v>8</v>
          </cell>
          <cell r="B10" t="str">
            <v>Qingdao</v>
          </cell>
          <cell r="C10">
            <v>4639</v>
          </cell>
        </row>
        <row r="11">
          <cell r="A11">
            <v>9</v>
          </cell>
          <cell r="B11" t="str">
            <v>Jinan</v>
          </cell>
          <cell r="C11">
            <v>3172</v>
          </cell>
        </row>
        <row r="12">
          <cell r="A12">
            <v>10</v>
          </cell>
          <cell r="B12" t="str">
            <v>Changsha</v>
          </cell>
          <cell r="C12">
            <v>2825</v>
          </cell>
        </row>
        <row r="13">
          <cell r="A13">
            <v>11</v>
          </cell>
          <cell r="B13" t="str">
            <v>Urumchi</v>
          </cell>
          <cell r="C13">
            <v>2280</v>
          </cell>
        </row>
        <row r="14">
          <cell r="A14">
            <v>12</v>
          </cell>
          <cell r="B14" t="str">
            <v>Hefei</v>
          </cell>
          <cell r="C14">
            <v>2220</v>
          </cell>
        </row>
      </sheetData>
      <sheetData sheetId="18" refreshError="1"/>
      <sheetData sheetId="19" refreshError="1"/>
      <sheetData sheetId="20" refreshError="1"/>
      <sheetData sheetId="2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
      <sheetName val="resource"/>
      <sheetName val="Geographical breakdown"/>
      <sheetName val="PRC"/>
      <sheetName val="DD &amp; SS"/>
      <sheetName val="price vs GDP"/>
      <sheetName val="house price growth"/>
      <sheetName val="Disposable income"/>
      <sheetName val="hangzhou2"/>
      <sheetName val="hangzhou"/>
      <sheetName val="guangdong "/>
      <sheetName val="Anhui"/>
      <sheetName val="Hunan"/>
      <sheetName val="Jiangsu"/>
      <sheetName val="Shandong"/>
      <sheetName val="GDP"/>
      <sheetName val="1998"/>
      <sheetName val="1999"/>
      <sheetName val="2000"/>
      <sheetName val="2001"/>
      <sheetName val="2002"/>
      <sheetName val="2003"/>
      <sheetName val="2004"/>
      <sheetName val="Sheet1 (3)"/>
      <sheetName val="Sheet2"/>
      <sheetName val="company operations"/>
      <sheetName val="Sheet1"/>
      <sheetName val="Revenue"/>
      <sheetName val="graph"/>
      <sheetName val="data"/>
    </sheetNames>
    <sheetDataSet>
      <sheetData sheetId="0"/>
      <sheetData sheetId="1"/>
      <sheetData sheetId="2"/>
      <sheetData sheetId="3"/>
      <sheetData sheetId="4"/>
      <sheetData sheetId="5"/>
      <sheetData sheetId="6"/>
      <sheetData sheetId="7"/>
      <sheetData sheetId="8">
        <row r="42">
          <cell r="A42" t="str">
            <v>Name of project</v>
          </cell>
          <cell r="C42" t="str">
            <v>Completion</v>
          </cell>
          <cell r="D42" t="str">
            <v>Price (Rmb/sqm)</v>
          </cell>
        </row>
        <row r="43">
          <cell r="A43" t="str">
            <v>Qianshuiwan City Garden</v>
          </cell>
          <cell r="C43">
            <v>2004</v>
          </cell>
          <cell r="D43">
            <v>10546</v>
          </cell>
        </row>
        <row r="44">
          <cell r="A44" t="str">
            <v>Yunhe Building</v>
          </cell>
          <cell r="C44">
            <v>2002</v>
          </cell>
          <cell r="D44">
            <v>9011</v>
          </cell>
        </row>
        <row r="45">
          <cell r="A45" t="str">
            <v>Zuo'an Garden</v>
          </cell>
          <cell r="C45">
            <v>2005</v>
          </cell>
          <cell r="D45">
            <v>8170</v>
          </cell>
        </row>
        <row r="46">
          <cell r="A46" t="str">
            <v>Nanxiao Wharf</v>
          </cell>
          <cell r="C46">
            <v>2005</v>
          </cell>
          <cell r="D46">
            <v>11590</v>
          </cell>
        </row>
        <row r="47">
          <cell r="A47" t="str">
            <v>Golden Palm Garden</v>
          </cell>
          <cell r="C47">
            <v>2003</v>
          </cell>
          <cell r="D47">
            <v>11130</v>
          </cell>
        </row>
        <row r="48">
          <cell r="A48" t="str">
            <v>Guihua City</v>
          </cell>
          <cell r="C48">
            <v>2001</v>
          </cell>
          <cell r="D48">
            <v>11859</v>
          </cell>
        </row>
        <row r="49">
          <cell r="A49" t="str">
            <v>Centuary Plaza</v>
          </cell>
          <cell r="C49">
            <v>2005</v>
          </cell>
          <cell r="D49">
            <v>11907</v>
          </cell>
        </row>
        <row r="50">
          <cell r="A50" t="str">
            <v>Zijin Yard</v>
          </cell>
          <cell r="C50">
            <v>2005</v>
          </cell>
          <cell r="D50">
            <v>12373</v>
          </cell>
        </row>
        <row r="51">
          <cell r="A51" t="str">
            <v>Jingdu Yuan</v>
          </cell>
          <cell r="C51">
            <v>1998</v>
          </cell>
          <cell r="D51">
            <v>9945</v>
          </cell>
        </row>
        <row r="52">
          <cell r="A52" t="str">
            <v>Oasis Garden</v>
          </cell>
          <cell r="C52">
            <v>2000</v>
          </cell>
          <cell r="D52">
            <v>11664</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 highlight"/>
      <sheetName val="Dilution_analysis"/>
      <sheetName val="Price_assumptions"/>
      <sheetName val="Financial highligts"/>
      <sheetName val="Profits analysis"/>
      <sheetName val="Valuation analysis"/>
      <sheetName val="Comparables analysis"/>
      <sheetName val="Contribution projects"/>
      <sheetName val="Critical issues"/>
      <sheetName val="Yearly"/>
      <sheetName val="Setting"/>
      <sheetName val="Global"/>
      <sheetName val="Mgt_Assumption_Summary"/>
      <sheetName val="Chinese Summary"/>
      <sheetName val="06 deli projects"/>
      <sheetName val="DTT"/>
      <sheetName val="Summary"/>
      <sheetName val="Discount rate control"/>
      <sheetName val="Control"/>
      <sheetName val="GFA"/>
      <sheetName val="output"/>
      <sheetName val="Consolidate"/>
      <sheetName val="Holdco"/>
      <sheetName val="Bank Debt"/>
      <sheetName val="P1"/>
      <sheetName val="P2"/>
      <sheetName val="P3"/>
      <sheetName val="P4"/>
      <sheetName val="P5"/>
      <sheetName val="P6"/>
      <sheetName val="P7"/>
      <sheetName val="P8"/>
      <sheetName val="P9"/>
      <sheetName val="P10"/>
      <sheetName val="P11"/>
      <sheetName val="P12"/>
      <sheetName val="P13"/>
      <sheetName val="P14"/>
      <sheetName val="P15"/>
      <sheetName val="P16"/>
      <sheetName val="P17"/>
      <sheetName val="P18"/>
      <sheetName val="P19"/>
      <sheetName val="P20"/>
      <sheetName val="P21"/>
      <sheetName val="P22"/>
      <sheetName val="P23"/>
      <sheetName val="P24"/>
      <sheetName val="P25"/>
      <sheetName val="P26"/>
      <sheetName val="P27"/>
      <sheetName val="P28"/>
      <sheetName val="P29"/>
      <sheetName val="P30"/>
      <sheetName val="P31"/>
      <sheetName val="P32"/>
      <sheetName val="P33"/>
      <sheetName val="P34"/>
      <sheetName val="P35"/>
      <sheetName val="P36"/>
      <sheetName val="P37"/>
      <sheetName val="P38"/>
      <sheetName val="P39"/>
      <sheetName val="P40"/>
      <sheetName val="P41"/>
      <sheetName val="P42"/>
      <sheetName val="P43"/>
      <sheetName val="P44"/>
      <sheetName val="P45"/>
      <sheetName val="P46"/>
      <sheetName val="P47"/>
      <sheetName val="P48"/>
      <sheetName val="P49"/>
      <sheetName val="P50"/>
      <sheetName val="P51"/>
      <sheetName val="P52"/>
      <sheetName val="P53"/>
      <sheetName val="P54"/>
      <sheetName val="P55"/>
      <sheetName val="P56"/>
      <sheetName val="P57"/>
      <sheetName val="P58"/>
      <sheetName val="P59"/>
      <sheetName val="P60"/>
      <sheetName val="P99"/>
      <sheetName val="P100"/>
      <sheetName val="P101"/>
      <sheetName val="P102"/>
      <sheetName val="P103"/>
      <sheetName val="P104"/>
      <sheetName val="P105"/>
      <sheetName val="P106"/>
      <sheetName val="P107"/>
      <sheetName val="P108"/>
      <sheetName val="P109"/>
      <sheetName val="P110"/>
      <sheetName val="P111"/>
      <sheetName val="P112"/>
      <sheetName val="P113"/>
      <sheetName val="P114"/>
      <sheetName val="P115"/>
      <sheetName val="P116"/>
      <sheetName val="P117"/>
      <sheetName val="P118"/>
      <sheetName val="P119"/>
      <sheetName val="P120"/>
      <sheetName val="P121"/>
      <sheetName val="P122"/>
      <sheetName val="P123"/>
      <sheetName val="P124"/>
      <sheetName val="P125"/>
      <sheetName val="P126"/>
      <sheetName val="P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0">
          <cell r="S20">
            <v>2005</v>
          </cell>
        </row>
      </sheetData>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 highlight"/>
      <sheetName val="Dilution_analysis"/>
      <sheetName val="Price_assumptions"/>
      <sheetName val="Financial highligts"/>
      <sheetName val="Profits analysis"/>
      <sheetName val="Valuation analysis"/>
      <sheetName val="Comparables analysis"/>
      <sheetName val="Contribution projects"/>
      <sheetName val="Critical issues"/>
      <sheetName val="Yearly"/>
      <sheetName val="Setting"/>
      <sheetName val="Global"/>
      <sheetName val="Mgt_Assumption_Summary"/>
      <sheetName val="Chinese Summary"/>
      <sheetName val="06 deli projects"/>
      <sheetName val="DTT"/>
      <sheetName val="Summary"/>
      <sheetName val="Discount rate control"/>
      <sheetName val="Control"/>
      <sheetName val="GFA"/>
      <sheetName val="output"/>
      <sheetName val="Consolidate"/>
      <sheetName val="Holdco"/>
      <sheetName val="Bank Debt"/>
      <sheetName val="P1"/>
      <sheetName val="P2"/>
      <sheetName val="P3"/>
      <sheetName val="P4"/>
      <sheetName val="P5"/>
      <sheetName val="P6"/>
      <sheetName val="P7"/>
      <sheetName val="P8"/>
      <sheetName val="P9"/>
      <sheetName val="P10"/>
      <sheetName val="P11"/>
      <sheetName val="P12"/>
      <sheetName val="P13"/>
      <sheetName val="P14"/>
      <sheetName val="P15"/>
      <sheetName val="P16"/>
      <sheetName val="P17"/>
      <sheetName val="P18"/>
      <sheetName val="P19"/>
      <sheetName val="P20"/>
      <sheetName val="P21"/>
      <sheetName val="P22"/>
      <sheetName val="P23"/>
      <sheetName val="P24"/>
      <sheetName val="P25"/>
      <sheetName val="P26"/>
      <sheetName val="P27"/>
      <sheetName val="P28"/>
      <sheetName val="P29"/>
      <sheetName val="P30"/>
      <sheetName val="P31"/>
      <sheetName val="P32"/>
      <sheetName val="P33"/>
      <sheetName val="P34"/>
      <sheetName val="P35"/>
      <sheetName val="P36"/>
      <sheetName val="P37"/>
      <sheetName val="P38"/>
      <sheetName val="P39"/>
      <sheetName val="P40"/>
      <sheetName val="P41"/>
      <sheetName val="P42"/>
      <sheetName val="P43"/>
      <sheetName val="P44"/>
      <sheetName val="P45"/>
      <sheetName val="P46"/>
      <sheetName val="P47"/>
      <sheetName val="P48"/>
      <sheetName val="P49"/>
      <sheetName val="P50"/>
      <sheetName val="P51"/>
      <sheetName val="P52"/>
      <sheetName val="P53"/>
      <sheetName val="P54"/>
      <sheetName val="P55"/>
      <sheetName val="P56"/>
      <sheetName val="P57"/>
      <sheetName val="P58"/>
      <sheetName val="P59"/>
      <sheetName val="P60"/>
      <sheetName val="P99"/>
      <sheetName val="P100"/>
      <sheetName val="P101"/>
      <sheetName val="P102"/>
      <sheetName val="P103"/>
      <sheetName val="P104"/>
      <sheetName val="P105"/>
      <sheetName val="P106"/>
      <sheetName val="P107"/>
      <sheetName val="P108"/>
      <sheetName val="P109"/>
      <sheetName val="P110"/>
      <sheetName val="P111"/>
      <sheetName val="P112"/>
      <sheetName val="P113"/>
      <sheetName val="P114"/>
      <sheetName val="P115"/>
      <sheetName val="P116"/>
      <sheetName val="P117"/>
      <sheetName val="P118"/>
      <sheetName val="P119"/>
      <sheetName val="P120"/>
      <sheetName val="P121"/>
      <sheetName val="P122"/>
      <sheetName val="P123"/>
      <sheetName val="P124"/>
      <sheetName val="P125"/>
      <sheetName val="P126"/>
      <sheetName val="P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0">
          <cell r="S20">
            <v>2005</v>
          </cell>
        </row>
      </sheetData>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2TempSheet"/>
      <sheetName val="Sheet1"/>
    </sheetNames>
    <sheetDataSet>
      <sheetData sheetId="0">
        <row r="4">
          <cell r="B4" t="str">
            <v>甲方分包项目</v>
          </cell>
          <cell r="D4" t="str">
            <v>上虞桂花园A4、5＃楼</v>
          </cell>
        </row>
      </sheetData>
      <sheetData sheetId="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 highlight"/>
      <sheetName val="Dilution_analysis"/>
      <sheetName val="Price_assumptions"/>
      <sheetName val="Financial highligts"/>
      <sheetName val="Profits analysis"/>
      <sheetName val="Valuation analysis"/>
      <sheetName val="Comparables analysis"/>
      <sheetName val="Contribution projects"/>
      <sheetName val="Critical issues"/>
      <sheetName val="Yearly"/>
      <sheetName val="Setting"/>
      <sheetName val="Global"/>
      <sheetName val="Detail"/>
      <sheetName val="Consolidate"/>
      <sheetName val="output"/>
      <sheetName val="2009"/>
      <sheetName val="2010"/>
      <sheetName val="Summary"/>
      <sheetName val="GFA"/>
      <sheetName val="Control"/>
      <sheetName val="Bank Debt"/>
      <sheetName val="New Report"/>
      <sheetName val="Financial statements"/>
      <sheetName val="Hotel input"/>
      <sheetName val="Cash to JV"/>
      <sheetName val="Ratio output"/>
      <sheetName val="Roadshow presentation"/>
      <sheetName val="Invest CF"/>
      <sheetName val="Credit credential"/>
      <sheetName val="Mgt_Assumption_Summary"/>
      <sheetName val="Chinese Summary"/>
      <sheetName val="Forecast panel (2009)"/>
      <sheetName val="Forecast panel (2010)"/>
      <sheetName val="Forecast panel (2011)"/>
      <sheetName val="Forecast panel (2012)"/>
      <sheetName val="Forecast panel (2013)"/>
      <sheetName val="Holdco"/>
      <sheetName val="P1"/>
      <sheetName val="P2"/>
      <sheetName val="P3"/>
      <sheetName val="P4"/>
      <sheetName val="P5"/>
      <sheetName val="P6"/>
      <sheetName val="P7"/>
      <sheetName val="P8"/>
      <sheetName val="P9"/>
      <sheetName val="P10"/>
      <sheetName val="P11"/>
      <sheetName val="P12"/>
      <sheetName val="P13"/>
      <sheetName val="P14"/>
      <sheetName val="P15"/>
      <sheetName val="P16"/>
      <sheetName val="P17"/>
      <sheetName val="P18"/>
      <sheetName val="P19"/>
      <sheetName val="P20"/>
      <sheetName val="P21"/>
      <sheetName val="P22"/>
      <sheetName val="P23"/>
      <sheetName val="P24"/>
      <sheetName val="P25"/>
      <sheetName val="P26"/>
      <sheetName val="P27"/>
      <sheetName val="P28"/>
      <sheetName val="P29"/>
      <sheetName val="P30"/>
      <sheetName val="P31"/>
      <sheetName val="P32"/>
      <sheetName val="P33"/>
      <sheetName val="P34"/>
      <sheetName val="P35"/>
      <sheetName val="P36"/>
      <sheetName val="P37"/>
      <sheetName val="P38"/>
      <sheetName val="P39"/>
      <sheetName val="P40"/>
      <sheetName val="P41"/>
      <sheetName val="P42"/>
      <sheetName val="P43"/>
      <sheetName val="P44"/>
      <sheetName val="P45"/>
      <sheetName val="P46"/>
      <sheetName val="P47"/>
      <sheetName val="P48"/>
      <sheetName val="P49"/>
      <sheetName val="P50"/>
      <sheetName val="P51"/>
      <sheetName val="P52"/>
      <sheetName val="P53"/>
      <sheetName val="P54"/>
      <sheetName val="P55"/>
      <sheetName val="P56"/>
      <sheetName val="P57"/>
      <sheetName val="P58"/>
      <sheetName val="P59"/>
      <sheetName val="P60"/>
      <sheetName val="P61"/>
      <sheetName val="P62"/>
      <sheetName val="P63"/>
      <sheetName val="P64"/>
      <sheetName val="P65"/>
      <sheetName val="P66"/>
      <sheetName val="P67"/>
      <sheetName val="P68"/>
      <sheetName val="P69"/>
      <sheetName val="P70"/>
      <sheetName val="P71"/>
      <sheetName val="P72"/>
      <sheetName val="P73"/>
      <sheetName val="P74"/>
      <sheetName val="P75"/>
      <sheetName val="P76"/>
      <sheetName val="P77"/>
      <sheetName val="P78"/>
      <sheetName val="P79"/>
      <sheetName val="P80"/>
      <sheetName val="P81"/>
      <sheetName val="P82"/>
      <sheetName val="P83"/>
      <sheetName val="P84"/>
      <sheetName val="P85"/>
      <sheetName val="P86"/>
      <sheetName val="P87"/>
      <sheetName val="P88"/>
      <sheetName val="P89"/>
      <sheetName val="P90"/>
      <sheetName val="P91"/>
      <sheetName val="P92"/>
      <sheetName val="P93"/>
      <sheetName val="P94"/>
      <sheetName val="P95"/>
      <sheetName val="P96"/>
      <sheetName val="P97"/>
      <sheetName val="P98"/>
      <sheetName val="P99"/>
      <sheetName val="P100"/>
      <sheetName val="P101"/>
      <sheetName val="P102"/>
      <sheetName val="P103"/>
      <sheetName val="P104"/>
      <sheetName val="P105"/>
      <sheetName val="P106"/>
      <sheetName val="P107"/>
      <sheetName val="P108"/>
      <sheetName val="P109"/>
      <sheetName val="P110"/>
      <sheetName val="P111"/>
      <sheetName val="P112"/>
      <sheetName val="P113"/>
      <sheetName val="P114"/>
      <sheetName val="P115"/>
      <sheetName val="P116"/>
      <sheetName val="P117"/>
      <sheetName val="P118"/>
      <sheetName val="P119"/>
      <sheetName val="P120"/>
      <sheetName val="P121"/>
      <sheetName val="P122"/>
      <sheetName val="P123"/>
      <sheetName val="P124"/>
      <sheetName val="P125"/>
      <sheetName val="P126"/>
      <sheetName val="P127"/>
      <sheetName val="P128"/>
      <sheetName val="P129"/>
      <sheetName val="P130"/>
      <sheetName val="P131"/>
      <sheetName val="P132"/>
      <sheetName val="P133"/>
      <sheetName val="P134"/>
      <sheetName val="P135"/>
      <sheetName val="P136"/>
      <sheetName val="P137"/>
      <sheetName val="P138"/>
      <sheetName val="P139"/>
      <sheetName val="P140"/>
      <sheetName val="P141"/>
      <sheetName val="P142"/>
      <sheetName val="P143"/>
      <sheetName val="P144"/>
      <sheetName val="P145"/>
      <sheetName val="P146"/>
      <sheetName val="P147"/>
      <sheetName val="P148"/>
      <sheetName val="P149"/>
      <sheetName val="P150"/>
      <sheetName val="P151"/>
      <sheetName val="P152"/>
      <sheetName val="P153"/>
      <sheetName val="P154"/>
      <sheetName val="P155"/>
      <sheetName val="P156"/>
      <sheetName val="P157"/>
      <sheetName val="P158"/>
      <sheetName val="P159"/>
      <sheetName val="P160"/>
      <sheetName val="P161"/>
      <sheetName val="P162"/>
      <sheetName val="P163"/>
      <sheetName val="P164"/>
      <sheetName val="P165"/>
      <sheetName val="P166"/>
      <sheetName val="P167"/>
      <sheetName val="P168"/>
      <sheetName val="P169"/>
      <sheetName val="P170"/>
      <sheetName val="P171"/>
      <sheetName val="P172"/>
      <sheetName val="P173"/>
      <sheetName val="P174"/>
      <sheetName val="P175"/>
      <sheetName val="P176"/>
      <sheetName val="P177"/>
      <sheetName val="P178"/>
      <sheetName val="P179"/>
      <sheetName val="P180"/>
      <sheetName val="P2009"/>
      <sheetName val="P2010"/>
      <sheetName val="P2011"/>
      <sheetName val="P2012"/>
      <sheetName val="P2013"/>
      <sheetName val="P199"/>
      <sheetName val="P200"/>
      <sheetName val="P201"/>
      <sheetName val="P202"/>
      <sheetName val="P203"/>
      <sheetName val="P204"/>
      <sheetName val="P205"/>
      <sheetName val="P206"/>
      <sheetName val="P207"/>
      <sheetName val="P208"/>
      <sheetName val="P209"/>
      <sheetName val="P210"/>
      <sheetName val="P211"/>
      <sheetName val="P212"/>
      <sheetName val="P213"/>
      <sheetName val="P214"/>
      <sheetName val="P215"/>
      <sheetName val="P216"/>
      <sheetName val="P217"/>
      <sheetName val="P218"/>
      <sheetName val="P219"/>
      <sheetName val="P220"/>
      <sheetName val="P221"/>
      <sheetName val="P222"/>
      <sheetName val="P223"/>
      <sheetName val="P224"/>
      <sheetName val="P225"/>
      <sheetName val="P226"/>
      <sheetName val="P227"/>
      <sheetName val="P228"/>
      <sheetName val="P229"/>
      <sheetName val="P230"/>
      <sheetName val="P231"/>
      <sheetName val="P232"/>
      <sheetName val="P233"/>
      <sheetName val="P234"/>
      <sheetName val="P235"/>
      <sheetName val="P236"/>
      <sheetName val="P237"/>
      <sheetName val="P238"/>
      <sheetName val="P239"/>
      <sheetName val="P240"/>
      <sheetName val="P241"/>
      <sheetName val="P242"/>
      <sheetName val="P243"/>
      <sheetName val="P244"/>
      <sheetName val="P245"/>
      <sheetName val="P246"/>
      <sheetName val="P247"/>
      <sheetName val="P248"/>
      <sheetName val="P249"/>
      <sheetName val="P250"/>
      <sheetName val="P251"/>
      <sheetName val="P252"/>
      <sheetName val="P253"/>
      <sheetName val="P254"/>
      <sheetName val="P255"/>
      <sheetName val="P256"/>
      <sheetName val="P257"/>
      <sheetName val="P258"/>
      <sheetName val="P259"/>
      <sheetName val="P260"/>
      <sheetName val="P261"/>
      <sheetName val="P262"/>
      <sheetName val="P263"/>
      <sheetName val="P264"/>
      <sheetName val="P265"/>
      <sheetName val="P266"/>
      <sheetName val="P267"/>
      <sheetName val="P268"/>
      <sheetName val="P269"/>
      <sheetName val="P270"/>
      <sheetName val="P271"/>
      <sheetName val="P272"/>
      <sheetName val="P273"/>
      <sheetName val="P274"/>
      <sheetName val="P275"/>
      <sheetName val="P276"/>
      <sheetName val="P277"/>
      <sheetName val="P278"/>
      <sheetName val="P279"/>
      <sheetName val="P280"/>
      <sheetName val="P281"/>
      <sheetName val="P282"/>
      <sheetName val="P283"/>
      <sheetName val="P284"/>
      <sheetName val="P285"/>
      <sheetName val="P286"/>
      <sheetName val="P287"/>
      <sheetName val="P288"/>
      <sheetName val="P289"/>
      <sheetName val="P290"/>
      <sheetName val="P291"/>
      <sheetName val="P292"/>
      <sheetName val="P293"/>
      <sheetName val="P294"/>
      <sheetName val="P295"/>
      <sheetName val="P296"/>
      <sheetName val="P297"/>
      <sheetName val="P298"/>
      <sheetName val="P299"/>
      <sheetName val="P300"/>
      <sheetName val="P400"/>
    </sheetNames>
    <sheetDataSet>
      <sheetData sheetId="0" refreshError="1"/>
      <sheetData sheetId="1" refreshError="1"/>
      <sheetData sheetId="2" refreshError="1"/>
      <sheetData sheetId="3">
        <row r="39">
          <cell r="C39">
            <v>1000000</v>
          </cell>
        </row>
        <row r="40">
          <cell r="C40">
            <v>8.11</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3"/>
      <sheetName val="p1"/>
      <sheetName val="p2"/>
    </sheetNames>
    <sheetDataSet>
      <sheetData sheetId="0" refreshError="1">
        <row r="1">
          <cell r="C1">
            <v>8.11</v>
          </cell>
        </row>
      </sheetData>
      <sheetData sheetId="1" refreshError="1"/>
      <sheetData sheetId="2" refreshError="1"/>
      <sheetData sheetId="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参数"/>
      <sheetName val="12-1管理费填列说明"/>
      <sheetName val="工资性费用预算"/>
      <sheetName val="其他管理费用预算"/>
      <sheetName val="福利费明细"/>
      <sheetName val="12管理费用"/>
      <sheetName val="营销人员薪酬"/>
      <sheetName val="开发间接费用"/>
    </sheetNames>
    <sheetDataSet>
      <sheetData sheetId="0" refreshError="1">
        <row r="2">
          <cell r="A2" t="str">
            <v>总裁办</v>
          </cell>
        </row>
        <row r="3">
          <cell r="A3" t="str">
            <v>人力企管中心</v>
          </cell>
        </row>
        <row r="4">
          <cell r="A4" t="str">
            <v>财务管理中心</v>
          </cell>
        </row>
        <row r="5">
          <cell r="A5" t="str">
            <v>资金管理中心</v>
          </cell>
        </row>
        <row r="6">
          <cell r="A6" t="str">
            <v>审计中心</v>
          </cell>
        </row>
        <row r="7">
          <cell r="A7" t="str">
            <v>规划设计部</v>
          </cell>
        </row>
        <row r="8">
          <cell r="A8" t="str">
            <v>开发管理部</v>
          </cell>
        </row>
        <row r="9">
          <cell r="A9" t="str">
            <v>工程管理部</v>
          </cell>
        </row>
        <row r="10">
          <cell r="A10" t="str">
            <v>成本管理部</v>
          </cell>
        </row>
        <row r="11">
          <cell r="A11" t="str">
            <v>商业发展部</v>
          </cell>
        </row>
        <row r="12">
          <cell r="A12" t="str">
            <v>营销策划部</v>
          </cell>
        </row>
        <row r="13">
          <cell r="A13" t="str">
            <v>项目部</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预算编制工作计划"/>
      <sheetName val="封面"/>
      <sheetName val="表格索引"/>
      <sheetName val="资产负债表"/>
      <sheetName val="资产负债表打印"/>
      <sheetName val="二、损益表"/>
      <sheetName val="利润表"/>
      <sheetName val="利润表打印"/>
      <sheetName val="所有者权益(股东权益)变动表"/>
      <sheetName val="四、考核指标预计表"/>
      <sheetName val="现金流量表"/>
      <sheetName val="一、资金流量预算表"/>
      <sheetName val="一-1、主营业务收入现金预算表"/>
      <sheetName val="一-2、其他业务现金收入预算表"/>
      <sheetName val="一-3、收到的与其他经营活动有关的现金"/>
      <sheetName val="一-4、主营成本"/>
      <sheetName val="一-4-1开发成本"/>
      <sheetName val="一-4-2开发间接费用"/>
      <sheetName val="一-5其他成本"/>
      <sheetName val="一-6管理费用"/>
      <sheetName val="一-7销售费用"/>
      <sheetName val="一-8税费"/>
      <sheetName val="一-9支付的其他与经营活动有关的现金"/>
      <sheetName val="一-10收回投资本金、收益"/>
      <sheetName val="一-11、处置非流动资产收入现金"/>
      <sheetName val="一-12、收到的与其他投资活动有关的现金"/>
      <sheetName val="一-13、购置非流动资产支出"/>
      <sheetName val="一-14、投资支出"/>
      <sheetName val="一-15、吸收投资收到的现金"/>
      <sheetName val="一-16、金融机构借款预算表"/>
      <sheetName val="一-17、收到的与其他筹资活动有关的现金"/>
      <sheetName val="一-18、财务费用"/>
      <sheetName val="一-19、筹资活动产生的现金流出预算表"/>
      <sheetName val="二-1主营收入"/>
      <sheetName val="2、主营成本"/>
      <sheetName val="3、营业税金及附加"/>
      <sheetName val="4、其他业务利润"/>
      <sheetName val="5、销售费用"/>
      <sheetName val="6、管理费用"/>
      <sheetName val="7、财务费用"/>
      <sheetName val="9、营业外收支"/>
      <sheetName val="10、企业所得税"/>
      <sheetName val="14员工收入预算表"/>
    </sheetNames>
    <sheetDataSet>
      <sheetData sheetId="0" refreshError="1"/>
      <sheetData sheetId="1" refreshError="1"/>
      <sheetData sheetId="2">
        <row r="4">
          <cell r="B4" t="str">
            <v>编制单位：广东******有限公司</v>
          </cell>
          <cell r="C4" t="str">
            <v>预算年度：2013年</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总时间表"/>
      <sheetName val="启动会议节点"/>
      <sheetName val="启动会议节点 (2)"/>
      <sheetName val="预算计划(按任务时间)"/>
      <sheetName val="预算计划(按部门)"/>
      <sheetName val="表格索引"/>
      <sheetName val="封面"/>
      <sheetName val="资产负债表"/>
      <sheetName val="资产负债表打印"/>
      <sheetName val="二、损益表"/>
      <sheetName val="利润表"/>
      <sheetName val="利润表打印"/>
      <sheetName val="所有者权益(股东权益)变动表"/>
      <sheetName val="四、考核指标预计表"/>
      <sheetName val="现金流量表"/>
      <sheetName val="一、资金流量预算表"/>
      <sheetName val="一-1、主营业务收入现金预算表"/>
      <sheetName val="一-2、其他业务现金收入预算表"/>
      <sheetName val="一-3、收到的与其他经营活动有关的现金"/>
      <sheetName val="一-4、主营成本"/>
      <sheetName val="一-4-1开发成本"/>
      <sheetName val="一-4-2开发间接费用"/>
      <sheetName val="一-5其他成本"/>
      <sheetName val="一-6管理费用"/>
      <sheetName val="一-7销售费用"/>
      <sheetName val="一-8税费"/>
      <sheetName val="一-9支付的其他与经营活动有关的现金"/>
      <sheetName val="一-10收回投资本金、收益"/>
      <sheetName val="一-11、处置非流动资产收入现金"/>
      <sheetName val="一-12、收到的与其他投资活动有关的现金"/>
      <sheetName val="一-13、购置非流动资产支出"/>
      <sheetName val="一-14、投资支出"/>
      <sheetName val="一-15、吸收投资收到的现金"/>
      <sheetName val="一-16、金融机构借款预算表"/>
      <sheetName val="一-17、收到的与其他筹资活动有关的现金"/>
      <sheetName val="一-18、财务费用"/>
      <sheetName val="一-19、筹资活动产生的现金流出预算表"/>
      <sheetName val="二-1主营收入"/>
      <sheetName val="2、主营成本"/>
      <sheetName val="3、营业税金及附加"/>
      <sheetName val="4、其他业务利润"/>
      <sheetName val="5、销售费用"/>
      <sheetName val="6、管理费用"/>
      <sheetName val="7、财务费用"/>
      <sheetName val="9、营业外收支"/>
      <sheetName val="10、企业所得税"/>
      <sheetName val="14员工收入预算表"/>
    </sheetNames>
    <sheetDataSet>
      <sheetData sheetId="0" refreshError="1"/>
      <sheetData sheetId="1" refreshError="1"/>
      <sheetData sheetId="2" refreshError="1"/>
      <sheetData sheetId="3" refreshError="1"/>
      <sheetData sheetId="4" refreshError="1"/>
      <sheetData sheetId="5" refreshError="1">
        <row r="4">
          <cell r="B4" t="str">
            <v>编制单位：东莞市世纪城商住开发有限公司</v>
          </cell>
          <cell r="C4" t="str">
            <v>预算年度：2013年</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17">
          <cell r="G17">
            <v>0</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row r="13">
          <cell r="D13">
            <v>0</v>
          </cell>
          <cell r="E13">
            <v>0</v>
          </cell>
          <cell r="F13">
            <v>0</v>
          </cell>
          <cell r="H13">
            <v>0</v>
          </cell>
          <cell r="I13">
            <v>0</v>
          </cell>
          <cell r="J13">
            <v>0</v>
          </cell>
          <cell r="L13">
            <v>0</v>
          </cell>
          <cell r="M13">
            <v>0</v>
          </cell>
          <cell r="N13">
            <v>0</v>
          </cell>
          <cell r="P13">
            <v>0</v>
          </cell>
          <cell r="Q13">
            <v>0</v>
          </cell>
          <cell r="R13">
            <v>0</v>
          </cell>
        </row>
      </sheetData>
      <sheetData sheetId="41" refreshError="1"/>
      <sheetData sheetId="42" refreshError="1"/>
      <sheetData sheetId="43" refreshError="1"/>
      <sheetData sheetId="44" refreshError="1"/>
      <sheetData sheetId="45" refreshError="1"/>
      <sheetData sheetId="4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tabSelected="1" workbookViewId="0">
      <selection activeCell="B4" sqref="B4"/>
    </sheetView>
  </sheetViews>
  <sheetFormatPr defaultRowHeight="14.25"/>
  <sheetData>
    <row r="1" spans="1:1">
      <c r="A1" t="s">
        <v>113</v>
      </c>
    </row>
    <row r="2" spans="1:1">
      <c r="A2" t="s">
        <v>114</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Right="0"/>
    <pageSetUpPr fitToPage="1"/>
  </sheetPr>
  <dimension ref="A1:Y26"/>
  <sheetViews>
    <sheetView workbookViewId="0">
      <selection activeCell="H8" sqref="H8"/>
    </sheetView>
  </sheetViews>
  <sheetFormatPr defaultRowHeight="14.25" outlineLevelCol="1"/>
  <cols>
    <col min="1" max="1" width="9" style="2"/>
    <col min="2" max="2" width="9.25" style="2" customWidth="1"/>
    <col min="3" max="3" width="10.25" style="2" customWidth="1"/>
    <col min="4" max="4" width="8.625" style="2" customWidth="1"/>
    <col min="5" max="5" width="11.625" style="2" customWidth="1"/>
    <col min="6" max="6" width="4" style="2" customWidth="1"/>
    <col min="7" max="7" width="12.25" style="2" customWidth="1"/>
    <col min="8" max="9" width="12.125" style="2" customWidth="1" outlineLevel="1"/>
    <col min="10" max="10" width="12" style="2" customWidth="1" outlineLevel="1"/>
    <col min="11" max="11" width="12.75" style="2" bestFit="1" customWidth="1"/>
    <col min="12" max="12" width="11.125" style="2" customWidth="1" outlineLevel="1"/>
    <col min="13" max="13" width="12.125" style="2" customWidth="1" outlineLevel="1"/>
    <col min="14" max="14" width="12" style="2" customWidth="1" outlineLevel="1"/>
    <col min="15" max="15" width="9.875" style="2" customWidth="1"/>
    <col min="16" max="17" width="11.875" style="2" customWidth="1" outlineLevel="1"/>
    <col min="18" max="18" width="11.125" style="2" customWidth="1" outlineLevel="1"/>
    <col min="19" max="19" width="14.375" style="2" customWidth="1"/>
    <col min="20" max="20" width="12.25" style="2" customWidth="1" outlineLevel="1"/>
    <col min="21" max="21" width="12.5" style="2" customWidth="1" outlineLevel="1"/>
    <col min="22" max="22" width="12.875" style="2" customWidth="1" outlineLevel="1"/>
    <col min="23" max="23" width="12" style="2" customWidth="1"/>
    <col min="24" max="24" width="11.75" style="2" customWidth="1"/>
    <col min="25" max="25" width="7.375" style="2" customWidth="1"/>
    <col min="26" max="16384" width="9" style="2"/>
  </cols>
  <sheetData>
    <row r="1" spans="1:25">
      <c r="A1" s="1" t="s">
        <v>0</v>
      </c>
    </row>
    <row r="2" spans="1:25">
      <c r="A2" s="3" t="s">
        <v>1</v>
      </c>
    </row>
    <row r="3" spans="1:25" ht="22.5">
      <c r="A3" s="91" t="s">
        <v>2</v>
      </c>
      <c r="B3" s="91"/>
      <c r="C3" s="91"/>
      <c r="D3" s="91"/>
      <c r="E3" s="91"/>
      <c r="F3" s="91"/>
      <c r="G3" s="91"/>
      <c r="H3" s="91"/>
      <c r="I3" s="91"/>
      <c r="J3" s="91"/>
      <c r="K3" s="91"/>
      <c r="L3" s="91"/>
      <c r="M3" s="91"/>
      <c r="N3" s="91"/>
      <c r="O3" s="91"/>
      <c r="P3" s="91"/>
      <c r="Q3" s="91"/>
      <c r="R3" s="91"/>
      <c r="S3" s="91"/>
      <c r="T3" s="91"/>
      <c r="U3" s="91"/>
      <c r="V3" s="91"/>
      <c r="W3" s="91"/>
      <c r="X3" s="91"/>
      <c r="Y3" s="91"/>
    </row>
    <row r="4" spans="1:25" ht="26.25" customHeight="1">
      <c r="A4" s="4" t="str">
        <f>[12]表格索引!$B$4</f>
        <v>编制单位：广东******有限公司</v>
      </c>
      <c r="B4" s="5"/>
      <c r="C4" s="6"/>
      <c r="D4" s="7"/>
      <c r="E4" s="7"/>
      <c r="F4" s="92" t="str">
        <f>[12]表格索引!$C$4</f>
        <v>预算年度：2013年</v>
      </c>
      <c r="G4" s="92"/>
      <c r="H4" s="92"/>
      <c r="I4" s="92"/>
      <c r="J4" s="92"/>
      <c r="K4" s="92"/>
      <c r="L4" s="8"/>
      <c r="M4" s="8"/>
      <c r="N4" s="8"/>
      <c r="O4" s="7"/>
      <c r="P4" s="7"/>
      <c r="Q4" s="7"/>
      <c r="R4" s="7"/>
      <c r="S4" s="7"/>
      <c r="T4" s="7"/>
      <c r="U4" s="7"/>
      <c r="V4" s="7"/>
      <c r="W4" s="7"/>
      <c r="X4" s="93" t="s">
        <v>3</v>
      </c>
      <c r="Y4" s="93"/>
    </row>
    <row r="5" spans="1:25" s="9" customFormat="1" ht="27.75" customHeight="1">
      <c r="A5" s="94" t="s">
        <v>4</v>
      </c>
      <c r="B5" s="95"/>
      <c r="C5" s="100" t="s">
        <v>5</v>
      </c>
      <c r="D5" s="100" t="s">
        <v>6</v>
      </c>
      <c r="E5" s="100" t="s">
        <v>7</v>
      </c>
      <c r="F5" s="100" t="s">
        <v>8</v>
      </c>
      <c r="G5" s="103" t="s">
        <v>9</v>
      </c>
      <c r="H5" s="103"/>
      <c r="I5" s="103"/>
      <c r="J5" s="103"/>
      <c r="K5" s="104"/>
      <c r="L5" s="104"/>
      <c r="M5" s="104"/>
      <c r="N5" s="104"/>
      <c r="O5" s="104"/>
      <c r="P5" s="104"/>
      <c r="Q5" s="104"/>
      <c r="R5" s="104"/>
      <c r="S5" s="104"/>
      <c r="T5" s="104"/>
      <c r="U5" s="104"/>
      <c r="V5" s="104"/>
      <c r="W5" s="104"/>
      <c r="X5" s="105" t="s">
        <v>10</v>
      </c>
      <c r="Y5" s="107" t="s">
        <v>11</v>
      </c>
    </row>
    <row r="6" spans="1:25" s="9" customFormat="1" ht="27.75" customHeight="1">
      <c r="A6" s="96"/>
      <c r="B6" s="97"/>
      <c r="C6" s="101"/>
      <c r="D6" s="101"/>
      <c r="E6" s="101" t="s">
        <v>7</v>
      </c>
      <c r="F6" s="101"/>
      <c r="G6" s="110" t="s">
        <v>12</v>
      </c>
      <c r="H6" s="110" t="s">
        <v>13</v>
      </c>
      <c r="I6" s="110" t="s">
        <v>14</v>
      </c>
      <c r="J6" s="110" t="s">
        <v>15</v>
      </c>
      <c r="K6" s="112" t="s">
        <v>16</v>
      </c>
      <c r="L6" s="110" t="s">
        <v>17</v>
      </c>
      <c r="M6" s="110" t="s">
        <v>18</v>
      </c>
      <c r="N6" s="110" t="s">
        <v>19</v>
      </c>
      <c r="O6" s="112" t="s">
        <v>20</v>
      </c>
      <c r="P6" s="110" t="s">
        <v>21</v>
      </c>
      <c r="Q6" s="110" t="s">
        <v>22</v>
      </c>
      <c r="R6" s="110" t="s">
        <v>23</v>
      </c>
      <c r="S6" s="112" t="s">
        <v>24</v>
      </c>
      <c r="T6" s="110" t="s">
        <v>25</v>
      </c>
      <c r="U6" s="110" t="s">
        <v>26</v>
      </c>
      <c r="V6" s="110" t="s">
        <v>27</v>
      </c>
      <c r="W6" s="10" t="s">
        <v>28</v>
      </c>
      <c r="X6" s="106"/>
      <c r="Y6" s="108"/>
    </row>
    <row r="7" spans="1:25" s="9" customFormat="1" ht="16.5" customHeight="1">
      <c r="A7" s="96"/>
      <c r="B7" s="97"/>
      <c r="C7" s="102"/>
      <c r="D7" s="102"/>
      <c r="E7" s="102"/>
      <c r="F7" s="102"/>
      <c r="G7" s="111"/>
      <c r="H7" s="111"/>
      <c r="I7" s="111"/>
      <c r="J7" s="111"/>
      <c r="K7" s="112"/>
      <c r="L7" s="111"/>
      <c r="M7" s="111"/>
      <c r="N7" s="111"/>
      <c r="O7" s="112"/>
      <c r="P7" s="111"/>
      <c r="Q7" s="111"/>
      <c r="R7" s="111"/>
      <c r="S7" s="112"/>
      <c r="T7" s="111"/>
      <c r="U7" s="111"/>
      <c r="V7" s="111"/>
      <c r="W7" s="11" t="s">
        <v>29</v>
      </c>
      <c r="X7" s="12" t="s">
        <v>29</v>
      </c>
      <c r="Y7" s="108"/>
    </row>
    <row r="8" spans="1:25" s="17" customFormat="1" ht="26.25" customHeight="1">
      <c r="A8" s="98"/>
      <c r="B8" s="99"/>
      <c r="C8" s="13" t="s">
        <v>30</v>
      </c>
      <c r="D8" s="13" t="s">
        <v>31</v>
      </c>
      <c r="E8" s="13" t="s">
        <v>32</v>
      </c>
      <c r="F8" s="14" t="s">
        <v>33</v>
      </c>
      <c r="G8" s="14" t="s">
        <v>34</v>
      </c>
      <c r="H8" s="14"/>
      <c r="I8" s="14"/>
      <c r="J8" s="14"/>
      <c r="K8" s="15" t="s">
        <v>35</v>
      </c>
      <c r="L8" s="15"/>
      <c r="M8" s="15"/>
      <c r="N8" s="15"/>
      <c r="O8" s="15" t="s">
        <v>36</v>
      </c>
      <c r="P8" s="15"/>
      <c r="Q8" s="15"/>
      <c r="R8" s="15"/>
      <c r="S8" s="15" t="s">
        <v>37</v>
      </c>
      <c r="T8" s="15"/>
      <c r="U8" s="15"/>
      <c r="V8" s="15"/>
      <c r="W8" s="16" t="s">
        <v>38</v>
      </c>
      <c r="X8" s="15" t="s">
        <v>39</v>
      </c>
      <c r="Y8" s="109"/>
    </row>
    <row r="9" spans="1:25" ht="16.5" customHeight="1">
      <c r="A9" s="115" t="s">
        <v>40</v>
      </c>
      <c r="B9" s="116"/>
      <c r="C9" s="18"/>
      <c r="D9" s="18"/>
      <c r="E9" s="18"/>
      <c r="F9" s="18"/>
      <c r="G9" s="19"/>
      <c r="H9" s="19"/>
      <c r="I9" s="19"/>
      <c r="J9" s="19"/>
      <c r="K9" s="19"/>
      <c r="L9" s="19"/>
      <c r="M9" s="19"/>
      <c r="N9" s="19"/>
      <c r="O9" s="19"/>
      <c r="P9" s="19"/>
      <c r="Q9" s="19"/>
      <c r="R9" s="19"/>
      <c r="S9" s="19"/>
      <c r="T9" s="19"/>
      <c r="U9" s="19"/>
      <c r="V9" s="19"/>
      <c r="W9" s="19"/>
      <c r="X9" s="19"/>
      <c r="Y9" s="19"/>
    </row>
    <row r="10" spans="1:25" ht="15.95" customHeight="1">
      <c r="A10" s="117" t="s">
        <v>41</v>
      </c>
      <c r="B10" s="118"/>
      <c r="C10" s="20">
        <v>0</v>
      </c>
      <c r="D10" s="20">
        <f>604.19*10000</f>
        <v>6041900.0000000009</v>
      </c>
      <c r="E10" s="18">
        <f>604.19*10000</f>
        <v>6041900.0000000009</v>
      </c>
      <c r="F10" s="21"/>
      <c r="G10" s="22">
        <f>SUM(H10:J10)</f>
        <v>1312800</v>
      </c>
      <c r="H10" s="23">
        <f>40.57*10000</f>
        <v>405700</v>
      </c>
      <c r="I10" s="23">
        <f>41.52*10000</f>
        <v>415200.00000000006</v>
      </c>
      <c r="J10" s="23">
        <f>49.19*10000</f>
        <v>491900</v>
      </c>
      <c r="K10" s="22">
        <f>SUM(L10:N10)</f>
        <v>0</v>
      </c>
      <c r="L10" s="24"/>
      <c r="M10" s="24"/>
      <c r="N10" s="24"/>
      <c r="O10" s="25">
        <f>SUM(P10:R10)</f>
        <v>0</v>
      </c>
      <c r="P10" s="24"/>
      <c r="Q10" s="24"/>
      <c r="R10" s="24"/>
      <c r="S10" s="22">
        <f>SUM(T10:V10)</f>
        <v>0</v>
      </c>
      <c r="T10" s="24"/>
      <c r="U10" s="24"/>
      <c r="V10" s="24"/>
      <c r="W10" s="26">
        <f>S10+O10+K10+G10</f>
        <v>1312800</v>
      </c>
      <c r="X10" s="19">
        <f>E10-W10</f>
        <v>4729100.0000000009</v>
      </c>
      <c r="Y10" s="19"/>
    </row>
    <row r="11" spans="1:25" ht="21.75" customHeight="1">
      <c r="A11" s="113" t="s">
        <v>42</v>
      </c>
      <c r="B11" s="114"/>
      <c r="C11" s="20"/>
      <c r="D11" s="20"/>
      <c r="E11" s="18">
        <f t="shared" ref="E11:E16" si="0">C11+D11</f>
        <v>0</v>
      </c>
      <c r="F11" s="21"/>
      <c r="G11" s="25">
        <f t="shared" ref="G11:G16" si="1">SUM(H11:J11)</f>
        <v>0</v>
      </c>
      <c r="H11" s="27"/>
      <c r="I11" s="27"/>
      <c r="J11" s="27"/>
      <c r="K11" s="25">
        <f t="shared" ref="K11:K16" si="2">SUM(L11:N11)</f>
        <v>0</v>
      </c>
      <c r="L11" s="27"/>
      <c r="M11" s="27"/>
      <c r="N11" s="27"/>
      <c r="O11" s="25">
        <f t="shared" ref="O11:O16" si="3">SUM(P11:R11)</f>
        <v>0</v>
      </c>
      <c r="P11" s="27"/>
      <c r="Q11" s="27"/>
      <c r="R11" s="27"/>
      <c r="S11" s="25">
        <f t="shared" ref="S11:S16" si="4">SUM(T11:V11)</f>
        <v>0</v>
      </c>
      <c r="T11" s="27"/>
      <c r="U11" s="27"/>
      <c r="V11" s="27"/>
      <c r="W11" s="26">
        <f t="shared" ref="W11:W16" si="5">S11+O11+K11+G11</f>
        <v>0</v>
      </c>
      <c r="X11" s="19">
        <f t="shared" ref="X11:X16" si="6">E11-W11</f>
        <v>0</v>
      </c>
      <c r="Y11" s="19"/>
    </row>
    <row r="12" spans="1:25" ht="21.75" customHeight="1">
      <c r="A12" s="113" t="s">
        <v>43</v>
      </c>
      <c r="B12" s="114"/>
      <c r="C12" s="20"/>
      <c r="D12" s="20">
        <v>1539411.6</v>
      </c>
      <c r="E12" s="18">
        <f>C12+D12</f>
        <v>1539411.6</v>
      </c>
      <c r="F12" s="21"/>
      <c r="G12" s="25">
        <f t="shared" si="1"/>
        <v>0</v>
      </c>
      <c r="H12" s="27"/>
      <c r="I12" s="27"/>
      <c r="J12" s="27"/>
      <c r="K12" s="25">
        <f t="shared" si="2"/>
        <v>0</v>
      </c>
      <c r="L12" s="27"/>
      <c r="M12" s="27"/>
      <c r="N12" s="27"/>
      <c r="O12" s="25">
        <f t="shared" si="3"/>
        <v>0</v>
      </c>
      <c r="P12" s="27"/>
      <c r="Q12" s="27"/>
      <c r="R12" s="27"/>
      <c r="S12" s="25">
        <f t="shared" si="4"/>
        <v>0</v>
      </c>
      <c r="T12" s="27"/>
      <c r="U12" s="27"/>
      <c r="V12" s="27"/>
      <c r="W12" s="26">
        <f t="shared" si="5"/>
        <v>0</v>
      </c>
      <c r="X12" s="19">
        <f t="shared" si="6"/>
        <v>1539411.6</v>
      </c>
      <c r="Y12" s="19"/>
    </row>
    <row r="13" spans="1:25" ht="21.75" customHeight="1">
      <c r="A13" s="113" t="s">
        <v>44</v>
      </c>
      <c r="B13" s="114"/>
      <c r="C13" s="28"/>
      <c r="D13" s="28"/>
      <c r="E13" s="18">
        <f t="shared" si="0"/>
        <v>0</v>
      </c>
      <c r="F13" s="29"/>
      <c r="G13" s="25">
        <f t="shared" si="1"/>
        <v>0</v>
      </c>
      <c r="H13" s="27"/>
      <c r="I13" s="27"/>
      <c r="J13" s="27"/>
      <c r="K13" s="25">
        <f t="shared" si="2"/>
        <v>0</v>
      </c>
      <c r="L13" s="27"/>
      <c r="M13" s="27"/>
      <c r="N13" s="27"/>
      <c r="O13" s="25">
        <f t="shared" si="3"/>
        <v>0</v>
      </c>
      <c r="P13" s="27"/>
      <c r="Q13" s="27"/>
      <c r="R13" s="27"/>
      <c r="S13" s="25">
        <f t="shared" si="4"/>
        <v>0</v>
      </c>
      <c r="T13" s="27"/>
      <c r="U13" s="27"/>
      <c r="V13" s="27"/>
      <c r="W13" s="26">
        <f t="shared" si="5"/>
        <v>0</v>
      </c>
      <c r="X13" s="19">
        <f t="shared" si="6"/>
        <v>0</v>
      </c>
      <c r="Y13" s="19"/>
    </row>
    <row r="14" spans="1:25" ht="21.75" customHeight="1">
      <c r="A14" s="119"/>
      <c r="B14" s="119"/>
      <c r="C14" s="30"/>
      <c r="D14" s="30"/>
      <c r="E14" s="18">
        <f t="shared" si="0"/>
        <v>0</v>
      </c>
      <c r="F14" s="31"/>
      <c r="G14" s="25">
        <f t="shared" si="1"/>
        <v>0</v>
      </c>
      <c r="H14" s="27"/>
      <c r="I14" s="27"/>
      <c r="J14" s="27"/>
      <c r="K14" s="25">
        <f t="shared" si="2"/>
        <v>0</v>
      </c>
      <c r="L14" s="27"/>
      <c r="M14" s="27"/>
      <c r="N14" s="27"/>
      <c r="O14" s="25">
        <f t="shared" si="3"/>
        <v>0</v>
      </c>
      <c r="P14" s="27"/>
      <c r="Q14" s="27"/>
      <c r="R14" s="27"/>
      <c r="S14" s="25">
        <f t="shared" si="4"/>
        <v>0</v>
      </c>
      <c r="T14" s="27"/>
      <c r="U14" s="27"/>
      <c r="V14" s="27"/>
      <c r="W14" s="26">
        <f t="shared" si="5"/>
        <v>0</v>
      </c>
      <c r="X14" s="19">
        <f t="shared" si="6"/>
        <v>0</v>
      </c>
      <c r="Y14" s="19"/>
    </row>
    <row r="15" spans="1:25" ht="21.75" customHeight="1">
      <c r="A15" s="120"/>
      <c r="B15" s="120"/>
      <c r="C15" s="32"/>
      <c r="D15" s="32"/>
      <c r="E15" s="18">
        <f t="shared" si="0"/>
        <v>0</v>
      </c>
      <c r="F15" s="33"/>
      <c r="G15" s="25">
        <f t="shared" si="1"/>
        <v>0</v>
      </c>
      <c r="H15" s="27"/>
      <c r="I15" s="27"/>
      <c r="J15" s="27"/>
      <c r="K15" s="25">
        <f t="shared" si="2"/>
        <v>0</v>
      </c>
      <c r="L15" s="27"/>
      <c r="M15" s="27"/>
      <c r="N15" s="27"/>
      <c r="O15" s="25">
        <f t="shared" si="3"/>
        <v>0</v>
      </c>
      <c r="P15" s="27"/>
      <c r="Q15" s="27"/>
      <c r="R15" s="27"/>
      <c r="S15" s="25">
        <f t="shared" si="4"/>
        <v>0</v>
      </c>
      <c r="T15" s="27"/>
      <c r="U15" s="27"/>
      <c r="V15" s="27"/>
      <c r="W15" s="26">
        <f t="shared" si="5"/>
        <v>0</v>
      </c>
      <c r="X15" s="19">
        <f t="shared" si="6"/>
        <v>0</v>
      </c>
      <c r="Y15" s="19"/>
    </row>
    <row r="16" spans="1:25" ht="21.75" customHeight="1">
      <c r="A16" s="121"/>
      <c r="B16" s="122"/>
      <c r="C16" s="32"/>
      <c r="D16" s="32"/>
      <c r="E16" s="18">
        <f t="shared" si="0"/>
        <v>0</v>
      </c>
      <c r="F16" s="33"/>
      <c r="G16" s="25">
        <f t="shared" si="1"/>
        <v>0</v>
      </c>
      <c r="H16" s="27"/>
      <c r="I16" s="27"/>
      <c r="J16" s="27"/>
      <c r="K16" s="25">
        <f t="shared" si="2"/>
        <v>0</v>
      </c>
      <c r="L16" s="27"/>
      <c r="M16" s="27"/>
      <c r="N16" s="27"/>
      <c r="O16" s="25">
        <f t="shared" si="3"/>
        <v>0</v>
      </c>
      <c r="P16" s="27"/>
      <c r="Q16" s="27"/>
      <c r="R16" s="27"/>
      <c r="S16" s="25">
        <f t="shared" si="4"/>
        <v>0</v>
      </c>
      <c r="T16" s="27"/>
      <c r="U16" s="27"/>
      <c r="V16" s="27"/>
      <c r="W16" s="26">
        <f t="shared" si="5"/>
        <v>0</v>
      </c>
      <c r="X16" s="19">
        <f t="shared" si="6"/>
        <v>0</v>
      </c>
      <c r="Y16" s="19"/>
    </row>
    <row r="17" spans="1:25" ht="21.75" customHeight="1">
      <c r="A17" s="123" t="s">
        <v>28</v>
      </c>
      <c r="B17" s="124"/>
      <c r="C17" s="34">
        <f>SUM(C10:C16)</f>
        <v>0</v>
      </c>
      <c r="D17" s="34">
        <f>SUM(D10:D16)</f>
        <v>7581311.6000000015</v>
      </c>
      <c r="E17" s="34">
        <f>SUM(E10:E16)</f>
        <v>7581311.6000000015</v>
      </c>
      <c r="F17" s="34"/>
      <c r="G17" s="19">
        <f>SUM(G10:G16)</f>
        <v>1312800</v>
      </c>
      <c r="H17" s="19">
        <f t="shared" ref="H17:V17" si="7">SUM(H10:H16)</f>
        <v>405700</v>
      </c>
      <c r="I17" s="19">
        <f t="shared" si="7"/>
        <v>415200.00000000006</v>
      </c>
      <c r="J17" s="19">
        <f t="shared" si="7"/>
        <v>491900</v>
      </c>
      <c r="K17" s="19">
        <f t="shared" si="7"/>
        <v>0</v>
      </c>
      <c r="L17" s="19">
        <f t="shared" si="7"/>
        <v>0</v>
      </c>
      <c r="M17" s="19">
        <f t="shared" si="7"/>
        <v>0</v>
      </c>
      <c r="N17" s="19">
        <f t="shared" si="7"/>
        <v>0</v>
      </c>
      <c r="O17" s="19">
        <f t="shared" si="7"/>
        <v>0</v>
      </c>
      <c r="P17" s="19">
        <f t="shared" si="7"/>
        <v>0</v>
      </c>
      <c r="Q17" s="19">
        <f t="shared" si="7"/>
        <v>0</v>
      </c>
      <c r="R17" s="19">
        <f t="shared" si="7"/>
        <v>0</v>
      </c>
      <c r="S17" s="19">
        <f t="shared" si="7"/>
        <v>0</v>
      </c>
      <c r="T17" s="19">
        <f t="shared" si="7"/>
        <v>0</v>
      </c>
      <c r="U17" s="19">
        <f t="shared" si="7"/>
        <v>0</v>
      </c>
      <c r="V17" s="19">
        <f t="shared" si="7"/>
        <v>0</v>
      </c>
      <c r="W17" s="19">
        <f>SUM(W10:W16)</f>
        <v>1312800</v>
      </c>
      <c r="X17" s="19">
        <f>SUM(X10:X16)</f>
        <v>6268511.6000000015</v>
      </c>
      <c r="Y17" s="19"/>
    </row>
    <row r="18" spans="1:25" ht="15.95" customHeight="1">
      <c r="A18" s="125" t="s">
        <v>45</v>
      </c>
      <c r="B18" s="125"/>
      <c r="C18" s="125"/>
      <c r="D18" s="125"/>
      <c r="E18" s="125"/>
      <c r="F18" s="35"/>
      <c r="G18" s="36"/>
      <c r="H18" s="36"/>
      <c r="I18" s="36"/>
      <c r="J18" s="36"/>
      <c r="K18" s="36"/>
      <c r="L18" s="36"/>
      <c r="M18" s="36"/>
      <c r="N18" s="36"/>
      <c r="O18" s="36"/>
      <c r="P18" s="36"/>
      <c r="Q18" s="36"/>
      <c r="R18" s="36"/>
      <c r="S18" s="36"/>
      <c r="T18" s="36"/>
      <c r="U18" s="36"/>
      <c r="V18" s="36"/>
      <c r="W18" s="36">
        <v>22</v>
      </c>
      <c r="X18" s="37" t="s">
        <v>46</v>
      </c>
      <c r="Y18" s="38"/>
    </row>
    <row r="19" spans="1:25" ht="18.75" customHeight="1">
      <c r="A19" s="39" t="s">
        <v>47</v>
      </c>
    </row>
    <row r="20" spans="1:25" ht="18.75" customHeight="1">
      <c r="A20" s="39" t="s">
        <v>48</v>
      </c>
    </row>
    <row r="21" spans="1:25" ht="18.75" customHeight="1">
      <c r="A21" s="39" t="s">
        <v>49</v>
      </c>
    </row>
    <row r="22" spans="1:25" ht="18.75" customHeight="1">
      <c r="A22" s="39" t="s">
        <v>50</v>
      </c>
    </row>
    <row r="23" spans="1:25" ht="18.75" customHeight="1">
      <c r="A23" s="39" t="s">
        <v>51</v>
      </c>
    </row>
    <row r="24" spans="1:25" ht="18.75" customHeight="1">
      <c r="A24" s="39" t="s">
        <v>115</v>
      </c>
    </row>
    <row r="25" spans="1:25" ht="18.75" customHeight="1">
      <c r="A25" s="39" t="s">
        <v>116</v>
      </c>
    </row>
    <row r="26" spans="1:25" ht="18.75" customHeight="1">
      <c r="A26" s="39" t="s">
        <v>117</v>
      </c>
    </row>
  </sheetData>
  <mergeCells count="37">
    <mergeCell ref="A14:B14"/>
    <mergeCell ref="A15:B15"/>
    <mergeCell ref="A16:B16"/>
    <mergeCell ref="A17:B17"/>
    <mergeCell ref="A18:E18"/>
    <mergeCell ref="P6:P7"/>
    <mergeCell ref="Q6:Q7"/>
    <mergeCell ref="R6:R7"/>
    <mergeCell ref="S6:S7"/>
    <mergeCell ref="V6:V7"/>
    <mergeCell ref="T6:T7"/>
    <mergeCell ref="U6:U7"/>
    <mergeCell ref="L6:L7"/>
    <mergeCell ref="M6:M7"/>
    <mergeCell ref="N6:N7"/>
    <mergeCell ref="O6:O7"/>
    <mergeCell ref="A13:B13"/>
    <mergeCell ref="A9:B9"/>
    <mergeCell ref="A10:B10"/>
    <mergeCell ref="A11:B11"/>
    <mergeCell ref="A12:B12"/>
    <mergeCell ref="A3:Y3"/>
    <mergeCell ref="F4:K4"/>
    <mergeCell ref="X4:Y4"/>
    <mergeCell ref="A5:B8"/>
    <mergeCell ref="C5:C7"/>
    <mergeCell ref="D5:D7"/>
    <mergeCell ref="E5:E7"/>
    <mergeCell ref="F5:F7"/>
    <mergeCell ref="G5:W5"/>
    <mergeCell ref="X5:X6"/>
    <mergeCell ref="Y5:Y8"/>
    <mergeCell ref="G6:G7"/>
    <mergeCell ref="H6:H7"/>
    <mergeCell ref="I6:I7"/>
    <mergeCell ref="J6:J7"/>
    <mergeCell ref="K6:K7"/>
  </mergeCells>
  <phoneticPr fontId="3" type="noConversion"/>
  <hyperlinks>
    <hyperlink ref="A2" location="一、资金流量预算表!A1" display="返回"/>
  </hyperlinks>
  <printOptions horizontalCentered="1"/>
  <pageMargins left="0.15748031496062992" right="0.15748031496062992" top="0.6692913385826772" bottom="0.78740157480314965" header="0.51181102362204722" footer="0.39370078740157483"/>
  <pageSetup paperSize="9" scale="80" orientation="landscape" vertic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Right="0"/>
  </sheetPr>
  <dimension ref="A1:T21"/>
  <sheetViews>
    <sheetView workbookViewId="0">
      <selection activeCell="A5" sqref="A5:B7"/>
    </sheetView>
  </sheetViews>
  <sheetFormatPr defaultRowHeight="14.25" outlineLevelCol="1"/>
  <cols>
    <col min="1" max="1" width="9" style="9"/>
    <col min="2" max="2" width="11.75" style="9" customWidth="1"/>
    <col min="3" max="3" width="7" style="9" customWidth="1"/>
    <col min="4" max="6" width="7" style="9" customWidth="1" outlineLevel="1"/>
    <col min="7" max="7" width="8.5" style="9" bestFit="1" customWidth="1"/>
    <col min="8" max="10" width="7" style="9" customWidth="1" outlineLevel="1"/>
    <col min="11" max="11" width="8.5" style="9" customWidth="1"/>
    <col min="12" max="13" width="7" style="9" customWidth="1" outlineLevel="1"/>
    <col min="14" max="14" width="7.5" style="9" bestFit="1" customWidth="1" outlineLevel="1"/>
    <col min="15" max="15" width="8.375" style="9" customWidth="1"/>
    <col min="16" max="18" width="10.25" style="41" customWidth="1" outlineLevel="1"/>
    <col min="19" max="19" width="10.25" style="9" customWidth="1"/>
    <col min="20" max="20" width="13.875" style="9" customWidth="1"/>
    <col min="21" max="16384" width="9" style="9"/>
  </cols>
  <sheetData>
    <row r="1" spans="1:20">
      <c r="A1" s="40" t="s">
        <v>52</v>
      </c>
    </row>
    <row r="2" spans="1:20">
      <c r="A2" s="42" t="s">
        <v>1</v>
      </c>
    </row>
    <row r="3" spans="1:20" ht="22.5">
      <c r="A3" s="128" t="s">
        <v>53</v>
      </c>
      <c r="B3" s="128"/>
      <c r="C3" s="128"/>
      <c r="D3" s="128"/>
      <c r="E3" s="128"/>
      <c r="F3" s="128"/>
      <c r="G3" s="128"/>
      <c r="H3" s="128"/>
      <c r="I3" s="128"/>
      <c r="J3" s="128"/>
      <c r="K3" s="128"/>
      <c r="L3" s="128"/>
      <c r="M3" s="128"/>
      <c r="N3" s="128"/>
      <c r="O3" s="128"/>
      <c r="P3" s="128"/>
      <c r="Q3" s="128"/>
      <c r="R3" s="128"/>
      <c r="S3" s="128"/>
      <c r="T3" s="128"/>
    </row>
    <row r="4" spans="1:20" s="46" customFormat="1" ht="30" customHeight="1">
      <c r="A4" s="43" t="str">
        <f>[12]表格索引!$B$4</f>
        <v>编制单位：广东******有限公司</v>
      </c>
      <c r="B4" s="43"/>
      <c r="C4" s="44"/>
      <c r="D4" s="44"/>
      <c r="E4" s="44"/>
      <c r="F4" s="44"/>
      <c r="G4" s="45"/>
      <c r="H4" s="45"/>
      <c r="I4" s="45"/>
      <c r="J4" s="45"/>
      <c r="K4" s="45" t="str">
        <f>[13]表格索引!C4</f>
        <v>预算年度：2013年</v>
      </c>
      <c r="L4" s="45"/>
      <c r="M4" s="45"/>
      <c r="N4" s="45"/>
      <c r="P4" s="47"/>
      <c r="Q4" s="47"/>
      <c r="R4" s="47"/>
      <c r="S4" s="45"/>
      <c r="T4" s="45" t="s">
        <v>3</v>
      </c>
    </row>
    <row r="5" spans="1:20" ht="18.75" customHeight="1">
      <c r="A5" s="94" t="s">
        <v>54</v>
      </c>
      <c r="B5" s="95"/>
      <c r="C5" s="129" t="s">
        <v>55</v>
      </c>
      <c r="D5" s="129"/>
      <c r="E5" s="129"/>
      <c r="F5" s="129"/>
      <c r="G5" s="129"/>
      <c r="H5" s="129"/>
      <c r="I5" s="129"/>
      <c r="J5" s="129"/>
      <c r="K5" s="129"/>
      <c r="L5" s="129"/>
      <c r="M5" s="129"/>
      <c r="N5" s="129"/>
      <c r="O5" s="129"/>
      <c r="P5" s="129"/>
      <c r="Q5" s="129"/>
      <c r="R5" s="129"/>
      <c r="S5" s="129"/>
      <c r="T5" s="107" t="s">
        <v>11</v>
      </c>
    </row>
    <row r="6" spans="1:20" ht="18.75" customHeight="1">
      <c r="A6" s="96"/>
      <c r="B6" s="97"/>
      <c r="C6" s="48" t="s">
        <v>56</v>
      </c>
      <c r="D6" s="48" t="s">
        <v>57</v>
      </c>
      <c r="E6" s="48" t="s">
        <v>58</v>
      </c>
      <c r="F6" s="48" t="s">
        <v>59</v>
      </c>
      <c r="G6" s="48" t="s">
        <v>60</v>
      </c>
      <c r="H6" s="48" t="s">
        <v>61</v>
      </c>
      <c r="I6" s="48" t="s">
        <v>62</v>
      </c>
      <c r="J6" s="48" t="s">
        <v>63</v>
      </c>
      <c r="K6" s="48" t="s">
        <v>64</v>
      </c>
      <c r="L6" s="48" t="s">
        <v>65</v>
      </c>
      <c r="M6" s="48" t="s">
        <v>66</v>
      </c>
      <c r="N6" s="48" t="s">
        <v>67</v>
      </c>
      <c r="O6" s="48" t="s">
        <v>68</v>
      </c>
      <c r="P6" s="49" t="s">
        <v>69</v>
      </c>
      <c r="Q6" s="49" t="s">
        <v>70</v>
      </c>
      <c r="R6" s="49" t="s">
        <v>71</v>
      </c>
      <c r="S6" s="50" t="s">
        <v>72</v>
      </c>
      <c r="T6" s="108"/>
    </row>
    <row r="7" spans="1:20" ht="15" customHeight="1">
      <c r="A7" s="98"/>
      <c r="B7" s="99"/>
      <c r="C7" s="51" t="s">
        <v>30</v>
      </c>
      <c r="D7" s="51"/>
      <c r="E7" s="51"/>
      <c r="F7" s="51"/>
      <c r="G7" s="51" t="s">
        <v>31</v>
      </c>
      <c r="H7" s="51"/>
      <c r="I7" s="51"/>
      <c r="J7" s="51"/>
      <c r="K7" s="51" t="s">
        <v>73</v>
      </c>
      <c r="L7" s="51"/>
      <c r="M7" s="51"/>
      <c r="N7" s="51"/>
      <c r="O7" s="51" t="s">
        <v>33</v>
      </c>
      <c r="P7" s="52"/>
      <c r="Q7" s="52"/>
      <c r="R7" s="52"/>
      <c r="S7" s="53" t="s">
        <v>74</v>
      </c>
      <c r="T7" s="109"/>
    </row>
    <row r="8" spans="1:20" ht="28.5" customHeight="1">
      <c r="A8" s="130" t="s">
        <v>75</v>
      </c>
      <c r="B8" s="131"/>
      <c r="C8" s="25">
        <f t="shared" ref="C8:C15" si="0">SUM(D8:F8)</f>
        <v>0</v>
      </c>
      <c r="D8" s="54">
        <f>'[13]4、其他业务利润'!D13</f>
        <v>0</v>
      </c>
      <c r="E8" s="54">
        <f>'[13]4、其他业务利润'!E13</f>
        <v>0</v>
      </c>
      <c r="F8" s="54">
        <f>'[13]4、其他业务利润'!F13</f>
        <v>0</v>
      </c>
      <c r="G8" s="25">
        <f t="shared" ref="G8:G15" si="1">SUM(H8:J8)</f>
        <v>0</v>
      </c>
      <c r="H8" s="54">
        <f>'[13]4、其他业务利润'!H13</f>
        <v>0</v>
      </c>
      <c r="I8" s="54">
        <f>'[13]4、其他业务利润'!I13</f>
        <v>0</v>
      </c>
      <c r="J8" s="54">
        <f>'[13]4、其他业务利润'!J13</f>
        <v>0</v>
      </c>
      <c r="K8" s="25">
        <f t="shared" ref="K8:K15" si="2">SUM(L8:N8)</f>
        <v>0</v>
      </c>
      <c r="L8" s="54">
        <f>'[13]4、其他业务利润'!L13</f>
        <v>0</v>
      </c>
      <c r="M8" s="54">
        <f>'[13]4、其他业务利润'!M13</f>
        <v>0</v>
      </c>
      <c r="N8" s="54">
        <f>'[13]4、其他业务利润'!N13</f>
        <v>0</v>
      </c>
      <c r="O8" s="25">
        <f t="shared" ref="O8:O15" si="3">SUM(P8:R8)</f>
        <v>0</v>
      </c>
      <c r="P8" s="55">
        <f>'[13]4、其他业务利润'!P13</f>
        <v>0</v>
      </c>
      <c r="Q8" s="55">
        <f>'[13]4、其他业务利润'!Q13</f>
        <v>0</v>
      </c>
      <c r="R8" s="55">
        <f>'[13]4、其他业务利润'!R13</f>
        <v>0</v>
      </c>
      <c r="S8" s="26">
        <f t="shared" ref="S8:S15" si="4">O8+K8+G8+C8</f>
        <v>0</v>
      </c>
      <c r="T8" s="11"/>
    </row>
    <row r="9" spans="1:20" ht="28.5" customHeight="1">
      <c r="A9" s="126" t="s">
        <v>76</v>
      </c>
      <c r="B9" s="127"/>
      <c r="C9" s="25">
        <f t="shared" si="0"/>
        <v>0</v>
      </c>
      <c r="D9" s="54"/>
      <c r="E9" s="54"/>
      <c r="F9" s="54"/>
      <c r="G9" s="25">
        <f t="shared" si="1"/>
        <v>0</v>
      </c>
      <c r="H9" s="54"/>
      <c r="I9" s="54"/>
      <c r="J9" s="54"/>
      <c r="K9" s="25">
        <f t="shared" si="2"/>
        <v>0</v>
      </c>
      <c r="L9" s="54"/>
      <c r="M9" s="54"/>
      <c r="N9" s="54"/>
      <c r="O9" s="25">
        <f t="shared" si="3"/>
        <v>0</v>
      </c>
      <c r="P9" s="56"/>
      <c r="Q9" s="56"/>
      <c r="R9" s="56"/>
      <c r="S9" s="26">
        <f t="shared" si="4"/>
        <v>0</v>
      </c>
      <c r="T9" s="11"/>
    </row>
    <row r="10" spans="1:20" ht="28.5" customHeight="1">
      <c r="A10" s="126" t="s">
        <v>77</v>
      </c>
      <c r="B10" s="127"/>
      <c r="C10" s="25">
        <f t="shared" si="0"/>
        <v>0</v>
      </c>
      <c r="D10" s="54"/>
      <c r="E10" s="54"/>
      <c r="F10" s="54"/>
      <c r="G10" s="25">
        <f t="shared" si="1"/>
        <v>0</v>
      </c>
      <c r="H10" s="54"/>
      <c r="I10" s="54"/>
      <c r="J10" s="54"/>
      <c r="K10" s="25">
        <f t="shared" si="2"/>
        <v>0</v>
      </c>
      <c r="L10" s="54"/>
      <c r="M10" s="54"/>
      <c r="N10" s="54"/>
      <c r="O10" s="25">
        <f t="shared" si="3"/>
        <v>0</v>
      </c>
      <c r="P10" s="56"/>
      <c r="Q10" s="56"/>
      <c r="R10" s="56"/>
      <c r="S10" s="26">
        <f t="shared" si="4"/>
        <v>0</v>
      </c>
      <c r="T10" s="11"/>
    </row>
    <row r="11" spans="1:20" ht="15.6" customHeight="1">
      <c r="A11" s="134"/>
      <c r="B11" s="135"/>
      <c r="C11" s="25">
        <f t="shared" si="0"/>
        <v>0</v>
      </c>
      <c r="D11" s="57"/>
      <c r="E11" s="57"/>
      <c r="F11" s="57"/>
      <c r="G11" s="25">
        <f t="shared" si="1"/>
        <v>0</v>
      </c>
      <c r="H11" s="57"/>
      <c r="I11" s="57"/>
      <c r="J11" s="57"/>
      <c r="K11" s="25">
        <f t="shared" si="2"/>
        <v>0</v>
      </c>
      <c r="L11" s="57"/>
      <c r="M11" s="57"/>
      <c r="N11" s="57"/>
      <c r="O11" s="25">
        <f t="shared" si="3"/>
        <v>0</v>
      </c>
      <c r="P11" s="58"/>
      <c r="Q11" s="58"/>
      <c r="R11" s="58"/>
      <c r="S11" s="26">
        <f t="shared" si="4"/>
        <v>0</v>
      </c>
      <c r="T11" s="11"/>
    </row>
    <row r="12" spans="1:20" ht="15.6" customHeight="1">
      <c r="A12" s="134"/>
      <c r="B12" s="135"/>
      <c r="C12" s="25">
        <f t="shared" si="0"/>
        <v>0</v>
      </c>
      <c r="D12" s="57"/>
      <c r="E12" s="57"/>
      <c r="F12" s="57"/>
      <c r="G12" s="25">
        <f t="shared" si="1"/>
        <v>0</v>
      </c>
      <c r="H12" s="57"/>
      <c r="I12" s="57"/>
      <c r="J12" s="57"/>
      <c r="K12" s="25">
        <f t="shared" si="2"/>
        <v>0</v>
      </c>
      <c r="L12" s="57"/>
      <c r="M12" s="57"/>
      <c r="N12" s="57"/>
      <c r="O12" s="25">
        <f t="shared" si="3"/>
        <v>0</v>
      </c>
      <c r="P12" s="58"/>
      <c r="Q12" s="58"/>
      <c r="R12" s="58"/>
      <c r="S12" s="26">
        <f t="shared" si="4"/>
        <v>0</v>
      </c>
      <c r="T12" s="11"/>
    </row>
    <row r="13" spans="1:20" s="62" customFormat="1" ht="15.6" customHeight="1">
      <c r="A13" s="136"/>
      <c r="B13" s="136"/>
      <c r="C13" s="25">
        <f t="shared" si="0"/>
        <v>0</v>
      </c>
      <c r="D13" s="59"/>
      <c r="E13" s="59"/>
      <c r="F13" s="59"/>
      <c r="G13" s="25">
        <f t="shared" si="1"/>
        <v>0</v>
      </c>
      <c r="H13" s="59"/>
      <c r="I13" s="59"/>
      <c r="J13" s="59"/>
      <c r="K13" s="25">
        <f t="shared" si="2"/>
        <v>0</v>
      </c>
      <c r="L13" s="59"/>
      <c r="M13" s="59"/>
      <c r="N13" s="59"/>
      <c r="O13" s="25">
        <f t="shared" si="3"/>
        <v>0</v>
      </c>
      <c r="P13" s="60"/>
      <c r="Q13" s="60"/>
      <c r="R13" s="60"/>
      <c r="S13" s="26">
        <f t="shared" si="4"/>
        <v>0</v>
      </c>
      <c r="T13" s="61"/>
    </row>
    <row r="14" spans="1:20" s="62" customFormat="1" ht="15.6" customHeight="1">
      <c r="A14" s="136"/>
      <c r="B14" s="136"/>
      <c r="C14" s="25">
        <f t="shared" si="0"/>
        <v>0</v>
      </c>
      <c r="D14" s="59"/>
      <c r="E14" s="59"/>
      <c r="F14" s="59"/>
      <c r="G14" s="25">
        <f t="shared" si="1"/>
        <v>0</v>
      </c>
      <c r="H14" s="59"/>
      <c r="I14" s="59"/>
      <c r="J14" s="59"/>
      <c r="K14" s="25">
        <f t="shared" si="2"/>
        <v>0</v>
      </c>
      <c r="L14" s="59"/>
      <c r="M14" s="59"/>
      <c r="N14" s="59"/>
      <c r="O14" s="25">
        <f t="shared" si="3"/>
        <v>0</v>
      </c>
      <c r="P14" s="60"/>
      <c r="Q14" s="60"/>
      <c r="R14" s="60"/>
      <c r="S14" s="26">
        <f t="shared" si="4"/>
        <v>0</v>
      </c>
      <c r="T14" s="61"/>
    </row>
    <row r="15" spans="1:20" s="62" customFormat="1" ht="15.6" customHeight="1">
      <c r="A15" s="136"/>
      <c r="B15" s="136"/>
      <c r="C15" s="25">
        <f t="shared" si="0"/>
        <v>0</v>
      </c>
      <c r="D15" s="59"/>
      <c r="E15" s="59"/>
      <c r="F15" s="59"/>
      <c r="G15" s="25">
        <f t="shared" si="1"/>
        <v>0</v>
      </c>
      <c r="H15" s="59"/>
      <c r="I15" s="59"/>
      <c r="J15" s="59"/>
      <c r="K15" s="25">
        <f t="shared" si="2"/>
        <v>0</v>
      </c>
      <c r="L15" s="59"/>
      <c r="M15" s="59"/>
      <c r="N15" s="59"/>
      <c r="O15" s="25">
        <f t="shared" si="3"/>
        <v>0</v>
      </c>
      <c r="P15" s="60"/>
      <c r="Q15" s="60"/>
      <c r="R15" s="60"/>
      <c r="S15" s="26">
        <f t="shared" si="4"/>
        <v>0</v>
      </c>
      <c r="T15" s="61"/>
    </row>
    <row r="16" spans="1:20" ht="16.5" customHeight="1">
      <c r="A16" s="63" t="s">
        <v>78</v>
      </c>
      <c r="B16" s="63"/>
      <c r="C16" s="64">
        <f>SUM(C8:C15)</f>
        <v>0</v>
      </c>
      <c r="D16" s="64">
        <f t="shared" ref="D16:R16" si="5">SUM(D8:D15)</f>
        <v>0</v>
      </c>
      <c r="E16" s="64">
        <f t="shared" si="5"/>
        <v>0</v>
      </c>
      <c r="F16" s="64">
        <f t="shared" si="5"/>
        <v>0</v>
      </c>
      <c r="G16" s="64">
        <f t="shared" si="5"/>
        <v>0</v>
      </c>
      <c r="H16" s="64">
        <f t="shared" si="5"/>
        <v>0</v>
      </c>
      <c r="I16" s="64">
        <f t="shared" si="5"/>
        <v>0</v>
      </c>
      <c r="J16" s="64">
        <f t="shared" si="5"/>
        <v>0</v>
      </c>
      <c r="K16" s="64">
        <f t="shared" si="5"/>
        <v>0</v>
      </c>
      <c r="L16" s="64">
        <f t="shared" si="5"/>
        <v>0</v>
      </c>
      <c r="M16" s="64">
        <f t="shared" si="5"/>
        <v>0</v>
      </c>
      <c r="N16" s="64">
        <f t="shared" si="5"/>
        <v>0</v>
      </c>
      <c r="O16" s="64">
        <f t="shared" si="5"/>
        <v>0</v>
      </c>
      <c r="P16" s="65">
        <f t="shared" si="5"/>
        <v>0</v>
      </c>
      <c r="Q16" s="65">
        <f t="shared" si="5"/>
        <v>0</v>
      </c>
      <c r="R16" s="65">
        <f t="shared" si="5"/>
        <v>0</v>
      </c>
      <c r="S16" s="64">
        <f>SUM(S8:S15)</f>
        <v>0</v>
      </c>
      <c r="T16" s="64"/>
    </row>
    <row r="17" spans="1:19" ht="22.5" customHeight="1">
      <c r="A17" s="17" t="s">
        <v>45</v>
      </c>
      <c r="B17" s="17"/>
      <c r="C17" s="17"/>
      <c r="D17" s="17"/>
      <c r="E17" s="17"/>
      <c r="F17" s="17"/>
      <c r="G17" s="17"/>
      <c r="H17" s="17"/>
      <c r="I17" s="17"/>
      <c r="J17" s="17"/>
      <c r="K17" s="17"/>
      <c r="L17" s="17"/>
      <c r="M17" s="17"/>
      <c r="N17" s="17"/>
      <c r="O17" s="17"/>
      <c r="P17" s="66"/>
      <c r="Q17" s="66"/>
      <c r="R17" s="66"/>
      <c r="S17" s="67" t="s">
        <v>46</v>
      </c>
    </row>
    <row r="18" spans="1:19" s="17" customFormat="1" ht="18.75" customHeight="1">
      <c r="A18" s="132" t="s">
        <v>79</v>
      </c>
      <c r="B18" s="133"/>
      <c r="C18" s="133"/>
      <c r="D18" s="133"/>
      <c r="E18" s="133"/>
      <c r="F18" s="133"/>
      <c r="G18" s="133"/>
      <c r="H18" s="133"/>
      <c r="I18" s="133"/>
      <c r="J18" s="133"/>
      <c r="K18" s="133"/>
      <c r="L18" s="133"/>
      <c r="M18" s="133"/>
      <c r="N18" s="133"/>
      <c r="O18" s="133"/>
      <c r="P18" s="133"/>
      <c r="Q18" s="133"/>
      <c r="R18" s="133"/>
      <c r="S18" s="133"/>
    </row>
    <row r="19" spans="1:19" s="17" customFormat="1" ht="12.75">
      <c r="A19" s="68" t="s">
        <v>80</v>
      </c>
      <c r="P19" s="66"/>
      <c r="Q19" s="66"/>
      <c r="R19" s="66"/>
    </row>
    <row r="20" spans="1:19" s="17" customFormat="1" ht="12.75">
      <c r="A20" s="68" t="s">
        <v>81</v>
      </c>
      <c r="P20" s="66"/>
      <c r="Q20" s="66"/>
      <c r="R20" s="66"/>
    </row>
    <row r="21" spans="1:19" s="17" customFormat="1" ht="12.75">
      <c r="A21" s="68" t="s">
        <v>82</v>
      </c>
      <c r="P21" s="66"/>
      <c r="Q21" s="66"/>
      <c r="R21" s="66"/>
    </row>
  </sheetData>
  <mergeCells count="13">
    <mergeCell ref="A18:S18"/>
    <mergeCell ref="A10:B10"/>
    <mergeCell ref="A11:B11"/>
    <mergeCell ref="A12:B12"/>
    <mergeCell ref="A13:B13"/>
    <mergeCell ref="A14:B14"/>
    <mergeCell ref="A15:B15"/>
    <mergeCell ref="A9:B9"/>
    <mergeCell ref="A3:T3"/>
    <mergeCell ref="A5:B7"/>
    <mergeCell ref="C5:S5"/>
    <mergeCell ref="T5:T7"/>
    <mergeCell ref="A8:B8"/>
  </mergeCells>
  <phoneticPr fontId="3" type="noConversion"/>
  <hyperlinks>
    <hyperlink ref="A2" location="一、资金流量预算表!A1" display="返回"/>
  </hyperlinks>
  <printOptions horizontalCentered="1"/>
  <pageMargins left="0.74803149606299213" right="0.74803149606299213" top="0.98425196850393704" bottom="0.98425196850393704" header="0.51181102362204722" footer="0.51181102362204722"/>
  <pageSetup paperSize="9" orientation="landscape" verticalDpi="1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Right="0"/>
  </sheetPr>
  <dimension ref="A1:W28"/>
  <sheetViews>
    <sheetView workbookViewId="0">
      <selection activeCell="H22" sqref="H22"/>
    </sheetView>
  </sheetViews>
  <sheetFormatPr defaultRowHeight="14.25" outlineLevelCol="1"/>
  <cols>
    <col min="1" max="1" width="9" style="2"/>
    <col min="2" max="2" width="14.25" style="2" customWidth="1"/>
    <col min="3" max="3" width="8.875" style="69" customWidth="1"/>
    <col min="4" max="6" width="7.625" style="69" customWidth="1" outlineLevel="1"/>
    <col min="7" max="7" width="8.5" style="69" bestFit="1" customWidth="1"/>
    <col min="8" max="10" width="7.875" style="69" customWidth="1" outlineLevel="1"/>
    <col min="11" max="11" width="8.5" style="69" bestFit="1" customWidth="1"/>
    <col min="12" max="14" width="8.25" style="69" customWidth="1" outlineLevel="1"/>
    <col min="15" max="15" width="8" style="69" customWidth="1"/>
    <col min="16" max="18" width="8" style="69" customWidth="1" outlineLevel="1"/>
    <col min="19" max="19" width="12.375" style="69" customWidth="1"/>
    <col min="20" max="21" width="12.125" style="69" customWidth="1"/>
    <col min="22" max="22" width="8.625" style="69" customWidth="1"/>
    <col min="23" max="16384" width="9" style="2"/>
  </cols>
  <sheetData>
    <row r="1" spans="1:23">
      <c r="A1" s="1" t="s">
        <v>83</v>
      </c>
    </row>
    <row r="2" spans="1:23" ht="18.75">
      <c r="A2" s="3" t="s">
        <v>1</v>
      </c>
      <c r="B2" s="70"/>
    </row>
    <row r="3" spans="1:23" ht="22.5">
      <c r="A3" s="137" t="s">
        <v>84</v>
      </c>
      <c r="B3" s="137"/>
      <c r="C3" s="137"/>
      <c r="D3" s="137"/>
      <c r="E3" s="137"/>
      <c r="F3" s="137"/>
      <c r="G3" s="137"/>
      <c r="H3" s="137"/>
      <c r="I3" s="137"/>
      <c r="J3" s="137"/>
      <c r="K3" s="137"/>
      <c r="L3" s="137"/>
      <c r="M3" s="137"/>
      <c r="N3" s="137"/>
      <c r="O3" s="137"/>
      <c r="P3" s="137"/>
      <c r="Q3" s="137"/>
      <c r="R3" s="137"/>
      <c r="S3" s="137"/>
      <c r="T3" s="137"/>
      <c r="U3" s="137"/>
      <c r="V3" s="137"/>
      <c r="W3" s="137"/>
    </row>
    <row r="4" spans="1:23" s="38" customFormat="1" ht="27" customHeight="1">
      <c r="A4" s="38" t="str">
        <f>[12]表格索引!$B$4</f>
        <v>编制单位：广东******有限公司</v>
      </c>
      <c r="C4" s="71"/>
      <c r="D4" s="71"/>
      <c r="E4" s="71"/>
      <c r="F4" s="71"/>
      <c r="G4" s="71"/>
      <c r="H4" s="71"/>
      <c r="I4" s="71"/>
      <c r="J4" s="71"/>
      <c r="K4" s="71"/>
      <c r="L4" s="71"/>
      <c r="M4" s="71"/>
      <c r="N4" s="71"/>
      <c r="O4" s="71" t="str">
        <f>'一-5其他成本'!K4</f>
        <v>预算年度：2013年</v>
      </c>
      <c r="P4" s="71"/>
      <c r="Q4" s="71"/>
      <c r="R4" s="71"/>
      <c r="S4" s="72"/>
      <c r="T4" s="72"/>
      <c r="U4" s="72"/>
      <c r="V4" s="138" t="s">
        <v>85</v>
      </c>
      <c r="W4" s="138"/>
    </row>
    <row r="5" spans="1:23" s="76" customFormat="1">
      <c r="A5" s="94" t="s">
        <v>4</v>
      </c>
      <c r="B5" s="95"/>
      <c r="C5" s="73" t="s">
        <v>86</v>
      </c>
      <c r="D5" s="73" t="s">
        <v>87</v>
      </c>
      <c r="E5" s="73" t="s">
        <v>88</v>
      </c>
      <c r="F5" s="73" t="s">
        <v>89</v>
      </c>
      <c r="G5" s="73" t="s">
        <v>90</v>
      </c>
      <c r="H5" s="73" t="s">
        <v>91</v>
      </c>
      <c r="I5" s="73" t="s">
        <v>92</v>
      </c>
      <c r="J5" s="73" t="s">
        <v>93</v>
      </c>
      <c r="K5" s="73" t="s">
        <v>94</v>
      </c>
      <c r="L5" s="73" t="s">
        <v>95</v>
      </c>
      <c r="M5" s="73" t="s">
        <v>96</v>
      </c>
      <c r="N5" s="73" t="s">
        <v>97</v>
      </c>
      <c r="O5" s="73" t="s">
        <v>98</v>
      </c>
      <c r="P5" s="73" t="s">
        <v>99</v>
      </c>
      <c r="Q5" s="73" t="s">
        <v>100</v>
      </c>
      <c r="R5" s="73" t="s">
        <v>101</v>
      </c>
      <c r="S5" s="74" t="s">
        <v>72</v>
      </c>
      <c r="T5" s="74" t="s">
        <v>102</v>
      </c>
      <c r="U5" s="74" t="s">
        <v>103</v>
      </c>
      <c r="V5" s="75" t="s">
        <v>104</v>
      </c>
      <c r="W5" s="107" t="s">
        <v>11</v>
      </c>
    </row>
    <row r="6" spans="1:23" s="76" customFormat="1" ht="23.25" customHeight="1">
      <c r="A6" s="98"/>
      <c r="B6" s="99"/>
      <c r="C6" s="51" t="s">
        <v>30</v>
      </c>
      <c r="D6" s="51"/>
      <c r="E6" s="51"/>
      <c r="F6" s="51"/>
      <c r="G6" s="51" t="s">
        <v>31</v>
      </c>
      <c r="H6" s="51"/>
      <c r="I6" s="51"/>
      <c r="J6" s="51"/>
      <c r="K6" s="51" t="s">
        <v>73</v>
      </c>
      <c r="L6" s="51"/>
      <c r="M6" s="51"/>
      <c r="N6" s="51"/>
      <c r="O6" s="51" t="s">
        <v>33</v>
      </c>
      <c r="P6" s="53"/>
      <c r="Q6" s="53"/>
      <c r="R6" s="53"/>
      <c r="S6" s="53" t="s">
        <v>74</v>
      </c>
      <c r="T6" s="77" t="s">
        <v>35</v>
      </c>
      <c r="U6" s="77" t="s">
        <v>105</v>
      </c>
      <c r="V6" s="77" t="s">
        <v>106</v>
      </c>
      <c r="W6" s="109"/>
    </row>
    <row r="7" spans="1:23" ht="18.75" customHeight="1">
      <c r="A7" s="120" t="s">
        <v>107</v>
      </c>
      <c r="B7" s="120"/>
      <c r="C7" s="78"/>
      <c r="D7" s="78"/>
      <c r="E7" s="78"/>
      <c r="F7" s="78"/>
      <c r="G7" s="78"/>
      <c r="H7" s="78"/>
      <c r="I7" s="78"/>
      <c r="J7" s="78"/>
      <c r="K7" s="78"/>
      <c r="L7" s="78"/>
      <c r="M7" s="78"/>
      <c r="N7" s="78"/>
      <c r="O7" s="78"/>
      <c r="P7" s="78"/>
      <c r="Q7" s="78"/>
      <c r="R7" s="78"/>
      <c r="S7" s="78"/>
      <c r="T7" s="79"/>
      <c r="U7" s="79"/>
      <c r="V7" s="79"/>
      <c r="W7" s="19"/>
    </row>
    <row r="8" spans="1:23" s="86" customFormat="1" ht="18.75" customHeight="1">
      <c r="A8" s="117" t="s">
        <v>41</v>
      </c>
      <c r="B8" s="118"/>
      <c r="C8" s="80">
        <f>SUM(D8:F8)</f>
        <v>1312800</v>
      </c>
      <c r="D8" s="81">
        <f>'一-2、其他业务现金收入预算表'!H10</f>
        <v>405700</v>
      </c>
      <c r="E8" s="81">
        <f>'一-2、其他业务现金收入预算表'!I10</f>
        <v>415200.00000000006</v>
      </c>
      <c r="F8" s="81">
        <f>'一-2、其他业务现金收入预算表'!J10</f>
        <v>491900</v>
      </c>
      <c r="G8" s="80">
        <f>SUM(H8:J8)</f>
        <v>0</v>
      </c>
      <c r="H8" s="81">
        <f>'一-2、其他业务现金收入预算表'!L10</f>
        <v>0</v>
      </c>
      <c r="I8" s="81">
        <f>'一-2、其他业务现金收入预算表'!M10</f>
        <v>0</v>
      </c>
      <c r="J8" s="81">
        <f>'一-2、其他业务现金收入预算表'!N10</f>
        <v>0</v>
      </c>
      <c r="K8" s="80">
        <f>SUM(L8:N8)</f>
        <v>0</v>
      </c>
      <c r="L8" s="81">
        <f>'一-2、其他业务现金收入预算表'!P10</f>
        <v>0</v>
      </c>
      <c r="M8" s="81">
        <f>'一-2、其他业务现金收入预算表'!Q10</f>
        <v>0</v>
      </c>
      <c r="N8" s="81">
        <f>'一-2、其他业务现金收入预算表'!R10</f>
        <v>0</v>
      </c>
      <c r="O8" s="80">
        <f>SUM(P8:R8)</f>
        <v>0</v>
      </c>
      <c r="P8" s="81">
        <f>'一-2、其他业务现金收入预算表'!T10</f>
        <v>0</v>
      </c>
      <c r="Q8" s="81">
        <f>'一-2、其他业务现金收入预算表'!U10</f>
        <v>0</v>
      </c>
      <c r="R8" s="81">
        <f>'一-2、其他业务现金收入预算表'!V10</f>
        <v>0</v>
      </c>
      <c r="S8" s="82">
        <f t="shared" ref="S8:S17" si="0">O8+K8+G8+C8</f>
        <v>1312800</v>
      </c>
      <c r="T8" s="83"/>
      <c r="U8" s="84">
        <f>S8-T8</f>
        <v>1312800</v>
      </c>
      <c r="V8" s="84" t="str">
        <f>IF(ISNUMBER(U8/T8),U8/T8,"")</f>
        <v/>
      </c>
      <c r="W8" s="85"/>
    </row>
    <row r="9" spans="1:23" s="86" customFormat="1" ht="18.75" customHeight="1">
      <c r="A9" s="113" t="s">
        <v>108</v>
      </c>
      <c r="B9" s="114"/>
      <c r="C9" s="80">
        <f>SUM(D9:F9)</f>
        <v>0</v>
      </c>
      <c r="D9" s="81">
        <f>'一-2、其他业务现金收入预算表'!H11</f>
        <v>0</v>
      </c>
      <c r="E9" s="81">
        <f>'一-2、其他业务现金收入预算表'!I11</f>
        <v>0</v>
      </c>
      <c r="F9" s="81">
        <f>'一-2、其他业务现金收入预算表'!J11</f>
        <v>0</v>
      </c>
      <c r="G9" s="80">
        <f>SUM(H9:J9)</f>
        <v>0</v>
      </c>
      <c r="H9" s="81">
        <f>'一-2、其他业务现金收入预算表'!L11</f>
        <v>0</v>
      </c>
      <c r="I9" s="81">
        <f>'一-2、其他业务现金收入预算表'!M11</f>
        <v>0</v>
      </c>
      <c r="J9" s="81">
        <f>'一-2、其他业务现金收入预算表'!N11</f>
        <v>0</v>
      </c>
      <c r="K9" s="80">
        <f>SUM(L9:N9)</f>
        <v>0</v>
      </c>
      <c r="L9" s="81">
        <f>'一-2、其他业务现金收入预算表'!P11</f>
        <v>0</v>
      </c>
      <c r="M9" s="81">
        <f>'一-2、其他业务现金收入预算表'!Q11</f>
        <v>0</v>
      </c>
      <c r="N9" s="81">
        <f>'一-2、其他业务现金收入预算表'!R11</f>
        <v>0</v>
      </c>
      <c r="O9" s="80">
        <f>SUM(P9:R9)</f>
        <v>0</v>
      </c>
      <c r="P9" s="81">
        <f>'一-2、其他业务现金收入预算表'!T11</f>
        <v>0</v>
      </c>
      <c r="Q9" s="81">
        <f>'一-2、其他业务现金收入预算表'!U11</f>
        <v>0</v>
      </c>
      <c r="R9" s="81">
        <f>'一-2、其他业务现金收入预算表'!V11</f>
        <v>0</v>
      </c>
      <c r="S9" s="82">
        <f t="shared" si="0"/>
        <v>0</v>
      </c>
      <c r="T9" s="83"/>
      <c r="U9" s="84">
        <f t="shared" ref="U9:U17" si="1">S9-T9</f>
        <v>0</v>
      </c>
      <c r="V9" s="84" t="str">
        <f t="shared" ref="V9:V17" si="2">IF(ISNUMBER(U9/T9),U9/T9,"")</f>
        <v/>
      </c>
      <c r="W9" s="85"/>
    </row>
    <row r="10" spans="1:23" s="86" customFormat="1" ht="18.75" customHeight="1">
      <c r="A10" s="113" t="s">
        <v>109</v>
      </c>
      <c r="B10" s="114"/>
      <c r="C10" s="80">
        <f>SUM(D10:F10)</f>
        <v>0</v>
      </c>
      <c r="D10" s="81">
        <f>'一-2、其他业务现金收入预算表'!H12</f>
        <v>0</v>
      </c>
      <c r="E10" s="81">
        <f>'一-2、其他业务现金收入预算表'!I12</f>
        <v>0</v>
      </c>
      <c r="F10" s="81">
        <f>'一-2、其他业务现金收入预算表'!J12</f>
        <v>0</v>
      </c>
      <c r="G10" s="80">
        <f>SUM(H10:J10)</f>
        <v>0</v>
      </c>
      <c r="H10" s="81">
        <f>'一-2、其他业务现金收入预算表'!L12</f>
        <v>0</v>
      </c>
      <c r="I10" s="81">
        <f>'一-2、其他业务现金收入预算表'!M12</f>
        <v>0</v>
      </c>
      <c r="J10" s="81">
        <f>'一-2、其他业务现金收入预算表'!N12</f>
        <v>0</v>
      </c>
      <c r="K10" s="80">
        <f>SUM(L10:N10)</f>
        <v>0</v>
      </c>
      <c r="L10" s="81">
        <f>'一-2、其他业务现金收入预算表'!P12</f>
        <v>0</v>
      </c>
      <c r="M10" s="81">
        <f>'一-2、其他业务现金收入预算表'!Q12</f>
        <v>0</v>
      </c>
      <c r="N10" s="81">
        <f>'一-2、其他业务现金收入预算表'!R12</f>
        <v>0</v>
      </c>
      <c r="O10" s="80">
        <f>SUM(P10:R10)</f>
        <v>0</v>
      </c>
      <c r="P10" s="81">
        <f>'一-2、其他业务现金收入预算表'!T12</f>
        <v>0</v>
      </c>
      <c r="Q10" s="81">
        <f>'一-2、其他业务现金收入预算表'!U12</f>
        <v>0</v>
      </c>
      <c r="R10" s="81">
        <f>'一-2、其他业务现金收入预算表'!V12</f>
        <v>0</v>
      </c>
      <c r="S10" s="82">
        <f t="shared" si="0"/>
        <v>0</v>
      </c>
      <c r="T10" s="83"/>
      <c r="U10" s="84">
        <f t="shared" si="1"/>
        <v>0</v>
      </c>
      <c r="V10" s="84" t="str">
        <f t="shared" si="2"/>
        <v/>
      </c>
      <c r="W10" s="85"/>
    </row>
    <row r="11" spans="1:23" ht="18.75" customHeight="1">
      <c r="A11" s="123" t="s">
        <v>110</v>
      </c>
      <c r="B11" s="124"/>
      <c r="C11" s="79">
        <f>'[13]一-2、其他业务现金收入预算表'!G17</f>
        <v>0</v>
      </c>
      <c r="D11" s="79">
        <f>'一-2、其他业务现金收入预算表'!H17</f>
        <v>405700</v>
      </c>
      <c r="E11" s="79">
        <f>'一-2、其他业务现金收入预算表'!I17</f>
        <v>415200.00000000006</v>
      </c>
      <c r="F11" s="79">
        <f>'一-2、其他业务现金收入预算表'!J17</f>
        <v>491900</v>
      </c>
      <c r="G11" s="79">
        <f>'一-2、其他业务现金收入预算表'!K17</f>
        <v>0</v>
      </c>
      <c r="H11" s="79">
        <f>'一-2、其他业务现金收入预算表'!L17</f>
        <v>0</v>
      </c>
      <c r="I11" s="79">
        <f>'一-2、其他业务现金收入预算表'!M17</f>
        <v>0</v>
      </c>
      <c r="J11" s="79">
        <f>'一-2、其他业务现金收入预算表'!N17</f>
        <v>0</v>
      </c>
      <c r="K11" s="79">
        <f>'一-2、其他业务现金收入预算表'!O17</f>
        <v>0</v>
      </c>
      <c r="L11" s="79">
        <f>'一-2、其他业务现金收入预算表'!P17</f>
        <v>0</v>
      </c>
      <c r="M11" s="79">
        <f>'一-2、其他业务现金收入预算表'!Q17</f>
        <v>0</v>
      </c>
      <c r="N11" s="79">
        <f>'一-2、其他业务现金收入预算表'!R17</f>
        <v>0</v>
      </c>
      <c r="O11" s="79">
        <f>'一-2、其他业务现金收入预算表'!S17</f>
        <v>0</v>
      </c>
      <c r="P11" s="79">
        <f>'一-2、其他业务现金收入预算表'!T17</f>
        <v>0</v>
      </c>
      <c r="Q11" s="79">
        <f>'一-2、其他业务现金收入预算表'!U17</f>
        <v>0</v>
      </c>
      <c r="R11" s="79">
        <f>'一-2、其他业务现金收入预算表'!V17</f>
        <v>0</v>
      </c>
      <c r="S11" s="82">
        <f t="shared" si="0"/>
        <v>0</v>
      </c>
      <c r="T11" s="83"/>
      <c r="U11" s="84">
        <f t="shared" si="1"/>
        <v>0</v>
      </c>
      <c r="V11" s="84" t="str">
        <f t="shared" si="2"/>
        <v/>
      </c>
      <c r="W11" s="19"/>
    </row>
    <row r="12" spans="1:23" ht="18.75" customHeight="1">
      <c r="A12" s="19" t="s">
        <v>111</v>
      </c>
      <c r="B12" s="19"/>
      <c r="C12" s="79"/>
      <c r="D12" s="79"/>
      <c r="E12" s="79"/>
      <c r="F12" s="79"/>
      <c r="G12" s="79"/>
      <c r="H12" s="79"/>
      <c r="I12" s="79"/>
      <c r="J12" s="79"/>
      <c r="K12" s="79"/>
      <c r="L12" s="79"/>
      <c r="M12" s="79"/>
      <c r="N12" s="79"/>
      <c r="O12" s="79"/>
      <c r="P12" s="79"/>
      <c r="Q12" s="79"/>
      <c r="R12" s="79"/>
      <c r="S12" s="82">
        <f t="shared" si="0"/>
        <v>0</v>
      </c>
      <c r="T12" s="83"/>
      <c r="U12" s="84">
        <f t="shared" si="1"/>
        <v>0</v>
      </c>
      <c r="V12" s="84" t="str">
        <f t="shared" si="2"/>
        <v/>
      </c>
      <c r="W12" s="19"/>
    </row>
    <row r="13" spans="1:23" s="86" customFormat="1" ht="18.75" customHeight="1">
      <c r="A13" s="117" t="s">
        <v>75</v>
      </c>
      <c r="B13" s="118"/>
      <c r="C13" s="80">
        <f>SUM(D13:F13)</f>
        <v>74960.88</v>
      </c>
      <c r="D13" s="87">
        <f>D11*0.0571</f>
        <v>23165.469999999998</v>
      </c>
      <c r="E13" s="87">
        <f t="shared" ref="E13:N13" si="3">E11*0.0571</f>
        <v>23707.920000000002</v>
      </c>
      <c r="F13" s="87">
        <f t="shared" si="3"/>
        <v>28087.489999999998</v>
      </c>
      <c r="G13" s="80">
        <f>SUM(H13:J13)</f>
        <v>0</v>
      </c>
      <c r="H13" s="87">
        <f t="shared" si="3"/>
        <v>0</v>
      </c>
      <c r="I13" s="87">
        <f t="shared" si="3"/>
        <v>0</v>
      </c>
      <c r="J13" s="87">
        <f t="shared" si="3"/>
        <v>0</v>
      </c>
      <c r="K13" s="80">
        <f>SUM(L13:N13)</f>
        <v>0</v>
      </c>
      <c r="L13" s="87">
        <f t="shared" si="3"/>
        <v>0</v>
      </c>
      <c r="M13" s="87">
        <f t="shared" si="3"/>
        <v>0</v>
      </c>
      <c r="N13" s="87">
        <f t="shared" si="3"/>
        <v>0</v>
      </c>
      <c r="O13" s="80">
        <f>SUM(P13:R13)</f>
        <v>0</v>
      </c>
      <c r="P13" s="87">
        <f>P11*0.0571</f>
        <v>0</v>
      </c>
      <c r="Q13" s="87">
        <f>Q11*0.0571</f>
        <v>0</v>
      </c>
      <c r="R13" s="87">
        <f>R11*0.0571</f>
        <v>0</v>
      </c>
      <c r="S13" s="82">
        <f t="shared" si="0"/>
        <v>74960.88</v>
      </c>
      <c r="T13" s="83"/>
      <c r="U13" s="84">
        <f t="shared" si="1"/>
        <v>74960.88</v>
      </c>
      <c r="V13" s="84" t="str">
        <f t="shared" si="2"/>
        <v/>
      </c>
      <c r="W13" s="85"/>
    </row>
    <row r="14" spans="1:23" s="86" customFormat="1" ht="18.75" customHeight="1">
      <c r="A14" s="113" t="s">
        <v>76</v>
      </c>
      <c r="B14" s="114"/>
      <c r="C14" s="80">
        <f>SUM(D14:F14)</f>
        <v>0</v>
      </c>
      <c r="D14" s="87">
        <f>'一-5其他成本'!D9</f>
        <v>0</v>
      </c>
      <c r="E14" s="87">
        <f>'一-5其他成本'!E9</f>
        <v>0</v>
      </c>
      <c r="F14" s="87">
        <f>'一-5其他成本'!F9</f>
        <v>0</v>
      </c>
      <c r="G14" s="80">
        <f>SUM(H14:J14)</f>
        <v>0</v>
      </c>
      <c r="H14" s="87">
        <f>'一-5其他成本'!H9</f>
        <v>0</v>
      </c>
      <c r="I14" s="87">
        <f>'一-5其他成本'!I9</f>
        <v>0</v>
      </c>
      <c r="J14" s="87">
        <f>'一-5其他成本'!J9</f>
        <v>0</v>
      </c>
      <c r="K14" s="80">
        <f>SUM(L14:N14)</f>
        <v>0</v>
      </c>
      <c r="L14" s="87">
        <f>'一-5其他成本'!L9</f>
        <v>0</v>
      </c>
      <c r="M14" s="87">
        <f>'一-5其他成本'!M9</f>
        <v>0</v>
      </c>
      <c r="N14" s="87">
        <f>'一-5其他成本'!N9</f>
        <v>0</v>
      </c>
      <c r="O14" s="80">
        <f>SUM(P14:R14)</f>
        <v>0</v>
      </c>
      <c r="P14" s="87">
        <f>'一-5其他成本'!P9</f>
        <v>0</v>
      </c>
      <c r="Q14" s="87">
        <f>'一-5其他成本'!Q9</f>
        <v>0</v>
      </c>
      <c r="R14" s="87">
        <f>'一-5其他成本'!R9</f>
        <v>0</v>
      </c>
      <c r="S14" s="82">
        <f t="shared" si="0"/>
        <v>0</v>
      </c>
      <c r="T14" s="83"/>
      <c r="U14" s="84">
        <f t="shared" si="1"/>
        <v>0</v>
      </c>
      <c r="V14" s="84" t="str">
        <f t="shared" si="2"/>
        <v/>
      </c>
      <c r="W14" s="85"/>
    </row>
    <row r="15" spans="1:23" s="86" customFormat="1" ht="18.75" customHeight="1">
      <c r="A15" s="113" t="s">
        <v>77</v>
      </c>
      <c r="B15" s="114"/>
      <c r="C15" s="80">
        <f>SUM(D15:F15)</f>
        <v>0</v>
      </c>
      <c r="D15" s="87">
        <f>'一-5其他成本'!D10</f>
        <v>0</v>
      </c>
      <c r="E15" s="87">
        <f>'一-5其他成本'!E10</f>
        <v>0</v>
      </c>
      <c r="F15" s="87">
        <f>'一-5其他成本'!F10</f>
        <v>0</v>
      </c>
      <c r="G15" s="80">
        <f>SUM(H15:J15)</f>
        <v>0</v>
      </c>
      <c r="H15" s="87">
        <f>'一-5其他成本'!H10</f>
        <v>0</v>
      </c>
      <c r="I15" s="87">
        <f>'一-5其他成本'!I10</f>
        <v>0</v>
      </c>
      <c r="J15" s="87">
        <f>'一-5其他成本'!J10</f>
        <v>0</v>
      </c>
      <c r="K15" s="80">
        <f>SUM(L15:N15)</f>
        <v>0</v>
      </c>
      <c r="L15" s="87">
        <f>'一-5其他成本'!L10</f>
        <v>0</v>
      </c>
      <c r="M15" s="87">
        <f>'一-5其他成本'!M10</f>
        <v>0</v>
      </c>
      <c r="N15" s="87">
        <f>'一-5其他成本'!N10</f>
        <v>0</v>
      </c>
      <c r="O15" s="80">
        <f>SUM(P15:R15)</f>
        <v>0</v>
      </c>
      <c r="P15" s="87">
        <f>'一-5其他成本'!P10</f>
        <v>0</v>
      </c>
      <c r="Q15" s="87">
        <f>'一-5其他成本'!Q10</f>
        <v>0</v>
      </c>
      <c r="R15" s="87">
        <f>'一-5其他成本'!R10</f>
        <v>0</v>
      </c>
      <c r="S15" s="82">
        <f t="shared" si="0"/>
        <v>0</v>
      </c>
      <c r="T15" s="83"/>
      <c r="U15" s="84">
        <f t="shared" si="1"/>
        <v>0</v>
      </c>
      <c r="V15" s="84" t="str">
        <f t="shared" si="2"/>
        <v/>
      </c>
      <c r="W15" s="85"/>
    </row>
    <row r="16" spans="1:23" ht="18.75" customHeight="1">
      <c r="A16" s="123" t="s">
        <v>110</v>
      </c>
      <c r="B16" s="124"/>
      <c r="C16" s="79">
        <f t="shared" ref="C16:R16" si="4">SUM(C13:C15)</f>
        <v>74960.88</v>
      </c>
      <c r="D16" s="79">
        <f t="shared" si="4"/>
        <v>23165.469999999998</v>
      </c>
      <c r="E16" s="79">
        <f t="shared" si="4"/>
        <v>23707.920000000002</v>
      </c>
      <c r="F16" s="79">
        <f t="shared" si="4"/>
        <v>28087.489999999998</v>
      </c>
      <c r="G16" s="79">
        <f t="shared" si="4"/>
        <v>0</v>
      </c>
      <c r="H16" s="79">
        <f t="shared" si="4"/>
        <v>0</v>
      </c>
      <c r="I16" s="79">
        <f t="shared" si="4"/>
        <v>0</v>
      </c>
      <c r="J16" s="79">
        <f t="shared" si="4"/>
        <v>0</v>
      </c>
      <c r="K16" s="79">
        <f t="shared" si="4"/>
        <v>0</v>
      </c>
      <c r="L16" s="79">
        <f t="shared" si="4"/>
        <v>0</v>
      </c>
      <c r="M16" s="79">
        <f t="shared" si="4"/>
        <v>0</v>
      </c>
      <c r="N16" s="79">
        <f t="shared" si="4"/>
        <v>0</v>
      </c>
      <c r="O16" s="79">
        <f t="shared" si="4"/>
        <v>0</v>
      </c>
      <c r="P16" s="79">
        <f t="shared" si="4"/>
        <v>0</v>
      </c>
      <c r="Q16" s="79">
        <f t="shared" si="4"/>
        <v>0</v>
      </c>
      <c r="R16" s="79">
        <f t="shared" si="4"/>
        <v>0</v>
      </c>
      <c r="S16" s="82">
        <f t="shared" si="0"/>
        <v>74960.88</v>
      </c>
      <c r="T16" s="83"/>
      <c r="U16" s="84">
        <f t="shared" si="1"/>
        <v>74960.88</v>
      </c>
      <c r="V16" s="84" t="str">
        <f t="shared" si="2"/>
        <v/>
      </c>
      <c r="W16" s="19"/>
    </row>
    <row r="17" spans="1:23" ht="18.75" customHeight="1">
      <c r="A17" s="33" t="s">
        <v>112</v>
      </c>
      <c r="B17" s="88"/>
      <c r="C17" s="79">
        <f t="shared" ref="C17:R17" si="5">C11-C16</f>
        <v>-74960.88</v>
      </c>
      <c r="D17" s="79">
        <f t="shared" si="5"/>
        <v>382534.53</v>
      </c>
      <c r="E17" s="79">
        <f t="shared" si="5"/>
        <v>391492.08000000007</v>
      </c>
      <c r="F17" s="79">
        <f>F11-F16</f>
        <v>463812.51</v>
      </c>
      <c r="G17" s="79">
        <f t="shared" si="5"/>
        <v>0</v>
      </c>
      <c r="H17" s="79">
        <f t="shared" si="5"/>
        <v>0</v>
      </c>
      <c r="I17" s="79">
        <f t="shared" si="5"/>
        <v>0</v>
      </c>
      <c r="J17" s="79">
        <f t="shared" si="5"/>
        <v>0</v>
      </c>
      <c r="K17" s="79">
        <f t="shared" si="5"/>
        <v>0</v>
      </c>
      <c r="L17" s="79">
        <f t="shared" si="5"/>
        <v>0</v>
      </c>
      <c r="M17" s="79">
        <f t="shared" si="5"/>
        <v>0</v>
      </c>
      <c r="N17" s="79">
        <f t="shared" si="5"/>
        <v>0</v>
      </c>
      <c r="O17" s="79">
        <f t="shared" si="5"/>
        <v>0</v>
      </c>
      <c r="P17" s="79">
        <f t="shared" si="5"/>
        <v>0</v>
      </c>
      <c r="Q17" s="79">
        <f t="shared" si="5"/>
        <v>0</v>
      </c>
      <c r="R17" s="79">
        <f t="shared" si="5"/>
        <v>0</v>
      </c>
      <c r="S17" s="80">
        <f t="shared" si="0"/>
        <v>-74960.88</v>
      </c>
      <c r="T17" s="83"/>
      <c r="U17" s="84">
        <f t="shared" si="1"/>
        <v>-74960.88</v>
      </c>
      <c r="V17" s="84" t="str">
        <f t="shared" si="2"/>
        <v/>
      </c>
      <c r="W17" s="19"/>
    </row>
    <row r="18" spans="1:23">
      <c r="V18" s="71" t="s">
        <v>46</v>
      </c>
    </row>
    <row r="20" spans="1:23">
      <c r="D20" s="69">
        <v>10000</v>
      </c>
      <c r="E20" s="89">
        <v>0.05</v>
      </c>
      <c r="F20" s="90">
        <f>D20*E20</f>
        <v>500</v>
      </c>
    </row>
    <row r="21" spans="1:23">
      <c r="D21" s="69">
        <f>F20</f>
        <v>500</v>
      </c>
      <c r="E21" s="89">
        <v>0.05</v>
      </c>
      <c r="F21" s="90">
        <f>D21*E21</f>
        <v>25</v>
      </c>
    </row>
    <row r="22" spans="1:23">
      <c r="D22" s="69">
        <f>F20</f>
        <v>500</v>
      </c>
      <c r="E22" s="89">
        <v>7.0000000000000007E-2</v>
      </c>
      <c r="F22" s="90">
        <f>D22*E22</f>
        <v>35</v>
      </c>
    </row>
    <row r="23" spans="1:23">
      <c r="D23" s="69">
        <f>D20</f>
        <v>10000</v>
      </c>
      <c r="E23" s="89">
        <v>1E-3</v>
      </c>
      <c r="F23" s="90">
        <f>D23*E23</f>
        <v>10</v>
      </c>
    </row>
    <row r="24" spans="1:23">
      <c r="D24" s="69">
        <f>D20*0.85</f>
        <v>8500</v>
      </c>
      <c r="E24" s="89">
        <v>1E-3</v>
      </c>
      <c r="F24" s="90">
        <f>D24*E24</f>
        <v>8.5</v>
      </c>
    </row>
    <row r="25" spans="1:23">
      <c r="E25" s="89"/>
      <c r="F25" s="90"/>
    </row>
    <row r="26" spans="1:23">
      <c r="F26" s="90">
        <f>SUM(F20:F25)</f>
        <v>578.5</v>
      </c>
    </row>
    <row r="27" spans="1:23">
      <c r="F27" s="90"/>
    </row>
    <row r="28" spans="1:23">
      <c r="F28" s="89">
        <f>F26/D20</f>
        <v>5.7849999999999999E-2</v>
      </c>
    </row>
  </sheetData>
  <mergeCells count="13">
    <mergeCell ref="A16:B16"/>
    <mergeCell ref="A9:B9"/>
    <mergeCell ref="A10:B10"/>
    <mergeCell ref="A11:B11"/>
    <mergeCell ref="A13:B13"/>
    <mergeCell ref="A14:B14"/>
    <mergeCell ref="A15:B15"/>
    <mergeCell ref="A8:B8"/>
    <mergeCell ref="A3:W3"/>
    <mergeCell ref="V4:W4"/>
    <mergeCell ref="A5:B6"/>
    <mergeCell ref="W5:W6"/>
    <mergeCell ref="A7:B7"/>
  </mergeCells>
  <phoneticPr fontId="3" type="noConversion"/>
  <hyperlinks>
    <hyperlink ref="A2" location="二、损益表!A1" display="返回"/>
  </hyperlinks>
  <pageMargins left="0.75" right="0.75" top="0.56000000000000005" bottom="1" header="0.5" footer="0.5"/>
  <pageSetup paperSize="9" orientation="landscape" verticalDpi="1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可租物业清单</vt:lpstr>
      <vt:lpstr>一-2、其他业务现金收入预算表</vt:lpstr>
      <vt:lpstr>一-5其他成本</vt:lpstr>
      <vt:lpstr>4、其他业务利润</vt:lpstr>
    </vt:vector>
  </TitlesOfParts>
  <Company>微软中国</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黄燕嫦</dc:creator>
  <cp:lastModifiedBy>ASUS</cp:lastModifiedBy>
  <dcterms:created xsi:type="dcterms:W3CDTF">2012-11-02T08:31:42Z</dcterms:created>
  <dcterms:modified xsi:type="dcterms:W3CDTF">2012-12-20T15:16:25Z</dcterms:modified>
</cp:coreProperties>
</file>