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<sst xmlns="http://schemas.openxmlformats.org/spreadsheetml/2006/main" count="23" uniqueCount="23">
  <si>
    <t>年度财务营收分析报告</t>
  </si>
  <si>
    <t>公司：</t>
  </si>
  <si>
    <t>XXXXXXX</t>
  </si>
  <si>
    <t>单位：万元</t>
  </si>
  <si>
    <t>月份</t>
  </si>
  <si>
    <t>去年营收金额</t>
  </si>
  <si>
    <t>今年营收金额</t>
  </si>
  <si>
    <t>同比增长率</t>
  </si>
  <si>
    <t>净利率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</si>
  <si>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</si>
  <si>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</si>
  <si>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</si>
  <si>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</si>
  <si>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</si>
  <si>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</si>
  <si>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</si>
  <si>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</si>
  <si>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</si>
  <si>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</si>
  <si>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</si>
  <si>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</si>
  <si>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</si>
  <si>
    <t>2020年度各季度营收金额（万元）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</si>
</sst>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.00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6"/>
      <color theme="6" tint="-0.249977111117893"/>
      <name val="微软雅黑"/>
      <charset val="134"/>
    </font>
    <font>
      <sz val="11"/>
      <name val="微软雅黑"/>
      <charset val="134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4" fillId="4" borderId="11" applyNumberForma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去年营收金额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去年营收金额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2"/>
                <c:pt idx="0">
                  <c:v>46000</c:v>
                </c:pt>
                <c:pt idx="1">
                  <c:v>21000</c:v>
                </c:pt>
                <c:pt idx="2">
                  <c:v>30000</c:v>
                </c:pt>
                <c:pt idx="3">
                  <c:v>30000</c:v>
                </c:pt>
                <c:pt idx="4">
                  <c:v>45000</c:v>
                </c:pt>
                <c:pt idx="5">
                  <c:v>37000</c:v>
                </c:pt>
                <c:pt idx="6">
                  <c:v>50000</c:v>
                </c:pt>
                <c:pt idx="7">
                  <c:v>30000</c:v>
                </c:pt>
                <c:pt idx="8">
                  <c:v>42000</c:v>
                </c:pt>
                <c:pt idx="9">
                  <c:v>30000</c:v>
                </c:pt>
                <c:pt idx="10">
                  <c:v>20000</c:v>
                </c:pt>
                <c:pt idx="11">
                  <c:v>26000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0766184"/>
        <c:axId val="640765856"/>
      </c:barChart>
      <c:catAx>
        <c:axId val="640766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765856"/>
        <c:crosses val="autoZero"/>
        <c:auto val="1"/>
        <c:lblAlgn val="ctr"/>
        <c:lblOffset val="100"/>
        <c:noMultiLvlLbl val="0"/>
      </c:catAx>
      <c:valAx>
        <c:axId val="6407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76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CN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等线" panose="02010600030101010101" pitchFamily="2" charset="-122"/>
              </a:rPr>
              <a:t>去年与今年营收对比</a:t>
            </a:r>
            <a:endParaRPr kumimoji="0" lang="zh-CN" alt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去年营收金额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2"/>
                <c:pt idx="0">
                  <c:v>46000</c:v>
                </c:pt>
                <c:pt idx="1">
                  <c:v>21000</c:v>
                </c:pt>
                <c:pt idx="2">
                  <c:v>30000</c:v>
                </c:pt>
                <c:pt idx="3">
                  <c:v>30000</c:v>
                </c:pt>
                <c:pt idx="4">
                  <c:v>45000</c:v>
                </c:pt>
                <c:pt idx="5">
                  <c:v>37000</c:v>
                </c:pt>
                <c:pt idx="6">
                  <c:v>50000</c:v>
                </c:pt>
                <c:pt idx="7">
                  <c:v>30000</c:v>
                </c:pt>
                <c:pt idx="8">
                  <c:v>42000</c:v>
                </c:pt>
                <c:pt idx="9">
                  <c:v>30000</c:v>
                </c:pt>
                <c:pt idx="10">
                  <c:v>20000</c:v>
                </c:pt>
                <c:pt idx="11">
                  <c:v>26000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今年营收金额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45000</c:v>
                </c:pt>
                <c:pt idx="1">
                  <c:v>26000</c:v>
                </c:pt>
                <c:pt idx="2">
                  <c:v>35000</c:v>
                </c:pt>
                <c:pt idx="3">
                  <c:v>26000</c:v>
                </c:pt>
                <c:pt idx="4">
                  <c:v>45000</c:v>
                </c:pt>
                <c:pt idx="5">
                  <c:v>35000</c:v>
                </c:pt>
                <c:pt idx="6">
                  <c:v>56000</c:v>
                </c:pt>
                <c:pt idx="7">
                  <c:v>38000</c:v>
                </c:pt>
                <c:pt idx="8">
                  <c:v>50000</c:v>
                </c:pt>
                <c:pt idx="9">
                  <c:v>23000</c:v>
                </c:pt>
                <c:pt idx="10">
                  <c:v>23000</c:v>
                </c:pt>
                <c:pt idx="11">
                  <c:v>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6557664"/>
        <c:axId val="806557992"/>
      </c:barChart>
      <c:catAx>
        <c:axId val="80655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57992"/>
        <c:crosses val="autoZero"/>
        <c:auto val="1"/>
        <c:lblAlgn val="ctr"/>
        <c:lblOffset val="100"/>
        <c:noMultiLvlLbl val="0"/>
      </c:catAx>
      <c:valAx>
        <c:axId val="8065579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</a:rPr>
              <a:t>同比增长率与净利润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Sheet1!$D$3</c:f>
              <c:strCache>
                <c:ptCount val="1"/>
                <c:pt idx="0">
                  <c:v>同比增长率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Sheet1!$D$4:$D$15</c:f>
              <c:numCache>
                <c:formatCode>0.00%</c:formatCode>
                <c:ptCount val="12"/>
                <c:pt idx="0">
                  <c:v>-0.0217391304347826</c:v>
                </c:pt>
                <c:pt idx="1">
                  <c:v>0.238095238095238</c:v>
                </c:pt>
                <c:pt idx="2">
                  <c:v>0.166666666666667</c:v>
                </c:pt>
                <c:pt idx="3">
                  <c:v>-0.133333333333333</c:v>
                </c:pt>
                <c:pt idx="4">
                  <c:v>0</c:v>
                </c:pt>
                <c:pt idx="5">
                  <c:v>-0.0540540540540541</c:v>
                </c:pt>
                <c:pt idx="6">
                  <c:v>0.12</c:v>
                </c:pt>
                <c:pt idx="7">
                  <c:v>0.266666666666667</c:v>
                </c:pt>
                <c:pt idx="8">
                  <c:v>0.19047619047619</c:v>
                </c:pt>
                <c:pt idx="9">
                  <c:v>-0.233333333333333</c:v>
                </c:pt>
                <c:pt idx="10">
                  <c:v>0.15</c:v>
                </c:pt>
                <c:pt idx="11">
                  <c:v>0.153846153846154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86731032"/>
        <c:axId val="786724472"/>
      </c:barChart>
      <c:lineChart>
        <c:grouping val="standard"/>
        <c:varyColors val="0"/>
        <c:ser>
          <c:idx val="3"/>
          <c:order val="1"/>
          <c:tx>
            <c:strRef>
              <c:f>Sheet1!$E$3</c:f>
              <c:strCache>
                <c:ptCount val="1"/>
                <c:pt idx="0">
                  <c:v>净利率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Sheet1!$E$4:$E$15</c:f>
              <c:numCache>
                <c:formatCode>General</c:formatCode>
                <c:ptCount val="12"/>
                <c:pt idx="0">
                  <c:v>-1000</c:v>
                </c:pt>
                <c:pt idx="1">
                  <c:v>5000</c:v>
                </c:pt>
                <c:pt idx="2">
                  <c:v>5000</c:v>
                </c:pt>
                <c:pt idx="3">
                  <c:v>-4000</c:v>
                </c:pt>
                <c:pt idx="4">
                  <c:v>0</c:v>
                </c:pt>
                <c:pt idx="5">
                  <c:v>-2000</c:v>
                </c:pt>
                <c:pt idx="6">
                  <c:v>6000</c:v>
                </c:pt>
                <c:pt idx="7">
                  <c:v>8000</c:v>
                </c:pt>
                <c:pt idx="8">
                  <c:v>8000</c:v>
                </c:pt>
                <c:pt idx="9">
                  <c:v>-7000</c:v>
                </c:pt>
                <c:pt idx="10">
                  <c:v>3000</c:v>
                </c:pt>
                <c:pt idx="11">
                  <c:v>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732672"/>
        <c:axId val="786732344"/>
      </c:lineChart>
      <c:catAx>
        <c:axId val="786731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724472"/>
        <c:crosses val="autoZero"/>
        <c:auto val="1"/>
        <c:lblAlgn val="ctr"/>
        <c:lblOffset val="100"/>
        <c:noMultiLvlLbl val="0"/>
      </c:catAx>
      <c:valAx>
        <c:axId val="7867244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731032"/>
        <c:crosses val="max"/>
        <c:crossBetween val="between"/>
      </c:valAx>
      <c:catAx>
        <c:axId val="7867326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732344"/>
        <c:crosses val="max"/>
        <c:auto val="1"/>
        <c:lblAlgn val="ctr"/>
        <c:lblOffset val="100"/>
        <c:noMultiLvlLbl val="0"/>
      </c:catAx>
      <c:valAx>
        <c:axId val="786732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73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71438</xdr:colOff>
      <xdr:row>2</xdr:row>
      <xdr:rowOff>0</xdr:rowOff>
    </xdr:from>
    <xdr:to>
      <xdr:col>8</xdr:col>
      <xdr:colOff>666750</xdr:colOff>
      <xdr:row>16</xdr:row>
      <xdr:rowOff>1</xdr:rowOff>
    </xdr:to>
    <xdr:graphicFrame>
      <xdr:nvGraphicFramePr>
        <xdr:cNvPr id="2" name="图表 1"/>
        <xdr:cNvGraphicFramePr/>
      </xdr:nvGraphicFramePr>
      <xdr:xfrm>
        <a:off x="4547870" y="507365"/>
        <a:ext cx="2691130" cy="2861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</xdr:row>
      <xdr:rowOff>200025</xdr:rowOff>
    </xdr:from>
    <xdr:to>
      <xdr:col>13</xdr:col>
      <xdr:colOff>628650</xdr:colOff>
      <xdr:row>16</xdr:row>
      <xdr:rowOff>9525</xdr:rowOff>
    </xdr:to>
    <xdr:graphicFrame>
      <xdr:nvGraphicFramePr>
        <xdr:cNvPr id="3" name="图表 2"/>
        <xdr:cNvGraphicFramePr/>
      </xdr:nvGraphicFramePr>
      <xdr:xfrm>
        <a:off x="7267575" y="478790"/>
        <a:ext cx="3362325" cy="2900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333375</xdr:colOff>
      <xdr:row>16</xdr:row>
      <xdr:rowOff>209550</xdr:rowOff>
    </xdr:from>
    <xdr:to>
      <xdr:col>1</xdr:col>
      <xdr:colOff>544479</xdr:colOff>
      <xdr:row>21</xdr:row>
      <xdr:rowOff>66675</xdr:rowOff>
    </xdr:to>
    <xdr:grpSp>
      <xdr:nvGrpSpPr>
        <xdr:cNvPr id="4" name="组合 3"/>
        <xdr:cNvGrpSpPr/>
      </xdr:nvGrpSpPr>
      <xdr:grpSpPr>
        <a:xfrm>
          <a:off x="333375" y="3578860"/>
          <a:ext cx="1125220" cy="1000125"/>
          <a:chOff x="285750" y="3952875"/>
          <a:chExt cx="1125504" cy="1000125"/>
        </a:xfrm>
      </xdr:grpSpPr>
      <xdr:sp textlink="$A$21">
        <xdr:nvSpPr>
          <xdr:cNvPr id="5" name="矩形 4"/>
          <xdr:cNvSpPr/>
        </xdr:nvSpPr>
        <xdr:spPr>
          <a:xfrm>
            <a:off x="285750" y="3952875"/>
            <a:ext cx="895350" cy="1000125"/>
          </a:xfrm>
          <a:prstGeom prst="rect">
            <a:avLst/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384A71D-7341-4CF2-9F72-B2055E273966}" type="TxLink">
              <a:rPr lang="en-US" altLang="en-US" sz="1600" b="0" i="0" u="none" strike="noStrike">
                <a:solidFill>
                  <a:schemeClr val="accent3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</a:fld>
            <a:endParaRPr lang="en-US" altLang="en-US" sz="1600" b="0" i="0" u="none" strike="noStrike">
              <a:solidFill>
                <a:schemeClr val="accent3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6" name="文本框 5"/>
          <xdr:cNvSpPr txBox="1"/>
        </xdr:nvSpPr>
        <xdr:spPr>
          <a:xfrm rot="2399724">
            <a:off x="723838" y="3966467"/>
            <a:ext cx="687416" cy="251694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0">
                <a:solidFill>
                  <a:schemeClr val="accent3"/>
                </a:solidFill>
              </a:rPr>
              <a:t>一季度</a:t>
            </a:r>
            <a:endParaRPr lang="zh-CN" altLang="en-US" sz="1200" b="0">
              <a:solidFill>
                <a:schemeClr val="accent3"/>
              </a:solidFill>
            </a:endParaRPr>
          </a:p>
        </xdr:txBody>
      </xdr:sp>
    </xdr:grpSp>
    <xdr:clientData/>
  </xdr:twoCellAnchor>
  <xdr:twoCellAnchor>
    <xdr:from>
      <xdr:col>2</xdr:col>
      <xdr:colOff>238125</xdr:colOff>
      <xdr:row>16</xdr:row>
      <xdr:rowOff>219075</xdr:rowOff>
    </xdr:from>
    <xdr:to>
      <xdr:col>3</xdr:col>
      <xdr:colOff>430179</xdr:colOff>
      <xdr:row>21</xdr:row>
      <xdr:rowOff>76200</xdr:rowOff>
    </xdr:to>
    <xdr:grpSp>
      <xdr:nvGrpSpPr>
        <xdr:cNvPr id="7" name="组合 6"/>
        <xdr:cNvGrpSpPr/>
      </xdr:nvGrpSpPr>
      <xdr:grpSpPr>
        <a:xfrm>
          <a:off x="2143125" y="3588385"/>
          <a:ext cx="1125220" cy="1000125"/>
          <a:chOff x="285750" y="3952875"/>
          <a:chExt cx="1125504" cy="1000125"/>
        </a:xfrm>
      </xdr:grpSpPr>
      <xdr:sp textlink="$C$21">
        <xdr:nvSpPr>
          <xdr:cNvPr id="8" name="矩形 7"/>
          <xdr:cNvSpPr/>
        </xdr:nvSpPr>
        <xdr:spPr>
          <a:xfrm>
            <a:off x="285750" y="3952875"/>
            <a:ext cx="895350" cy="1000125"/>
          </a:xfrm>
          <a:prstGeom prst="rect">
            <a:avLst/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65E259C-F313-4778-A6D5-E490E4EC0E41}" type="TxLink">
              <a:rPr lang="en-US" altLang="en-US" sz="1600" b="0" i="0" u="none" strike="noStrike">
                <a:solidFill>
                  <a:schemeClr val="accent3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</a:fld>
            <a:endParaRPr lang="en-US" altLang="en-US" sz="1600" b="0" i="0" u="none" strike="noStrike">
              <a:solidFill>
                <a:schemeClr val="accent3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9" name="文本框 8"/>
          <xdr:cNvSpPr txBox="1"/>
        </xdr:nvSpPr>
        <xdr:spPr>
          <a:xfrm rot="2399724">
            <a:off x="723838" y="3966467"/>
            <a:ext cx="687416" cy="251694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0">
                <a:solidFill>
                  <a:schemeClr val="accent3"/>
                </a:solidFill>
              </a:rPr>
              <a:t>二季度</a:t>
            </a:r>
            <a:endParaRPr lang="zh-CN" altLang="en-US" sz="1200" b="0">
              <a:solidFill>
                <a:schemeClr val="accent3"/>
              </a:solidFill>
            </a:endParaRPr>
          </a:p>
        </xdr:txBody>
      </xdr:sp>
    </xdr:grpSp>
    <xdr:clientData/>
  </xdr:twoCellAnchor>
  <xdr:twoCellAnchor>
    <xdr:from>
      <xdr:col>4</xdr:col>
      <xdr:colOff>361950</xdr:colOff>
      <xdr:row>16</xdr:row>
      <xdr:rowOff>190500</xdr:rowOff>
    </xdr:from>
    <xdr:to>
      <xdr:col>6</xdr:col>
      <xdr:colOff>20604</xdr:colOff>
      <xdr:row>21</xdr:row>
      <xdr:rowOff>47625</xdr:rowOff>
    </xdr:to>
    <xdr:grpSp>
      <xdr:nvGrpSpPr>
        <xdr:cNvPr id="10" name="组合 9"/>
        <xdr:cNvGrpSpPr/>
      </xdr:nvGrpSpPr>
      <xdr:grpSpPr>
        <a:xfrm>
          <a:off x="4067175" y="3559810"/>
          <a:ext cx="1125220" cy="1000125"/>
          <a:chOff x="285750" y="3952875"/>
          <a:chExt cx="1125504" cy="1000125"/>
        </a:xfrm>
      </xdr:grpSpPr>
      <xdr:sp textlink="$E$21">
        <xdr:nvSpPr>
          <xdr:cNvPr id="11" name="矩形 10"/>
          <xdr:cNvSpPr/>
        </xdr:nvSpPr>
        <xdr:spPr>
          <a:xfrm>
            <a:off x="285750" y="3952875"/>
            <a:ext cx="895350" cy="1000125"/>
          </a:xfrm>
          <a:prstGeom prst="rect">
            <a:avLst/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0B1EA95-8A8C-4EC8-8CBB-93F63BCA8518}" type="TxLink">
              <a:rPr lang="en-US" altLang="en-US" sz="1600" b="0" i="0" u="none" strike="noStrike">
                <a:solidFill>
                  <a:schemeClr val="accent3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</a:fld>
            <a:endParaRPr lang="en-US" altLang="en-US" sz="1600" b="0" i="0" u="none" strike="noStrike">
              <a:solidFill>
                <a:schemeClr val="accent3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2" name="文本框 11"/>
          <xdr:cNvSpPr txBox="1"/>
        </xdr:nvSpPr>
        <xdr:spPr>
          <a:xfrm rot="2399724">
            <a:off x="723838" y="3966467"/>
            <a:ext cx="687416" cy="251694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0">
                <a:solidFill>
                  <a:schemeClr val="accent3"/>
                </a:solidFill>
              </a:rPr>
              <a:t>三季度</a:t>
            </a:r>
            <a:endParaRPr lang="zh-CN" altLang="en-US" sz="1200" b="0">
              <a:solidFill>
                <a:schemeClr val="accent3"/>
              </a:solidFill>
            </a:endParaRPr>
          </a:p>
        </xdr:txBody>
      </xdr:sp>
    </xdr:grpSp>
    <xdr:clientData/>
  </xdr:twoCellAnchor>
  <xdr:twoCellAnchor>
    <xdr:from>
      <xdr:col>7</xdr:col>
      <xdr:colOff>171450</xdr:colOff>
      <xdr:row>16</xdr:row>
      <xdr:rowOff>180975</xdr:rowOff>
    </xdr:from>
    <xdr:to>
      <xdr:col>8</xdr:col>
      <xdr:colOff>611154</xdr:colOff>
      <xdr:row>21</xdr:row>
      <xdr:rowOff>38100</xdr:rowOff>
    </xdr:to>
    <xdr:grpSp>
      <xdr:nvGrpSpPr>
        <xdr:cNvPr id="13" name="组合 12"/>
        <xdr:cNvGrpSpPr/>
      </xdr:nvGrpSpPr>
      <xdr:grpSpPr>
        <a:xfrm>
          <a:off x="6057900" y="3550285"/>
          <a:ext cx="1125220" cy="1000125"/>
          <a:chOff x="285750" y="3952875"/>
          <a:chExt cx="1125504" cy="1000125"/>
        </a:xfrm>
      </xdr:grpSpPr>
      <xdr:sp textlink="$G$21">
        <xdr:nvSpPr>
          <xdr:cNvPr id="14" name="矩形 13"/>
          <xdr:cNvSpPr/>
        </xdr:nvSpPr>
        <xdr:spPr>
          <a:xfrm>
            <a:off x="285750" y="3952875"/>
            <a:ext cx="895350" cy="1000125"/>
          </a:xfrm>
          <a:prstGeom prst="rect">
            <a:avLst/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C1C699B-C270-430F-999A-20A4909EF5E0}" type="TxLink">
              <a:rPr lang="en-US" altLang="en-US" sz="1600" b="0" i="0" u="none" strike="noStrike">
                <a:solidFill>
                  <a:schemeClr val="accent3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</a:fld>
            <a:endParaRPr lang="en-US" altLang="en-US" sz="1600" b="0" i="0" u="none" strike="noStrike">
              <a:solidFill>
                <a:schemeClr val="accent3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5" name="文本框 14"/>
          <xdr:cNvSpPr txBox="1"/>
        </xdr:nvSpPr>
        <xdr:spPr>
          <a:xfrm rot="2399724">
            <a:off x="723838" y="3966467"/>
            <a:ext cx="687416" cy="251694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200" b="0">
                <a:solidFill>
                  <a:schemeClr val="accent3"/>
                </a:solidFill>
              </a:rPr>
              <a:t>四季度</a:t>
            </a:r>
            <a:endParaRPr lang="zh-CN" altLang="en-US" sz="1200" b="0">
              <a:solidFill>
                <a:schemeClr val="accent3"/>
              </a:solidFill>
            </a:endParaRPr>
          </a:p>
        </xdr:txBody>
      </xdr:sp>
    </xdr:grpSp>
    <xdr:clientData/>
  </xdr:twoCellAnchor>
  <xdr:twoCellAnchor>
    <xdr:from>
      <xdr:col>9</xdr:col>
      <xdr:colOff>0</xdr:colOff>
      <xdr:row>16</xdr:row>
      <xdr:rowOff>28575</xdr:rowOff>
    </xdr:from>
    <xdr:to>
      <xdr:col>13</xdr:col>
      <xdr:colOff>619125</xdr:colOff>
      <xdr:row>28</xdr:row>
      <xdr:rowOff>28575</xdr:rowOff>
    </xdr:to>
    <xdr:graphicFrame>
      <xdr:nvGraphicFramePr>
        <xdr:cNvPr id="18" name="图表 17"/>
        <xdr:cNvGraphicFramePr/>
      </xdr:nvGraphicFramePr>
      <xdr:xfrm>
        <a:off x="7258050" y="3397885"/>
        <a:ext cx="3362325" cy="2656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790575</xdr:colOff>
      <xdr:row>24</xdr:row>
      <xdr:rowOff>171450</xdr:rowOff>
    </xdr:from>
    <xdr:to>
      <xdr:col>4</xdr:col>
      <xdr:colOff>742950</xdr:colOff>
      <xdr:row>27</xdr:row>
      <xdr:rowOff>105352</xdr:rowOff>
    </xdr:to>
    <xdr:grpSp>
      <xdr:nvGrpSpPr>
        <xdr:cNvPr id="19" name="组合 18"/>
        <xdr:cNvGrpSpPr/>
      </xdr:nvGrpSpPr>
      <xdr:grpSpPr>
        <a:xfrm>
          <a:off x="2695575" y="5282565"/>
          <a:ext cx="1752600" cy="619125"/>
          <a:chOff x="2867025" y="5276850"/>
          <a:chExt cx="1752600" cy="619702"/>
        </a:xfrm>
      </xdr:grpSpPr>
      <xdr:sp textlink="$D$25">
        <xdr:nvSpPr>
          <xdr:cNvPr id="16" name="流程图: 终止 15"/>
          <xdr:cNvSpPr/>
        </xdr:nvSpPr>
        <xdr:spPr>
          <a:xfrm>
            <a:off x="2867025" y="5305425"/>
            <a:ext cx="1752600" cy="591127"/>
          </a:xfrm>
          <a:prstGeom prst="flowChartTerminator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EB0C05F6-36C1-49D9-8E78-B33C66E7EC4C}" type="TxLink">
              <a:rPr lang="en-US" altLang="en-US" sz="1600" b="0" i="0" u="none" strike="noStrike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</a:rPr>
            </a:fld>
            <a:endParaRPr lang="en-US" altLang="en-US" sz="1600" b="0" i="0" u="none" strike="noStrike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7" name="文本框 16"/>
          <xdr:cNvSpPr txBox="1"/>
        </xdr:nvSpPr>
        <xdr:spPr>
          <a:xfrm>
            <a:off x="3015305" y="5276850"/>
            <a:ext cx="713603" cy="6096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60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</a:rPr>
              <a:t>共计：</a:t>
            </a:r>
            <a:endParaRPr lang="zh-CN" altLang="en-US" sz="16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tabSelected="1" workbookViewId="0">
      <selection activeCell="Q21" sqref="Q21"/>
    </sheetView>
  </sheetViews>
  <sheetFormatPr defaultColWidth="9" defaultRowHeight="18" customHeight="1"/>
  <cols>
    <col min="1" max="1" width="12" style="1" customWidth="1"/>
    <col min="2" max="2" width="13" style="1" customWidth="1"/>
    <col min="3" max="3" width="12.25" style="1" customWidth="1"/>
    <col min="4" max="4" width="11.375" style="1" customWidth="1"/>
    <col min="5" max="5" width="10.125" style="1" customWidth="1"/>
    <col min="6" max="6" width="9.125" style="1" customWidth="1"/>
    <col min="7" max="7" width="9.375" style="1" customWidth="1"/>
    <col min="8" max="16384" width="9" style="1"/>
  </cols>
  <sheetData>
    <row r="1" ht="21.95" customHeight="1" spans="1:5">
      <c r="A1" s="2" t="s">
        <v>0</v>
      </c>
      <c r="B1" s="2"/>
      <c r="C1" s="2"/>
      <c r="D1" s="2"/>
      <c r="E1" s="2"/>
    </row>
    <row r="2" customHeight="1" spans="1:5">
      <c r="A2" s="1" t="s">
        <v>1</v>
      </c>
      <c r="B2" s="3" t="s">
        <v>2</v>
      </c>
      <c r="C2" s="3"/>
      <c r="E2" s="1" t="s">
        <v>3</v>
      </c>
    </row>
    <row r="3" customHeight="1" spans="1: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</row>
    <row r="4" ht="15.95" customHeight="1" spans="1:5">
      <c r="A4" s="5" t="s">
        <v>9</v>
      </c>
      <c r="B4" s="5">
        <v>46000</v>
      </c>
      <c r="C4" s="5">
        <v>45000</v>
      </c>
      <c r="D4" s="6">
        <f>(C4-B4)/B4</f>
        <v>-0.0217391304347826</v>
      </c>
      <c r="E4" s="5">
        <f>C4-B4</f>
        <v>-1000</v>
      </c>
    </row>
    <row r="5" ht="15.95" customHeight="1" spans="1:5">
      <c r="A5" s="7" t="s">
        <v>10</v>
      </c>
      <c r="B5" s="7">
        <v>21000</v>
      </c>
      <c r="C5" s="7">
        <v>26000</v>
      </c>
      <c r="D5" s="8">
        <f t="shared" ref="D5:D16" si="0">(C5-B5)/B5</f>
        <v>0.238095238095238</v>
      </c>
      <c r="E5" s="9">
        <f t="shared" ref="E5:E15" si="1">C5-B5</f>
        <v>5000</v>
      </c>
    </row>
    <row r="6" ht="15.95" customHeight="1" spans="1:5">
      <c r="A6" s="5" t="s">
        <v>11</v>
      </c>
      <c r="B6" s="5">
        <v>30000</v>
      </c>
      <c r="C6" s="5">
        <v>35000</v>
      </c>
      <c r="D6" s="6">
        <f t="shared" si="0"/>
        <v>0.166666666666667</v>
      </c>
      <c r="E6" s="5">
        <f t="shared" si="1"/>
        <v>5000</v>
      </c>
    </row>
    <row r="7" ht="15.95" customHeight="1" spans="1:5">
      <c r="A7" s="7" t="s">
        <v>12</v>
      </c>
      <c r="B7" s="7">
        <v>30000</v>
      </c>
      <c r="C7" s="7">
        <v>26000</v>
      </c>
      <c r="D7" s="8">
        <f t="shared" si="0"/>
        <v>-0.133333333333333</v>
      </c>
      <c r="E7" s="9">
        <f t="shared" si="1"/>
        <v>-4000</v>
      </c>
    </row>
    <row r="8" ht="15.95" customHeight="1" spans="1:5">
      <c r="A8" s="5" t="s">
        <v>13</v>
      </c>
      <c r="B8" s="5">
        <v>45000</v>
      </c>
      <c r="C8" s="5">
        <v>45000</v>
      </c>
      <c r="D8" s="6">
        <f t="shared" si="0"/>
        <v>0</v>
      </c>
      <c r="E8" s="5">
        <f t="shared" si="1"/>
        <v>0</v>
      </c>
    </row>
    <row r="9" ht="15.95" customHeight="1" spans="1:5">
      <c r="A9" s="7" t="s">
        <v>14</v>
      </c>
      <c r="B9" s="7">
        <v>37000</v>
      </c>
      <c r="C9" s="7">
        <v>35000</v>
      </c>
      <c r="D9" s="8">
        <f t="shared" si="0"/>
        <v>-0.0540540540540541</v>
      </c>
      <c r="E9" s="9">
        <f t="shared" si="1"/>
        <v>-2000</v>
      </c>
    </row>
    <row r="10" ht="15.95" customHeight="1" spans="1:5">
      <c r="A10" s="5" t="s">
        <v>15</v>
      </c>
      <c r="B10" s="5">
        <v>50000</v>
      </c>
      <c r="C10" s="5">
        <v>56000</v>
      </c>
      <c r="D10" s="6">
        <f t="shared" si="0"/>
        <v>0.12</v>
      </c>
      <c r="E10" s="5">
        <f t="shared" si="1"/>
        <v>6000</v>
      </c>
    </row>
    <row r="11" ht="15.95" customHeight="1" spans="1:5">
      <c r="A11" s="7" t="s">
        <v>16</v>
      </c>
      <c r="B11" s="7">
        <v>30000</v>
      </c>
      <c r="C11" s="7">
        <v>38000</v>
      </c>
      <c r="D11" s="8">
        <f t="shared" si="0"/>
        <v>0.266666666666667</v>
      </c>
      <c r="E11" s="9">
        <f t="shared" si="1"/>
        <v>8000</v>
      </c>
    </row>
    <row r="12" ht="15.95" customHeight="1" spans="1:5">
      <c r="A12" s="5" t="s">
        <v>17</v>
      </c>
      <c r="B12" s="5">
        <v>42000</v>
      </c>
      <c r="C12" s="5">
        <v>50000</v>
      </c>
      <c r="D12" s="6">
        <f t="shared" si="0"/>
        <v>0.19047619047619</v>
      </c>
      <c r="E12" s="5">
        <f t="shared" si="1"/>
        <v>8000</v>
      </c>
    </row>
    <row r="13" ht="15.95" customHeight="1" spans="1:5">
      <c r="A13" s="7" t="s">
        <v>18</v>
      </c>
      <c r="B13" s="7">
        <v>30000</v>
      </c>
      <c r="C13" s="7">
        <v>23000</v>
      </c>
      <c r="D13" s="8">
        <f t="shared" si="0"/>
        <v>-0.233333333333333</v>
      </c>
      <c r="E13" s="9">
        <f t="shared" si="1"/>
        <v>-7000</v>
      </c>
    </row>
    <row r="14" ht="15.95" customHeight="1" spans="1:5">
      <c r="A14" s="5" t="s">
        <v>19</v>
      </c>
      <c r="B14" s="5">
        <v>20000</v>
      </c>
      <c r="C14" s="5">
        <v>23000</v>
      </c>
      <c r="D14" s="6">
        <f t="shared" si="0"/>
        <v>0.15</v>
      </c>
      <c r="E14" s="5">
        <f t="shared" si="1"/>
        <v>3000</v>
      </c>
    </row>
    <row r="15" ht="15.95" customHeight="1" spans="1:5">
      <c r="A15" s="7" t="s">
        <v>20</v>
      </c>
      <c r="B15" s="7">
        <v>26000</v>
      </c>
      <c r="C15" s="7">
        <v>30000</v>
      </c>
      <c r="D15" s="8">
        <f t="shared" si="0"/>
        <v>0.153846153846154</v>
      </c>
      <c r="E15" s="9">
        <f t="shared" si="1"/>
        <v>4000</v>
      </c>
    </row>
    <row r="16" ht="15.95" customHeight="1" spans="1:5">
      <c r="A16" s="10" t="s">
        <v>21</v>
      </c>
      <c r="B16" s="10">
        <f>SUM(B4:B15)</f>
        <v>407000</v>
      </c>
      <c r="C16" s="10">
        <f>SUM(C4:C15)</f>
        <v>432000</v>
      </c>
      <c r="D16" s="11">
        <f t="shared" si="0"/>
        <v>0.0614250614250614</v>
      </c>
      <c r="E16" s="10">
        <f>SUM(E4:E15)</f>
        <v>25000</v>
      </c>
    </row>
    <row r="17" customHeight="1" spans="1:9">
      <c r="A17" s="12"/>
      <c r="B17" s="12"/>
      <c r="C17" s="12"/>
      <c r="D17" s="12"/>
      <c r="E17" s="12"/>
      <c r="F17" s="12"/>
      <c r="G17" s="12"/>
      <c r="H17" s="12"/>
      <c r="I17" s="12"/>
    </row>
    <row r="18" customHeight="1" spans="1:9">
      <c r="A18" s="12"/>
      <c r="B18" s="12"/>
      <c r="C18" s="12"/>
      <c r="D18" s="12"/>
      <c r="E18" s="12"/>
      <c r="F18" s="12"/>
      <c r="G18" s="12"/>
      <c r="H18" s="12"/>
      <c r="I18" s="12"/>
    </row>
    <row r="19" customHeight="1" spans="1:9">
      <c r="A19" s="12"/>
      <c r="B19" s="12"/>
      <c r="C19" s="12"/>
      <c r="D19" s="12"/>
      <c r="E19" s="12"/>
      <c r="F19" s="12"/>
      <c r="G19" s="12"/>
      <c r="H19" s="12"/>
      <c r="I19" s="12"/>
    </row>
    <row r="20" customHeight="1" spans="1:9">
      <c r="A20" s="12"/>
      <c r="B20" s="12"/>
      <c r="C20" s="12"/>
      <c r="D20" s="12"/>
      <c r="E20" s="12"/>
      <c r="F20" s="12"/>
      <c r="G20" s="12"/>
      <c r="H20" s="12"/>
      <c r="I20" s="12"/>
    </row>
    <row r="21" customHeight="1" spans="1:9">
      <c r="A21" s="13">
        <f>(SUM(C4:C6))/10000</f>
        <v>10.6</v>
      </c>
      <c r="B21" s="14"/>
      <c r="C21" s="13">
        <f>(SUM(C7:C9))/10000</f>
        <v>10.6</v>
      </c>
      <c r="D21" s="14"/>
      <c r="E21" s="13">
        <f>(SUM(C10:C12))/10000</f>
        <v>14.4</v>
      </c>
      <c r="F21" s="15"/>
      <c r="G21" s="13">
        <f>(SUM(C13:C15))/10000</f>
        <v>7.6</v>
      </c>
      <c r="H21" s="12"/>
      <c r="I21" s="12"/>
    </row>
    <row r="22" ht="15.95" customHeight="1" spans="1:9">
      <c r="A22" s="16"/>
      <c r="B22" s="16"/>
      <c r="C22" s="16"/>
      <c r="D22" s="16"/>
      <c r="E22" s="16"/>
      <c r="F22" s="16"/>
      <c r="G22" s="16"/>
      <c r="H22" s="16"/>
      <c r="I22" s="16"/>
    </row>
    <row r="23" ht="11.1" customHeight="1"/>
    <row r="24" ht="20.1" customHeight="1" spans="1:9">
      <c r="A24" s="17" t="s">
        <v>22</v>
      </c>
      <c r="B24" s="17"/>
      <c r="C24" s="17"/>
      <c r="D24" s="17"/>
      <c r="E24" s="17"/>
      <c r="F24" s="17"/>
      <c r="G24" s="17"/>
      <c r="H24" s="17"/>
      <c r="I24" s="17"/>
    </row>
    <row r="25" customHeight="1" spans="3:6">
      <c r="C25" s="18"/>
      <c r="D25" s="19">
        <f>(C16)/10000</f>
        <v>43.2</v>
      </c>
      <c r="E25" s="18"/>
      <c r="F25" s="18"/>
    </row>
    <row r="26" customHeight="1" spans="3:6">
      <c r="C26" s="18"/>
      <c r="D26" s="18"/>
      <c r="E26" s="18"/>
      <c r="F26" s="18"/>
    </row>
    <row r="27" customHeight="1" spans="3:6">
      <c r="C27" s="18"/>
      <c r="D27" s="18"/>
      <c r="E27" s="18"/>
      <c r="F27" s="18"/>
    </row>
    <row r="28" customHeight="1" spans="4:6">
      <c r="D28" s="18"/>
      <c r="E28" s="18"/>
      <c r="F28" s="18"/>
    </row>
  </sheetData>
  <mergeCells count="3">
    <mergeCell ref="A1:E1"/>
    <mergeCell ref="B2:C2"/>
    <mergeCell ref="A24:I24"/>
  </mergeCells>
  <pageMargins left="0.699305555555556" right="0.699305555555556" top="0.75" bottom="0.75" header="0.3" footer="0.3"/>
  <pageSetup paperSize="9" orientation="portrait"/>
  <headerFooter/>
  <ignoredErrors>
    <ignoredError sqref="D16" formula="1"/>
    <ignoredError sqref="G21 E21 C21 A2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Lico</dc:creator>
  <cp:lastModifiedBy>陈东捷</cp:lastModifiedBy>
  <dcterms:created xsi:type="dcterms:W3CDTF">2015-06-05T18:19:00Z</dcterms:created>
  <dcterms:modified xsi:type="dcterms:W3CDTF">2021-05-13T06:15:11Z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2052-11.1.0.10495</vt:lpwstr>
  </property>
  <property fmtid="{D5CDD505-2E9C-101B-9397-08002B2CF9AE}" pid="4" name="ICV">
    <vt:lpwstr>5632B3C97A6F424CA6FAD970D9B01FF4</vt:lpwstr>
  </property>
</Properties>
</file>