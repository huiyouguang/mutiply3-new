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<sst xmlns="http://schemas.openxmlformats.org/spreadsheetml/2006/main" count="25" uniqueCount="23">
  <si>
    <t>年度目标销售额、回款数据报表分析</t>
  </si>
  <si>
    <t>2020年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</si>
  <si>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</si>
  <si>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</si>
  <si>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</si>
  <si>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</si>
  <si>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</si>
  <si>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</si>
  <si>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</si>
  <si>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</si>
  <si>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</si>
  <si>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</si>
  <si>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</si>
  <si>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</si>
  <si>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总销售额</t>
  </si>
  <si>
    <t>销售目标</t>
  </si>
  <si>
    <t>销售完成率</t>
  </si>
  <si>
    <t>总回款额</t>
  </si>
  <si>
    <t>回款率</t>
  </si>
  <si>
    <t>年度总销售目标</t>
  </si>
  <si>
    <t>年度销售总额</t>
  </si>
  <si>
    <t>年度回款总额</t>
  </si>
  <si>
    <t>未收款额</t>
  </si>
</sst>
</file>

<file path=xl/styles.xml><?xml version="1.0" encoding="utf-8"?>
<styleSheet xmlns="http://schemas.openxmlformats.org/spreadsheetml/2006/main">
  <numFmts count="6">
    <numFmt numFmtId="176" formatCode="0.0%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7" formatCode="&quot;￥&quot;#,##0.00;&quot;￥&quot;\-#,##0.00"/>
  </numFmts>
  <fonts count="32">
    <font>
      <sz val="11"/>
      <color theme="1"/>
      <name val="宋体"/>
      <charset val="134"/>
      <scheme val="minor"/>
    </font>
    <font>
      <b/>
      <sz val="24"/>
      <color rgb="FF2B92F5"/>
      <name val="微软雅黑"/>
      <charset val="134"/>
    </font>
    <font>
      <b/>
      <sz val="20"/>
      <color rgb="FFFFC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2"/>
      <color theme="0"/>
      <name val="微软雅黑"/>
      <charset val="134"/>
    </font>
    <font>
      <sz val="12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4"/>
      <color rgb="FF00B0F0"/>
      <name val="宋体"/>
      <charset val="134"/>
      <scheme val="minor"/>
    </font>
    <font>
      <b/>
      <sz val="14"/>
      <color rgb="FF92D050"/>
      <name val="宋体"/>
      <charset val="134"/>
      <scheme val="minor"/>
    </font>
    <font>
      <b/>
      <sz val="14"/>
      <color rgb="FFFF6B6B"/>
      <name val="宋体"/>
      <charset val="134"/>
      <scheme val="minor"/>
    </font>
    <font>
      <b/>
      <sz val="14"/>
      <color rgb="FF406BD6"/>
      <name val="宋体"/>
      <charset val="134"/>
      <scheme val="minor"/>
    </font>
    <font>
      <b/>
      <sz val="14"/>
      <color rgb="FFFFC0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91A2C"/>
        <bgColor indexed="64"/>
      </patternFill>
    </fill>
    <fill>
      <patternFill patternType="solid">
        <fgColor rgb="FF292B4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06B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rgb="FF191A2C"/>
      </left>
      <right style="medium">
        <color rgb="FF191A2C"/>
      </right>
      <top style="medium">
        <color rgb="FF191A2C"/>
      </top>
      <bottom style="medium">
        <color rgb="FF191A2C"/>
      </bottom>
      <diagonal/>
    </border>
    <border>
      <left style="medium">
        <color rgb="FF242541"/>
      </left>
      <right style="medium">
        <color rgb="FF242541"/>
      </right>
      <top style="medium">
        <color rgb="FF242541"/>
      </top>
      <bottom style="medium">
        <color rgb="FF242541"/>
      </bottom>
      <diagonal/>
    </border>
    <border>
      <left style="medium">
        <color rgb="FF191A2C"/>
      </left>
      <right style="medium">
        <color rgb="FF191A2C"/>
      </right>
      <top/>
      <bottom style="medium">
        <color rgb="FF191A2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8" fillId="2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3" borderId="10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24" borderId="8" applyNumberFormat="0" applyAlignment="0" applyProtection="0">
      <alignment vertical="center"/>
    </xf>
    <xf numFmtId="0" fontId="29" fillId="24" borderId="9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7" fontId="8" fillId="2" borderId="2" xfId="0" applyNumberFormat="1" applyFont="1" applyFill="1" applyBorder="1" applyAlignment="1">
      <alignment horizontal="center" vertical="center"/>
    </xf>
    <xf numFmtId="7" fontId="9" fillId="2" borderId="2" xfId="0" applyNumberFormat="1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7" fontId="11" fillId="2" borderId="2" xfId="0" applyNumberFormat="1" applyFont="1" applyFill="1" applyBorder="1" applyAlignment="1">
      <alignment horizontal="center" vertical="center"/>
    </xf>
    <xf numFmtId="7" fontId="1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65911"/>
      <color rgb="0092D050"/>
      <color rgb="00FF6B6B"/>
      <color rgb="00FFC000"/>
      <color rgb="00406BD6"/>
      <color rgb="0000B0F0"/>
      <color rgb="002B92F5"/>
      <color rgb="00191A2C"/>
      <color rgb="00313359"/>
      <color rgb="00292B4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altLang="en-US">
                <a:solidFill>
                  <a:schemeClr val="bg1"/>
                </a:solidFill>
              </a:rPr>
              <a:t>销售数据分析</a:t>
            </a:r>
            <a:endParaRPr alt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864857947274"/>
          <c:y val="0.177099236641221"/>
          <c:w val="0.793294087535193"/>
          <c:h val="0.53691603053435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Sheet1!$B$6</c:f>
              <c:strCache>
                <c:ptCount val="1"/>
                <c:pt idx="0">
                  <c:v>销售目标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General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7"/>
        <c:overlap val="100"/>
        <c:axId val="347301630"/>
        <c:axId val="61471737"/>
      </c:barChart>
      <c:lineChart>
        <c:grouping val="standard"/>
        <c:varyColors val="0"/>
        <c:ser>
          <c:idx val="0"/>
          <c:order val="1"/>
          <c:tx>
            <c:strRef>
              <c:f>Sheet1!$B$5</c:f>
              <c:strCache>
                <c:ptCount val="1"/>
                <c:pt idx="0">
                  <c:v>总销售额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82512</c:v>
                </c:pt>
                <c:pt idx="1">
                  <c:v>75214</c:v>
                </c:pt>
                <c:pt idx="2">
                  <c:v>92142</c:v>
                </c:pt>
                <c:pt idx="3">
                  <c:v>70214</c:v>
                </c:pt>
                <c:pt idx="4">
                  <c:v>75012</c:v>
                </c:pt>
                <c:pt idx="5">
                  <c:v>90514</c:v>
                </c:pt>
                <c:pt idx="6">
                  <c:v>80154</c:v>
                </c:pt>
                <c:pt idx="7">
                  <c:v>110021</c:v>
                </c:pt>
                <c:pt idx="8">
                  <c:v>128500</c:v>
                </c:pt>
                <c:pt idx="9">
                  <c:v>95320</c:v>
                </c:pt>
                <c:pt idx="10">
                  <c:v>76054</c:v>
                </c:pt>
                <c:pt idx="11">
                  <c:v>80654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301630"/>
        <c:axId val="61471737"/>
      </c:lineChart>
      <c:lineChart>
        <c:grouping val="standard"/>
        <c:varyColors val="0"/>
        <c:ser>
          <c:idx val="2"/>
          <c:order val="2"/>
          <c:tx>
            <c:strRef>
              <c:f>Sheet1!$B$7</c:f>
              <c:strCache>
                <c:ptCount val="1"/>
                <c:pt idx="0">
                  <c:v>销售完成率</c:v>
                </c:pt>
              </c:strCache>
            </c:strRef>
          </c:tx>
          <c:spPr>
            <a:ln w="28575" cap="rnd">
              <a:solidFill>
                <a:srgbClr val="FF6B6B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Sheet1!$C$7:$N$7</c:f>
              <c:numCache>
                <c:formatCode>0.0%</c:formatCode>
                <c:ptCount val="12"/>
                <c:pt idx="0">
                  <c:v>0.82512</c:v>
                </c:pt>
                <c:pt idx="1">
                  <c:v>0.75214</c:v>
                </c:pt>
                <c:pt idx="2">
                  <c:v>0.92142</c:v>
                </c:pt>
                <c:pt idx="3">
                  <c:v>0.70214</c:v>
                </c:pt>
                <c:pt idx="4">
                  <c:v>0.75012</c:v>
                </c:pt>
                <c:pt idx="5">
                  <c:v>0.90514</c:v>
                </c:pt>
                <c:pt idx="6">
                  <c:v>0.80154</c:v>
                </c:pt>
                <c:pt idx="7">
                  <c:v>1.10021</c:v>
                </c:pt>
                <c:pt idx="8">
                  <c:v>1.285</c:v>
                </c:pt>
                <c:pt idx="9">
                  <c:v>0.9532</c:v>
                </c:pt>
                <c:pt idx="10">
                  <c:v>0.76054</c:v>
                </c:pt>
                <c:pt idx="11">
                  <c:v>0.80654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66624315"/>
        <c:axId val="315078624"/>
      </c:lineChart>
      <c:catAx>
        <c:axId val="3473016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1471737"/>
        <c:crosses val="autoZero"/>
        <c:auto val="1"/>
        <c:lblAlgn val="ctr"/>
        <c:lblOffset val="100"/>
        <c:noMultiLvlLbl val="0"/>
      </c:catAx>
      <c:valAx>
        <c:axId val="614717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47301630"/>
        <c:crosses val="autoZero"/>
        <c:crossBetween val="between"/>
      </c:valAx>
      <c:catAx>
        <c:axId val="36662431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15078624"/>
        <c:crosses val="autoZero"/>
        <c:auto val="1"/>
        <c:lblAlgn val="ctr"/>
        <c:lblOffset val="100"/>
        <c:noMultiLvlLbl val="0"/>
      </c:catAx>
      <c:valAx>
        <c:axId val="315078624"/>
        <c:scaling>
          <c:orientation val="minMax"/>
          <c:min val="-0.0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6662431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altLang="en-US">
                <a:solidFill>
                  <a:schemeClr val="bg1"/>
                </a:solidFill>
              </a:rPr>
              <a:t>回款数据分析</a:t>
            </a:r>
            <a:endParaRPr alt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864857947274"/>
          <c:y val="0.177099236641221"/>
          <c:w val="0.793294087535193"/>
          <c:h val="0.53691603053435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Sheet1!$B$5</c:f>
              <c:strCache>
                <c:ptCount val="1"/>
                <c:pt idx="0">
                  <c:v>总销售额</c:v>
                </c:pt>
              </c:strCache>
            </c:strRef>
          </c:tx>
          <c:spPr>
            <a:solidFill>
              <a:srgbClr val="92D050"/>
            </a:solidFill>
            <a:ln w="28575" cap="rnd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82512</c:v>
                </c:pt>
                <c:pt idx="1">
                  <c:v>75214</c:v>
                </c:pt>
                <c:pt idx="2">
                  <c:v>92142</c:v>
                </c:pt>
                <c:pt idx="3">
                  <c:v>70214</c:v>
                </c:pt>
                <c:pt idx="4">
                  <c:v>75012</c:v>
                </c:pt>
                <c:pt idx="5">
                  <c:v>90514</c:v>
                </c:pt>
                <c:pt idx="6">
                  <c:v>80154</c:v>
                </c:pt>
                <c:pt idx="7">
                  <c:v>110021</c:v>
                </c:pt>
                <c:pt idx="8">
                  <c:v>128500</c:v>
                </c:pt>
                <c:pt idx="9">
                  <c:v>95320</c:v>
                </c:pt>
                <c:pt idx="10">
                  <c:v>76054</c:v>
                </c:pt>
                <c:pt idx="11">
                  <c:v>80654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7"/>
        <c:overlap val="100"/>
        <c:axId val="347301630"/>
        <c:axId val="61471737"/>
      </c:barChart>
      <c:lineChart>
        <c:grouping val="standard"/>
        <c:varyColors val="0"/>
        <c:ser>
          <c:idx val="1"/>
          <c:order val="0"/>
          <c:tx>
            <c:strRef>
              <c:f>Sheet1!$B$8</c:f>
              <c:strCache>
                <c:ptCount val="1"/>
                <c:pt idx="0">
                  <c:v>总回款额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406BD6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Sheet1!$C$8:$N$8</c:f>
              <c:numCache>
                <c:formatCode>General</c:formatCode>
                <c:ptCount val="12"/>
                <c:pt idx="0">
                  <c:v>62512</c:v>
                </c:pt>
                <c:pt idx="1">
                  <c:v>25214</c:v>
                </c:pt>
                <c:pt idx="2">
                  <c:v>32142</c:v>
                </c:pt>
                <c:pt idx="3">
                  <c:v>30214</c:v>
                </c:pt>
                <c:pt idx="4">
                  <c:v>50120</c:v>
                </c:pt>
                <c:pt idx="5">
                  <c:v>51400</c:v>
                </c:pt>
                <c:pt idx="6">
                  <c:v>15400</c:v>
                </c:pt>
                <c:pt idx="7">
                  <c:v>32410</c:v>
                </c:pt>
                <c:pt idx="8">
                  <c:v>60410</c:v>
                </c:pt>
                <c:pt idx="9">
                  <c:v>93242</c:v>
                </c:pt>
                <c:pt idx="10">
                  <c:v>56054</c:v>
                </c:pt>
                <c:pt idx="11">
                  <c:v>60654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301630"/>
        <c:axId val="61471737"/>
      </c:lineChart>
      <c:lineChart>
        <c:grouping val="standard"/>
        <c:varyColors val="0"/>
        <c:ser>
          <c:idx val="2"/>
          <c:order val="2"/>
          <c:tx>
            <c:strRef>
              <c:f>Sheet1!$B$9</c:f>
              <c:strCache>
                <c:ptCount val="1"/>
                <c:pt idx="0">
                  <c:v>回款率</c:v>
                </c:pt>
              </c:strCache>
            </c:strRef>
          </c:tx>
          <c:spPr>
            <a:ln w="28575" cap="rnd">
              <a:solidFill>
                <a:srgbClr val="FF6B6B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Sheet1!$C$9:$N$9</c:f>
              <c:numCache>
                <c:formatCode>0.0%</c:formatCode>
                <c:ptCount val="12"/>
                <c:pt idx="0">
                  <c:v>0.757611014155517</c:v>
                </c:pt>
                <c:pt idx="1">
                  <c:v>0.335230143324381</c:v>
                </c:pt>
                <c:pt idx="2">
                  <c:v>0.348831151917692</c:v>
                </c:pt>
                <c:pt idx="3">
                  <c:v>0.430313042982881</c:v>
                </c:pt>
                <c:pt idx="4">
                  <c:v>0.66815976110489</c:v>
                </c:pt>
                <c:pt idx="5">
                  <c:v>0.567867954128643</c:v>
                </c:pt>
                <c:pt idx="6">
                  <c:v>0.192130149462285</c:v>
                </c:pt>
                <c:pt idx="7">
                  <c:v>0.294580125612383</c:v>
                </c:pt>
                <c:pt idx="8">
                  <c:v>0.47011673151751</c:v>
                </c:pt>
                <c:pt idx="9">
                  <c:v>0.978199748216534</c:v>
                </c:pt>
                <c:pt idx="10">
                  <c:v>0.737028953112262</c:v>
                </c:pt>
                <c:pt idx="11">
                  <c:v>0.752027177821311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66624315"/>
        <c:axId val="315078624"/>
      </c:lineChart>
      <c:catAx>
        <c:axId val="3473016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1471737"/>
        <c:crosses val="autoZero"/>
        <c:auto val="1"/>
        <c:lblAlgn val="ctr"/>
        <c:lblOffset val="100"/>
        <c:noMultiLvlLbl val="0"/>
      </c:catAx>
      <c:valAx>
        <c:axId val="614717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47301630"/>
        <c:crosses val="autoZero"/>
        <c:crossBetween val="between"/>
      </c:valAx>
      <c:catAx>
        <c:axId val="36662431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15078624"/>
        <c:crosses val="autoZero"/>
        <c:auto val="1"/>
        <c:lblAlgn val="ctr"/>
        <c:lblOffset val="100"/>
        <c:noMultiLvlLbl val="0"/>
      </c:catAx>
      <c:valAx>
        <c:axId val="31507862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6662431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13</xdr:row>
      <xdr:rowOff>193675</xdr:rowOff>
    </xdr:from>
    <xdr:to>
      <xdr:col>7</xdr:col>
      <xdr:colOff>216535</xdr:colOff>
      <xdr:row>21</xdr:row>
      <xdr:rowOff>710565</xdr:rowOff>
    </xdr:to>
    <xdr:graphicFrame>
      <xdr:nvGraphicFramePr>
        <xdr:cNvPr id="4" name="图表 3"/>
        <xdr:cNvGraphicFramePr/>
      </xdr:nvGraphicFramePr>
      <xdr:xfrm>
        <a:off x="180975" y="4664075"/>
        <a:ext cx="5763260" cy="268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13</xdr:row>
      <xdr:rowOff>193675</xdr:rowOff>
    </xdr:from>
    <xdr:to>
      <xdr:col>14</xdr:col>
      <xdr:colOff>6985</xdr:colOff>
      <xdr:row>21</xdr:row>
      <xdr:rowOff>709295</xdr:rowOff>
    </xdr:to>
    <xdr:graphicFrame>
      <xdr:nvGraphicFramePr>
        <xdr:cNvPr id="6" name="图表 5"/>
        <xdr:cNvGraphicFramePr/>
      </xdr:nvGraphicFramePr>
      <xdr:xfrm>
        <a:off x="6108700" y="4664075"/>
        <a:ext cx="5764530" cy="268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showGridLines="0" tabSelected="1" workbookViewId="0">
      <selection activeCell="R9" sqref="R9"/>
    </sheetView>
  </sheetViews>
  <sheetFormatPr defaultColWidth="9" defaultRowHeight="13.5"/>
  <cols>
    <col min="1" max="1" width="2.375" style="1" customWidth="1"/>
    <col min="2" max="2" width="15.25" style="1" customWidth="1"/>
    <col min="3" max="14" width="11.5083333333333" style="1" customWidth="1"/>
    <col min="15" max="15" width="2.375" style="1" customWidth="1"/>
    <col min="16" max="21" width="9" style="1"/>
  </cols>
  <sheetData>
    <row r="1" ht="12" customHeight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41" customHeight="1" spans="1:15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ht="12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4" customHeight="1" spans="1:15">
      <c r="A4" s="2">
        <v>1</v>
      </c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2"/>
    </row>
    <row r="5" ht="30" customHeight="1" spans="1:15">
      <c r="A5" s="2"/>
      <c r="B5" s="6" t="s">
        <v>14</v>
      </c>
      <c r="C5" s="7">
        <v>82512</v>
      </c>
      <c r="D5" s="7">
        <v>75214</v>
      </c>
      <c r="E5" s="7">
        <v>92142</v>
      </c>
      <c r="F5" s="7">
        <v>70214</v>
      </c>
      <c r="G5" s="7">
        <v>75012</v>
      </c>
      <c r="H5" s="7">
        <v>90514</v>
      </c>
      <c r="I5" s="7">
        <v>80154</v>
      </c>
      <c r="J5" s="7">
        <v>110021</v>
      </c>
      <c r="K5" s="7">
        <v>128500</v>
      </c>
      <c r="L5" s="7">
        <v>95320</v>
      </c>
      <c r="M5" s="7">
        <v>76054</v>
      </c>
      <c r="N5" s="7">
        <v>80654</v>
      </c>
      <c r="O5" s="2"/>
    </row>
    <row r="6" ht="30" customHeight="1" spans="1:15">
      <c r="A6" s="2"/>
      <c r="B6" s="6" t="s">
        <v>15</v>
      </c>
      <c r="C6" s="7">
        <v>100000</v>
      </c>
      <c r="D6" s="7">
        <v>100000</v>
      </c>
      <c r="E6" s="7">
        <v>100000</v>
      </c>
      <c r="F6" s="7">
        <v>100000</v>
      </c>
      <c r="G6" s="7">
        <v>100000</v>
      </c>
      <c r="H6" s="7">
        <v>100000</v>
      </c>
      <c r="I6" s="7">
        <v>100000</v>
      </c>
      <c r="J6" s="7">
        <v>100000</v>
      </c>
      <c r="K6" s="7">
        <v>100000</v>
      </c>
      <c r="L6" s="7">
        <v>100000</v>
      </c>
      <c r="M6" s="7">
        <v>100000</v>
      </c>
      <c r="N6" s="7">
        <v>100000</v>
      </c>
      <c r="O6" s="2"/>
    </row>
    <row r="7" ht="30" customHeight="1" spans="1:15">
      <c r="A7" s="2"/>
      <c r="B7" s="6" t="s">
        <v>16</v>
      </c>
      <c r="C7" s="8">
        <f>C5/C6</f>
        <v>0.82512</v>
      </c>
      <c r="D7" s="8">
        <f t="shared" ref="D7:N7" si="0">D5/D6</f>
        <v>0.75214</v>
      </c>
      <c r="E7" s="8">
        <f t="shared" si="0"/>
        <v>0.92142</v>
      </c>
      <c r="F7" s="8">
        <f t="shared" si="0"/>
        <v>0.70214</v>
      </c>
      <c r="G7" s="8">
        <f t="shared" si="0"/>
        <v>0.75012</v>
      </c>
      <c r="H7" s="8">
        <f t="shared" si="0"/>
        <v>0.90514</v>
      </c>
      <c r="I7" s="8">
        <f t="shared" si="0"/>
        <v>0.80154</v>
      </c>
      <c r="J7" s="8">
        <f t="shared" si="0"/>
        <v>1.10021</v>
      </c>
      <c r="K7" s="8">
        <f t="shared" si="0"/>
        <v>1.285</v>
      </c>
      <c r="L7" s="8">
        <f t="shared" si="0"/>
        <v>0.9532</v>
      </c>
      <c r="M7" s="8">
        <f t="shared" si="0"/>
        <v>0.76054</v>
      </c>
      <c r="N7" s="8">
        <f t="shared" si="0"/>
        <v>0.80654</v>
      </c>
      <c r="O7" s="2"/>
    </row>
    <row r="8" ht="30" customHeight="1" spans="1:15">
      <c r="A8" s="2"/>
      <c r="B8" s="6" t="s">
        <v>17</v>
      </c>
      <c r="C8" s="7">
        <v>62512</v>
      </c>
      <c r="D8" s="7">
        <v>25214</v>
      </c>
      <c r="E8" s="7">
        <v>32142</v>
      </c>
      <c r="F8" s="7">
        <v>30214</v>
      </c>
      <c r="G8" s="7">
        <v>50120</v>
      </c>
      <c r="H8" s="7">
        <v>51400</v>
      </c>
      <c r="I8" s="7">
        <v>15400</v>
      </c>
      <c r="J8" s="7">
        <v>32410</v>
      </c>
      <c r="K8" s="7">
        <v>60410</v>
      </c>
      <c r="L8" s="7">
        <v>93242</v>
      </c>
      <c r="M8" s="7">
        <v>56054</v>
      </c>
      <c r="N8" s="7">
        <v>60654</v>
      </c>
      <c r="O8" s="2"/>
    </row>
    <row r="9" ht="30" customHeight="1" spans="1:15">
      <c r="A9" s="2"/>
      <c r="B9" s="6" t="s">
        <v>18</v>
      </c>
      <c r="C9" s="8">
        <f>C8/C5</f>
        <v>0.757611014155517</v>
      </c>
      <c r="D9" s="8">
        <f t="shared" ref="D9:N9" si="1">D8/D5</f>
        <v>0.335230143324381</v>
      </c>
      <c r="E9" s="8">
        <f t="shared" si="1"/>
        <v>0.348831151917692</v>
      </c>
      <c r="F9" s="8">
        <f t="shared" si="1"/>
        <v>0.430313042982881</v>
      </c>
      <c r="G9" s="8">
        <f t="shared" si="1"/>
        <v>0.66815976110489</v>
      </c>
      <c r="H9" s="8">
        <f t="shared" si="1"/>
        <v>0.567867954128643</v>
      </c>
      <c r="I9" s="8">
        <f t="shared" si="1"/>
        <v>0.192130149462285</v>
      </c>
      <c r="J9" s="8">
        <f t="shared" si="1"/>
        <v>0.294580125612383</v>
      </c>
      <c r="K9" s="8">
        <f t="shared" si="1"/>
        <v>0.47011673151751</v>
      </c>
      <c r="L9" s="8">
        <f t="shared" si="1"/>
        <v>0.978199748216534</v>
      </c>
      <c r="M9" s="8">
        <f t="shared" si="1"/>
        <v>0.737028953112262</v>
      </c>
      <c r="N9" s="8">
        <f t="shared" si="1"/>
        <v>0.752027177821311</v>
      </c>
      <c r="O9" s="2"/>
    </row>
    <row r="10" ht="20" customHeight="1" spans="1:15">
      <c r="A10" s="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23" customHeight="1" spans="1:15">
      <c r="A11" s="2"/>
      <c r="B11" s="10"/>
      <c r="C11" s="10"/>
      <c r="D11" s="10"/>
      <c r="E11" s="11"/>
      <c r="F11" s="11"/>
      <c r="G11" s="12"/>
      <c r="H11" s="12"/>
      <c r="I11" s="18"/>
      <c r="J11" s="18"/>
      <c r="K11" s="12"/>
      <c r="L11" s="12"/>
      <c r="M11" s="19"/>
      <c r="N11" s="19"/>
      <c r="O11" s="9"/>
    </row>
    <row r="12" ht="30" customHeight="1" spans="1:15">
      <c r="A12" s="2"/>
      <c r="B12" s="13" t="s">
        <v>19</v>
      </c>
      <c r="C12" s="13"/>
      <c r="D12" s="13"/>
      <c r="E12" s="13" t="s">
        <v>20</v>
      </c>
      <c r="F12" s="13"/>
      <c r="G12" s="13" t="s">
        <v>16</v>
      </c>
      <c r="H12" s="13"/>
      <c r="I12" s="13" t="s">
        <v>21</v>
      </c>
      <c r="J12" s="13"/>
      <c r="K12" s="13" t="s">
        <v>18</v>
      </c>
      <c r="L12" s="13"/>
      <c r="M12" s="13" t="s">
        <v>22</v>
      </c>
      <c r="N12" s="13"/>
      <c r="O12" s="9"/>
    </row>
    <row r="13" ht="30" customHeight="1" spans="1:15">
      <c r="A13" s="2"/>
      <c r="B13" s="14">
        <f>SUM(C6:N6)</f>
        <v>1200000</v>
      </c>
      <c r="C13" s="14"/>
      <c r="D13" s="14"/>
      <c r="E13" s="15">
        <f>SUM(C5:N5)</f>
        <v>1056311</v>
      </c>
      <c r="F13" s="15"/>
      <c r="G13" s="16">
        <f>E13/B13</f>
        <v>0.880259166666667</v>
      </c>
      <c r="H13" s="16"/>
      <c r="I13" s="20">
        <f>SUM(C8:N8)</f>
        <v>569772</v>
      </c>
      <c r="J13" s="20"/>
      <c r="K13" s="16">
        <f>I13/E13</f>
        <v>0.539397961395839</v>
      </c>
      <c r="L13" s="16"/>
      <c r="M13" s="21">
        <f>E13-I13</f>
        <v>486539</v>
      </c>
      <c r="N13" s="21"/>
      <c r="O13" s="9"/>
    </row>
    <row r="14" ht="20" customHeight="1" spans="1:15">
      <c r="A14" s="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9"/>
    </row>
    <row r="15" ht="20" customHeight="1" spans="1:15">
      <c r="A15" s="2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20" customHeight="1" spans="1:15">
      <c r="A16" s="2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20" customHeight="1" spans="1:15">
      <c r="A17" s="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20" customHeight="1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20" customHeight="1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33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8" customHeight="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67" customHeight="1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20" customHeight="1"/>
  </sheetData>
  <mergeCells count="19">
    <mergeCell ref="B2:N2"/>
    <mergeCell ref="B11:D11"/>
    <mergeCell ref="E11:F11"/>
    <mergeCell ref="G11:H11"/>
    <mergeCell ref="I11:J11"/>
    <mergeCell ref="K11:L11"/>
    <mergeCell ref="M11:N11"/>
    <mergeCell ref="B12:D12"/>
    <mergeCell ref="E12:F12"/>
    <mergeCell ref="G12:H12"/>
    <mergeCell ref="I12:J12"/>
    <mergeCell ref="K12:L12"/>
    <mergeCell ref="M12:N12"/>
    <mergeCell ref="B13:D13"/>
    <mergeCell ref="E13:F13"/>
    <mergeCell ref="G13:H13"/>
    <mergeCell ref="I13:J13"/>
    <mergeCell ref="K13:L13"/>
    <mergeCell ref="M13:N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2020-11-10T08:53:00Z</dcterms:created>
  <dcterms:modified xsi:type="dcterms:W3CDTF">2021-05-13T06:15:27Z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71545E2EED1D4B1C813FA102C10223CF</vt:lpwstr>
  </property>
</Properties>
</file>