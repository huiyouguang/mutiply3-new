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统计" sheetId="2" r:id="rId1"/>
  </sheets>
  <calcPr calcId="144525"/>
</workbook>
</file>

<file path=xl/sharedStrings.xml><?xml version="1.0" encoding="utf-8"?>
<sst xmlns="http://schemas.openxmlformats.org/spreadsheetml/2006/main" count="25" uniqueCount="23">
  <si>
    <t>xxxx年度财务费用统计表</t>
  </si>
  <si>
    <t>收入</t>
  </si>
  <si>
    <t>支出</t>
  </si>
  <si>
    <t>利润</t>
  </si>
  <si>
    <t>1月份</t>
  </si>
  <si>
    <t>一季度</t>
  </si>
  <si>
    <t>2月份</t>
  </si>
  <si>
    <t>二季度</t>
  </si>
  <si>
    <t>3月份</t>
  </si>
  <si>
    <t>三季度</t>
  </si>
  <si>
    <t>4月份</t>
  </si>
  <si>
    <t>四季度</t>
  </si>
  <si>
    <t>5月份</t>
  </si>
  <si>
    <t>6月份</t>
  </si>
  <si>
    <t>上半年</t>
  </si>
  <si>
    <t>7月份</t>
  </si>
  <si>
    <t>8月份</t>
  </si>
  <si>
    <t>下半年</t>
  </si>
  <si>
    <t>9月份</t>
  </si>
  <si>
    <t>10月份</t>
  </si>
  <si>
    <t>11月份</t>
  </si>
  <si>
    <t>全年收入</t>
  </si>
  <si>
    <t>12月份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</si>
</sst>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5" tint="-0.499984740745262"/>
      <name val="微软雅黑"/>
      <charset val="134"/>
    </font>
    <font>
      <sz val="11"/>
      <color theme="0" tint="-0.05"/>
      <name val="微软雅黑"/>
      <charset val="134"/>
    </font>
    <font>
      <sz val="11"/>
      <color theme="1"/>
      <name val="Arial"/>
      <charset val="134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11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5" borderId="20" applyNumberFormat="0" applyFon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6" borderId="14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17" fillId="23" borderId="18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</xf>
    <xf numFmtId="0" fontId="4" fillId="5" borderId="9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vertical="center"/>
    </xf>
    <xf numFmtId="10" fontId="5" fillId="2" borderId="5" xfId="0" applyNumberFormat="1" applyFont="1" applyFill="1" applyBorder="1" applyAlignment="1" applyProtection="1">
      <alignment vertical="center"/>
    </xf>
    <xf numFmtId="10" fontId="5" fillId="2" borderId="6" xfId="0" applyNumberFormat="1" applyFont="1" applyFill="1" applyBorder="1" applyAlignment="1" applyProtection="1">
      <alignment vertical="center"/>
    </xf>
    <xf numFmtId="0" fontId="3" fillId="4" borderId="11" xfId="0" applyFont="1" applyFill="1" applyBorder="1" applyAlignment="1" applyProtection="1">
      <alignment horizontal="center" vertical="center"/>
    </xf>
    <xf numFmtId="0" fontId="4" fillId="5" borderId="12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</xf>
    <xf numFmtId="0" fontId="4" fillId="5" borderId="12" xfId="0" applyFont="1" applyFill="1" applyBorder="1" applyAlignment="1" applyProtection="1">
      <alignment horizontal="center" vertical="center"/>
    </xf>
    <xf numFmtId="0" fontId="4" fillId="5" borderId="13" xfId="0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5D1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>
                <a:solidFill>
                  <a:schemeClr val="accent2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</a:rPr>
              <a:t>▌ 月收支对比</a:t>
            </a:r>
            <a:endParaRPr lang="zh-CN" altLang="en-US" b="1">
              <a:solidFill>
                <a:schemeClr val="accent2">
                  <a:lumMod val="50000"/>
                </a:schemeClr>
              </a:solidFill>
              <a:latin typeface="幼圆" panose="02010509060101010101" charset="-122"/>
              <a:ea typeface="幼圆" panose="02010509060101010101" charset="-122"/>
            </a:endParaRPr>
          </a:p>
        </c:rich>
      </c:tx>
      <c:layout>
        <c:manualLayout>
          <c:xMode val="edge"/>
          <c:yMode val="edge"/>
          <c:x val="0.0450947130336443"/>
          <c:y val="0.05418719211822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16850438224484"/>
          <c:y val="0.226082447498055"/>
          <c:w val="0.878224484026011"/>
          <c:h val="0.553539019963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统计!$C$3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统计!$B$4:$B$15</c:f>
              <c:strCache>
                <c:ptCount val="12"/>
                <c:pt idx="0">
                  <c:v>1月份</c:v>
                </c:pt>
                <c:pt idx="1">
                  <c:v>2月份</c:v>
                </c:pt>
                <c:pt idx="2">
                  <c:v>3月份</c:v>
                </c:pt>
                <c:pt idx="3">
                  <c:v>4月份</c:v>
                </c:pt>
                <c:pt idx="4">
                  <c:v>5月份</c:v>
                </c:pt>
                <c:pt idx="5">
                  <c:v>6月份</c:v>
                </c:pt>
                <c:pt idx="6">
                  <c:v>7月份</c:v>
                </c:pt>
                <c:pt idx="7">
                  <c:v>8月份</c:v>
                </c:pt>
                <c:pt idx="8">
                  <c:v>9月份</c:v>
                </c:pt>
                <c:pt idx="9">
                  <c:v>10月份</c:v>
                </c:pt>
                <c:pt idx="10">
                  <c:v>11月份</c:v>
                </c:pt>
                <c:pt idx="11">
                  <c:v>12月份</c:v>
                </c:pt>
              </c:strCache>
            </c:strRef>
          </c:cat>
          <c:val>
            <c:numRef>
              <c:f>统计!$C$4:$C$15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1600</c:v>
                </c:pt>
                <c:pt idx="3">
                  <c:v>2000</c:v>
                </c:pt>
                <c:pt idx="4">
                  <c:v>2000</c:v>
                </c:pt>
                <c:pt idx="5">
                  <c:v>1300</c:v>
                </c:pt>
                <c:pt idx="6">
                  <c:v>1400</c:v>
                </c:pt>
                <c:pt idx="7">
                  <c:v>1200</c:v>
                </c:pt>
                <c:pt idx="8">
                  <c:v>2100</c:v>
                </c:pt>
                <c:pt idx="9">
                  <c:v>2000</c:v>
                </c:pt>
                <c:pt idx="10">
                  <c:v>1900</c:v>
                </c:pt>
                <c:pt idx="11">
                  <c:v>2200</c:v>
                </c:pt>
              </c:numCache>
            </c:numRef>
          </c:val>
        </c:ser>
        <c:ser>
          <c:idx val="1"/>
          <c:order val="1"/>
          <c:tx>
            <c:strRef>
              <c:f>统计!$D$3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统计!$B$4:$B$15</c:f>
              <c:strCache>
                <c:ptCount val="12"/>
                <c:pt idx="0">
                  <c:v>1月份</c:v>
                </c:pt>
                <c:pt idx="1">
                  <c:v>2月份</c:v>
                </c:pt>
                <c:pt idx="2">
                  <c:v>3月份</c:v>
                </c:pt>
                <c:pt idx="3">
                  <c:v>4月份</c:v>
                </c:pt>
                <c:pt idx="4">
                  <c:v>5月份</c:v>
                </c:pt>
                <c:pt idx="5">
                  <c:v>6月份</c:v>
                </c:pt>
                <c:pt idx="6">
                  <c:v>7月份</c:v>
                </c:pt>
                <c:pt idx="7">
                  <c:v>8月份</c:v>
                </c:pt>
                <c:pt idx="8">
                  <c:v>9月份</c:v>
                </c:pt>
                <c:pt idx="9">
                  <c:v>10月份</c:v>
                </c:pt>
                <c:pt idx="10">
                  <c:v>11月份</c:v>
                </c:pt>
                <c:pt idx="11">
                  <c:v>12月份</c:v>
                </c:pt>
              </c:strCache>
            </c:strRef>
          </c:cat>
          <c:val>
            <c:numRef>
              <c:f>统计!$D$4:$D$15</c:f>
              <c:numCache>
                <c:formatCode>General</c:formatCode>
                <c:ptCount val="12"/>
                <c:pt idx="0">
                  <c:v>400</c:v>
                </c:pt>
                <c:pt idx="1">
                  <c:v>600</c:v>
                </c:pt>
                <c:pt idx="2">
                  <c:v>800</c:v>
                </c:pt>
                <c:pt idx="3">
                  <c:v>1200</c:v>
                </c:pt>
                <c:pt idx="4">
                  <c:v>2100</c:v>
                </c:pt>
                <c:pt idx="5">
                  <c:v>800</c:v>
                </c:pt>
                <c:pt idx="6">
                  <c:v>500</c:v>
                </c:pt>
                <c:pt idx="7">
                  <c:v>900</c:v>
                </c:pt>
                <c:pt idx="8">
                  <c:v>700</c:v>
                </c:pt>
                <c:pt idx="9">
                  <c:v>1300</c:v>
                </c:pt>
                <c:pt idx="10">
                  <c:v>800</c:v>
                </c:pt>
                <c:pt idx="11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3"/>
        <c:overlap val="-18"/>
        <c:axId val="807173679"/>
        <c:axId val="790180256"/>
      </c:barChart>
      <c:catAx>
        <c:axId val="807173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180256"/>
        <c:crosses val="autoZero"/>
        <c:auto val="1"/>
        <c:lblAlgn val="ctr"/>
        <c:lblOffset val="100"/>
        <c:noMultiLvlLbl val="0"/>
      </c:catAx>
      <c:valAx>
        <c:axId val="79018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17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90952784845915"/>
          <c:y val="0.0648172154524242"/>
          <c:w val="0.169635284139101"/>
          <c:h val="0.08633653098262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127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defRPr>
            </a:pPr>
            <a:r>
              <a:rPr lang="zh-CN" altLang="en-US" b="1">
                <a:solidFill>
                  <a:schemeClr val="accent2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rPr>
              <a:t>▌ 季度收支利润图</a:t>
            </a:r>
            <a:endParaRPr lang="zh-CN" altLang="en-US" b="1">
              <a:solidFill>
                <a:schemeClr val="accent2">
                  <a:lumMod val="50000"/>
                </a:schemeClr>
              </a:solidFill>
              <a:latin typeface="幼圆" panose="02010509060101010101" charset="-122"/>
              <a:ea typeface="幼圆" panose="02010509060101010101" charset="-122"/>
              <a:cs typeface="幼圆" panose="02010509060101010101" charset="-122"/>
              <a:sym typeface="幼圆" panose="02010509060101010101" charset="-122"/>
            </a:endParaRPr>
          </a:p>
        </c:rich>
      </c:tx>
      <c:layout>
        <c:manualLayout>
          <c:xMode val="edge"/>
          <c:yMode val="edge"/>
          <c:x val="0.0444978953698136"/>
          <c:y val="0.0401034928848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146121467228"/>
          <c:y val="0.243208279430789"/>
          <c:w val="0.79591100420926"/>
          <c:h val="0.43244501940491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统计!$G$3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统计!$E$4:$E$7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统计!$G$4:$G$7</c:f>
              <c:numCache>
                <c:formatCode>General</c:formatCode>
                <c:ptCount val="4"/>
                <c:pt idx="0">
                  <c:v>1800</c:v>
                </c:pt>
                <c:pt idx="1">
                  <c:v>4100</c:v>
                </c:pt>
                <c:pt idx="2">
                  <c:v>2100</c:v>
                </c:pt>
                <c:pt idx="3">
                  <c:v>3600</c:v>
                </c:pt>
              </c:numCache>
            </c:numRef>
          </c:val>
        </c:ser>
        <c:ser>
          <c:idx val="0"/>
          <c:order val="1"/>
          <c:tx>
            <c:strRef>
              <c:f>统计!$F$3</c:f>
              <c:strCache>
                <c:ptCount val="1"/>
                <c:pt idx="0">
                  <c:v>收入</c:v>
                </c:pt>
              </c:strCache>
            </c:strRef>
          </c:tx>
          <c:spPr>
            <a:noFill/>
            <a:ln w="38100">
              <a:solidFill>
                <a:schemeClr val="accent5"/>
              </a:solidFill>
            </a:ln>
            <a:effectLst/>
          </c:spPr>
          <c:invertIfNegative val="0"/>
          <c:dLbls>
            <c:delete val="1"/>
          </c:dLbls>
          <c:cat>
            <c:strRef>
              <c:f>统计!$E$4:$E$7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统计!$F$4:$F$7</c:f>
              <c:numCache>
                <c:formatCode>General</c:formatCode>
                <c:ptCount val="4"/>
                <c:pt idx="0">
                  <c:v>4600</c:v>
                </c:pt>
                <c:pt idx="1">
                  <c:v>5300</c:v>
                </c:pt>
                <c:pt idx="2">
                  <c:v>4700</c:v>
                </c:pt>
                <c:pt idx="3">
                  <c:v>6100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100"/>
        <c:axId val="528005159"/>
        <c:axId val="111849193"/>
      </c:barChart>
      <c:lineChart>
        <c:grouping val="standard"/>
        <c:varyColors val="0"/>
        <c:ser>
          <c:idx val="2"/>
          <c:order val="2"/>
          <c:tx>
            <c:strRef>
              <c:f>统计!$H$3</c:f>
              <c:strCache>
                <c:ptCount val="1"/>
                <c:pt idx="0">
                  <c:v>利润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1"/>
            <c:spPr>
              <a:solidFill>
                <a:srgbClr val="00B0F0"/>
              </a:solidFill>
              <a:ln w="34925">
                <a:solidFill>
                  <a:schemeClr val="accent6">
                    <a:lumMod val="50000"/>
                    <a:alpha val="94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delete val="1"/>
          </c:dLbls>
          <c:cat>
            <c:strRef>
              <c:f>统计!$E$4:$E$7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统计!$H$4:$H$7</c:f>
              <c:numCache>
                <c:formatCode>General</c:formatCode>
                <c:ptCount val="4"/>
                <c:pt idx="0">
                  <c:v>2800</c:v>
                </c:pt>
                <c:pt idx="1">
                  <c:v>1200</c:v>
                </c:pt>
                <c:pt idx="2">
                  <c:v>2600</c:v>
                </c:pt>
                <c:pt idx="3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005159"/>
        <c:axId val="111849193"/>
      </c:lineChart>
      <c:catAx>
        <c:axId val="5280051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849193"/>
        <c:crosses val="autoZero"/>
        <c:auto val="1"/>
        <c:lblAlgn val="ctr"/>
        <c:lblOffset val="100"/>
        <c:noMultiLvlLbl val="0"/>
      </c:catAx>
      <c:valAx>
        <c:axId val="1118491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0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261274804570054"/>
          <c:y val="0.8843797856049"/>
          <c:w val="0.53337342152736"/>
          <c:h val="0.08499234303215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127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defRPr>
            </a:pPr>
            <a:r>
              <a:rPr lang="zh-CN" altLang="en-US" b="1">
                <a:solidFill>
                  <a:schemeClr val="accent2">
                    <a:lumMod val="50000"/>
                  </a:scheme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  <a:sym typeface="幼圆" panose="02010509060101010101" charset="-122"/>
              </a:rPr>
              <a:t>▌ 全年利润占比</a:t>
            </a:r>
            <a:endParaRPr lang="zh-CN" altLang="en-US" b="1">
              <a:solidFill>
                <a:schemeClr val="accent2">
                  <a:lumMod val="50000"/>
                </a:schemeClr>
              </a:solidFill>
              <a:latin typeface="幼圆" panose="02010509060101010101" charset="-122"/>
              <a:ea typeface="幼圆" panose="02010509060101010101" charset="-122"/>
              <a:cs typeface="幼圆" panose="02010509060101010101" charset="-122"/>
              <a:sym typeface="幼圆" panose="02010509060101010101" charset="-122"/>
            </a:endParaRPr>
          </a:p>
        </c:rich>
      </c:tx>
      <c:layout>
        <c:manualLayout>
          <c:xMode val="edge"/>
          <c:yMode val="edge"/>
          <c:x val="0.0425900799035127"/>
          <c:y val="0.10096463022508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03015226895824"/>
          <c:y val="0.0823151125401929"/>
          <c:w val="0.402532790592492"/>
          <c:h val="0.858520900321543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outerShdw blurRad="127000" sx="102000" sy="102000" algn="ctr" rotWithShape="0">
                  <a:prstClr val="black">
                    <a:alpha val="52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统计!$G$13:$H$13</c:f>
              <c:numCache>
                <c:formatCode>0.00%</c:formatCode>
                <c:ptCount val="2"/>
                <c:pt idx="0">
                  <c:v>0.439613526570048</c:v>
                </c:pt>
                <c:pt idx="1">
                  <c:v>0.560386473429952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统计!$G$15:$H$15</c:f>
              <c:numCache>
                <c:formatCode>General</c:formatCod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127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11430</xdr:colOff>
      <xdr:row>15</xdr:row>
      <xdr:rowOff>50165</xdr:rowOff>
    </xdr:from>
    <xdr:to>
      <xdr:col>14</xdr:col>
      <xdr:colOff>236855</xdr:colOff>
      <xdr:row>25</xdr:row>
      <xdr:rowOff>146050</xdr:rowOff>
    </xdr:to>
    <xdr:graphicFrame>
      <xdr:nvGraphicFramePr>
        <xdr:cNvPr id="2" name="图表 1"/>
        <xdr:cNvGraphicFramePr/>
      </xdr:nvGraphicFramePr>
      <xdr:xfrm>
        <a:off x="347345" y="4917440"/>
        <a:ext cx="11207750" cy="2502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93980</xdr:colOff>
      <xdr:row>1</xdr:row>
      <xdr:rowOff>1270</xdr:rowOff>
    </xdr:from>
    <xdr:to>
      <xdr:col>14</xdr:col>
      <xdr:colOff>216535</xdr:colOff>
      <xdr:row>8</xdr:row>
      <xdr:rowOff>74295</xdr:rowOff>
    </xdr:to>
    <xdr:graphicFrame>
      <xdr:nvGraphicFramePr>
        <xdr:cNvPr id="3" name="图表 2"/>
        <xdr:cNvGraphicFramePr/>
      </xdr:nvGraphicFramePr>
      <xdr:xfrm>
        <a:off x="7297420" y="241935"/>
        <a:ext cx="4237355" cy="2481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100965</xdr:colOff>
      <xdr:row>8</xdr:row>
      <xdr:rowOff>179705</xdr:rowOff>
    </xdr:from>
    <xdr:to>
      <xdr:col>14</xdr:col>
      <xdr:colOff>211455</xdr:colOff>
      <xdr:row>14</xdr:row>
      <xdr:rowOff>305435</xdr:rowOff>
    </xdr:to>
    <xdr:graphicFrame>
      <xdr:nvGraphicFramePr>
        <xdr:cNvPr id="4" name="图表 3"/>
        <xdr:cNvGraphicFramePr/>
      </xdr:nvGraphicFramePr>
      <xdr:xfrm>
        <a:off x="7304405" y="2828925"/>
        <a:ext cx="4225290" cy="202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210820</xdr:colOff>
      <xdr:row>10</xdr:row>
      <xdr:rowOff>278130</xdr:rowOff>
    </xdr:from>
    <xdr:to>
      <xdr:col>10</xdr:col>
      <xdr:colOff>457835</xdr:colOff>
      <xdr:row>13</xdr:row>
      <xdr:rowOff>233680</xdr:rowOff>
    </xdr:to>
    <xdr:sp textlink="$F$13">
      <xdr:nvSpPr>
        <xdr:cNvPr id="6" name="文本框 5"/>
        <xdr:cNvSpPr txBox="1"/>
      </xdr:nvSpPr>
      <xdr:spPr>
        <a:xfrm>
          <a:off x="7414260" y="3561080"/>
          <a:ext cx="1618615" cy="9061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>
          <a:noAutofit/>
        </a:bodyPr>
        <a:lstStyle/>
        <a:p>
          <a:pPr algn="ctr"/>
          <a:fld id="{F8A3B492-158B-4014-8CB2-979CA2A27A0A}" type="TxLink">
            <a:rPr lang="en-US" altLang="en-US" sz="2800" b="0" i="0" u="none" strike="noStrike">
              <a:solidFill>
                <a:schemeClr val="accent5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</a:fld>
          <a:endParaRPr lang="en-US" altLang="en-US" sz="2800" b="0" i="0" u="none" strike="noStrike">
            <a:solidFill>
              <a:schemeClr val="accent5">
                <a:lumMod val="75000"/>
              </a:schemeClr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showGridLines="0" tabSelected="1" zoomScale="85" zoomScaleNormal="85" workbookViewId="0">
      <selection activeCell="Q9" sqref="Q9"/>
    </sheetView>
  </sheetViews>
  <sheetFormatPr defaultColWidth="9" defaultRowHeight="18.95" customHeight="1"/>
  <cols>
    <col min="1" max="1" width="4.40833333333333" style="1" customWidth="1"/>
    <col min="2" max="8" width="12.875" style="1" customWidth="1"/>
    <col min="9" max="16382" width="9" style="1"/>
    <col min="16383" max="16384" width="9" style="2"/>
  </cols>
  <sheetData>
    <row r="1" customHeight="1" spans="1: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39.95" customHeight="1" spans="1:15">
      <c r="A2" s="3"/>
      <c r="B2" s="4" t="s">
        <v>0</v>
      </c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</row>
    <row r="3" ht="24.95" customHeight="1" spans="1:16">
      <c r="A3" s="3"/>
      <c r="B3" s="7"/>
      <c r="C3" s="8" t="s">
        <v>1</v>
      </c>
      <c r="D3" s="8" t="s">
        <v>2</v>
      </c>
      <c r="E3" s="9"/>
      <c r="F3" s="8" t="s">
        <v>1</v>
      </c>
      <c r="G3" s="8" t="s">
        <v>2</v>
      </c>
      <c r="H3" s="10" t="s">
        <v>3</v>
      </c>
      <c r="I3" s="3"/>
      <c r="J3" s="3"/>
      <c r="K3" s="3"/>
      <c r="L3" s="3"/>
      <c r="M3" s="3"/>
      <c r="N3" s="3"/>
      <c r="O3" s="3"/>
      <c r="P3" s="26"/>
    </row>
    <row r="4" ht="24.95" customHeight="1" spans="1:15">
      <c r="A4" s="3"/>
      <c r="B4" s="11" t="s">
        <v>4</v>
      </c>
      <c r="C4" s="12">
        <v>1000</v>
      </c>
      <c r="D4" s="12">
        <v>400</v>
      </c>
      <c r="E4" s="13" t="s">
        <v>5</v>
      </c>
      <c r="F4" s="14">
        <f>SUM(C4:C6)</f>
        <v>4600</v>
      </c>
      <c r="G4" s="14">
        <f>SUM(D4:D6)</f>
        <v>1800</v>
      </c>
      <c r="H4" s="15">
        <f>F4-G4</f>
        <v>2800</v>
      </c>
      <c r="I4" s="3"/>
      <c r="J4" s="3"/>
      <c r="K4" s="3"/>
      <c r="L4" s="3"/>
      <c r="M4" s="3"/>
      <c r="N4" s="3"/>
      <c r="O4" s="3"/>
    </row>
    <row r="5" ht="24.95" customHeight="1" spans="1:15">
      <c r="A5" s="3"/>
      <c r="B5" s="11" t="s">
        <v>6</v>
      </c>
      <c r="C5" s="12">
        <v>2000</v>
      </c>
      <c r="D5" s="12">
        <v>600</v>
      </c>
      <c r="E5" s="13" t="s">
        <v>7</v>
      </c>
      <c r="F5" s="14">
        <f>SUM(C7:C9)</f>
        <v>5300</v>
      </c>
      <c r="G5" s="14">
        <f>SUM(D7:D9)</f>
        <v>4100</v>
      </c>
      <c r="H5" s="15">
        <f>F5-G5</f>
        <v>1200</v>
      </c>
      <c r="I5" s="3"/>
      <c r="J5" s="3"/>
      <c r="K5" s="3"/>
      <c r="L5" s="3"/>
      <c r="M5" s="3"/>
      <c r="N5" s="3"/>
      <c r="O5" s="3"/>
    </row>
    <row r="6" ht="24.95" customHeight="1" spans="1:15">
      <c r="A6" s="3"/>
      <c r="B6" s="11" t="s">
        <v>8</v>
      </c>
      <c r="C6" s="12">
        <v>1600</v>
      </c>
      <c r="D6" s="12">
        <v>800</v>
      </c>
      <c r="E6" s="13" t="s">
        <v>9</v>
      </c>
      <c r="F6" s="14">
        <f>SUM(C10:C12)</f>
        <v>4700</v>
      </c>
      <c r="G6" s="14">
        <f>SUM(D10:D12)</f>
        <v>2100</v>
      </c>
      <c r="H6" s="15">
        <f>F6-G6</f>
        <v>2600</v>
      </c>
      <c r="I6" s="3"/>
      <c r="J6" s="3"/>
      <c r="K6" s="3"/>
      <c r="L6" s="3"/>
      <c r="M6" s="3"/>
      <c r="N6" s="3"/>
      <c r="O6" s="3"/>
    </row>
    <row r="7" ht="24.95" customHeight="1" spans="1:15">
      <c r="A7" s="3"/>
      <c r="B7" s="11" t="s">
        <v>10</v>
      </c>
      <c r="C7" s="12">
        <v>2000</v>
      </c>
      <c r="D7" s="12">
        <v>1200</v>
      </c>
      <c r="E7" s="13" t="s">
        <v>11</v>
      </c>
      <c r="F7" s="14">
        <f>SUM(C13:C15)</f>
        <v>6100</v>
      </c>
      <c r="G7" s="14">
        <f>SUM(D13:D15)</f>
        <v>3600</v>
      </c>
      <c r="H7" s="15">
        <f>F7-G7</f>
        <v>2500</v>
      </c>
      <c r="I7" s="3"/>
      <c r="J7" s="3"/>
      <c r="K7" s="3"/>
      <c r="L7" s="3"/>
      <c r="M7" s="3"/>
      <c r="N7" s="3"/>
      <c r="O7" s="3"/>
    </row>
    <row r="8" ht="24.95" customHeight="1" spans="1:15">
      <c r="A8" s="3"/>
      <c r="B8" s="11" t="s">
        <v>12</v>
      </c>
      <c r="C8" s="12">
        <v>2000</v>
      </c>
      <c r="D8" s="12">
        <v>2100</v>
      </c>
      <c r="E8" s="16"/>
      <c r="F8" s="16"/>
      <c r="G8" s="16"/>
      <c r="H8" s="17"/>
      <c r="I8" s="3"/>
      <c r="J8" s="3"/>
      <c r="K8" s="3"/>
      <c r="L8" s="3"/>
      <c r="M8" s="3"/>
      <c r="N8" s="3"/>
      <c r="O8" s="3"/>
    </row>
    <row r="9" ht="24.95" customHeight="1" spans="1:15">
      <c r="A9" s="3"/>
      <c r="B9" s="11" t="s">
        <v>13</v>
      </c>
      <c r="C9" s="12">
        <v>1300</v>
      </c>
      <c r="D9" s="12">
        <v>800</v>
      </c>
      <c r="E9" s="13" t="s">
        <v>14</v>
      </c>
      <c r="F9" s="14">
        <f>SUM(C4:C9)</f>
        <v>9900</v>
      </c>
      <c r="G9" s="14">
        <f>SUM(D4:D9)</f>
        <v>5900</v>
      </c>
      <c r="H9" s="15">
        <f>F9-G9</f>
        <v>4000</v>
      </c>
      <c r="I9" s="3"/>
      <c r="J9" s="3"/>
      <c r="K9" s="3"/>
      <c r="L9" s="3"/>
      <c r="M9" s="3"/>
      <c r="N9" s="3"/>
      <c r="O9" s="3"/>
    </row>
    <row r="10" ht="24.95" customHeight="1" spans="1:15">
      <c r="A10" s="3"/>
      <c r="B10" s="11" t="s">
        <v>15</v>
      </c>
      <c r="C10" s="12">
        <v>1400</v>
      </c>
      <c r="D10" s="12">
        <v>500</v>
      </c>
      <c r="E10" s="13"/>
      <c r="F10" s="14"/>
      <c r="G10" s="14"/>
      <c r="H10" s="15"/>
      <c r="I10" s="3"/>
      <c r="J10" s="3"/>
      <c r="K10" s="3"/>
      <c r="L10" s="3"/>
      <c r="M10" s="3"/>
      <c r="N10" s="3"/>
      <c r="O10" s="3"/>
    </row>
    <row r="11" ht="24.95" customHeight="1" spans="1:15">
      <c r="A11" s="3"/>
      <c r="B11" s="11" t="s">
        <v>16</v>
      </c>
      <c r="C11" s="12">
        <v>1200</v>
      </c>
      <c r="D11" s="12">
        <v>900</v>
      </c>
      <c r="E11" s="13" t="s">
        <v>17</v>
      </c>
      <c r="F11" s="14">
        <f>SUM(C10:C15)</f>
        <v>10800</v>
      </c>
      <c r="G11" s="14">
        <f>SUM(D10:D15)</f>
        <v>5700</v>
      </c>
      <c r="H11" s="15">
        <f>F11-G11</f>
        <v>5100</v>
      </c>
      <c r="I11" s="3"/>
      <c r="J11" s="3"/>
      <c r="K11" s="3"/>
      <c r="L11" s="3"/>
      <c r="M11" s="3"/>
      <c r="N11" s="3"/>
      <c r="O11" s="3"/>
    </row>
    <row r="12" ht="24.95" customHeight="1" spans="1:15">
      <c r="A12" s="3"/>
      <c r="B12" s="11" t="s">
        <v>18</v>
      </c>
      <c r="C12" s="12">
        <v>2100</v>
      </c>
      <c r="D12" s="12">
        <v>700</v>
      </c>
      <c r="E12" s="13"/>
      <c r="F12" s="14"/>
      <c r="G12" s="14"/>
      <c r="H12" s="15"/>
      <c r="I12" s="3"/>
      <c r="J12" s="3"/>
      <c r="K12" s="3"/>
      <c r="L12" s="3"/>
      <c r="M12" s="3"/>
      <c r="N12" s="3"/>
      <c r="O12" s="3"/>
    </row>
    <row r="13" ht="24.95" customHeight="1" spans="1:15">
      <c r="A13" s="3"/>
      <c r="B13" s="11" t="s">
        <v>19</v>
      </c>
      <c r="C13" s="12">
        <v>2000</v>
      </c>
      <c r="D13" s="12">
        <v>1300</v>
      </c>
      <c r="E13" s="18"/>
      <c r="F13" s="19">
        <f>H14/F14</f>
        <v>0.439613526570048</v>
      </c>
      <c r="G13" s="19">
        <f>IF($H$14&lt;0,0,$H$14/$F$14)</f>
        <v>0.439613526570048</v>
      </c>
      <c r="H13" s="20">
        <f>IF($G$13&lt;0,1,1-$G$13)</f>
        <v>0.560386473429952</v>
      </c>
      <c r="I13" s="3"/>
      <c r="J13" s="3"/>
      <c r="K13" s="3"/>
      <c r="L13" s="3"/>
      <c r="M13" s="3"/>
      <c r="N13" s="3"/>
      <c r="O13" s="3"/>
    </row>
    <row r="14" ht="24.95" customHeight="1" spans="1:15">
      <c r="A14" s="3"/>
      <c r="B14" s="11" t="s">
        <v>20</v>
      </c>
      <c r="C14" s="12">
        <v>1900</v>
      </c>
      <c r="D14" s="12">
        <v>800</v>
      </c>
      <c r="E14" s="13" t="s">
        <v>21</v>
      </c>
      <c r="F14" s="14">
        <f>SUM(C4:C15)</f>
        <v>20700</v>
      </c>
      <c r="G14" s="14">
        <f>SUM(D4:D15)</f>
        <v>11600</v>
      </c>
      <c r="H14" s="15">
        <f>F14-G14</f>
        <v>9100</v>
      </c>
      <c r="I14" s="3"/>
      <c r="J14" s="3"/>
      <c r="K14" s="3"/>
      <c r="L14" s="3"/>
      <c r="M14" s="3"/>
      <c r="N14" s="3"/>
      <c r="O14" s="3"/>
    </row>
    <row r="15" ht="24.95" customHeight="1" spans="1:15">
      <c r="A15" s="3"/>
      <c r="B15" s="21" t="s">
        <v>22</v>
      </c>
      <c r="C15" s="22">
        <v>2200</v>
      </c>
      <c r="D15" s="22">
        <v>1500</v>
      </c>
      <c r="E15" s="23"/>
      <c r="F15" s="24"/>
      <c r="G15" s="24"/>
      <c r="H15" s="25"/>
      <c r="I15" s="3"/>
      <c r="J15" s="3"/>
      <c r="K15" s="3"/>
      <c r="L15" s="3"/>
      <c r="M15" s="3"/>
      <c r="N15" s="3"/>
      <c r="O15" s="3"/>
    </row>
    <row r="16" customHeight="1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Height="1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Height="1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Height="1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Height="1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Height="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Height="1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Height="1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Height="1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Height="1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Height="1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Height="1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sheetProtection selectLockedCells="1" insertHyperlinks="0" autoFilter="0"/>
  <mergeCells count="14">
    <mergeCell ref="B2:H2"/>
    <mergeCell ref="E8:H8"/>
    <mergeCell ref="E9:E10"/>
    <mergeCell ref="E11:E12"/>
    <mergeCell ref="E14:E15"/>
    <mergeCell ref="F9:F10"/>
    <mergeCell ref="F11:F12"/>
    <mergeCell ref="F14:F15"/>
    <mergeCell ref="G9:G10"/>
    <mergeCell ref="G11:G12"/>
    <mergeCell ref="G14:G15"/>
    <mergeCell ref="H9:H10"/>
    <mergeCell ref="H11:H12"/>
    <mergeCell ref="H14:H15"/>
  </mergeCells>
  <pageMargins left="0.75" right="0.75" top="1" bottom="1" header="0.511805555555556" footer="0.511805555555556"/>
  <headerFooter/>
  <ignoredErrors>
    <ignoredError sqref="F4:G7 F9:G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陈东捷</cp:lastModifiedBy>
  <dcterms:created xsi:type="dcterms:W3CDTF">2017-12-20T10:54:00Z</dcterms:created>
  <dcterms:modified xsi:type="dcterms:W3CDTF">2021-05-13T06:13:22Z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DD68081BAA5D41688D5E2F7112AB4C8A</vt:lpwstr>
  </property>
</Properties>
</file>