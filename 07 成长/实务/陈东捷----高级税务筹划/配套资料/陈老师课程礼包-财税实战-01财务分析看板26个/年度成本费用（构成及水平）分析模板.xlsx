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<sst xmlns="http://schemas.openxmlformats.org/spreadsheetml/2006/main" count="24" uniqueCount="20">
  <si>
    <t xml:space="preserve">            财务管理工具——盈利能力分析工具</t>
  </si>
  <si>
    <r>
      <rPr>
        <b/>
        <sz val="20"/>
        <rFont val="微软雅黑"/>
        <charset val="134"/>
      </rPr>
      <t>***公司</t>
    </r>
    <r>
      <rPr>
        <b/>
        <u/>
        <sz val="20"/>
        <rFont val="微软雅黑"/>
        <charset val="134"/>
      </rPr>
      <t xml:space="preserve">             </t>
    </r>
    <r>
      <rPr>
        <b/>
        <sz val="20"/>
        <rFont val="微软雅黑"/>
        <charset val="134"/>
      </rPr>
      <t>年度成本费用（构成及水平）分析表</t>
    </r>
  </si>
  <si>
    <t>文档说明：                                                                                                                                                                                                                                                                                                                      1.本文档包括成本费用结构和水平两部分分析内容，帮助您了解您企业成本费用的构成以及与历史相比的水平，从中也可以看出企业各主要成本项目的变动趋势。
2.模板选取了过去两年与分析年对比，您也可以增加对比年份，比如进行五年对比。
3.模板已内嵌公式，您输入相应数据后可直接生成分析结果，非常方便实用。填制本表时，蓝色单元格内的信息需要您手工输入内容；橙色单元格内的信息自动生成，无需您手工输入。</t>
  </si>
  <si>
    <t>项目</t>
  </si>
  <si>
    <t>2018年（基期）</t>
  </si>
  <si>
    <t>2019年</t>
  </si>
  <si>
    <t>2020年</t>
  </si>
  <si>
    <t>金额(万元)</t>
  </si>
  <si>
    <t>占比</t>
  </si>
  <si>
    <t>金额（元）</t>
  </si>
  <si>
    <t>增减额</t>
  </si>
  <si>
    <t>增减幅度(%)</t>
  </si>
  <si>
    <t>金额（万元）</t>
  </si>
  <si>
    <t>营业成本</t>
  </si>
  <si>
    <t>税金及附加</t>
  </si>
  <si>
    <t>销售费用</t>
  </si>
  <si>
    <t>管理费用</t>
  </si>
  <si>
    <t>财务费用</t>
  </si>
  <si>
    <t>营业外支出</t>
  </si>
  <si>
    <t>成本费用合计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</si>
</sst>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7" formatCode="&quot;￥&quot;#,##0.00;&quot;￥&quot;\-#,##0.00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color theme="0"/>
      <name val="微软雅黑"/>
      <charset val="134"/>
    </font>
    <font>
      <b/>
      <sz val="20"/>
      <name val="微软雅黑"/>
      <charset val="134"/>
    </font>
    <font>
      <sz val="10"/>
      <color theme="1"/>
      <name val="微软雅黑"/>
      <charset val="134"/>
    </font>
    <font>
      <b/>
      <sz val="9"/>
      <color theme="0"/>
      <name val="微软雅黑"/>
      <charset val="134"/>
    </font>
    <font>
      <b/>
      <sz val="10"/>
      <color theme="0"/>
      <name val="微软雅黑"/>
      <charset val="134"/>
    </font>
    <font>
      <sz val="9"/>
      <color theme="0"/>
      <name val="微软雅黑"/>
      <charset val="134"/>
    </font>
    <font>
      <sz val="9"/>
      <name val="微软雅黑"/>
      <charset val="134"/>
    </font>
    <font>
      <sz val="9"/>
      <name val="微软雅黑"/>
      <charset val="0"/>
    </font>
    <font>
      <b/>
      <sz val="9"/>
      <name val="微软雅黑"/>
      <charset val="134"/>
    </font>
    <font>
      <b/>
      <sz val="9"/>
      <color theme="0"/>
      <name val="微软雅黑"/>
      <charset val="0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u/>
      <sz val="2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F797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auto="1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6" fillId="12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7" fillId="14" borderId="19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Alignment="1" applyProtection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 applyProtection="1">
      <alignment vertical="center" wrapText="1"/>
    </xf>
    <xf numFmtId="176" fontId="4" fillId="3" borderId="0" xfId="0" applyNumberFormat="1" applyFont="1" applyFill="1" applyBorder="1" applyAlignment="1" applyProtection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10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7" fontId="8" fillId="5" borderId="6" xfId="0" applyNumberFormat="1" applyFont="1" applyFill="1" applyBorder="1" applyAlignment="1">
      <alignment horizontal="center" vertical="center" wrapText="1"/>
    </xf>
    <xf numFmtId="10" fontId="9" fillId="6" borderId="7" xfId="0" applyNumberFormat="1" applyFont="1" applyFill="1" applyBorder="1" applyAlignment="1">
      <alignment horizontal="center" vertical="center" wrapText="1"/>
    </xf>
    <xf numFmtId="7" fontId="9" fillId="6" borderId="7" xfId="0" applyNumberFormat="1" applyFont="1" applyFill="1" applyBorder="1" applyAlignment="1">
      <alignment horizontal="center" vertical="center" wrapText="1"/>
    </xf>
    <xf numFmtId="10" fontId="8" fillId="6" borderId="7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 wrapText="1"/>
    </xf>
    <xf numFmtId="7" fontId="5" fillId="8" borderId="9" xfId="0" applyNumberFormat="1" applyFont="1" applyFill="1" applyBorder="1" applyAlignment="1">
      <alignment horizontal="center" vertical="center" wrapText="1"/>
    </xf>
    <xf numFmtId="10" fontId="11" fillId="8" borderId="10" xfId="0" applyNumberFormat="1" applyFont="1" applyFill="1" applyBorder="1" applyAlignment="1">
      <alignment horizontal="center" vertical="center" wrapText="1"/>
    </xf>
    <xf numFmtId="7" fontId="11" fillId="8" borderId="10" xfId="0" applyNumberFormat="1" applyFont="1" applyFill="1" applyBorder="1" applyAlignment="1">
      <alignment horizontal="center" vertical="center" wrapText="1"/>
    </xf>
    <xf numFmtId="10" fontId="5" fillId="8" borderId="1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0" fontId="7" fillId="4" borderId="12" xfId="0" applyNumberFormat="1" applyFont="1" applyFill="1" applyBorder="1" applyAlignment="1">
      <alignment horizontal="center" vertical="center" wrapText="1"/>
    </xf>
    <xf numFmtId="10" fontId="8" fillId="6" borderId="13" xfId="0" applyNumberFormat="1" applyFont="1" applyFill="1" applyBorder="1" applyAlignment="1">
      <alignment horizontal="center" vertical="center"/>
    </xf>
    <xf numFmtId="10" fontId="5" fillId="8" borderId="14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sz="1400"/>
              <a:t>年度成本费用对比分析</a:t>
            </a:r>
            <a:endParaRPr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营业成本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Sheet1!$B$6:$K$6</c15:sqref>
                  </c15:fullRef>
                </c:ext>
              </c:extLst>
              <c:f>(Sheet1!$B$6,Sheet1!$D$6,Sheet1!$H$6)</c:f>
              <c:numCache>
                <c:formatCode>"￥"#,##0.00;"￥"\-#,##0.00</c:formatCode>
                <c:ptCount val="3"/>
                <c:pt idx="0">
                  <c:v>100</c:v>
                </c:pt>
                <c:pt idx="1">
                  <c:v>140</c:v>
                </c:pt>
                <c:pt idx="2">
                  <c:v>150</c:v>
                </c:pt>
              </c:numCache>
            </c:numRef>
          </c:val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税金及附加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Sheet1!$B$7:$K$7</c15:sqref>
                  </c15:fullRef>
                </c:ext>
              </c:extLst>
              <c:f>(Sheet1!$B$7,Sheet1!$D$7,Sheet1!$H$7)</c:f>
              <c:numCache>
                <c:formatCode>"￥"#,##0.00;"￥"\-#,##0.00</c:formatCode>
                <c:ptCount val="3"/>
                <c:pt idx="0">
                  <c:v>20</c:v>
                </c:pt>
                <c:pt idx="1">
                  <c:v>18</c:v>
                </c:pt>
                <c:pt idx="2">
                  <c:v>25</c:v>
                </c:pt>
              </c:numCache>
            </c:numRef>
          </c:val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销售费用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Sheet1!$B$8:$K$8</c15:sqref>
                  </c15:fullRef>
                </c:ext>
              </c:extLst>
              <c:f>(Sheet1!$B$8,Sheet1!$D$8,Sheet1!$H$8)</c:f>
              <c:numCache>
                <c:formatCode>"￥"#,##0.00;"￥"\-#,##0.00</c:formatCode>
                <c:ptCount val="3"/>
                <c:pt idx="0">
                  <c:v>45</c:v>
                </c:pt>
                <c:pt idx="1">
                  <c:v>40</c:v>
                </c:pt>
                <c:pt idx="2">
                  <c:v>56</c:v>
                </c:pt>
              </c:numCache>
            </c:numRef>
          </c:val>
        </c:ser>
        <c:ser>
          <c:idx val="3"/>
          <c:order val="3"/>
          <c:tx>
            <c:strRef>
              <c:f>Sheet1!$A$9</c:f>
              <c:strCache>
                <c:ptCount val="1"/>
                <c:pt idx="0">
                  <c:v>管理费用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Sheet1!$B$9:$K$9</c15:sqref>
                  </c15:fullRef>
                </c:ext>
              </c:extLst>
              <c:f>(Sheet1!$B$9,Sheet1!$D$9,Sheet1!$H$9)</c:f>
              <c:numCache>
                <c:formatCode>"￥"#,##0.00;"￥"\-#,##0.00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39</c:v>
                </c:pt>
              </c:numCache>
            </c:numRef>
          </c:val>
        </c:ser>
        <c:ser>
          <c:idx val="4"/>
          <c:order val="4"/>
          <c:tx>
            <c:strRef>
              <c:f>Sheet1!$A$10</c:f>
              <c:strCache>
                <c:ptCount val="1"/>
                <c:pt idx="0">
                  <c:v>财务费用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Sheet1!$B$10:$K$10</c15:sqref>
                  </c15:fullRef>
                </c:ext>
              </c:extLst>
              <c:f>(Sheet1!$B$10,Sheet1!$D$10,Sheet1!$H$10)</c:f>
              <c:numCache>
                <c:formatCode>"￥"#,##0.00;"￥"\-#,##0.00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</c:ser>
        <c:ser>
          <c:idx val="5"/>
          <c:order val="5"/>
          <c:tx>
            <c:strRef>
              <c:f>Sheet1!$A$11</c:f>
              <c:strCache>
                <c:ptCount val="1"/>
                <c:pt idx="0">
                  <c:v>营业外支出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Sheet1!$B$11:$K$11</c15:sqref>
                  </c15:fullRef>
                </c:ext>
              </c:extLst>
              <c:f>(Sheet1!$B$11,Sheet1!$D$11,Sheet1!$H$11)</c:f>
              <c:numCache>
                <c:formatCode>"￥"#,##0.00;"￥"\-#,##0.00</c:formatCode>
                <c:ptCount val="3"/>
                <c:pt idx="0">
                  <c:v>5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014167"/>
        <c:axId val="961609873"/>
      </c:areaChart>
      <c:lineChart>
        <c:grouping val="standard"/>
        <c:varyColors val="0"/>
        <c:ser>
          <c:idx val="6"/>
          <c:order val="6"/>
          <c:tx>
            <c:strRef>
              <c:f>Sheet1!$A$12</c:f>
              <c:strCache>
                <c:ptCount val="1"/>
                <c:pt idx="0">
                  <c:v>成本费用合计</c:v>
                </c:pt>
              </c:strCache>
            </c:strRef>
          </c:tx>
          <c:spPr>
            <a:ln w="3492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Sheet1!$B$4:$K$5</c15:sqref>
                  </c15:fullRef>
                </c:ext>
              </c:extLst>
              <c:f>Sheet1!$B$4:$K$4</c:f>
              <c:multiLvlStrCache>
                <c:ptCount val="3"/>
                <c:lvl>
                  <c:pt idx="0">
                    <c:v>金额(万元)</c:v>
                  </c:pt>
                  <c:pt idx="1">
                    <c:v>金额（元）</c:v>
                  </c:pt>
                  <c:pt idx="2">
                    <c:v>金额（万元）</c:v>
                  </c:pt>
                </c:lvl>
                <c:lvl>
                  <c:pt idx="0">
                    <c:v>2018年（基期）</c:v>
                  </c:pt>
                  <c:pt idx="1">
                    <c:v>2019年</c:v>
                  </c:pt>
                  <c:pt idx="2">
                    <c:v>2020年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Sheet1!$B$12:$K$12</c15:sqref>
                  </c15:fullRef>
                </c:ext>
              </c:extLst>
              <c:f>(Sheet1!$B$12,Sheet1!$D$12,Sheet1!$H$12)</c:f>
              <c:numCache>
                <c:formatCode>"￥"#,##0.00;"￥"\-#,##0.00</c:formatCode>
                <c:ptCount val="3"/>
                <c:pt idx="0">
                  <c:v>210</c:v>
                </c:pt>
                <c:pt idx="1">
                  <c:v>262</c:v>
                </c:pt>
                <c:pt idx="2">
                  <c:v>291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4014167"/>
        <c:axId val="961609873"/>
      </c:lineChart>
      <c:catAx>
        <c:axId val="854014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609873"/>
        <c:crosses val="autoZero"/>
        <c:auto val="1"/>
        <c:lblAlgn val="ctr"/>
        <c:lblOffset val="100"/>
        <c:noMultiLvlLbl val="0"/>
      </c:catAx>
      <c:valAx>
        <c:axId val="9616098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01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altLang="en-US" sz="1400"/>
              <a:t>各项成本费用对比分析</a:t>
            </a:r>
            <a:endParaRPr lang="en-US" altLang="zh-CN"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363887355052"/>
          <c:y val="0.135707635009311"/>
          <c:w val="0.838128106018774"/>
          <c:h val="0.539525139664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2018年（基期） 金额(万元)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Sheet1!$B$6:$B$12</c15:sqref>
                  </c15:fullRef>
                </c:ext>
              </c:extLst>
              <c:f>Sheet1!$B$6:$B$11</c:f>
              <c:numCache>
                <c:formatCode>"￥"#,##0.00;"￥"\-#,##0.00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45</c:v>
                </c:pt>
                <c:pt idx="3">
                  <c:v>30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2019年 金额（元）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Sheet1!$D$6:$D$12</c15:sqref>
                  </c15:fullRef>
                </c:ext>
              </c:extLst>
              <c:f>Sheet1!$D$6:$D$11</c:f>
              <c:numCache>
                <c:formatCode>"￥"#,##0.00;"￥"\-#,##0.00</c:formatCode>
                <c:ptCount val="6"/>
                <c:pt idx="0">
                  <c:v>140</c:v>
                </c:pt>
                <c:pt idx="1">
                  <c:v>18</c:v>
                </c:pt>
                <c:pt idx="2">
                  <c:v>40</c:v>
                </c:pt>
                <c:pt idx="3">
                  <c:v>40</c:v>
                </c:pt>
                <c:pt idx="4">
                  <c:v>20</c:v>
                </c:pt>
                <c:pt idx="5">
                  <c:v>4</c:v>
                </c:pt>
              </c:numCache>
            </c:numRef>
          </c:val>
        </c:ser>
        <c:ser>
          <c:idx val="6"/>
          <c:order val="6"/>
          <c:tx>
            <c:strRef>
              <c:f>Sheet1!$H$4:$H$5</c:f>
              <c:strCache>
                <c:ptCount val="1"/>
                <c:pt idx="0">
                  <c:v>2020年 金额（万元）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Sheet1!$H$6:$H$12</c15:sqref>
                  </c15:fullRef>
                </c:ext>
              </c:extLst>
              <c:f>Sheet1!$H$6:$H$11</c:f>
              <c:numCache>
                <c:formatCode>"￥"#,##0.00;"￥"\-#,##0.00</c:formatCode>
                <c:ptCount val="6"/>
                <c:pt idx="0">
                  <c:v>150</c:v>
                </c:pt>
                <c:pt idx="1">
                  <c:v>25</c:v>
                </c:pt>
                <c:pt idx="2">
                  <c:v>56</c:v>
                </c:pt>
                <c:pt idx="3">
                  <c:v>39</c:v>
                </c:pt>
                <c:pt idx="4">
                  <c:v>15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6325114"/>
        <c:axId val="1008857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Sheet1!$C$4:$C$5</c15:sqref>
                        </c15:formulaRef>
                      </c:ext>
                    </c:extLst>
                    <c:strCache>
                      <c:ptCount val="1"/>
                      <c:pt idx="0">
                        <c:v>2018年（基期） 占比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Sheet1!$C$6:$C$12</c15:sqref>
                        </c15:fullRef>
                        <c15:formulaRef>
                          <c15:sqref>Sheet1!$C$6:$C$11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0.476190476190476</c:v>
                      </c:pt>
                      <c:pt idx="1">
                        <c:v>0.0952380952380952</c:v>
                      </c:pt>
                      <c:pt idx="2">
                        <c:v>0.214285714285714</c:v>
                      </c:pt>
                      <c:pt idx="3">
                        <c:v>0.142857142857143</c:v>
                      </c:pt>
                      <c:pt idx="4">
                        <c:v>0.0476190476190476</c:v>
                      </c:pt>
                      <c:pt idx="5">
                        <c:v>0.0238095238095238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Sheet1!$E$4:$E$5</c15:sqref>
                        </c15:formulaRef>
                      </c:ext>
                    </c:extLst>
                    <c:strCache>
                      <c:ptCount val="1"/>
                      <c:pt idx="0">
                        <c:v>2019年 占比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Sheet1!$E$6:$E$12</c15:sqref>
                        </c15:fullRef>
                        <c15:formulaRef>
                          <c15:sqref>Sheet1!$E$6:$E$11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0.534351145038168</c:v>
                      </c:pt>
                      <c:pt idx="1">
                        <c:v>0.0687022900763359</c:v>
                      </c:pt>
                      <c:pt idx="2">
                        <c:v>0.152671755725191</c:v>
                      </c:pt>
                      <c:pt idx="3">
                        <c:v>0.152671755725191</c:v>
                      </c:pt>
                      <c:pt idx="4">
                        <c:v>0.0763358778625954</c:v>
                      </c:pt>
                      <c:pt idx="5">
                        <c:v>0.0152671755725191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Sheet1!$F$4:$F$5</c15:sqref>
                        </c15:formulaRef>
                      </c:ext>
                    </c:extLst>
                    <c:strCache>
                      <c:ptCount val="1"/>
                      <c:pt idx="0">
                        <c:v>2019年 增减额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Sheet1!$F$6:$F$12</c15:sqref>
                        </c15:fullRef>
                        <c15:formulaRef>
                          <c15:sqref>Sheet1!$F$6:$F$11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40</c:v>
                      </c:pt>
                      <c:pt idx="1">
                        <c:v>-2</c:v>
                      </c:pt>
                      <c:pt idx="2">
                        <c:v>-5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-1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Sheet1!$G$4:$G$5</c15:sqref>
                        </c15:formulaRef>
                      </c:ext>
                    </c:extLst>
                    <c:strCache>
                      <c:ptCount val="1"/>
                      <c:pt idx="0">
                        <c:v>2019年 增减幅度(%)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Sheet1!$G$6:$G$12</c15:sqref>
                        </c15:fullRef>
                        <c15:formulaRef>
                          <c15:sqref>Sheet1!$G$6:$G$11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</c:v>
                      </c:pt>
                      <c:pt idx="1">
                        <c:v>-0.1</c:v>
                      </c:pt>
                      <c:pt idx="2">
                        <c:v>-0.111111111111111</c:v>
                      </c:pt>
                      <c:pt idx="3">
                        <c:v>0.333333333333333</c:v>
                      </c:pt>
                      <c:pt idx="4">
                        <c:v>1</c:v>
                      </c:pt>
                      <c:pt idx="5">
                        <c:v>-0.2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Sheet1!$I$4:$I$5</c15:sqref>
                        </c15:formulaRef>
                      </c:ext>
                    </c:extLst>
                    <c:strCache>
                      <c:ptCount val="1"/>
                      <c:pt idx="0">
                        <c:v>2020年 占比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Sheet1!$I$6:$I$12</c15:sqref>
                        </c15:fullRef>
                        <c15:formulaRef>
                          <c15:sqref>Sheet1!$I$6:$I$11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0.515463917525773</c:v>
                      </c:pt>
                      <c:pt idx="1">
                        <c:v>0.0859106529209622</c:v>
                      </c:pt>
                      <c:pt idx="2">
                        <c:v>0.192439862542955</c:v>
                      </c:pt>
                      <c:pt idx="3">
                        <c:v>0.134020618556701</c:v>
                      </c:pt>
                      <c:pt idx="4">
                        <c:v>0.0515463917525773</c:v>
                      </c:pt>
                      <c:pt idx="5">
                        <c:v>0.0206185567010309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Sheet1!$J$4:$J$5</c15:sqref>
                        </c15:formulaRef>
                      </c:ext>
                    </c:extLst>
                    <c:strCache>
                      <c:ptCount val="1"/>
                      <c:pt idx="0">
                        <c:v>2020年 增减额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Sheet1!$J$6:$J$12</c15:sqref>
                        </c15:fullRef>
                        <c15:formulaRef>
                          <c15:sqref>Sheet1!$J$6:$J$11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50</c:v>
                      </c:pt>
                      <c:pt idx="1">
                        <c:v>5</c:v>
                      </c:pt>
                      <c:pt idx="2">
                        <c:v>11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Sheet1!$K$4:$K$5</c15:sqref>
                        </c15:formulaRef>
                      </c:ext>
                    </c:extLst>
                    <c:strCache>
                      <c:ptCount val="1"/>
                      <c:pt idx="0">
                        <c:v>2020年 增减幅度(%)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Sheet1!$K$6:$K$12</c15:sqref>
                        </c15:fullRef>
                        <c15:formulaRef>
                          <c15:sqref>Sheet1!$K$6:$K$11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</c:v>
                      </c:pt>
                      <c:pt idx="1">
                        <c:v>0.25</c:v>
                      </c:pt>
                      <c:pt idx="2">
                        <c:v>0.244444444444444</c:v>
                      </c:pt>
                      <c:pt idx="3">
                        <c:v>0.3</c:v>
                      </c:pt>
                      <c:pt idx="4">
                        <c:v>0.5</c:v>
                      </c:pt>
                      <c:pt idx="5">
                        <c:v>0.2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463251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88579"/>
        <c:crosses val="autoZero"/>
        <c:auto val="1"/>
        <c:lblAlgn val="ctr"/>
        <c:lblOffset val="100"/>
        <c:noMultiLvlLbl val="0"/>
      </c:catAx>
      <c:valAx>
        <c:axId val="100885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325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>
                <a:solidFill>
                  <a:schemeClr val="tx1">
                    <a:lumMod val="75000"/>
                    <a:lumOff val="25000"/>
                  </a:schemeClr>
                </a:solidFill>
              </a:rPr>
              <a:t>分析年与基期对比分析</a:t>
            </a:r>
            <a:endParaRPr sz="1400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2018年（基期） 金额(万元)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Sheet1!$B$6:$B$12</c15:sqref>
                  </c15:fullRef>
                </c:ext>
              </c:extLst>
              <c:f>Sheet1!$B$6:$B$11</c:f>
              <c:numCache>
                <c:formatCode>"￥"#,##0.00;"￥"\-#,##0.00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45</c:v>
                </c:pt>
                <c:pt idx="3">
                  <c:v>30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</c:ser>
        <c:ser>
          <c:idx val="6"/>
          <c:order val="6"/>
          <c:tx>
            <c:strRef>
              <c:f>Sheet1!$H$4:$H$5</c:f>
              <c:strCache>
                <c:ptCount val="1"/>
                <c:pt idx="0">
                  <c:v>2020年 金额（万元）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Sheet1!$H$6:$H$12</c15:sqref>
                  </c15:fullRef>
                </c:ext>
              </c:extLst>
              <c:f>Sheet1!$H$6:$H$11</c:f>
              <c:numCache>
                <c:formatCode>"￥"#,##0.00;"￥"\-#,##0.00</c:formatCode>
                <c:ptCount val="6"/>
                <c:pt idx="0">
                  <c:v>150</c:v>
                </c:pt>
                <c:pt idx="1">
                  <c:v>25</c:v>
                </c:pt>
                <c:pt idx="2">
                  <c:v>56</c:v>
                </c:pt>
                <c:pt idx="3">
                  <c:v>39</c:v>
                </c:pt>
                <c:pt idx="4">
                  <c:v>15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41680933"/>
        <c:axId val="769093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Sheet1!$C$4:$C$5</c15:sqref>
                        </c15:formulaRef>
                      </c:ext>
                    </c:extLst>
                    <c:strCache>
                      <c:ptCount val="1"/>
                      <c:pt idx="0">
                        <c:v>2018年（基期） 占比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Sheet1!$C$6:$C$12</c15:sqref>
                        </c15:fullRef>
                        <c15:formulaRef>
                          <c15:sqref>Sheet1!$C$6:$C$11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0.476190476190476</c:v>
                      </c:pt>
                      <c:pt idx="1">
                        <c:v>0.0952380952380952</c:v>
                      </c:pt>
                      <c:pt idx="2">
                        <c:v>0.214285714285714</c:v>
                      </c:pt>
                      <c:pt idx="3">
                        <c:v>0.142857142857143</c:v>
                      </c:pt>
                      <c:pt idx="4">
                        <c:v>0.0476190476190476</c:v>
                      </c:pt>
                      <c:pt idx="5">
                        <c:v>0.0238095238095238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Sheet1!$D$4:$D$5</c15:sqref>
                        </c15:formulaRef>
                      </c:ext>
                    </c:extLst>
                    <c:strCache>
                      <c:ptCount val="1"/>
                      <c:pt idx="0">
                        <c:v>2019年 金额（元）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Sheet1!$D$6:$D$12</c15:sqref>
                        </c15:fullRef>
                        <c15:formulaRef>
                          <c15:sqref>Sheet1!$D$6:$D$11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140</c:v>
                      </c:pt>
                      <c:pt idx="1">
                        <c:v>18</c:v>
                      </c:pt>
                      <c:pt idx="2">
                        <c:v>40</c:v>
                      </c:pt>
                      <c:pt idx="3">
                        <c:v>40</c:v>
                      </c:pt>
                      <c:pt idx="4">
                        <c:v>20</c:v>
                      </c:pt>
                      <c:pt idx="5">
                        <c:v>4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Sheet1!$E$4:$E$5</c15:sqref>
                        </c15:formulaRef>
                      </c:ext>
                    </c:extLst>
                    <c:strCache>
                      <c:ptCount val="1"/>
                      <c:pt idx="0">
                        <c:v>2019年 占比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Sheet1!$E$6:$E$12</c15:sqref>
                        </c15:fullRef>
                        <c15:formulaRef>
                          <c15:sqref>Sheet1!$E$6:$E$11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0.534351145038168</c:v>
                      </c:pt>
                      <c:pt idx="1">
                        <c:v>0.0687022900763359</c:v>
                      </c:pt>
                      <c:pt idx="2">
                        <c:v>0.152671755725191</c:v>
                      </c:pt>
                      <c:pt idx="3">
                        <c:v>0.152671755725191</c:v>
                      </c:pt>
                      <c:pt idx="4">
                        <c:v>0.0763358778625954</c:v>
                      </c:pt>
                      <c:pt idx="5">
                        <c:v>0.0152671755725191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Sheet1!$F$4:$F$5</c15:sqref>
                        </c15:formulaRef>
                      </c:ext>
                    </c:extLst>
                    <c:strCache>
                      <c:ptCount val="1"/>
                      <c:pt idx="0">
                        <c:v>2019年 增减额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Sheet1!$F$6:$F$12</c15:sqref>
                        </c15:fullRef>
                        <c15:formulaRef>
                          <c15:sqref>Sheet1!$F$6:$F$11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40</c:v>
                      </c:pt>
                      <c:pt idx="1">
                        <c:v>-2</c:v>
                      </c:pt>
                      <c:pt idx="2">
                        <c:v>-5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-1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Sheet1!$G$4:$G$5</c15:sqref>
                        </c15:formulaRef>
                      </c:ext>
                    </c:extLst>
                    <c:strCache>
                      <c:ptCount val="1"/>
                      <c:pt idx="0">
                        <c:v>2019年 增减幅度(%)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Sheet1!$G$6:$G$12</c15:sqref>
                        </c15:fullRef>
                        <c15:formulaRef>
                          <c15:sqref>Sheet1!$G$6:$G$11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</c:v>
                      </c:pt>
                      <c:pt idx="1">
                        <c:v>-0.1</c:v>
                      </c:pt>
                      <c:pt idx="2">
                        <c:v>-0.111111111111111</c:v>
                      </c:pt>
                      <c:pt idx="3">
                        <c:v>0.333333333333333</c:v>
                      </c:pt>
                      <c:pt idx="4">
                        <c:v>1</c:v>
                      </c:pt>
                      <c:pt idx="5">
                        <c:v>-0.2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Sheet1!$I$4:$I$5</c15:sqref>
                        </c15:formulaRef>
                      </c:ext>
                    </c:extLst>
                    <c:strCache>
                      <c:ptCount val="1"/>
                      <c:pt idx="0">
                        <c:v>2020年 占比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Sheet1!$I$6:$I$12</c15:sqref>
                        </c15:fullRef>
                        <c15:formulaRef>
                          <c15:sqref>Sheet1!$I$6:$I$11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0.515463917525773</c:v>
                      </c:pt>
                      <c:pt idx="1">
                        <c:v>0.0859106529209622</c:v>
                      </c:pt>
                      <c:pt idx="2">
                        <c:v>0.192439862542955</c:v>
                      </c:pt>
                      <c:pt idx="3">
                        <c:v>0.134020618556701</c:v>
                      </c:pt>
                      <c:pt idx="4">
                        <c:v>0.0515463917525773</c:v>
                      </c:pt>
                      <c:pt idx="5">
                        <c:v>0.0206185567010309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Sheet1!$J$4:$J$5</c15:sqref>
                        </c15:formulaRef>
                      </c:ext>
                    </c:extLst>
                    <c:strCache>
                      <c:ptCount val="1"/>
                      <c:pt idx="0">
                        <c:v>2020年 增减额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Sheet1!$J$6:$J$12</c15:sqref>
                        </c15:fullRef>
                        <c15:formulaRef>
                          <c15:sqref>Sheet1!$J$6:$J$11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50</c:v>
                      </c:pt>
                      <c:pt idx="1">
                        <c:v>5</c:v>
                      </c:pt>
                      <c:pt idx="2">
                        <c:v>11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9"/>
          <c:order val="9"/>
          <c:tx>
            <c:strRef>
              <c:f>Sheet1!$K$4:$K$5</c:f>
              <c:strCache>
                <c:ptCount val="1"/>
                <c:pt idx="0">
                  <c:v>2020年 增减幅度(%)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Sheet1!$K$6:$K$12</c15:sqref>
                  </c15:fullRef>
                </c:ext>
              </c:extLst>
              <c:f>Sheet1!$K$6:$K$11</c:f>
              <c:numCache>
                <c:formatCode>0.00%</c:formatCode>
                <c:ptCount val="6"/>
                <c:pt idx="0">
                  <c:v>0.5</c:v>
                </c:pt>
                <c:pt idx="1">
                  <c:v>0.25</c:v>
                </c:pt>
                <c:pt idx="2">
                  <c:v>0.244444444444444</c:v>
                </c:pt>
                <c:pt idx="3">
                  <c:v>0.3</c:v>
                </c:pt>
                <c:pt idx="4">
                  <c:v>0.5</c:v>
                </c:pt>
                <c:pt idx="5">
                  <c:v>0.2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8229151"/>
        <c:axId val="899590458"/>
      </c:lineChart>
      <c:catAx>
        <c:axId val="5416809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093416"/>
        <c:crosses val="autoZero"/>
        <c:auto val="1"/>
        <c:lblAlgn val="ctr"/>
        <c:lblOffset val="100"/>
        <c:noMultiLvlLbl val="0"/>
      </c:catAx>
      <c:valAx>
        <c:axId val="7690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680933"/>
        <c:crosses val="autoZero"/>
        <c:crossBetween val="between"/>
      </c:valAx>
      <c:catAx>
        <c:axId val="47822915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590458"/>
        <c:crosses val="autoZero"/>
        <c:auto val="1"/>
        <c:lblAlgn val="ctr"/>
        <c:lblOffset val="100"/>
        <c:noMultiLvlLbl val="0"/>
      </c:catAx>
      <c:valAx>
        <c:axId val="89959045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229151"/>
        <c:crosses val="max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spc="0" normalizeH="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j-ea"/>
              <a:cs typeface="+mj-cs"/>
            </a:defRPr>
          </a:pPr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Sheet1!$H$4:$H$5</c:f>
              <c:strCache>
                <c:ptCount val="1"/>
                <c:pt idx="0">
                  <c:v>2020年 金额（万元）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Sheet1!$A$6:$A$12</c15:sqref>
                  </c15:fullRef>
                </c:ext>
              </c:extLst>
              <c:f>Sheet1!$A$6:$A$11</c:f>
              <c:strCache>
                <c:ptCount val="6"/>
                <c:pt idx="0">
                  <c:v>营业成本</c:v>
                </c:pt>
                <c:pt idx="1">
                  <c:v>税金及附加</c:v>
                </c:pt>
                <c:pt idx="2">
                  <c:v>销售费用</c:v>
                </c:pt>
                <c:pt idx="3">
                  <c:v>管理费用</c:v>
                </c:pt>
                <c:pt idx="4">
                  <c:v>财务费用</c:v>
                </c:pt>
                <c:pt idx="5">
                  <c:v>营业外支出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Sheet1!$H$6:$H$12</c15:sqref>
                  </c15:fullRef>
                </c:ext>
              </c:extLst>
              <c:f>Sheet1!$H$6:$H$11</c:f>
              <c:numCache>
                <c:formatCode>"￥"#,##0.00;"￥"\-#,##0.00</c:formatCode>
                <c:ptCount val="6"/>
                <c:pt idx="0">
                  <c:v>150</c:v>
                </c:pt>
                <c:pt idx="1">
                  <c:v>25</c:v>
                </c:pt>
                <c:pt idx="2">
                  <c:v>56</c:v>
                </c:pt>
                <c:pt idx="3">
                  <c:v>39</c:v>
                </c:pt>
                <c:pt idx="4">
                  <c:v>15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Sheet1!$B$4:$B$5</c15:sqref>
                        </c15:formulaRef>
                      </c:ext>
                    </c:extLst>
                    <c:strCache>
                      <c:ptCount val="1"/>
                      <c:pt idx="0">
                        <c:v>2018年（基期） 金额(万元)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Sheet1!$B$6:$B$12</c15:sqref>
                        </c15:fullRef>
                        <c15:formulaRef>
                          <c15:sqref>Sheet1!$B$6:$B$11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100</c:v>
                      </c:pt>
                      <c:pt idx="1">
                        <c:v>20</c:v>
                      </c:pt>
                      <c:pt idx="2">
                        <c:v>45</c:v>
                      </c:pt>
                      <c:pt idx="3">
                        <c:v>30</c:v>
                      </c:pt>
                      <c:pt idx="4">
                        <c:v>10</c:v>
                      </c:pt>
                      <c:pt idx="5">
                        <c:v>5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Sheet1!$C$4:$C$5</c15:sqref>
                        </c15:formulaRef>
                      </c:ext>
                    </c:extLst>
                    <c:strCache>
                      <c:ptCount val="1"/>
                      <c:pt idx="0">
                        <c:v>2018年（基期） 占比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Sheet1!$C$6:$C$12</c15:sqref>
                        </c15:fullRef>
                        <c15:formulaRef>
                          <c15:sqref>Sheet1!$C$6:$C$11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0.476190476190476</c:v>
                      </c:pt>
                      <c:pt idx="1">
                        <c:v>0.0952380952380952</c:v>
                      </c:pt>
                      <c:pt idx="2">
                        <c:v>0.214285714285714</c:v>
                      </c:pt>
                      <c:pt idx="3">
                        <c:v>0.142857142857143</c:v>
                      </c:pt>
                      <c:pt idx="4">
                        <c:v>0.0476190476190476</c:v>
                      </c:pt>
                      <c:pt idx="5">
                        <c:v>0.0238095238095238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Sheet1!$D$4:$D$5</c15:sqref>
                        </c15:formulaRef>
                      </c:ext>
                    </c:extLst>
                    <c:strCache>
                      <c:ptCount val="1"/>
                      <c:pt idx="0">
                        <c:v>2019年 金额（元）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Sheet1!$D$6:$D$12</c15:sqref>
                        </c15:fullRef>
                        <c15:formulaRef>
                          <c15:sqref>Sheet1!$D$6:$D$11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140</c:v>
                      </c:pt>
                      <c:pt idx="1">
                        <c:v>18</c:v>
                      </c:pt>
                      <c:pt idx="2">
                        <c:v>40</c:v>
                      </c:pt>
                      <c:pt idx="3">
                        <c:v>40</c:v>
                      </c:pt>
                      <c:pt idx="4">
                        <c:v>20</c:v>
                      </c:pt>
                      <c:pt idx="5">
                        <c:v>4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Sheet1!$E$4:$E$5</c15:sqref>
                        </c15:formulaRef>
                      </c:ext>
                    </c:extLst>
                    <c:strCache>
                      <c:ptCount val="1"/>
                      <c:pt idx="0">
                        <c:v>2019年 占比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Sheet1!$E$6:$E$12</c15:sqref>
                        </c15:fullRef>
                        <c15:formulaRef>
                          <c15:sqref>Sheet1!$E$6:$E$11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0.534351145038168</c:v>
                      </c:pt>
                      <c:pt idx="1">
                        <c:v>0.0687022900763359</c:v>
                      </c:pt>
                      <c:pt idx="2">
                        <c:v>0.152671755725191</c:v>
                      </c:pt>
                      <c:pt idx="3">
                        <c:v>0.152671755725191</c:v>
                      </c:pt>
                      <c:pt idx="4">
                        <c:v>0.0763358778625954</c:v>
                      </c:pt>
                      <c:pt idx="5">
                        <c:v>0.0152671755725191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Sheet1!$F$4:$F$5</c15:sqref>
                        </c15:formulaRef>
                      </c:ext>
                    </c:extLst>
                    <c:strCache>
                      <c:ptCount val="1"/>
                      <c:pt idx="0">
                        <c:v>2019年 增减额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Sheet1!$F$6:$F$12</c15:sqref>
                        </c15:fullRef>
                        <c15:formulaRef>
                          <c15:sqref>Sheet1!$F$6:$F$11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40</c:v>
                      </c:pt>
                      <c:pt idx="1">
                        <c:v>-2</c:v>
                      </c:pt>
                      <c:pt idx="2">
                        <c:v>-5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-1</c:v>
                      </c:pt>
                    </c:numCache>
                  </c:numRef>
                </c:val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Sheet1!$G$4:$G$5</c15:sqref>
                        </c15:formulaRef>
                      </c:ext>
                    </c:extLst>
                    <c:strCache>
                      <c:ptCount val="1"/>
                      <c:pt idx="0">
                        <c:v>2019年 增减幅度(%)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Sheet1!$G$6:$G$12</c15:sqref>
                        </c15:fullRef>
                        <c15:formulaRef>
                          <c15:sqref>Sheet1!$G$6:$G$11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</c:v>
                      </c:pt>
                      <c:pt idx="1">
                        <c:v>-0.1</c:v>
                      </c:pt>
                      <c:pt idx="2">
                        <c:v>-0.111111111111111</c:v>
                      </c:pt>
                      <c:pt idx="3">
                        <c:v>0.333333333333333</c:v>
                      </c:pt>
                      <c:pt idx="4">
                        <c:v>1</c:v>
                      </c:pt>
                      <c:pt idx="5">
                        <c:v>-0.2</c:v>
                      </c:pt>
                    </c:numCache>
                  </c:numRef>
                </c:val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Sheet1!$I$4:$I$5</c15:sqref>
                        </c15:formulaRef>
                      </c:ext>
                    </c:extLst>
                    <c:strCache>
                      <c:ptCount val="1"/>
                      <c:pt idx="0">
                        <c:v>2020年 占比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Sheet1!$I$6:$I$12</c15:sqref>
                        </c15:fullRef>
                        <c15:formulaRef>
                          <c15:sqref>Sheet1!$I$6:$I$11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0.515463917525773</c:v>
                      </c:pt>
                      <c:pt idx="1">
                        <c:v>0.0859106529209622</c:v>
                      </c:pt>
                      <c:pt idx="2">
                        <c:v>0.192439862542955</c:v>
                      </c:pt>
                      <c:pt idx="3">
                        <c:v>0.134020618556701</c:v>
                      </c:pt>
                      <c:pt idx="4">
                        <c:v>0.0515463917525773</c:v>
                      </c:pt>
                      <c:pt idx="5">
                        <c:v>0.0206185567010309</c:v>
                      </c:pt>
                    </c:numCache>
                  </c:numRef>
                </c:val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Sheet1!$J$4:$J$5</c15:sqref>
                        </c15:formulaRef>
                      </c:ext>
                    </c:extLst>
                    <c:strCache>
                      <c:ptCount val="1"/>
                      <c:pt idx="0">
                        <c:v>2020年 增减额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Sheet1!$J$6:$J$12</c15:sqref>
                        </c15:fullRef>
                        <c15:formulaRef>
                          <c15:sqref>Sheet1!$J$6:$J$11</c15:sqref>
                        </c15:formulaRef>
                      </c:ext>
                    </c:extLst>
                    <c:numCache>
                      <c:formatCode>"￥"#,##0.00;"￥"\-#,##0.00</c:formatCode>
                      <c:ptCount val="6"/>
                      <c:pt idx="0">
                        <c:v>50</c:v>
                      </c:pt>
                      <c:pt idx="1">
                        <c:v>5</c:v>
                      </c:pt>
                      <c:pt idx="2">
                        <c:v>11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1</c:v>
                      </c:pt>
                    </c:numCache>
                  </c:numRef>
                </c:val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Sheet1!$K$4:$K$5</c15:sqref>
                        </c15:formulaRef>
                      </c:ext>
                    </c:extLst>
                    <c:strCache>
                      <c:ptCount val="1"/>
                      <c:pt idx="0">
                        <c:v>2020年 增减幅度(%)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4">
                            <a:lumMod val="60000"/>
                            <a:lumOff val="40000"/>
                          </a:schemeClr>
                        </a:gs>
                        <a:gs pos="0">
                          <a:schemeClr val="accent4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  <a:gs pos="0">
                          <a:schemeClr val="accent5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6">
                            <a:lumMod val="60000"/>
                            <a:lumOff val="40000"/>
                          </a:schemeClr>
                        </a:gs>
                        <a:gs pos="0">
                          <a:schemeClr val="accent6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Sheet1!$A$6:$A$12</c15:sqref>
                        </c15:fullRef>
                        <c15:formulaRef>
                          <c15:sqref>Sheet1!$A$6:$A$11</c15:sqref>
                        </c15:formulaRef>
                      </c:ext>
                    </c:extLst>
                    <c:strCache>
                      <c:ptCount val="6"/>
                      <c:pt idx="0">
                        <c:v>营业成本</c:v>
                      </c:pt>
                      <c:pt idx="1">
                        <c:v>税金及附加</c:v>
                      </c:pt>
                      <c:pt idx="2">
                        <c:v>销售费用</c:v>
                      </c:pt>
                      <c:pt idx="3">
                        <c:v>管理费用</c:v>
                      </c:pt>
                      <c:pt idx="4">
                        <c:v>财务费用</c:v>
                      </c:pt>
                      <c:pt idx="5">
                        <c:v>营业外支出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Sheet1!$K$6:$K$12</c15:sqref>
                        </c15:fullRef>
                        <c15:formulaRef>
                          <c15:sqref>Sheet1!$K$6:$K$11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</c:v>
                      </c:pt>
                      <c:pt idx="1">
                        <c:v>0.25</c:v>
                      </c:pt>
                      <c:pt idx="2">
                        <c:v>0.244444444444444</c:v>
                      </c:pt>
                      <c:pt idx="3">
                        <c:v>0.3</c:v>
                      </c:pt>
                      <c:pt idx="4">
                        <c:v>0.5</c:v>
                      </c:pt>
                      <c:pt idx="5">
                        <c:v>0.2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119380</xdr:colOff>
      <xdr:row>0</xdr:row>
      <xdr:rowOff>66040</xdr:rowOff>
    </xdr:from>
    <xdr:to>
      <xdr:col>0</xdr:col>
      <xdr:colOff>600075</xdr:colOff>
      <xdr:row>0</xdr:row>
      <xdr:rowOff>491490</xdr:rowOff>
    </xdr:to>
    <xdr:pic>
      <xdr:nvPicPr>
        <xdr:cNvPr id="3" name="图片 1" descr="d:\我的文档\桌面\80294.png"/>
        <xdr:cNvPicPr>
          <a:picLocks noChangeAspect="1"/>
        </xdr:cNvPicPr>
      </xdr:nvPicPr>
      <xdr:blipFill>
        <a:blip r:embed="rId5">
          <a:grayscl/>
        </a:blip>
        <a:stretch>
          <a:fillRect/>
        </a:stretch>
      </xdr:blipFill>
      <xdr:spPr>
        <a:xfrm>
          <a:off x="119380" y="66040"/>
          <a:ext cx="48069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22860</xdr:colOff>
      <xdr:row>12</xdr:row>
      <xdr:rowOff>40640</xdr:rowOff>
    </xdr:from>
    <xdr:to>
      <xdr:col>5</xdr:col>
      <xdr:colOff>320040</xdr:colOff>
      <xdr:row>22</xdr:row>
      <xdr:rowOff>254000</xdr:rowOff>
    </xdr:to>
    <xdr:graphicFrame>
      <xdr:nvGraphicFramePr>
        <xdr:cNvPr id="5" name="图表 4"/>
        <xdr:cNvGraphicFramePr/>
      </xdr:nvGraphicFramePr>
      <xdr:xfrm>
        <a:off x="22860" y="5072380"/>
        <a:ext cx="5139690" cy="2766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345440</xdr:colOff>
      <xdr:row>12</xdr:row>
      <xdr:rowOff>40005</xdr:rowOff>
    </xdr:from>
    <xdr:to>
      <xdr:col>11</xdr:col>
      <xdr:colOff>0</xdr:colOff>
      <xdr:row>22</xdr:row>
      <xdr:rowOff>253365</xdr:rowOff>
    </xdr:to>
    <xdr:graphicFrame>
      <xdr:nvGraphicFramePr>
        <xdr:cNvPr id="6" name="图表 5"/>
        <xdr:cNvGraphicFramePr/>
      </xdr:nvGraphicFramePr>
      <xdr:xfrm>
        <a:off x="5187950" y="5071745"/>
        <a:ext cx="5148580" cy="2766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23</xdr:row>
      <xdr:rowOff>45720</xdr:rowOff>
    </xdr:from>
    <xdr:to>
      <xdr:col>5</xdr:col>
      <xdr:colOff>322580</xdr:colOff>
      <xdr:row>33</xdr:row>
      <xdr:rowOff>228600</xdr:rowOff>
    </xdr:to>
    <xdr:graphicFrame>
      <xdr:nvGraphicFramePr>
        <xdr:cNvPr id="7" name="图表 6"/>
        <xdr:cNvGraphicFramePr/>
      </xdr:nvGraphicFramePr>
      <xdr:xfrm>
        <a:off x="25400" y="7885430"/>
        <a:ext cx="513969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343535</xdr:colOff>
      <xdr:row>23</xdr:row>
      <xdr:rowOff>41275</xdr:rowOff>
    </xdr:from>
    <xdr:to>
      <xdr:col>10</xdr:col>
      <xdr:colOff>892175</xdr:colOff>
      <xdr:row>33</xdr:row>
      <xdr:rowOff>242570</xdr:rowOff>
    </xdr:to>
    <xdr:graphicFrame>
      <xdr:nvGraphicFramePr>
        <xdr:cNvPr id="8" name="图表 7"/>
        <xdr:cNvGraphicFramePr/>
      </xdr:nvGraphicFramePr>
      <xdr:xfrm>
        <a:off x="5186045" y="7880985"/>
        <a:ext cx="5043805" cy="2753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tabSelected="1" topLeftCell="A2" workbookViewId="0">
      <selection activeCell="P10" sqref="P10"/>
    </sheetView>
  </sheetViews>
  <sheetFormatPr defaultColWidth="9.775" defaultRowHeight="20.1" customHeight="1"/>
  <cols>
    <col min="1" max="1" width="15.1083333333333" style="1" customWidth="1"/>
    <col min="2" max="2" width="14.4416666666667" style="1" customWidth="1"/>
    <col min="3" max="3" width="9.44166666666667" style="1" customWidth="1"/>
    <col min="4" max="4" width="13.8916666666667" style="1" customWidth="1"/>
    <col min="5" max="5" width="10.6666666666667" style="1" customWidth="1"/>
    <col min="6" max="6" width="11.4416666666667" style="1" customWidth="1"/>
    <col min="7" max="7" width="12" style="1" customWidth="1"/>
    <col min="8" max="8" width="13.4416666666667" style="1" customWidth="1"/>
    <col min="9" max="9" width="10.3333333333333" style="1" customWidth="1"/>
    <col min="10" max="10" width="11.775" style="1" customWidth="1"/>
    <col min="11" max="11" width="13.1083333333333" style="1" customWidth="1"/>
    <col min="12" max="16384" width="9.775" style="1"/>
  </cols>
  <sheetData>
    <row r="1" s="1" customFormat="1" ht="4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39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90" customHeight="1" spans="1:1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="1" customFormat="1" customHeight="1" spans="1:11">
      <c r="A4" s="6" t="s">
        <v>3</v>
      </c>
      <c r="B4" s="7" t="s">
        <v>4</v>
      </c>
      <c r="C4" s="7"/>
      <c r="D4" s="7" t="s">
        <v>5</v>
      </c>
      <c r="E4" s="7"/>
      <c r="F4" s="7"/>
      <c r="G4" s="7"/>
      <c r="H4" s="7" t="s">
        <v>6</v>
      </c>
      <c r="I4" s="7"/>
      <c r="J4" s="7"/>
      <c r="K4" s="23"/>
    </row>
    <row r="5" s="1" customFormat="1" customHeight="1" spans="1:11">
      <c r="A5" s="8"/>
      <c r="B5" s="9" t="s">
        <v>7</v>
      </c>
      <c r="C5" s="10" t="s">
        <v>8</v>
      </c>
      <c r="D5" s="11" t="s">
        <v>9</v>
      </c>
      <c r="E5" s="11" t="s">
        <v>8</v>
      </c>
      <c r="F5" s="9" t="s">
        <v>10</v>
      </c>
      <c r="G5" s="10" t="s">
        <v>11</v>
      </c>
      <c r="H5" s="11" t="s">
        <v>12</v>
      </c>
      <c r="I5" s="11" t="s">
        <v>8</v>
      </c>
      <c r="J5" s="9" t="s">
        <v>10</v>
      </c>
      <c r="K5" s="24" t="s">
        <v>11</v>
      </c>
    </row>
    <row r="6" s="1" customFormat="1" ht="26" customHeight="1" spans="1:11">
      <c r="A6" s="12" t="s">
        <v>13</v>
      </c>
      <c r="B6" s="13">
        <v>100</v>
      </c>
      <c r="C6" s="14">
        <f>B6/B$12</f>
        <v>0.476190476190476</v>
      </c>
      <c r="D6" s="13">
        <v>140</v>
      </c>
      <c r="E6" s="14">
        <f>D6/D$12</f>
        <v>0.534351145038168</v>
      </c>
      <c r="F6" s="15">
        <f>D6-$B6</f>
        <v>40</v>
      </c>
      <c r="G6" s="16">
        <f>F6/$B6</f>
        <v>0.4</v>
      </c>
      <c r="H6" s="13">
        <v>150</v>
      </c>
      <c r="I6" s="14">
        <f t="shared" ref="I6:I12" si="0">H6/H$12</f>
        <v>0.515463917525773</v>
      </c>
      <c r="J6" s="15">
        <f t="shared" ref="J6:J12" si="1">H6-$B6</f>
        <v>50</v>
      </c>
      <c r="K6" s="25">
        <f t="shared" ref="K6:K12" si="2">J6/$B6</f>
        <v>0.5</v>
      </c>
    </row>
    <row r="7" s="1" customFormat="1" ht="26" customHeight="1" spans="1:11">
      <c r="A7" s="12" t="s">
        <v>14</v>
      </c>
      <c r="B7" s="13">
        <v>20</v>
      </c>
      <c r="C7" s="14">
        <f t="shared" ref="C7:C12" si="3">B7/B$12</f>
        <v>0.0952380952380952</v>
      </c>
      <c r="D7" s="13">
        <v>18</v>
      </c>
      <c r="E7" s="14">
        <f t="shared" ref="E7:E12" si="4">D7/D$12</f>
        <v>0.0687022900763359</v>
      </c>
      <c r="F7" s="15">
        <f t="shared" ref="F7:F12" si="5">D7-$B7</f>
        <v>-2</v>
      </c>
      <c r="G7" s="16">
        <f t="shared" ref="G7:G12" si="6">F7/$B7</f>
        <v>-0.1</v>
      </c>
      <c r="H7" s="13">
        <v>25</v>
      </c>
      <c r="I7" s="14">
        <f t="shared" si="0"/>
        <v>0.0859106529209622</v>
      </c>
      <c r="J7" s="15">
        <f t="shared" si="1"/>
        <v>5</v>
      </c>
      <c r="K7" s="25">
        <f t="shared" si="2"/>
        <v>0.25</v>
      </c>
    </row>
    <row r="8" s="1" customFormat="1" ht="26" customHeight="1" spans="1:11">
      <c r="A8" s="12" t="s">
        <v>15</v>
      </c>
      <c r="B8" s="13">
        <v>45</v>
      </c>
      <c r="C8" s="14">
        <f t="shared" si="3"/>
        <v>0.214285714285714</v>
      </c>
      <c r="D8" s="13">
        <v>40</v>
      </c>
      <c r="E8" s="14">
        <f t="shared" si="4"/>
        <v>0.152671755725191</v>
      </c>
      <c r="F8" s="15">
        <f t="shared" si="5"/>
        <v>-5</v>
      </c>
      <c r="G8" s="16">
        <f t="shared" si="6"/>
        <v>-0.111111111111111</v>
      </c>
      <c r="H8" s="13">
        <v>56</v>
      </c>
      <c r="I8" s="14">
        <f t="shared" si="0"/>
        <v>0.192439862542955</v>
      </c>
      <c r="J8" s="15">
        <f t="shared" si="1"/>
        <v>11</v>
      </c>
      <c r="K8" s="25">
        <f t="shared" si="2"/>
        <v>0.244444444444444</v>
      </c>
    </row>
    <row r="9" s="1" customFormat="1" ht="26" customHeight="1" spans="1:11">
      <c r="A9" s="12" t="s">
        <v>16</v>
      </c>
      <c r="B9" s="13">
        <v>30</v>
      </c>
      <c r="C9" s="14">
        <f t="shared" si="3"/>
        <v>0.142857142857143</v>
      </c>
      <c r="D9" s="13">
        <v>40</v>
      </c>
      <c r="E9" s="14">
        <f t="shared" si="4"/>
        <v>0.152671755725191</v>
      </c>
      <c r="F9" s="15">
        <f t="shared" si="5"/>
        <v>10</v>
      </c>
      <c r="G9" s="16">
        <f t="shared" si="6"/>
        <v>0.333333333333333</v>
      </c>
      <c r="H9" s="13">
        <v>39</v>
      </c>
      <c r="I9" s="14">
        <f t="shared" si="0"/>
        <v>0.134020618556701</v>
      </c>
      <c r="J9" s="15">
        <f t="shared" si="1"/>
        <v>9</v>
      </c>
      <c r="K9" s="25">
        <f t="shared" si="2"/>
        <v>0.3</v>
      </c>
    </row>
    <row r="10" s="1" customFormat="1" ht="26" customHeight="1" spans="1:11">
      <c r="A10" s="12" t="s">
        <v>17</v>
      </c>
      <c r="B10" s="13">
        <v>10</v>
      </c>
      <c r="C10" s="14">
        <f t="shared" si="3"/>
        <v>0.0476190476190476</v>
      </c>
      <c r="D10" s="13">
        <v>20</v>
      </c>
      <c r="E10" s="14">
        <f t="shared" si="4"/>
        <v>0.0763358778625954</v>
      </c>
      <c r="F10" s="15">
        <f t="shared" si="5"/>
        <v>10</v>
      </c>
      <c r="G10" s="16">
        <f t="shared" si="6"/>
        <v>1</v>
      </c>
      <c r="H10" s="13">
        <v>15</v>
      </c>
      <c r="I10" s="14">
        <f t="shared" si="0"/>
        <v>0.0515463917525773</v>
      </c>
      <c r="J10" s="15">
        <f t="shared" si="1"/>
        <v>5</v>
      </c>
      <c r="K10" s="25">
        <f t="shared" si="2"/>
        <v>0.5</v>
      </c>
    </row>
    <row r="11" s="1" customFormat="1" ht="26" customHeight="1" spans="1:11">
      <c r="A11" s="12" t="s">
        <v>18</v>
      </c>
      <c r="B11" s="13">
        <v>5</v>
      </c>
      <c r="C11" s="14">
        <f t="shared" si="3"/>
        <v>0.0238095238095238</v>
      </c>
      <c r="D11" s="13">
        <v>4</v>
      </c>
      <c r="E11" s="14">
        <f t="shared" si="4"/>
        <v>0.0152671755725191</v>
      </c>
      <c r="F11" s="15">
        <f t="shared" si="5"/>
        <v>-1</v>
      </c>
      <c r="G11" s="16">
        <f t="shared" si="6"/>
        <v>-0.2</v>
      </c>
      <c r="H11" s="13">
        <v>6</v>
      </c>
      <c r="I11" s="14">
        <f t="shared" si="0"/>
        <v>0.0206185567010309</v>
      </c>
      <c r="J11" s="15">
        <f t="shared" si="1"/>
        <v>1</v>
      </c>
      <c r="K11" s="25">
        <f t="shared" si="2"/>
        <v>0.2</v>
      </c>
    </row>
    <row r="12" s="1" customFormat="1" ht="26" customHeight="1" spans="1:11">
      <c r="A12" s="17" t="s">
        <v>19</v>
      </c>
      <c r="B12" s="18">
        <f>SUM(B6:B11)</f>
        <v>210</v>
      </c>
      <c r="C12" s="19">
        <f t="shared" si="3"/>
        <v>1</v>
      </c>
      <c r="D12" s="18">
        <f>SUM(D6:D11)</f>
        <v>262</v>
      </c>
      <c r="E12" s="19">
        <f t="shared" si="4"/>
        <v>1</v>
      </c>
      <c r="F12" s="20">
        <f t="shared" si="5"/>
        <v>52</v>
      </c>
      <c r="G12" s="21">
        <f t="shared" si="6"/>
        <v>0.247619047619048</v>
      </c>
      <c r="H12" s="18">
        <f>SUM(H6:H11)</f>
        <v>291</v>
      </c>
      <c r="I12" s="19">
        <f t="shared" si="0"/>
        <v>1</v>
      </c>
      <c r="J12" s="20">
        <f t="shared" si="1"/>
        <v>81</v>
      </c>
      <c r="K12" s="26">
        <f t="shared" si="2"/>
        <v>0.385714285714286</v>
      </c>
    </row>
    <row r="37" s="1" customFormat="1" customHeight="1" spans="7:11">
      <c r="G37" s="22"/>
      <c r="H37" s="22"/>
      <c r="I37" s="22"/>
      <c r="J37" s="27"/>
      <c r="K37" s="27"/>
    </row>
    <row r="38" s="1" customFormat="1" customHeight="1" spans="7:11">
      <c r="G38" s="22"/>
      <c r="H38" s="22"/>
      <c r="I38" s="22"/>
      <c r="J38" s="27"/>
      <c r="K38" s="27"/>
    </row>
  </sheetData>
  <mergeCells count="9">
    <mergeCell ref="A1:K1"/>
    <mergeCell ref="A2:K2"/>
    <mergeCell ref="A3:K3"/>
    <mergeCell ref="B4:C4"/>
    <mergeCell ref="D4:G4"/>
    <mergeCell ref="H4:K4"/>
    <mergeCell ref="A4:A5"/>
    <mergeCell ref="J37:K38"/>
    <mergeCell ref="G37:H38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2017-12-19T03:01:00Z</dcterms:created>
  <dcterms:modified xsi:type="dcterms:W3CDTF">2021-05-13T06:18:18Z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03A734155DEE47518E589AE65B3CF2A4</vt:lpwstr>
  </property>
</Properties>
</file>