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Sheet1!$A$1:$P$39</definedName>
  </definedNames>
  <calcPr calcId="144525"/>
</workbook>
</file>

<file path=xl/sharedStrings.xml><?xml version="1.0" encoding="utf-8"?>
<sst xmlns="http://schemas.openxmlformats.org/spreadsheetml/2006/main" count="16" uniqueCount="15">
  <si>
    <t>企业研发成本分析表</t>
  </si>
  <si>
    <t>项目</t>
  </si>
  <si>
    <t>合计</t>
  </si>
  <si>
    <t>占比</t>
  </si>
  <si>
    <t>第一季度</t>
  </si>
  <si>
    <t>第二季度</t>
  </si>
  <si>
    <t>第三季度</t>
  </si>
  <si>
    <t>第四季度</t>
  </si>
  <si>
    <t>材料成本</t>
  </si>
  <si>
    <t>研发费用</t>
  </si>
  <si>
    <t>加工费用</t>
  </si>
  <si>
    <t>测试费用</t>
  </si>
  <si>
    <t>资料费</t>
  </si>
  <si>
    <t>人力费用</t>
  </si>
  <si>
    <t>燃力/动力费用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</si>
</sst>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[DBNum2][$-804]General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Tahoma"/>
      <charset val="134"/>
    </font>
    <font>
      <sz val="11"/>
      <color theme="1"/>
      <name val="思源黑体 CN Heavy"/>
      <charset val="134"/>
    </font>
    <font>
      <sz val="26"/>
      <color theme="1"/>
      <name val="思源黑体 CN Heavy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176" fontId="0" fillId="0" borderId="0"/>
    <xf numFmtId="42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3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1" borderId="14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20" borderId="13" applyNumberFormat="0" applyAlignment="0" applyProtection="0">
      <alignment vertical="center"/>
    </xf>
    <xf numFmtId="0" fontId="17" fillId="20" borderId="15" applyNumberFormat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4">
    <xf numFmtId="176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9" fontId="1" fillId="0" borderId="5" xfId="1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9" fontId="1" fillId="2" borderId="8" xfId="1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思源黑体 CN Heavy" panose="020B0A00000000000000" pitchFamily="34" charset="-122"/>
                <a:ea typeface="思源黑体 CN Heavy" panose="020B0A00000000000000" pitchFamily="34" charset="-122"/>
              </a:rPr>
              <a:t>年度各项费用占比</a:t>
            </a:r>
            <a:endParaRPr lang="zh-CN" altLang="en-US">
              <a:latin typeface="思源黑体 CN Heavy" panose="020B0A00000000000000" pitchFamily="34" charset="-122"/>
              <a:ea typeface="思源黑体 CN Heavy" panose="020B0A00000000000000" pitchFamily="34" charset="-122"/>
            </a:endParaRPr>
          </a:p>
        </c:rich>
      </c:tx>
      <c:layout>
        <c:manualLayout>
          <c:xMode val="edge"/>
          <c:yMode val="edge"/>
          <c:x val="0.279777777777778"/>
          <c:y val="0.027210884353741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9938101487314"/>
          <c:y val="0.200925925925926"/>
          <c:w val="0.448888888888889"/>
          <c:h val="0.748148148148148"/>
        </c:manualLayout>
      </c:layout>
      <c:doughnutChart>
        <c:varyColors val="1"/>
        <c:ser>
          <c:idx val="0"/>
          <c:order val="0"/>
          <c:tx>
            <c:strRef>
              <c:f>"费用占比"</c:f>
              <c:strCache>
                <c:ptCount val="1"/>
                <c:pt idx="0">
                  <c:v>费用占比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0"/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4"/>
            <c:bubble3D val="0"/>
            <c:spPr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6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思源黑体 CN Heavy" panose="020B0A00000000000000" pitchFamily="34" charset="-122"/>
                    <a:ea typeface="思源黑体 CN Heavy" panose="020B0A00000000000000" pitchFamily="34" charset="-122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Sheet1!$B$3:$B$9</c:f>
              <c:strCache>
                <c:ptCount val="7"/>
                <c:pt idx="0">
                  <c:v>材料成本</c:v>
                </c:pt>
                <c:pt idx="1">
                  <c:v>研发费用</c:v>
                </c:pt>
                <c:pt idx="2">
                  <c:v>加工费用</c:v>
                </c:pt>
                <c:pt idx="3">
                  <c:v>测试费用</c:v>
                </c:pt>
                <c:pt idx="4">
                  <c:v>资料费</c:v>
                </c:pt>
                <c:pt idx="5">
                  <c:v>人力费用</c:v>
                </c:pt>
                <c:pt idx="6">
                  <c:v>燃力/动力费用</c:v>
                </c:pt>
              </c:strCache>
            </c:strRef>
          </c:cat>
          <c:val>
            <c:numRef>
              <c:f>Sheet1!$D$3:$D$9</c:f>
              <c:numCache>
                <c:formatCode>0%</c:formatCode>
                <c:ptCount val="7"/>
                <c:pt idx="0">
                  <c:v>0.134979151133571</c:v>
                </c:pt>
                <c:pt idx="1">
                  <c:v>0.0257642283157982</c:v>
                </c:pt>
                <c:pt idx="2">
                  <c:v>0.202971308646066</c:v>
                </c:pt>
                <c:pt idx="3">
                  <c:v>0.302024134979151</c:v>
                </c:pt>
                <c:pt idx="4">
                  <c:v>0.0104492861679507</c:v>
                </c:pt>
                <c:pt idx="5">
                  <c:v>0.292712561787204</c:v>
                </c:pt>
                <c:pt idx="6">
                  <c:v>0.0310993289702593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ln w="19050" cap="flat" cmpd="sng" algn="ctr">
      <a:solidFill>
        <a:srgbClr val="7030A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04921139001271"/>
          <c:y val="0.212651578929992"/>
          <c:w val="0.835162360260523"/>
          <c:h val="0.527935423166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材料成本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Sheet1!$E$3:$H$3</c:f>
              <c:numCache>
                <c:formatCode>General</c:formatCode>
                <c:ptCount val="4"/>
                <c:pt idx="0">
                  <c:v>5000</c:v>
                </c:pt>
                <c:pt idx="1">
                  <c:v>5650</c:v>
                </c:pt>
                <c:pt idx="2">
                  <c:v>6210</c:v>
                </c:pt>
                <c:pt idx="3">
                  <c:v>7580</c:v>
                </c:pt>
              </c:numCache>
            </c:numRef>
          </c:val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研发费用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Sheet1!$E$4:$H$4</c:f>
              <c:numCache>
                <c:formatCode>General</c:formatCode>
                <c:ptCount val="4"/>
                <c:pt idx="0">
                  <c:v>1250</c:v>
                </c:pt>
                <c:pt idx="1">
                  <c:v>1080</c:v>
                </c:pt>
                <c:pt idx="2">
                  <c:v>975</c:v>
                </c:pt>
                <c:pt idx="3">
                  <c:v>1360</c:v>
                </c:pt>
              </c:numCache>
            </c:numRef>
          </c:val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加工费用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Sheet1!$E$5:$H$5</c:f>
              <c:numCache>
                <c:formatCode>General</c:formatCode>
                <c:ptCount val="4"/>
                <c:pt idx="0">
                  <c:v>7500</c:v>
                </c:pt>
                <c:pt idx="1">
                  <c:v>10620</c:v>
                </c:pt>
                <c:pt idx="2">
                  <c:v>9875</c:v>
                </c:pt>
                <c:pt idx="3">
                  <c:v>8756</c:v>
                </c:pt>
              </c:numCache>
            </c:numRef>
          </c:val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测试费用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Sheet1!$E$6:$H$6</c:f>
              <c:numCache>
                <c:formatCode>General</c:formatCode>
                <c:ptCount val="4"/>
                <c:pt idx="0">
                  <c:v>15600</c:v>
                </c:pt>
                <c:pt idx="1">
                  <c:v>16500</c:v>
                </c:pt>
                <c:pt idx="2">
                  <c:v>12800</c:v>
                </c:pt>
                <c:pt idx="3">
                  <c:v>9786</c:v>
                </c:pt>
              </c:numCache>
            </c:numRef>
          </c:val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资料费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Sheet1!$E$7:$H$7</c:f>
              <c:numCache>
                <c:formatCode>General</c:formatCode>
                <c:ptCount val="4"/>
                <c:pt idx="0">
                  <c:v>560</c:v>
                </c:pt>
                <c:pt idx="1">
                  <c:v>678</c:v>
                </c:pt>
                <c:pt idx="2">
                  <c:v>357</c:v>
                </c:pt>
                <c:pt idx="3">
                  <c:v>297</c:v>
                </c:pt>
              </c:numCache>
            </c:numRef>
          </c:val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人力费用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Sheet1!$E$8:$H$8</c:f>
              <c:numCache>
                <c:formatCode>General</c:formatCode>
                <c:ptCount val="4"/>
                <c:pt idx="0">
                  <c:v>10500</c:v>
                </c:pt>
                <c:pt idx="1">
                  <c:v>13200</c:v>
                </c:pt>
                <c:pt idx="2">
                  <c:v>12800</c:v>
                </c:pt>
                <c:pt idx="3">
                  <c:v>16500</c:v>
                </c:pt>
              </c:numCache>
            </c:numRef>
          </c:val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燃力/动力费用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Sheet1!$E$9:$H$9</c:f>
              <c:numCache>
                <c:formatCode>General</c:formatCode>
                <c:ptCount val="4"/>
                <c:pt idx="0">
                  <c:v>1210</c:v>
                </c:pt>
                <c:pt idx="1">
                  <c:v>1320</c:v>
                </c:pt>
                <c:pt idx="2">
                  <c:v>1450</c:v>
                </c:pt>
                <c:pt idx="3">
                  <c:v>1651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03584"/>
        <c:axId val="121605120"/>
      </c:barChart>
      <c:catAx>
        <c:axId val="121603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1605120"/>
        <c:crosses val="autoZero"/>
        <c:auto val="1"/>
        <c:lblAlgn val="ctr"/>
        <c:lblOffset val="100"/>
        <c:noMultiLvlLbl val="0"/>
      </c:catAx>
      <c:valAx>
        <c:axId val="12160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160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491780305239623"/>
          <c:y val="0.850984334505357"/>
          <c:w val="0.866418431029455"/>
          <c:h val="0.14499116855676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/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ln w="19050" cap="flat" cmpd="sng" algn="ctr">
      <a:solidFill>
        <a:srgbClr val="7030A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766185476815"/>
          <c:y val="0.0515111320864072"/>
          <c:w val="0.479706036745407"/>
          <c:h val="0.8173990080892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Sheet1!$B$3:$B$9</c:f>
              <c:strCache>
                <c:ptCount val="7"/>
                <c:pt idx="0">
                  <c:v>材料成本</c:v>
                </c:pt>
                <c:pt idx="1">
                  <c:v>研发费用</c:v>
                </c:pt>
                <c:pt idx="2">
                  <c:v>加工费用</c:v>
                </c:pt>
                <c:pt idx="3">
                  <c:v>测试费用</c:v>
                </c:pt>
                <c:pt idx="4">
                  <c:v>资料费</c:v>
                </c:pt>
                <c:pt idx="5">
                  <c:v>人力费用</c:v>
                </c:pt>
                <c:pt idx="6">
                  <c:v>燃力/动力费用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24440</c:v>
                </c:pt>
                <c:pt idx="1">
                  <c:v>4665</c:v>
                </c:pt>
                <c:pt idx="2">
                  <c:v>36751</c:v>
                </c:pt>
                <c:pt idx="3">
                  <c:v>54686</c:v>
                </c:pt>
                <c:pt idx="4">
                  <c:v>1892</c:v>
                </c:pt>
                <c:pt idx="5">
                  <c:v>53000</c:v>
                </c:pt>
                <c:pt idx="6">
                  <c:v>5631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17024"/>
        <c:axId val="121627008"/>
      </c:barChart>
      <c:catAx>
        <c:axId val="121617024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1627008"/>
        <c:crosses val="autoZero"/>
        <c:auto val="1"/>
        <c:lblAlgn val="ctr"/>
        <c:lblOffset val="100"/>
        <c:noMultiLvlLbl val="0"/>
      </c:catAx>
      <c:valAx>
        <c:axId val="1216270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1617024"/>
        <c:crosses val="autoZero"/>
        <c:crossBetween val="between"/>
      </c:valAx>
    </c:plotArea>
    <c:plotVisOnly val="1"/>
    <c:dispBlanksAs val="gap"/>
    <c:showDLblsOverMax val="0"/>
  </c:chart>
  <c:spPr>
    <a:ln w="19050" cap="flat" cmpd="sng" algn="ctr">
      <a:solidFill>
        <a:srgbClr val="7030A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73527078545234"/>
          <c:y val="0.208618697437595"/>
          <c:w val="0.900995018109783"/>
          <c:h val="0.559763227794724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材料成本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Sheet1!$E$3:$H$3</c:f>
              <c:numCache>
                <c:formatCode>General</c:formatCode>
                <c:ptCount val="4"/>
                <c:pt idx="0">
                  <c:v>5000</c:v>
                </c:pt>
                <c:pt idx="1">
                  <c:v>5650</c:v>
                </c:pt>
                <c:pt idx="2">
                  <c:v>6210</c:v>
                </c:pt>
                <c:pt idx="3">
                  <c:v>7580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研发费用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Sheet1!$E$4:$H$4</c:f>
              <c:numCache>
                <c:formatCode>General</c:formatCode>
                <c:ptCount val="4"/>
                <c:pt idx="0">
                  <c:v>1250</c:v>
                </c:pt>
                <c:pt idx="1">
                  <c:v>1080</c:v>
                </c:pt>
                <c:pt idx="2">
                  <c:v>975</c:v>
                </c:pt>
                <c:pt idx="3">
                  <c:v>1360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加工费用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Sheet1!$E$5:$H$5</c:f>
              <c:numCache>
                <c:formatCode>General</c:formatCode>
                <c:ptCount val="4"/>
                <c:pt idx="0">
                  <c:v>7500</c:v>
                </c:pt>
                <c:pt idx="1">
                  <c:v>10620</c:v>
                </c:pt>
                <c:pt idx="2">
                  <c:v>9875</c:v>
                </c:pt>
                <c:pt idx="3">
                  <c:v>8756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测试费用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Sheet1!$E$6:$H$6</c:f>
              <c:numCache>
                <c:formatCode>General</c:formatCode>
                <c:ptCount val="4"/>
                <c:pt idx="0">
                  <c:v>15600</c:v>
                </c:pt>
                <c:pt idx="1">
                  <c:v>16500</c:v>
                </c:pt>
                <c:pt idx="2">
                  <c:v>12800</c:v>
                </c:pt>
                <c:pt idx="3">
                  <c:v>9786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资料费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Sheet1!$E$7:$H$7</c:f>
              <c:numCache>
                <c:formatCode>General</c:formatCode>
                <c:ptCount val="4"/>
                <c:pt idx="0">
                  <c:v>560</c:v>
                </c:pt>
                <c:pt idx="1">
                  <c:v>678</c:v>
                </c:pt>
                <c:pt idx="2">
                  <c:v>357</c:v>
                </c:pt>
                <c:pt idx="3">
                  <c:v>297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人力费用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Sheet1!$E$8:$H$8</c:f>
              <c:numCache>
                <c:formatCode>General</c:formatCode>
                <c:ptCount val="4"/>
                <c:pt idx="0">
                  <c:v>10500</c:v>
                </c:pt>
                <c:pt idx="1">
                  <c:v>13200</c:v>
                </c:pt>
                <c:pt idx="2">
                  <c:v>12800</c:v>
                </c:pt>
                <c:pt idx="3">
                  <c:v>16500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燃力/动力费用</c:v>
                </c:pt>
              </c:strCache>
            </c:strRef>
          </c:tx>
          <c:dLbls>
            <c:delete val="1"/>
          </c:dLbls>
          <c:cat>
            <c:strRef>
              <c:f>Sheet1!$E$2:$H$2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Sheet1!$E$9:$H$9</c:f>
              <c:numCache>
                <c:formatCode>General</c:formatCode>
                <c:ptCount val="4"/>
                <c:pt idx="0">
                  <c:v>1210</c:v>
                </c:pt>
                <c:pt idx="1">
                  <c:v>1320</c:v>
                </c:pt>
                <c:pt idx="2">
                  <c:v>1450</c:v>
                </c:pt>
                <c:pt idx="3">
                  <c:v>1651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86176"/>
        <c:axId val="122787712"/>
      </c:lineChart>
      <c:catAx>
        <c:axId val="1227861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2787712"/>
        <c:crosses val="autoZero"/>
        <c:auto val="1"/>
        <c:lblAlgn val="ctr"/>
        <c:lblOffset val="100"/>
        <c:noMultiLvlLbl val="0"/>
      </c:catAx>
      <c:valAx>
        <c:axId val="12278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思源黑体 CN Heavy" panose="020B0A00000000000000" pitchFamily="34" charset="-122"/>
                <a:ea typeface="思源黑体 CN Heavy" panose="020B0A00000000000000" pitchFamily="34" charset="-122"/>
                <a:cs typeface="+mn-cs"/>
              </a:defRPr>
            </a:pPr>
          </a:p>
        </c:txPr>
        <c:crossAx val="1227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640644789867588"/>
          <c:y val="0.883222435033459"/>
          <c:w val="0.745952792170409"/>
          <c:h val="0.11443601081396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  <a:cs typeface="+mn-cs"/>
            </a:defRPr>
          </a:pPr>
        </a:p>
      </c:txPr>
    </c:legend>
    <c:plotVisOnly val="1"/>
    <c:dispBlanksAs val="gap"/>
    <c:showDLblsOverMax val="0"/>
  </c:chart>
  <c:spPr>
    <a:ln w="19050" cap="flat" cmpd="sng" algn="ctr">
      <a:solidFill>
        <a:srgbClr val="7030A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>
      <xdr:nvSpPr>
        <xdr:cNvPr id="6" name="TextBox 5"/>
        <xdr:cNvSpPr txBox="1"/>
      </xdr:nvSpPr>
      <xdr:spPr>
        <a:xfrm>
          <a:off x="0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>
      <xdr:nvSpPr>
        <xdr:cNvPr id="8" name="TextBox 7"/>
        <xdr:cNvSpPr txBox="1"/>
      </xdr:nvSpPr>
      <xdr:spPr>
        <a:xfrm>
          <a:off x="0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8</xdr:col>
      <xdr:colOff>66675</xdr:colOff>
      <xdr:row>1</xdr:row>
      <xdr:rowOff>9524</xdr:rowOff>
    </xdr:from>
    <xdr:to>
      <xdr:col>14</xdr:col>
      <xdr:colOff>523875</xdr:colOff>
      <xdr:row>10</xdr:row>
      <xdr:rowOff>9524</xdr:rowOff>
    </xdr:to>
    <xdr:graphicFrame>
      <xdr:nvGraphicFramePr>
        <xdr:cNvPr id="12" name="图表 11"/>
        <xdr:cNvGraphicFramePr/>
      </xdr:nvGraphicFramePr>
      <xdr:xfrm>
        <a:off x="6696075" y="589915"/>
        <a:ext cx="4572000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114301</xdr:colOff>
      <xdr:row>10</xdr:row>
      <xdr:rowOff>133350</xdr:rowOff>
    </xdr:from>
    <xdr:to>
      <xdr:col>8</xdr:col>
      <xdr:colOff>9525</xdr:colOff>
      <xdr:row>23</xdr:row>
      <xdr:rowOff>66675</xdr:rowOff>
    </xdr:to>
    <xdr:graphicFrame>
      <xdr:nvGraphicFramePr>
        <xdr:cNvPr id="13" name="图表 12"/>
        <xdr:cNvGraphicFramePr/>
      </xdr:nvGraphicFramePr>
      <xdr:xfrm>
        <a:off x="114300" y="3543300"/>
        <a:ext cx="6524625" cy="302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209550</xdr:colOff>
      <xdr:row>10</xdr:row>
      <xdr:rowOff>180975</xdr:rowOff>
    </xdr:from>
    <xdr:ext cx="2031325" cy="536429"/>
    <xdr:sp>
      <xdr:nvSpPr>
        <xdr:cNvPr id="14" name="TextBox 13"/>
        <xdr:cNvSpPr txBox="1"/>
      </xdr:nvSpPr>
      <xdr:spPr>
        <a:xfrm>
          <a:off x="2314575" y="3590925"/>
          <a:ext cx="2030730" cy="535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18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研发费用成本分析</a:t>
          </a:r>
          <a:endParaRPr lang="zh-CN" altLang="en-US" sz="18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xdr:txBody>
    </xdr:sp>
    <xdr:clientData/>
  </xdr:oneCellAnchor>
  <xdr:twoCellAnchor>
    <xdr:from>
      <xdr:col>8</xdr:col>
      <xdr:colOff>57150</xdr:colOff>
      <xdr:row>10</xdr:row>
      <xdr:rowOff>123824</xdr:rowOff>
    </xdr:from>
    <xdr:to>
      <xdr:col>14</xdr:col>
      <xdr:colOff>514350</xdr:colOff>
      <xdr:row>23</xdr:row>
      <xdr:rowOff>66675</xdr:rowOff>
    </xdr:to>
    <xdr:graphicFrame>
      <xdr:nvGraphicFramePr>
        <xdr:cNvPr id="10" name="图表 9"/>
        <xdr:cNvGraphicFramePr/>
      </xdr:nvGraphicFramePr>
      <xdr:xfrm>
        <a:off x="6686550" y="3533140"/>
        <a:ext cx="4572000" cy="3039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507168</xdr:colOff>
      <xdr:row>10</xdr:row>
      <xdr:rowOff>190500</xdr:rowOff>
    </xdr:from>
    <xdr:ext cx="583237" cy="3028950"/>
    <xdr:sp>
      <xdr:nvSpPr>
        <xdr:cNvPr id="15" name="TextBox 14"/>
        <xdr:cNvSpPr txBox="1"/>
      </xdr:nvSpPr>
      <xdr:spPr>
        <a:xfrm>
          <a:off x="10565130" y="3600450"/>
          <a:ext cx="583565" cy="3028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vert="wordArtVertRtl" wrap="square" rtlCol="0" anchor="t">
          <a:noAutofit/>
        </a:bodyPr>
        <a:lstStyle/>
        <a:p>
          <a:r>
            <a:rPr lang="zh-CN" altLang="en-US" sz="16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年度各项费用分布</a:t>
          </a:r>
          <a:endParaRPr lang="zh-CN" altLang="en-US" sz="16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xdr:txBody>
    </xdr:sp>
    <xdr:clientData/>
  </xdr:oneCellAnchor>
  <xdr:twoCellAnchor>
    <xdr:from>
      <xdr:col>0</xdr:col>
      <xdr:colOff>104774</xdr:colOff>
      <xdr:row>23</xdr:row>
      <xdr:rowOff>161924</xdr:rowOff>
    </xdr:from>
    <xdr:to>
      <xdr:col>14</xdr:col>
      <xdr:colOff>514349</xdr:colOff>
      <xdr:row>37</xdr:row>
      <xdr:rowOff>228600</xdr:rowOff>
    </xdr:to>
    <xdr:graphicFrame>
      <xdr:nvGraphicFramePr>
        <xdr:cNvPr id="16" name="图表 15"/>
        <xdr:cNvGraphicFramePr/>
      </xdr:nvGraphicFramePr>
      <xdr:xfrm>
        <a:off x="104140" y="6666865"/>
        <a:ext cx="11153775" cy="3401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733425</xdr:colOff>
      <xdr:row>23</xdr:row>
      <xdr:rowOff>180975</xdr:rowOff>
    </xdr:from>
    <xdr:ext cx="1723549" cy="585801"/>
    <xdr:sp>
      <xdr:nvSpPr>
        <xdr:cNvPr id="17" name="TextBox 16"/>
        <xdr:cNvSpPr txBox="1"/>
      </xdr:nvSpPr>
      <xdr:spPr>
        <a:xfrm>
          <a:off x="4648200" y="6686550"/>
          <a:ext cx="1723390" cy="585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zh-CN" altLang="en-US" sz="2000">
              <a:latin typeface="思源黑体 CN Heavy" panose="020B0A00000000000000" pitchFamily="34" charset="-122"/>
              <a:ea typeface="思源黑体 CN Heavy" panose="020B0A00000000000000" pitchFamily="34" charset="-122"/>
            </a:rPr>
            <a:t>季度费用趋势</a:t>
          </a:r>
          <a:endParaRPr lang="zh-CN" altLang="en-US" sz="2000">
            <a:latin typeface="思源黑体 CN Heavy" panose="020B0A00000000000000" pitchFamily="34" charset="-122"/>
            <a:ea typeface="思源黑体 CN Heavy" panose="020B0A00000000000000" pitchFamily="3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0"/>
  <sheetViews>
    <sheetView showGridLines="0" tabSelected="1" topLeftCell="A13" workbookViewId="0">
      <selection activeCell="T11" sqref="T11"/>
    </sheetView>
  </sheetViews>
  <sheetFormatPr defaultColWidth="9" defaultRowHeight="18.75"/>
  <cols>
    <col min="1" max="1" width="1.625" style="1" customWidth="1"/>
    <col min="2" max="2" width="14.125" style="1" customWidth="1"/>
    <col min="3" max="8" width="11.875" style="1" customWidth="1"/>
    <col min="9" max="14" width="9" style="1"/>
    <col min="15" max="15" width="7.125" style="1" customWidth="1"/>
    <col min="16" max="16" width="2.375" style="1" customWidth="1"/>
    <col min="17" max="16384" width="9" style="1"/>
  </cols>
  <sheetData>
    <row r="1" ht="45.75" customHeight="1" spans="2:1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4.75" customHeight="1" spans="2:8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ht="24.75" customHeight="1" spans="2:8">
      <c r="B3" s="6" t="s">
        <v>8</v>
      </c>
      <c r="C3" s="7">
        <f>SUM(E3:H3)</f>
        <v>24440</v>
      </c>
      <c r="D3" s="8">
        <f>C3/$C$10</f>
        <v>0.134979151133571</v>
      </c>
      <c r="E3" s="7">
        <v>5000</v>
      </c>
      <c r="F3" s="7">
        <v>5650</v>
      </c>
      <c r="G3" s="7">
        <v>6210</v>
      </c>
      <c r="H3" s="9">
        <v>7580</v>
      </c>
    </row>
    <row r="4" ht="24.75" customHeight="1" spans="2:8">
      <c r="B4" s="6" t="s">
        <v>9</v>
      </c>
      <c r="C4" s="7">
        <f t="shared" ref="C4:C9" si="0">SUM(E4:H4)</f>
        <v>4665</v>
      </c>
      <c r="D4" s="8">
        <f t="shared" ref="D4:D10" si="1">C4/$C$10</f>
        <v>0.0257642283157982</v>
      </c>
      <c r="E4" s="7">
        <v>1250</v>
      </c>
      <c r="F4" s="7">
        <v>1080</v>
      </c>
      <c r="G4" s="7">
        <v>975</v>
      </c>
      <c r="H4" s="9">
        <v>1360</v>
      </c>
    </row>
    <row r="5" ht="24.75" customHeight="1" spans="2:8">
      <c r="B5" s="6" t="s">
        <v>10</v>
      </c>
      <c r="C5" s="7">
        <f t="shared" si="0"/>
        <v>36751</v>
      </c>
      <c r="D5" s="8">
        <f t="shared" si="1"/>
        <v>0.202971308646066</v>
      </c>
      <c r="E5" s="7">
        <v>7500</v>
      </c>
      <c r="F5" s="7">
        <v>10620</v>
      </c>
      <c r="G5" s="7">
        <v>9875</v>
      </c>
      <c r="H5" s="9">
        <v>8756</v>
      </c>
    </row>
    <row r="6" ht="24.75" customHeight="1" spans="2:8">
      <c r="B6" s="6" t="s">
        <v>11</v>
      </c>
      <c r="C6" s="7">
        <f t="shared" si="0"/>
        <v>54686</v>
      </c>
      <c r="D6" s="8">
        <f t="shared" si="1"/>
        <v>0.302024134979151</v>
      </c>
      <c r="E6" s="7">
        <v>15600</v>
      </c>
      <c r="F6" s="7">
        <v>16500</v>
      </c>
      <c r="G6" s="7">
        <v>12800</v>
      </c>
      <c r="H6" s="9">
        <v>9786</v>
      </c>
    </row>
    <row r="7" ht="24.75" customHeight="1" spans="2:8">
      <c r="B7" s="6" t="s">
        <v>12</v>
      </c>
      <c r="C7" s="7">
        <f t="shared" si="0"/>
        <v>1892</v>
      </c>
      <c r="D7" s="8">
        <f t="shared" si="1"/>
        <v>0.0104492861679507</v>
      </c>
      <c r="E7" s="7">
        <v>560</v>
      </c>
      <c r="F7" s="7">
        <v>678</v>
      </c>
      <c r="G7" s="7">
        <v>357</v>
      </c>
      <c r="H7" s="9">
        <v>297</v>
      </c>
    </row>
    <row r="8" ht="24.75" customHeight="1" spans="2:8">
      <c r="B8" s="6" t="s">
        <v>13</v>
      </c>
      <c r="C8" s="7">
        <f t="shared" si="0"/>
        <v>53000</v>
      </c>
      <c r="D8" s="8">
        <f t="shared" si="1"/>
        <v>0.292712561787204</v>
      </c>
      <c r="E8" s="7">
        <v>10500</v>
      </c>
      <c r="F8" s="7">
        <v>13200</v>
      </c>
      <c r="G8" s="7">
        <v>12800</v>
      </c>
      <c r="H8" s="9">
        <v>16500</v>
      </c>
    </row>
    <row r="9" ht="24.75" customHeight="1" spans="2:8">
      <c r="B9" s="6" t="s">
        <v>14</v>
      </c>
      <c r="C9" s="7">
        <f t="shared" si="0"/>
        <v>5631</v>
      </c>
      <c r="D9" s="8">
        <f t="shared" si="1"/>
        <v>0.0310993289702593</v>
      </c>
      <c r="E9" s="7">
        <v>1210</v>
      </c>
      <c r="F9" s="7">
        <v>1320</v>
      </c>
      <c r="G9" s="7">
        <v>1450</v>
      </c>
      <c r="H9" s="9">
        <v>1651</v>
      </c>
    </row>
    <row r="10" ht="24.75" customHeight="1" spans="2:8">
      <c r="B10" s="10" t="s">
        <v>2</v>
      </c>
      <c r="C10" s="11">
        <f>SUM(C3:C9)</f>
        <v>181065</v>
      </c>
      <c r="D10" s="12">
        <f t="shared" si="1"/>
        <v>1</v>
      </c>
      <c r="E10" s="11">
        <f t="shared" ref="E10:H10" si="2">SUM(E3:E9)</f>
        <v>41620</v>
      </c>
      <c r="F10" s="11">
        <f t="shared" si="2"/>
        <v>49048</v>
      </c>
      <c r="G10" s="11">
        <f t="shared" si="2"/>
        <v>44467</v>
      </c>
      <c r="H10" s="13">
        <f t="shared" si="2"/>
        <v>45930</v>
      </c>
    </row>
  </sheetData>
  <mergeCells count="1">
    <mergeCell ref="B1:O1"/>
  </mergeCells>
  <printOptions horizontalCentered="1"/>
  <pageMargins left="0.393700787401575" right="0.393700787401575" top="0.393700787401575" bottom="0.393700787401575" header="0" footer="0"/>
  <pageSetup paperSize="9" scale="6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海神设计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39企业研发成本分析表</dc:title>
  <dc:creator>胡海麟</dc:creator>
  <cp:lastModifiedBy>陈东捷</cp:lastModifiedBy>
  <dcterms:created xsi:type="dcterms:W3CDTF">2008-09-11T17:22:00Z</dcterms:created>
  <cp:lastPrinted>2020-09-11T09:35:00Z</cp:lastPrinted>
  <dcterms:modified xsi:type="dcterms:W3CDTF">2021-05-13T06:13:27Z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F0C6B35225EF42F6A8A1440AA46B4EF2</vt:lpwstr>
  </property>
</Properties>
</file>