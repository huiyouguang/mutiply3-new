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<sst xmlns="http://schemas.openxmlformats.org/spreadsheetml/2006/main" count="27" uniqueCount="26">
  <si>
    <t>年度差旅费财务分析表</t>
  </si>
  <si>
    <t>年度：20**年</t>
  </si>
  <si>
    <t>单位：元</t>
  </si>
  <si>
    <t>月份</t>
  </si>
  <si>
    <t>预算金额</t>
  </si>
  <si>
    <t>报销金额</t>
  </si>
  <si>
    <t>标准金额</t>
  </si>
  <si>
    <t>预算比例</t>
  </si>
  <si>
    <t>超标比例</t>
  </si>
  <si>
    <t>备注</t>
  </si>
  <si>
    <t>1月</t>
  </si>
  <si>
    <t>2月</t>
  </si>
  <si>
    <t>3月</t>
  </si>
  <si>
    <t>4月</t>
  </si>
  <si>
    <t>5月</t>
  </si>
  <si>
    <t>6月</t>
  </si>
  <si>
    <t>年度预算金额</t>
  </si>
  <si>
    <t>7月</t>
  </si>
  <si>
    <t>8月</t>
  </si>
  <si>
    <t>9月</t>
  </si>
  <si>
    <t>10月</t>
  </si>
  <si>
    <t>11月</t>
  </si>
  <si>
    <t>12月</t>
  </si>
  <si>
    <t>年度超标金额</t>
  </si>
  <si>
    <t>合计</t>
  </si>
  <si>
    <t>编制人：            审核人：</t>
  </si>
</sst>
</file>

<file path=xl/styles.xml><?xml version="1.0" encoding="utf-8"?>
<styleSheet xmlns="http://schemas.openxmlformats.org/spreadsheetml/2006/main">
  <numFmts count="6">
    <numFmt numFmtId="176" formatCode="0.0%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7" formatCode="&quot;￥&quot;#,##0.00;&quot;￥&quot;\-#,##0.00"/>
  </numFmts>
  <fonts count="26">
    <font>
      <sz val="11"/>
      <color theme="1"/>
      <name val="宋体"/>
      <charset val="134"/>
      <scheme val="minor"/>
    </font>
    <font>
      <sz val="26"/>
      <color theme="1"/>
      <name val="黑体"/>
      <charset val="134"/>
    </font>
    <font>
      <sz val="12"/>
      <color theme="1"/>
      <name val="黑体"/>
      <charset val="134"/>
    </font>
    <font>
      <b/>
      <sz val="18"/>
      <color rgb="FFF69C0E"/>
      <name val="黑体"/>
      <charset val="134"/>
    </font>
    <font>
      <sz val="14"/>
      <color theme="1"/>
      <name val="黑体"/>
      <charset val="134"/>
    </font>
    <font>
      <sz val="11"/>
      <color theme="1" tint="0.249977111117893"/>
      <name val="黑体"/>
      <charset val="134"/>
    </font>
    <font>
      <sz val="14"/>
      <color rgb="FFF69C0E"/>
      <name val="黑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theme="1" tint="0.5"/>
      </bottom>
      <diagonal/>
    </border>
    <border>
      <left style="thin">
        <color theme="1" tint="0.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/>
      <bottom style="thin">
        <color theme="0" tint="-0.25"/>
      </bottom>
      <diagonal/>
    </border>
    <border>
      <left style="thin">
        <color theme="0" tint="-0.25"/>
      </left>
      <right style="thin">
        <color theme="1" tint="0.5"/>
      </right>
      <top/>
      <bottom style="thin">
        <color theme="0" tint="-0.25"/>
      </bottom>
      <diagonal/>
    </border>
    <border>
      <left style="thin">
        <color theme="1" tint="0.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1" tint="0.5"/>
      </right>
      <top style="thin">
        <color theme="0" tint="-0.25"/>
      </top>
      <bottom style="thin">
        <color theme="0" tint="-0.25"/>
      </bottom>
      <diagonal/>
    </border>
    <border>
      <left/>
      <right/>
      <top style="double">
        <color theme="7" tint="0.6"/>
      </top>
      <bottom/>
      <diagonal/>
    </border>
    <border>
      <left style="thin">
        <color theme="1" tint="0.5"/>
      </left>
      <right style="thin">
        <color theme="0" tint="-0.25"/>
      </right>
      <top style="thin">
        <color theme="0" tint="-0.25"/>
      </top>
      <bottom style="thin">
        <color theme="1" tint="0.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1" tint="0.5"/>
      </bottom>
      <diagonal/>
    </border>
    <border>
      <left style="thin">
        <color theme="0" tint="-0.25"/>
      </left>
      <right style="thin">
        <color theme="1" tint="0.5"/>
      </right>
      <top style="thin">
        <color theme="0" tint="-0.25"/>
      </top>
      <bottom style="thin">
        <color theme="1" tint="0.5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9" fillId="13" borderId="1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18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5" fillId="6" borderId="19" applyNumberFormat="0" applyAlignment="0" applyProtection="0">
      <alignment vertical="center"/>
    </xf>
    <xf numFmtId="0" fontId="11" fillId="6" borderId="13" applyNumberFormat="0" applyAlignment="0" applyProtection="0">
      <alignment vertical="center"/>
    </xf>
    <xf numFmtId="0" fontId="20" fillId="16" borderId="17" applyNumberFormat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7" fontId="3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9C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  <a:r>
              <a:rPr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rPr>
              <a:t>年度报销金额</a:t>
            </a:r>
            <a:endParaRPr>
              <a:latin typeface="黑体" panose="02010609060101010101" charset="-122"/>
              <a:ea typeface="黑体" panose="02010609060101010101" charset="-122"/>
              <a:cs typeface="黑体" panose="02010609060101010101" charset="-122"/>
              <a:sym typeface="黑体" panose="02010609060101010101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69C0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黑体" panose="02010609060101010101" charset="-122"/>
                    <a:ea typeface="黑体" panose="02010609060101010101" charset="-122"/>
                    <a:cs typeface="黑体" panose="02010609060101010101" charset="-122"/>
                    <a:sym typeface="黑体" panose="02010609060101010101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Sheet1!$A$4:$A$15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Sheet1!$C$4:$C$15</c:f>
              <c:numCache>
                <c:formatCode>General</c:formatCode>
                <c:ptCount val="12"/>
                <c:pt idx="0">
                  <c:v>10000</c:v>
                </c:pt>
                <c:pt idx="1">
                  <c:v>10000</c:v>
                </c:pt>
                <c:pt idx="2">
                  <c:v>20000</c:v>
                </c:pt>
                <c:pt idx="3">
                  <c:v>30000</c:v>
                </c:pt>
                <c:pt idx="4">
                  <c:v>35000</c:v>
                </c:pt>
                <c:pt idx="5">
                  <c:v>37000</c:v>
                </c:pt>
                <c:pt idx="6">
                  <c:v>50000</c:v>
                </c:pt>
                <c:pt idx="7">
                  <c:v>40000</c:v>
                </c:pt>
                <c:pt idx="8">
                  <c:v>42000</c:v>
                </c:pt>
                <c:pt idx="9">
                  <c:v>25000</c:v>
                </c:pt>
                <c:pt idx="10">
                  <c:v>25000</c:v>
                </c:pt>
                <c:pt idx="11">
                  <c:v>27000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4397723"/>
        <c:axId val="868814552"/>
      </c:barChart>
      <c:catAx>
        <c:axId val="5243977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868814552"/>
        <c:crosses val="autoZero"/>
        <c:auto val="1"/>
        <c:lblAlgn val="ctr"/>
        <c:lblOffset val="100"/>
        <c:noMultiLvlLbl val="0"/>
      </c:catAx>
      <c:valAx>
        <c:axId val="86881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charset="-122"/>
                <a:ea typeface="黑体" panose="02010609060101010101" charset="-122"/>
                <a:cs typeface="黑体" panose="02010609060101010101" charset="-122"/>
                <a:sym typeface="黑体" panose="02010609060101010101" charset="-122"/>
              </a:defRPr>
            </a:pPr>
          </a:p>
        </c:txPr>
        <c:crossAx val="5243977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>
          <a:latin typeface="黑体" panose="02010609060101010101" charset="-122"/>
          <a:ea typeface="黑体" panose="02010609060101010101" charset="-122"/>
          <a:cs typeface="黑体" panose="02010609060101010101" charset="-122"/>
          <a:sym typeface="黑体" panose="02010609060101010101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190500</xdr:colOff>
      <xdr:row>9</xdr:row>
      <xdr:rowOff>0</xdr:rowOff>
    </xdr:from>
    <xdr:to>
      <xdr:col>7</xdr:col>
      <xdr:colOff>847725</xdr:colOff>
      <xdr:row>10</xdr:row>
      <xdr:rowOff>266065</xdr:rowOff>
    </xdr:to>
    <xdr:pic>
      <xdr:nvPicPr>
        <xdr:cNvPr id="4" name="图片 3" descr="C:/Users/asus/AppData/Local/Temp/picturescale_20201126195127/output_20201126195129.pngoutput_20201126195129"/>
        <xdr:cNvPicPr>
          <a:picLocks noChangeAspect="1"/>
        </xdr:cNvPicPr>
      </xdr:nvPicPr>
      <xdr:blipFill>
        <a:blip r:embed="rId2"/>
        <a:srcRect l="6878" t="15344" r="8466" b="10053"/>
        <a:stretch>
          <a:fillRect/>
        </a:stretch>
      </xdr:blipFill>
      <xdr:spPr>
        <a:xfrm>
          <a:off x="5553075" y="3225800"/>
          <a:ext cx="657225" cy="57086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12</xdr:row>
      <xdr:rowOff>0</xdr:rowOff>
    </xdr:from>
    <xdr:to>
      <xdr:col>7</xdr:col>
      <xdr:colOff>847725</xdr:colOff>
      <xdr:row>13</xdr:row>
      <xdr:rowOff>266065</xdr:rowOff>
    </xdr:to>
    <xdr:pic>
      <xdr:nvPicPr>
        <xdr:cNvPr id="5" name="图片 4" descr="C:/Users/asus/AppData/Local/Temp/picturescale_20201126195127/output_20201126195129.pngoutput_20201126195129"/>
        <xdr:cNvPicPr>
          <a:picLocks noChangeAspect="1"/>
        </xdr:cNvPicPr>
      </xdr:nvPicPr>
      <xdr:blipFill>
        <a:blip r:embed="rId2"/>
        <a:srcRect l="6878" t="15344" r="8466" b="10053"/>
        <a:stretch>
          <a:fillRect/>
        </a:stretch>
      </xdr:blipFill>
      <xdr:spPr>
        <a:xfrm>
          <a:off x="5553075" y="4140200"/>
          <a:ext cx="657225" cy="57086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6</xdr:row>
      <xdr:rowOff>0</xdr:rowOff>
    </xdr:from>
    <xdr:to>
      <xdr:col>7</xdr:col>
      <xdr:colOff>847725</xdr:colOff>
      <xdr:row>7</xdr:row>
      <xdr:rowOff>266065</xdr:rowOff>
    </xdr:to>
    <xdr:pic>
      <xdr:nvPicPr>
        <xdr:cNvPr id="6" name="图片 5" descr="C:/Users/asus/AppData/Local/Temp/picturescale_20201126195127/output_20201126195129.pngoutput_20201126195129"/>
        <xdr:cNvPicPr>
          <a:picLocks noChangeAspect="1"/>
        </xdr:cNvPicPr>
      </xdr:nvPicPr>
      <xdr:blipFill>
        <a:blip r:embed="rId2"/>
        <a:srcRect l="6878" t="15344" r="8466" b="10053"/>
        <a:stretch>
          <a:fillRect/>
        </a:stretch>
      </xdr:blipFill>
      <xdr:spPr>
        <a:xfrm>
          <a:off x="5553075" y="2311400"/>
          <a:ext cx="657225" cy="570865"/>
        </a:xfrm>
        <a:prstGeom prst="rect">
          <a:avLst/>
        </a:prstGeom>
      </xdr:spPr>
    </xdr:pic>
    <xdr:clientData/>
  </xdr:twoCellAnchor>
  <xdr:twoCellAnchor>
    <xdr:from>
      <xdr:col>7</xdr:col>
      <xdr:colOff>18415</xdr:colOff>
      <xdr:row>0</xdr:row>
      <xdr:rowOff>22225</xdr:rowOff>
    </xdr:from>
    <xdr:to>
      <xdr:col>10</xdr:col>
      <xdr:colOff>946785</xdr:colOff>
      <xdr:row>5</xdr:row>
      <xdr:rowOff>264160</xdr:rowOff>
    </xdr:to>
    <xdr:graphicFrame>
      <xdr:nvGraphicFramePr>
        <xdr:cNvPr id="7" name="图表 6"/>
        <xdr:cNvGraphicFramePr/>
      </xdr:nvGraphicFramePr>
      <xdr:xfrm>
        <a:off x="5380990" y="22225"/>
        <a:ext cx="3814445" cy="22485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tabSelected="1" workbookViewId="0">
      <selection activeCell="G21" sqref="G21"/>
    </sheetView>
  </sheetViews>
  <sheetFormatPr defaultColWidth="12.625" defaultRowHeight="30" customHeight="1"/>
  <cols>
    <col min="1" max="1" width="6.625" style="2" customWidth="1"/>
    <col min="2" max="4" width="10.625" style="2" customWidth="1"/>
    <col min="5" max="6" width="10.625" style="3" customWidth="1"/>
    <col min="7" max="7" width="10.625" style="2" customWidth="1"/>
    <col min="8" max="16384" width="12.625" style="2" customWidth="1"/>
  </cols>
  <sheetData>
    <row r="1" s="1" customFormat="1" ht="50" customHeight="1" spans="1:11">
      <c r="A1" s="1" t="s">
        <v>0</v>
      </c>
      <c r="E1" s="4"/>
      <c r="F1" s="4"/>
      <c r="H1" s="5"/>
      <c r="I1" s="5"/>
      <c r="J1" s="5"/>
      <c r="K1" s="5"/>
    </row>
    <row r="2" customHeight="1" spans="1:11">
      <c r="A2" s="6" t="s">
        <v>1</v>
      </c>
      <c r="B2" s="6"/>
      <c r="C2" s="6"/>
      <c r="D2" s="7"/>
      <c r="E2" s="8"/>
      <c r="F2" s="8" t="s">
        <v>2</v>
      </c>
      <c r="G2" s="7"/>
      <c r="H2" s="9"/>
      <c r="I2" s="9"/>
      <c r="J2" s="9"/>
      <c r="K2" s="9"/>
    </row>
    <row r="3" customHeight="1" spans="1:11">
      <c r="A3" s="10" t="s">
        <v>3</v>
      </c>
      <c r="B3" s="11" t="s">
        <v>4</v>
      </c>
      <c r="C3" s="11" t="s">
        <v>5</v>
      </c>
      <c r="D3" s="11" t="s">
        <v>6</v>
      </c>
      <c r="E3" s="12" t="s">
        <v>7</v>
      </c>
      <c r="F3" s="12" t="s">
        <v>8</v>
      </c>
      <c r="G3" s="13" t="s">
        <v>9</v>
      </c>
      <c r="H3" s="14"/>
      <c r="I3" s="14"/>
      <c r="J3" s="14"/>
      <c r="K3" s="14"/>
    </row>
    <row r="4" ht="24" customHeight="1" spans="1:7">
      <c r="A4" s="15" t="s">
        <v>10</v>
      </c>
      <c r="B4" s="16">
        <v>50000</v>
      </c>
      <c r="C4" s="17">
        <v>10000</v>
      </c>
      <c r="D4" s="16">
        <v>10000</v>
      </c>
      <c r="E4" s="18">
        <f>IFERROR(C4/B4,0)</f>
        <v>0.2</v>
      </c>
      <c r="F4" s="18">
        <f>IFERROR(IF(D4&gt;C4,0,(C4-D4)/D4),0)</f>
        <v>0</v>
      </c>
      <c r="G4" s="19"/>
    </row>
    <row r="5" ht="24" customHeight="1" spans="1:7">
      <c r="A5" s="15" t="s">
        <v>11</v>
      </c>
      <c r="B5" s="16">
        <v>50000</v>
      </c>
      <c r="C5" s="17">
        <v>10000</v>
      </c>
      <c r="D5" s="16">
        <v>10000</v>
      </c>
      <c r="E5" s="18">
        <f t="shared" ref="E5:E16" si="0">IFERROR(C5/B5,0)</f>
        <v>0.2</v>
      </c>
      <c r="F5" s="18">
        <f t="shared" ref="F5:F16" si="1">IFERROR(IF(D5&gt;C5,0,(C5-D5)/D5),0)</f>
        <v>0</v>
      </c>
      <c r="G5" s="19"/>
    </row>
    <row r="6" ht="24" customHeight="1" spans="1:7">
      <c r="A6" s="15" t="s">
        <v>12</v>
      </c>
      <c r="B6" s="16">
        <v>50000</v>
      </c>
      <c r="C6" s="17">
        <v>20000</v>
      </c>
      <c r="D6" s="16">
        <v>18000</v>
      </c>
      <c r="E6" s="18">
        <f t="shared" si="0"/>
        <v>0.4</v>
      </c>
      <c r="F6" s="18">
        <f t="shared" si="1"/>
        <v>0.111111111111111</v>
      </c>
      <c r="G6" s="19"/>
    </row>
    <row r="7" ht="24" customHeight="1" spans="1:11">
      <c r="A7" s="15" t="s">
        <v>13</v>
      </c>
      <c r="B7" s="16">
        <v>50000</v>
      </c>
      <c r="C7" s="17">
        <v>30000</v>
      </c>
      <c r="D7" s="16">
        <v>28000</v>
      </c>
      <c r="E7" s="18">
        <f t="shared" si="0"/>
        <v>0.6</v>
      </c>
      <c r="F7" s="18">
        <f t="shared" si="1"/>
        <v>0.0714285714285714</v>
      </c>
      <c r="G7" s="19"/>
      <c r="H7" s="5">
        <f>SUM(C4:C15)</f>
        <v>351000</v>
      </c>
      <c r="I7" s="5"/>
      <c r="J7" s="5"/>
      <c r="K7" s="5"/>
    </row>
    <row r="8" ht="24" customHeight="1" spans="1:11">
      <c r="A8" s="15" t="s">
        <v>14</v>
      </c>
      <c r="B8" s="16">
        <v>50000</v>
      </c>
      <c r="C8" s="17">
        <v>35000</v>
      </c>
      <c r="D8" s="16">
        <v>32000</v>
      </c>
      <c r="E8" s="18">
        <f t="shared" si="0"/>
        <v>0.7</v>
      </c>
      <c r="F8" s="18">
        <f t="shared" si="1"/>
        <v>0.09375</v>
      </c>
      <c r="G8" s="19"/>
      <c r="H8" s="5"/>
      <c r="I8" s="5"/>
      <c r="J8" s="5"/>
      <c r="K8" s="5"/>
    </row>
    <row r="9" ht="24" customHeight="1" spans="1:11">
      <c r="A9" s="15" t="s">
        <v>15</v>
      </c>
      <c r="B9" s="16">
        <v>50000</v>
      </c>
      <c r="C9" s="17">
        <v>37000</v>
      </c>
      <c r="D9" s="16">
        <v>35000</v>
      </c>
      <c r="E9" s="18">
        <f t="shared" si="0"/>
        <v>0.74</v>
      </c>
      <c r="F9" s="18">
        <f t="shared" si="1"/>
        <v>0.0571428571428571</v>
      </c>
      <c r="G9" s="19"/>
      <c r="H9" s="20" t="s">
        <v>16</v>
      </c>
      <c r="I9" s="20"/>
      <c r="J9" s="20"/>
      <c r="K9" s="20"/>
    </row>
    <row r="10" ht="24" customHeight="1" spans="1:11">
      <c r="A10" s="15" t="s">
        <v>17</v>
      </c>
      <c r="B10" s="16">
        <v>50000</v>
      </c>
      <c r="C10" s="17">
        <v>50000</v>
      </c>
      <c r="D10" s="16">
        <v>50000</v>
      </c>
      <c r="E10" s="18">
        <f t="shared" si="0"/>
        <v>1</v>
      </c>
      <c r="F10" s="18">
        <f t="shared" si="1"/>
        <v>0</v>
      </c>
      <c r="G10" s="19"/>
      <c r="H10" s="5">
        <f>SUM(B4:B15)</f>
        <v>600000</v>
      </c>
      <c r="I10" s="5"/>
      <c r="J10" s="5"/>
      <c r="K10" s="5"/>
    </row>
    <row r="11" ht="24" customHeight="1" spans="1:11">
      <c r="A11" s="15" t="s">
        <v>18</v>
      </c>
      <c r="B11" s="16">
        <v>50000</v>
      </c>
      <c r="C11" s="17">
        <v>40000</v>
      </c>
      <c r="D11" s="16">
        <v>40000</v>
      </c>
      <c r="E11" s="18">
        <f t="shared" si="0"/>
        <v>0.8</v>
      </c>
      <c r="F11" s="18">
        <f t="shared" si="1"/>
        <v>0</v>
      </c>
      <c r="G11" s="19"/>
      <c r="H11" s="5"/>
      <c r="I11" s="5"/>
      <c r="J11" s="5"/>
      <c r="K11" s="5"/>
    </row>
    <row r="12" ht="24" customHeight="1" spans="1:11">
      <c r="A12" s="15" t="s">
        <v>19</v>
      </c>
      <c r="B12" s="16">
        <v>50000</v>
      </c>
      <c r="C12" s="17">
        <v>42000</v>
      </c>
      <c r="D12" s="16">
        <v>40000</v>
      </c>
      <c r="E12" s="18">
        <f t="shared" si="0"/>
        <v>0.84</v>
      </c>
      <c r="F12" s="18">
        <f t="shared" si="1"/>
        <v>0.05</v>
      </c>
      <c r="G12" s="19"/>
      <c r="H12" s="20" t="s">
        <v>16</v>
      </c>
      <c r="I12" s="20"/>
      <c r="J12" s="20"/>
      <c r="K12" s="20"/>
    </row>
    <row r="13" ht="24" customHeight="1" spans="1:11">
      <c r="A13" s="15" t="s">
        <v>20</v>
      </c>
      <c r="B13" s="16">
        <v>50000</v>
      </c>
      <c r="C13" s="17">
        <v>25000</v>
      </c>
      <c r="D13" s="16">
        <v>25000</v>
      </c>
      <c r="E13" s="18">
        <f t="shared" si="0"/>
        <v>0.5</v>
      </c>
      <c r="F13" s="18">
        <f t="shared" si="1"/>
        <v>0</v>
      </c>
      <c r="G13" s="19"/>
      <c r="H13" s="5">
        <f>H10-SUM(D4:D15)</f>
        <v>262000</v>
      </c>
      <c r="I13" s="5"/>
      <c r="J13" s="5"/>
      <c r="K13" s="5"/>
    </row>
    <row r="14" ht="24" customHeight="1" spans="1:11">
      <c r="A14" s="15" t="s">
        <v>21</v>
      </c>
      <c r="B14" s="16">
        <v>50000</v>
      </c>
      <c r="C14" s="17">
        <v>25000</v>
      </c>
      <c r="D14" s="16">
        <v>25000</v>
      </c>
      <c r="E14" s="18">
        <f t="shared" si="0"/>
        <v>0.5</v>
      </c>
      <c r="F14" s="18">
        <f t="shared" si="1"/>
        <v>0</v>
      </c>
      <c r="G14" s="19"/>
      <c r="H14" s="5"/>
      <c r="I14" s="5"/>
      <c r="J14" s="5"/>
      <c r="K14" s="5"/>
    </row>
    <row r="15" ht="24" customHeight="1" spans="1:11">
      <c r="A15" s="15" t="s">
        <v>22</v>
      </c>
      <c r="B15" s="16">
        <v>50000</v>
      </c>
      <c r="C15" s="17">
        <v>27000</v>
      </c>
      <c r="D15" s="16">
        <v>25000</v>
      </c>
      <c r="E15" s="18">
        <f t="shared" si="0"/>
        <v>0.54</v>
      </c>
      <c r="F15" s="18">
        <f t="shared" si="1"/>
        <v>0.08</v>
      </c>
      <c r="G15" s="19"/>
      <c r="H15" s="20" t="s">
        <v>23</v>
      </c>
      <c r="I15" s="20"/>
      <c r="J15" s="20"/>
      <c r="K15" s="20"/>
    </row>
    <row r="16" customHeight="1" spans="1:11">
      <c r="A16" s="21" t="s">
        <v>24</v>
      </c>
      <c r="B16" s="22">
        <f>SUM(B4:B15)</f>
        <v>600000</v>
      </c>
      <c r="C16" s="22">
        <f>SUM(C4:C15)</f>
        <v>351000</v>
      </c>
      <c r="D16" s="22">
        <f>SUM(D4:D15)</f>
        <v>338000</v>
      </c>
      <c r="E16" s="23">
        <f t="shared" si="0"/>
        <v>0.585</v>
      </c>
      <c r="F16" s="23">
        <f t="shared" si="1"/>
        <v>0.0384615384615385</v>
      </c>
      <c r="G16" s="24"/>
      <c r="H16" s="25" t="s">
        <v>25</v>
      </c>
      <c r="I16" s="25"/>
      <c r="J16" s="25"/>
      <c r="K16" s="25"/>
    </row>
  </sheetData>
  <mergeCells count="12">
    <mergeCell ref="A1:G1"/>
    <mergeCell ref="H1:K1"/>
    <mergeCell ref="A2:C2"/>
    <mergeCell ref="F2:G2"/>
    <mergeCell ref="H2:K2"/>
    <mergeCell ref="H9:K9"/>
    <mergeCell ref="H12:K12"/>
    <mergeCell ref="H15:K15"/>
    <mergeCell ref="H16:K16"/>
    <mergeCell ref="H13:K14"/>
    <mergeCell ref="H10:K11"/>
    <mergeCell ref="H7:K8"/>
  </mergeCells>
  <conditionalFormatting sqref="E4:E1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{d8eadb26-8a6f-4a0a-962c-2b5970460b22}</x14:id>
        </ext>
      </extLst>
    </cfRule>
  </conditionalFormatting>
  <conditionalFormatting sqref="F4:F15">
    <cfRule type="cellIs" dxfId="0" priority="1" operator="greaterThan">
      <formula>0</formula>
    </cfRule>
  </conditionalFormatting>
  <pageMargins left="0.75" right="0.75" top="1" bottom="1" header="0.5" footer="0.5"/>
  <pageSetup paperSize="9" orientation="landscape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eadb26-8a6f-4a0a-962c-2b5970460b2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E4:E15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陈东捷</cp:lastModifiedBy>
  <dcterms:created xsi:type="dcterms:W3CDTF">2020-05-04T08:43:00Z</dcterms:created>
  <dcterms:modified xsi:type="dcterms:W3CDTF">2021-05-13T06:18:32Z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E0242C13F8134F8E8FD22B063EDBCBE4</vt:lpwstr>
  </property>
</Properties>
</file>