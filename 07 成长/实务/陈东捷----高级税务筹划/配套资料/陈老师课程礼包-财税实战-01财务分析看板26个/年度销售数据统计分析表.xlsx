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2020年" sheetId="1" r:id="rId1"/>
  </sheets>
  <calcPr calcId="144525"/>
</workbook>
</file>

<file path=xl/sharedStrings.xml><?xml version="1.0" encoding="utf-8"?>
<sst xmlns="http://schemas.openxmlformats.org/spreadsheetml/2006/main" count="41" uniqueCount="16">
  <si>
    <t>年度销售数据统计分析表</t>
  </si>
  <si>
    <t>类别</t>
  </si>
  <si>
    <t>华东</t>
  </si>
  <si>
    <t>华南</t>
  </si>
  <si>
    <t>华北</t>
  </si>
  <si>
    <t>华西</t>
  </si>
  <si>
    <t>合计</t>
  </si>
  <si>
    <t>2019年</t>
  </si>
  <si>
    <t>2020年</t>
  </si>
  <si>
    <t>增幅%</t>
  </si>
  <si>
    <t>东风</t>
  </si>
  <si>
    <t>奔驰</t>
  </si>
  <si>
    <t>宝马</t>
  </si>
  <si>
    <t>奥迪</t>
  </si>
  <si>
    <t>丰田</t>
  </si>
  <si>
    <t>选择类别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</si>
</sst>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[Red]\ &quot;↑&quot;0.00%;[Green]&quot;↓&quot;\-0.00%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8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D5C0C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6" borderId="10" applyNumberFormat="0" applyFon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21" fillId="18" borderId="5" applyNumberFormat="0" applyAlignment="0" applyProtection="0">
      <alignment vertical="center"/>
    </xf>
    <xf numFmtId="0" fontId="18" fillId="25" borderId="9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176" fontId="0" fillId="3" borderId="2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176" fontId="0" fillId="3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D5C0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41382209517404"/>
          <c:y val="0.0634287286736379"/>
          <c:w val="0.907365058012443"/>
          <c:h val="0.76169204427322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bg1"/>
                </a:gs>
                <a:gs pos="100000">
                  <a:srgbClr val="FD5C0C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'2020年'!$C$14:$J$15</c:f>
              <c:multiLvlStrCache>
                <c:ptCount val="8"/>
                <c:lvl>
                  <c:pt idx="0">
                    <c:v>2019年</c:v>
                  </c:pt>
                  <c:pt idx="1">
                    <c:v>2020年</c:v>
                  </c:pt>
                  <c:pt idx="2">
                    <c:v>2019年</c:v>
                  </c:pt>
                  <c:pt idx="3">
                    <c:v>2020年</c:v>
                  </c:pt>
                  <c:pt idx="4">
                    <c:v>2019年</c:v>
                  </c:pt>
                  <c:pt idx="5">
                    <c:v>2020年</c:v>
                  </c:pt>
                  <c:pt idx="6">
                    <c:v>2019年</c:v>
                  </c:pt>
                  <c:pt idx="7">
                    <c:v>2020年</c:v>
                  </c:pt>
                </c:lvl>
                <c:lvl>
                  <c:pt idx="0">
                    <c:v>华东</c:v>
                  </c:pt>
                  <c:pt idx="2">
                    <c:v>华南</c:v>
                  </c:pt>
                  <c:pt idx="4">
                    <c:v>华北</c:v>
                  </c:pt>
                  <c:pt idx="6">
                    <c:v>华西</c:v>
                  </c:pt>
                </c:lvl>
              </c:multiLvlStrCache>
            </c:multiLvlStrRef>
          </c:cat>
          <c:val>
            <c:numRef>
              <c:f>'2020年'!$C$16:$J$16</c:f>
              <c:numCache>
                <c:formatCode>General</c:formatCode>
                <c:ptCount val="8"/>
                <c:pt idx="0">
                  <c:v>2510.76</c:v>
                </c:pt>
                <c:pt idx="1">
                  <c:v>1254</c:v>
                </c:pt>
                <c:pt idx="2">
                  <c:v>5215</c:v>
                </c:pt>
                <c:pt idx="3">
                  <c:v>7254</c:v>
                </c:pt>
                <c:pt idx="4">
                  <c:v>5824</c:v>
                </c:pt>
                <c:pt idx="5">
                  <c:v>4057</c:v>
                </c:pt>
                <c:pt idx="6">
                  <c:v>3009.57</c:v>
                </c:pt>
                <c:pt idx="7">
                  <c:v>1000.65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0"/>
        <c:axId val="121235637"/>
        <c:axId val="45236865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'2020年'!$C$14:$J$15</c:f>
              <c:multiLvlStrCache>
                <c:ptCount val="8"/>
                <c:lvl>
                  <c:pt idx="0">
                    <c:v>2019年</c:v>
                  </c:pt>
                  <c:pt idx="1">
                    <c:v>2020年</c:v>
                  </c:pt>
                  <c:pt idx="2">
                    <c:v>2019年</c:v>
                  </c:pt>
                  <c:pt idx="3">
                    <c:v>2020年</c:v>
                  </c:pt>
                  <c:pt idx="4">
                    <c:v>2019年</c:v>
                  </c:pt>
                  <c:pt idx="5">
                    <c:v>2020年</c:v>
                  </c:pt>
                  <c:pt idx="6">
                    <c:v>2019年</c:v>
                  </c:pt>
                  <c:pt idx="7">
                    <c:v>2020年</c:v>
                  </c:pt>
                </c:lvl>
                <c:lvl>
                  <c:pt idx="0">
                    <c:v>华东</c:v>
                  </c:pt>
                  <c:pt idx="2">
                    <c:v>华南</c:v>
                  </c:pt>
                  <c:pt idx="4">
                    <c:v>华北</c:v>
                  </c:pt>
                  <c:pt idx="6">
                    <c:v>华西</c:v>
                  </c:pt>
                </c:lvl>
              </c:multiLvlStrCache>
            </c:multiLvlStrRef>
          </c:cat>
          <c:val>
            <c:numRef>
              <c:f>'2020年'!$C$17:$J$17</c:f>
              <c:numCache>
                <c:formatCode>General</c:formatCode>
                <c:ptCount val="8"/>
                <c:pt idx="1" c:formatCode="[Red]\ &quot;↑&quot;0.00%;[Green]&quot;↓&quot;\-0.00%">
                  <c:v>-0.500549634373656</c:v>
                </c:pt>
                <c:pt idx="3" c:formatCode="[Red]\ &quot;↑&quot;0.00%;[Green]&quot;↓&quot;\-0.00%">
                  <c:v>0.390987535953979</c:v>
                </c:pt>
                <c:pt idx="5" c:formatCode="[Red]\ &quot;↑&quot;0.00%;[Green]&quot;↓&quot;\-0.00%">
                  <c:v>-0.303399725274725</c:v>
                </c:pt>
                <c:pt idx="7" c:formatCode="[Red]\ &quot;↑&quot;0.00%;[Green]&quot;↓&quot;\-0.00%">
                  <c:v>-0.667510641055034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18299533"/>
        <c:axId val="565441866"/>
      </c:lineChart>
      <c:catAx>
        <c:axId val="1212356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452368650"/>
        <c:crosses val="autoZero"/>
        <c:auto val="1"/>
        <c:lblAlgn val="ctr"/>
        <c:lblOffset val="100"/>
        <c:tickMarkSkip val="2"/>
        <c:noMultiLvlLbl val="0"/>
      </c:catAx>
      <c:valAx>
        <c:axId val="45236865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21235637"/>
        <c:crosses val="autoZero"/>
        <c:crossBetween val="between"/>
      </c:valAx>
      <c:catAx>
        <c:axId val="41829953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5441866"/>
        <c:crosses val="autoZero"/>
        <c:auto val="1"/>
        <c:lblAlgn val="ctr"/>
        <c:lblOffset val="100"/>
        <c:noMultiLvlLbl val="0"/>
      </c:catAx>
      <c:valAx>
        <c:axId val="565441866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8299533"/>
        <c:crosses val="max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lang="zh-CN" sz="1200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年度总结分析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49407114624506"/>
          <c:y val="0.184280532043531"/>
          <c:w val="0.872779973649539"/>
          <c:h val="0.5892140266021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'2020年'!$P$5</c:f>
              <c:strCache>
                <c:ptCount val="1"/>
                <c:pt idx="0">
                  <c:v>2020年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100000">
                  <a:srgbClr val="00B050"/>
                </a:gs>
              </a:gsLst>
              <a:lin ang="162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'2020年'!$B$6:$B$10</c:f>
              <c:strCache>
                <c:ptCount val="5"/>
                <c:pt idx="0">
                  <c:v>东风</c:v>
                </c:pt>
                <c:pt idx="1">
                  <c:v>奔驰</c:v>
                </c:pt>
                <c:pt idx="2">
                  <c:v>宝马</c:v>
                </c:pt>
                <c:pt idx="3">
                  <c:v>奥迪</c:v>
                </c:pt>
                <c:pt idx="4">
                  <c:v>丰田</c:v>
                </c:pt>
              </c:strCache>
            </c:strRef>
          </c:cat>
          <c:val>
            <c:numRef>
              <c:f>'2020年'!$P$6:$P$10</c:f>
              <c:numCache>
                <c:formatCode>General</c:formatCode>
                <c:ptCount val="5"/>
                <c:pt idx="0">
                  <c:v>18392.08</c:v>
                </c:pt>
                <c:pt idx="1">
                  <c:v>13565.65</c:v>
                </c:pt>
                <c:pt idx="2">
                  <c:v>8644.37</c:v>
                </c:pt>
                <c:pt idx="3">
                  <c:v>14488.88</c:v>
                </c:pt>
                <c:pt idx="4">
                  <c:v>13629.07</c:v>
                </c:pt>
              </c:numCache>
            </c:numRef>
          </c:val>
        </c:ser>
        <c:ser>
          <c:idx val="0"/>
          <c:order val="1"/>
          <c:tx>
            <c:strRef>
              <c:f>'2020年'!$O$5</c:f>
              <c:strCache>
                <c:ptCount val="1"/>
                <c:pt idx="0">
                  <c:v>2019年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100000">
                  <a:srgbClr val="FD5C0C"/>
                </a:gs>
              </a:gsLst>
              <a:lin ang="162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'2020年'!$B$6:$B$10</c:f>
              <c:strCache>
                <c:ptCount val="5"/>
                <c:pt idx="0">
                  <c:v>东风</c:v>
                </c:pt>
                <c:pt idx="1">
                  <c:v>奔驰</c:v>
                </c:pt>
                <c:pt idx="2">
                  <c:v>宝马</c:v>
                </c:pt>
                <c:pt idx="3">
                  <c:v>奥迪</c:v>
                </c:pt>
                <c:pt idx="4">
                  <c:v>丰田</c:v>
                </c:pt>
              </c:strCache>
            </c:strRef>
          </c:cat>
          <c:val>
            <c:numRef>
              <c:f>'2020年'!$O$6:$O$10</c:f>
              <c:numCache>
                <c:formatCode>General</c:formatCode>
                <c:ptCount val="5"/>
                <c:pt idx="0">
                  <c:v>20227</c:v>
                </c:pt>
                <c:pt idx="1">
                  <c:v>16559.33</c:v>
                </c:pt>
                <c:pt idx="2">
                  <c:v>7532.59</c:v>
                </c:pt>
                <c:pt idx="3">
                  <c:v>13086.5</c:v>
                </c:pt>
                <c:pt idx="4">
                  <c:v>15187.93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777859965"/>
        <c:axId val="641793573"/>
      </c:barChart>
      <c:lineChart>
        <c:grouping val="standard"/>
        <c:varyColors val="0"/>
        <c:ser>
          <c:idx val="2"/>
          <c:order val="2"/>
          <c:tx>
            <c:strRef>
              <c:f>'2020年'!$Q$5</c:f>
              <c:strCache>
                <c:ptCount val="1"/>
                <c:pt idx="0">
                  <c:v>增幅%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'2020年'!$Q$6:$Q$10</c:f>
              <c:numCache>
                <c:formatCode>[Red]\ "↑"0.00%;[Green]"↓"\-0.00%</c:formatCode>
                <c:ptCount val="5"/>
                <c:pt idx="0">
                  <c:v>-0.0907163692094723</c:v>
                </c:pt>
                <c:pt idx="1">
                  <c:v>-0.180785092150468</c:v>
                </c:pt>
                <c:pt idx="2">
                  <c:v>0.147595979603297</c:v>
                </c:pt>
                <c:pt idx="3">
                  <c:v>0.107162342872426</c:v>
                </c:pt>
                <c:pt idx="4">
                  <c:v>-0.102638081687235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61441502"/>
        <c:axId val="501529457"/>
      </c:lineChart>
      <c:catAx>
        <c:axId val="7778599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793573"/>
        <c:crosses val="autoZero"/>
        <c:auto val="1"/>
        <c:lblAlgn val="ctr"/>
        <c:lblOffset val="100"/>
        <c:noMultiLvlLbl val="0"/>
      </c:catAx>
      <c:valAx>
        <c:axId val="64179357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7859965"/>
        <c:crosses val="autoZero"/>
        <c:crossBetween val="between"/>
      </c:valAx>
      <c:catAx>
        <c:axId val="96144150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529457"/>
        <c:crosses val="autoZero"/>
        <c:auto val="1"/>
        <c:lblAlgn val="ctr"/>
        <c:lblOffset val="100"/>
        <c:noMultiLvlLbl val="0"/>
      </c:catAx>
      <c:valAx>
        <c:axId val="501529457"/>
        <c:scaling>
          <c:orientation val="minMax"/>
        </c:scaling>
        <c:delete val="0"/>
        <c:axPos val="r"/>
        <c:numFmt formatCode="[Red]\ &quot;↑&quot;0.00%;[Green]&quot;↓&quot;\-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bg1">
                    <a:lumMod val="9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96144150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31750</xdr:colOff>
      <xdr:row>12</xdr:row>
      <xdr:rowOff>28575</xdr:rowOff>
    </xdr:from>
    <xdr:to>
      <xdr:col>10</xdr:col>
      <xdr:colOff>431800</xdr:colOff>
      <xdr:row>23</xdr:row>
      <xdr:rowOff>40640</xdr:rowOff>
    </xdr:to>
    <xdr:graphicFrame>
      <xdr:nvGraphicFramePr>
        <xdr:cNvPr id="4" name="图表 3"/>
        <xdr:cNvGraphicFramePr/>
      </xdr:nvGraphicFramePr>
      <xdr:xfrm>
        <a:off x="212725" y="3679825"/>
        <a:ext cx="7296150" cy="2806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469900</xdr:colOff>
      <xdr:row>11</xdr:row>
      <xdr:rowOff>28575</xdr:rowOff>
    </xdr:from>
    <xdr:to>
      <xdr:col>16</xdr:col>
      <xdr:colOff>784225</xdr:colOff>
      <xdr:row>23</xdr:row>
      <xdr:rowOff>90805</xdr:rowOff>
    </xdr:to>
    <xdr:graphicFrame>
      <xdr:nvGraphicFramePr>
        <xdr:cNvPr id="6" name="图表 5"/>
        <xdr:cNvGraphicFramePr/>
      </xdr:nvGraphicFramePr>
      <xdr:xfrm>
        <a:off x="7546975" y="3425825"/>
        <a:ext cx="4819650" cy="3110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29"/>
  <sheetViews>
    <sheetView showGridLines="0" tabSelected="1" workbookViewId="0">
      <selection activeCell="T9" sqref="T9"/>
    </sheetView>
  </sheetViews>
  <sheetFormatPr defaultColWidth="9" defaultRowHeight="13.5"/>
  <cols>
    <col min="1" max="1" width="2.375" customWidth="1"/>
    <col min="2" max="2" width="9.625" customWidth="1"/>
    <col min="3" max="3" width="9" customWidth="1"/>
    <col min="4" max="4" width="10.25"/>
    <col min="5" max="5" width="10.25" customWidth="1"/>
    <col min="6" max="6" width="10.5" customWidth="1"/>
    <col min="7" max="7" width="10.25"/>
    <col min="8" max="8" width="11.375" customWidth="1"/>
    <col min="9" max="9" width="9" customWidth="1"/>
    <col min="10" max="10" width="10.25"/>
    <col min="11" max="11" width="11.125" customWidth="1"/>
    <col min="12" max="13" width="9.25"/>
    <col min="14" max="14" width="10.75" customWidth="1"/>
    <col min="15" max="16" width="9.375"/>
    <col min="17" max="17" width="11.875" customWidth="1"/>
    <col min="18" max="18" width="2.875" customWidth="1"/>
  </cols>
  <sheetData>
    <row r="2" ht="30" customHeight="1" spans="2:17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29" customHeight="1" spans="2:1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25" customHeight="1" spans="2:17">
      <c r="B4" s="2" t="s">
        <v>1</v>
      </c>
      <c r="C4" s="2" t="s">
        <v>2</v>
      </c>
      <c r="D4" s="2"/>
      <c r="E4" s="2"/>
      <c r="F4" s="2" t="s">
        <v>3</v>
      </c>
      <c r="G4" s="2"/>
      <c r="H4" s="2"/>
      <c r="I4" s="2" t="s">
        <v>4</v>
      </c>
      <c r="J4" s="2"/>
      <c r="K4" s="2"/>
      <c r="L4" s="2" t="s">
        <v>5</v>
      </c>
      <c r="M4" s="2"/>
      <c r="N4" s="2"/>
      <c r="O4" s="2" t="s">
        <v>6</v>
      </c>
      <c r="P4" s="2"/>
      <c r="Q4" s="2"/>
    </row>
    <row r="5" ht="25" customHeight="1" spans="2:17">
      <c r="B5" s="2"/>
      <c r="C5" s="2" t="s">
        <v>7</v>
      </c>
      <c r="D5" s="2" t="s">
        <v>8</v>
      </c>
      <c r="E5" s="2" t="s">
        <v>9</v>
      </c>
      <c r="F5" s="2" t="s">
        <v>7</v>
      </c>
      <c r="G5" s="2" t="s">
        <v>8</v>
      </c>
      <c r="H5" s="2" t="s">
        <v>9</v>
      </c>
      <c r="I5" s="2" t="s">
        <v>7</v>
      </c>
      <c r="J5" s="2" t="s">
        <v>8</v>
      </c>
      <c r="K5" s="2" t="s">
        <v>9</v>
      </c>
      <c r="L5" s="2" t="s">
        <v>7</v>
      </c>
      <c r="M5" s="2" t="s">
        <v>8</v>
      </c>
      <c r="N5" s="2" t="s">
        <v>9</v>
      </c>
      <c r="O5" s="2" t="s">
        <v>7</v>
      </c>
      <c r="P5" s="2" t="s">
        <v>8</v>
      </c>
      <c r="Q5" s="2" t="s">
        <v>9</v>
      </c>
    </row>
    <row r="6" ht="25" customHeight="1" spans="2:17">
      <c r="B6" s="3" t="s">
        <v>10</v>
      </c>
      <c r="C6" s="3">
        <v>5240</v>
      </c>
      <c r="D6" s="3">
        <v>1254</v>
      </c>
      <c r="E6" s="4">
        <f>D6/C6</f>
        <v>0.239312977099237</v>
      </c>
      <c r="F6" s="3">
        <v>5241</v>
      </c>
      <c r="G6" s="3">
        <v>8542</v>
      </c>
      <c r="H6" s="4">
        <f t="shared" ref="H6:H10" si="0">G6/F6-1</f>
        <v>0.629841633276092</v>
      </c>
      <c r="I6" s="3">
        <v>9246</v>
      </c>
      <c r="J6" s="3">
        <v>8057</v>
      </c>
      <c r="K6" s="4">
        <f t="shared" ref="K6:K10" si="1">J6/I6-1</f>
        <v>-0.128596149686351</v>
      </c>
      <c r="L6" s="3">
        <v>500</v>
      </c>
      <c r="M6" s="3">
        <v>539.08</v>
      </c>
      <c r="N6" s="4">
        <f t="shared" ref="N6:N10" si="2">M6/L6-1</f>
        <v>0.07816</v>
      </c>
      <c r="O6" s="3">
        <f>C6+F6+I6+L6</f>
        <v>20227</v>
      </c>
      <c r="P6" s="3">
        <f>D6+G6+J6+M6</f>
        <v>18392.08</v>
      </c>
      <c r="Q6" s="4">
        <f t="shared" ref="Q6:Q10" si="3">P6/O6-1</f>
        <v>-0.0907163692094723</v>
      </c>
    </row>
    <row r="7" ht="25" customHeight="1" spans="2:17">
      <c r="B7" s="3" t="s">
        <v>11</v>
      </c>
      <c r="C7" s="3">
        <v>2510.76</v>
      </c>
      <c r="D7" s="3">
        <v>1254</v>
      </c>
      <c r="E7" s="4">
        <f>D7/C7-1</f>
        <v>-0.500549634373656</v>
      </c>
      <c r="F7" s="3">
        <v>5215</v>
      </c>
      <c r="G7" s="3">
        <v>7254</v>
      </c>
      <c r="H7" s="4">
        <f t="shared" si="0"/>
        <v>0.390987535953979</v>
      </c>
      <c r="I7" s="3">
        <v>5824</v>
      </c>
      <c r="J7" s="3">
        <v>4057</v>
      </c>
      <c r="K7" s="4">
        <f t="shared" si="1"/>
        <v>-0.303399725274725</v>
      </c>
      <c r="L7" s="3">
        <v>3009.57</v>
      </c>
      <c r="M7" s="3">
        <v>1000.65</v>
      </c>
      <c r="N7" s="4">
        <f t="shared" si="2"/>
        <v>-0.667510641055034</v>
      </c>
      <c r="O7" s="3">
        <f>C7+F7+I7+L7</f>
        <v>16559.33</v>
      </c>
      <c r="P7" s="3">
        <f>D7+G7+J7+M7</f>
        <v>13565.65</v>
      </c>
      <c r="Q7" s="4">
        <f t="shared" si="3"/>
        <v>-0.180785092150468</v>
      </c>
    </row>
    <row r="8" ht="25" customHeight="1" spans="2:17">
      <c r="B8" s="3" t="s">
        <v>12</v>
      </c>
      <c r="C8" s="3">
        <v>5214.44</v>
      </c>
      <c r="D8" s="3">
        <v>6521</v>
      </c>
      <c r="E8" s="4">
        <f>D8/C8-1</f>
        <v>0.250565736685052</v>
      </c>
      <c r="F8" s="3">
        <v>688.43</v>
      </c>
      <c r="G8" s="3">
        <v>567.58</v>
      </c>
      <c r="H8" s="4">
        <f t="shared" si="0"/>
        <v>-0.175544354545851</v>
      </c>
      <c r="I8" s="3">
        <v>854</v>
      </c>
      <c r="J8" s="3">
        <v>421</v>
      </c>
      <c r="K8" s="4">
        <f t="shared" si="1"/>
        <v>-0.507025761124122</v>
      </c>
      <c r="L8" s="3">
        <v>775.72</v>
      </c>
      <c r="M8" s="3">
        <v>1134.79</v>
      </c>
      <c r="N8" s="4">
        <f t="shared" si="2"/>
        <v>0.462886092920126</v>
      </c>
      <c r="O8" s="3">
        <f>C8+F8+I8+L8</f>
        <v>7532.59</v>
      </c>
      <c r="P8" s="3">
        <f>D8+G8+J8+M8</f>
        <v>8644.37</v>
      </c>
      <c r="Q8" s="4">
        <f t="shared" si="3"/>
        <v>0.147595979603297</v>
      </c>
    </row>
    <row r="9" ht="25" customHeight="1" spans="2:17">
      <c r="B9" s="3" t="s">
        <v>13</v>
      </c>
      <c r="C9" s="5">
        <v>5220.04</v>
      </c>
      <c r="D9" s="5">
        <v>5216.17</v>
      </c>
      <c r="E9" s="4">
        <f>D9/C9-1</f>
        <v>-0.000741373629320807</v>
      </c>
      <c r="F9" s="3">
        <v>6226.53</v>
      </c>
      <c r="G9" s="3">
        <v>7117.1</v>
      </c>
      <c r="H9" s="4">
        <f t="shared" si="0"/>
        <v>0.143028299871678</v>
      </c>
      <c r="I9" s="3">
        <v>954</v>
      </c>
      <c r="J9" s="3">
        <v>1025</v>
      </c>
      <c r="K9" s="4">
        <f t="shared" si="1"/>
        <v>0.0744234800838575</v>
      </c>
      <c r="L9" s="3">
        <v>685.93</v>
      </c>
      <c r="M9" s="3">
        <v>1130.61</v>
      </c>
      <c r="N9" s="4">
        <f t="shared" si="2"/>
        <v>0.648287726152814</v>
      </c>
      <c r="O9" s="3">
        <f>C9+F9+I9+L9</f>
        <v>13086.5</v>
      </c>
      <c r="P9" s="3">
        <f>D9+G9+J9+M9</f>
        <v>14488.88</v>
      </c>
      <c r="Q9" s="4">
        <f t="shared" si="3"/>
        <v>0.107162342872426</v>
      </c>
    </row>
    <row r="10" ht="25" customHeight="1" spans="2:17">
      <c r="B10" s="3" t="s">
        <v>14</v>
      </c>
      <c r="C10" s="3">
        <v>6511.92</v>
      </c>
      <c r="D10" s="3">
        <v>12540.39</v>
      </c>
      <c r="E10" s="4">
        <f>D10/C10-1</f>
        <v>0.925759223086279</v>
      </c>
      <c r="F10" s="3">
        <v>7137.14</v>
      </c>
      <c r="G10" s="3">
        <v>86.67</v>
      </c>
      <c r="H10" s="4">
        <f t="shared" si="0"/>
        <v>-0.987856480326854</v>
      </c>
      <c r="I10" s="5">
        <v>721</v>
      </c>
      <c r="J10" s="3">
        <v>124</v>
      </c>
      <c r="K10" s="4">
        <f t="shared" si="1"/>
        <v>-0.828016643550624</v>
      </c>
      <c r="L10" s="3">
        <v>817.87</v>
      </c>
      <c r="M10" s="3">
        <v>878.01</v>
      </c>
      <c r="N10" s="4">
        <f t="shared" si="2"/>
        <v>0.0735324684852117</v>
      </c>
      <c r="O10" s="3">
        <f>C10+F10+I10+L10</f>
        <v>15187.93</v>
      </c>
      <c r="P10" s="3">
        <f>D10+G10+J10+M10</f>
        <v>13629.07</v>
      </c>
      <c r="Q10" s="4">
        <f t="shared" si="3"/>
        <v>-0.102638081687235</v>
      </c>
    </row>
    <row r="11" ht="20" customHeight="1" spans="2:17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20" customHeight="1" spans="2:17">
      <c r="B12" s="7" t="s">
        <v>15</v>
      </c>
      <c r="C12" s="8" t="s">
        <v>11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20" customHeight="1" spans="2:17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20" customHeight="1" spans="2:17">
      <c r="B14" s="6"/>
      <c r="C14" s="9" t="s">
        <v>2</v>
      </c>
      <c r="D14" s="9"/>
      <c r="E14" s="9" t="s">
        <v>3</v>
      </c>
      <c r="F14" s="10"/>
      <c r="G14" s="9" t="s">
        <v>4</v>
      </c>
      <c r="H14" s="9"/>
      <c r="I14" s="9" t="s">
        <v>5</v>
      </c>
      <c r="J14" s="9"/>
      <c r="K14" s="14"/>
      <c r="L14" s="14"/>
      <c r="M14" s="14"/>
      <c r="N14" s="14"/>
      <c r="O14" s="6"/>
      <c r="P14" s="6"/>
      <c r="Q14" s="6"/>
    </row>
    <row r="15" ht="20" customHeight="1" spans="2:17">
      <c r="B15" s="6"/>
      <c r="C15" s="9" t="s">
        <v>7</v>
      </c>
      <c r="D15" s="9" t="s">
        <v>8</v>
      </c>
      <c r="E15" s="9" t="s">
        <v>7</v>
      </c>
      <c r="F15" s="9" t="s">
        <v>8</v>
      </c>
      <c r="G15" s="9" t="s">
        <v>7</v>
      </c>
      <c r="H15" s="9" t="s">
        <v>8</v>
      </c>
      <c r="I15" s="9" t="s">
        <v>7</v>
      </c>
      <c r="J15" s="9" t="s">
        <v>8</v>
      </c>
      <c r="K15" s="15"/>
      <c r="L15" s="15"/>
      <c r="M15" s="15"/>
      <c r="N15" s="15"/>
      <c r="O15" s="6"/>
      <c r="P15" s="6"/>
      <c r="Q15" s="6"/>
    </row>
    <row r="16" ht="20" customHeight="1" spans="2:17">
      <c r="B16" s="6"/>
      <c r="C16" s="11">
        <f>VLOOKUP($C$12,$B$6:$N$10,2,FALSE)</f>
        <v>2510.76</v>
      </c>
      <c r="D16" s="11">
        <f>VLOOKUP($C$12,$B$6:$N$10,3,FALSE)</f>
        <v>1254</v>
      </c>
      <c r="E16" s="11">
        <f>VLOOKUP($C$12,$B$6:$N$10,5,FALSE)</f>
        <v>5215</v>
      </c>
      <c r="F16" s="11">
        <f>VLOOKUP($C$12,$B$6:$N$10,6,FALSE)</f>
        <v>7254</v>
      </c>
      <c r="G16" s="11">
        <f>VLOOKUP($C$12,$B$6:$N$10,8,FALSE)</f>
        <v>5824</v>
      </c>
      <c r="H16" s="11">
        <f>VLOOKUP($C$12,$B$6:$N$10,9,FALSE)</f>
        <v>4057</v>
      </c>
      <c r="I16" s="11">
        <f>VLOOKUP($C$12,$B$6:$N$10,11,FALSE)</f>
        <v>3009.57</v>
      </c>
      <c r="J16" s="11">
        <f>VLOOKUP($C$12,$B$6:$N$10,12,FALSE)</f>
        <v>1000.65</v>
      </c>
      <c r="K16" s="16"/>
      <c r="L16" s="16"/>
      <c r="M16" s="16"/>
      <c r="N16" s="17"/>
      <c r="O16" s="6"/>
      <c r="P16" s="6"/>
      <c r="Q16" s="6"/>
    </row>
    <row r="17" ht="20" customHeight="1" spans="2:17">
      <c r="B17" s="6"/>
      <c r="C17" s="12"/>
      <c r="D17" s="13">
        <f>VLOOKUP($C$12,$B$6:$N$10,4,FALSE)</f>
        <v>-0.500549634373656</v>
      </c>
      <c r="E17" s="13"/>
      <c r="F17" s="13">
        <f>VLOOKUP($C$12,$B$6:$N$10,7,FALSE)</f>
        <v>0.390987535953979</v>
      </c>
      <c r="G17" s="13"/>
      <c r="H17" s="13">
        <f>VLOOKUP($C$12,$B$6:$N$10,10,FALSE)</f>
        <v>-0.303399725274725</v>
      </c>
      <c r="I17" s="13"/>
      <c r="J17" s="13">
        <f>VLOOKUP($C$12,$B$6:$N$10,13,FALSE)</f>
        <v>-0.667510641055034</v>
      </c>
      <c r="K17" s="17"/>
      <c r="L17" s="17"/>
      <c r="M17" s="17"/>
      <c r="N17" s="17"/>
      <c r="O17" s="6"/>
      <c r="P17" s="6"/>
      <c r="Q17" s="6"/>
    </row>
    <row r="18" ht="20" customHeight="1" spans="2:17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20" customHeight="1" spans="2:17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20" customHeight="1" spans="2:17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20" customHeight="1" spans="2:17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20" customHeight="1" spans="2:17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20" customHeight="1" spans="2:17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20" customHeight="1" spans="2:17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20" customHeight="1"/>
    <row r="26" ht="20" customHeight="1"/>
    <row r="27" ht="20" customHeight="1"/>
    <row r="28" ht="20" customHeight="1"/>
    <row r="29" ht="20" customHeight="1"/>
  </sheetData>
  <mergeCells count="11">
    <mergeCell ref="C4:E4"/>
    <mergeCell ref="F4:H4"/>
    <mergeCell ref="I4:K4"/>
    <mergeCell ref="L4:N4"/>
    <mergeCell ref="O4:Q4"/>
    <mergeCell ref="C14:D14"/>
    <mergeCell ref="E14:F14"/>
    <mergeCell ref="G14:H14"/>
    <mergeCell ref="I14:J14"/>
    <mergeCell ref="B4:B5"/>
    <mergeCell ref="B2:Q3"/>
  </mergeCells>
  <dataValidations count="1">
    <dataValidation type="list" allowBlank="1" showInputMessage="1" showErrorMessage="1" sqref="C12 C13">
      <formula1>$B$6:$B$10</formula1>
    </dataValidation>
  </dataValidations>
  <pageMargins left="0.708661417322835" right="0.708661417322835" top="0.196850393700787" bottom="0.196850393700787" header="0.31496062992126" footer="0.31496062992126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陈东捷</cp:lastModifiedBy>
  <dcterms:created xsi:type="dcterms:W3CDTF">2020-12-11T06:01:00Z</dcterms:created>
  <dcterms:modified xsi:type="dcterms:W3CDTF">2021-05-13T06:13:38Z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43AC00576EC247BCBA3186828C757E98</vt:lpwstr>
  </property>
</Properties>
</file>