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definedNames>
    <definedName name="_xlnm.Print_Area" localSheetId="0">Sheet1!$A$1:$M$15</definedName>
  </definedNames>
  <calcPr calcId="144525" concurrentCalc="0"/>
</workbook>
</file>

<file path=xl/sharedStrings.xml><?xml version="1.0" encoding="utf-8"?>
<sst xmlns="http://schemas.openxmlformats.org/spreadsheetml/2006/main" count="19" uniqueCount="16">
  <si>
    <t>行次</t>
  </si>
  <si>
    <t>客户名称</t>
  </si>
  <si>
    <t>账龄</t>
  </si>
  <si>
    <t>期末余额</t>
  </si>
  <si>
    <t>30天以内</t>
  </si>
  <si>
    <t>占比</t>
  </si>
  <si>
    <t>30-60天</t>
  </si>
  <si>
    <t>60-120天</t>
  </si>
  <si>
    <t>120天以上</t>
  </si>
  <si>
    <t>客户1</t>
  </si>
  <si>
    <t>客户2</t>
  </si>
  <si>
    <t>客户3</t>
  </si>
  <si>
    <t>客户4</t>
  </si>
  <si>
    <t>客户5</t>
  </si>
  <si>
    <t>客户6</t>
  </si>
  <si>
    <t>合计</t>
  </si>
</sst>
</file>

<file path=xl/styles.xml><?xml version="1.0" encoding="utf-8"?>
<styleSheet xmlns="http://schemas.openxmlformats.org/spreadsheetml/2006/main">
  <numFmts count="5">
    <numFmt numFmtId="176" formatCode="_ \¥* #,##0.00_ ;_ \¥* \-#,##0.00_ ;_ \¥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8">
    <font>
      <sz val="11"/>
      <color theme="1"/>
      <name val="等线"/>
      <charset val="134"/>
      <scheme val="minor"/>
    </font>
    <font>
      <b/>
      <sz val="24"/>
      <color theme="1"/>
      <name val="Microsoft YaHei UI"/>
      <charset val="134"/>
    </font>
    <font>
      <sz val="11"/>
      <color theme="8" tint="-0.249977111117893"/>
      <name val="Microsoft YaHei UI"/>
      <charset val="134"/>
    </font>
    <font>
      <sz val="10"/>
      <color theme="1"/>
      <name val="Microsoft YaHei UI"/>
      <charset val="134"/>
    </font>
    <font>
      <sz val="10"/>
      <color theme="0"/>
      <name val="Microsoft YaHei UI"/>
      <charset val="134"/>
    </font>
    <font>
      <b/>
      <sz val="22"/>
      <color theme="1"/>
      <name val="Microsoft YaHei UI"/>
      <charset val="134"/>
    </font>
    <font>
      <b/>
      <sz val="20"/>
      <color theme="1"/>
      <name val="Microsoft YaHei UI"/>
      <charset val="134"/>
    </font>
    <font>
      <i/>
      <sz val="10"/>
      <color theme="8" tint="-0.249977111117893"/>
      <name val="Microsoft YaHei UI"/>
      <charset val="134"/>
    </font>
    <font>
      <i/>
      <sz val="11"/>
      <color theme="8" tint="-0.249977111117893"/>
      <name val="Microsoft YaHei UI"/>
      <charset val="134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0061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5"/>
      <color theme="3"/>
      <name val="等线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2F8F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theme="0" tint="-0.14996795556505"/>
      </left>
      <right style="thin">
        <color theme="0" tint="-0.14996795556505"/>
      </right>
      <top style="thin">
        <color theme="0" tint="-0.14996795556505"/>
      </top>
      <bottom style="thin">
        <color theme="0" tint="-0.14996795556505"/>
      </bottom>
      <diagonal/>
    </border>
    <border>
      <left/>
      <right/>
      <top style="medium">
        <color theme="3" tint="0.399945066682943"/>
      </top>
      <bottom style="medium">
        <color theme="3" tint="0.399914548173467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7" fillId="12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9" borderId="8" applyNumberFormat="0" applyFon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22" fillId="8" borderId="9" applyNumberFormat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26" fillId="28" borderId="10" applyNumberFormat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NumberFormat="1" applyFont="1" applyAlignment="1">
      <alignment horizontal="center" vertical="top"/>
    </xf>
    <xf numFmtId="0" fontId="2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5" fillId="2" borderId="0" xfId="0" applyNumberFormat="1" applyFont="1" applyFill="1" applyAlignment="1">
      <alignment horizontal="left" vertical="top"/>
    </xf>
    <xf numFmtId="0" fontId="6" fillId="2" borderId="0" xfId="0" applyNumberFormat="1" applyFont="1" applyFill="1" applyAlignment="1">
      <alignment horizontal="center" vertical="top"/>
    </xf>
    <xf numFmtId="9" fontId="6" fillId="2" borderId="0" xfId="0" applyNumberFormat="1" applyFont="1" applyFill="1" applyAlignment="1">
      <alignment horizontal="center" vertical="top"/>
    </xf>
    <xf numFmtId="0" fontId="4" fillId="3" borderId="1" xfId="0" applyNumberFormat="1" applyFont="1" applyFill="1" applyBorder="1" applyAlignment="1">
      <alignment horizontal="center" vertical="center"/>
    </xf>
    <xf numFmtId="9" fontId="4" fillId="3" borderId="1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/>
    </xf>
    <xf numFmtId="9" fontId="7" fillId="0" borderId="0" xfId="0" applyNumberFormat="1" applyFont="1" applyFill="1" applyBorder="1" applyAlignment="1">
      <alignment horizontal="center" vertical="center"/>
    </xf>
    <xf numFmtId="0" fontId="3" fillId="4" borderId="0" xfId="0" applyNumberFormat="1" applyFont="1" applyFill="1" applyBorder="1" applyAlignment="1">
      <alignment horizontal="center" vertical="center"/>
    </xf>
    <xf numFmtId="176" fontId="3" fillId="4" borderId="0" xfId="0" applyNumberFormat="1" applyFont="1" applyFill="1" applyBorder="1" applyAlignment="1">
      <alignment horizontal="center" vertical="center"/>
    </xf>
    <xf numFmtId="9" fontId="7" fillId="4" borderId="0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176" fontId="2" fillId="0" borderId="2" xfId="0" applyNumberFormat="1" applyFont="1" applyFill="1" applyBorder="1" applyAlignment="1">
      <alignment horizontal="center" vertical="center"/>
    </xf>
    <xf numFmtId="9" fontId="8" fillId="0" borderId="2" xfId="0" applyNumberFormat="1" applyFont="1" applyFill="1" applyBorder="1" applyAlignment="1">
      <alignment horizontal="center" vertical="center"/>
    </xf>
    <xf numFmtId="176" fontId="6" fillId="2" borderId="0" xfId="0" applyNumberFormat="1" applyFont="1" applyFill="1" applyAlignment="1">
      <alignment horizontal="center" vertical="top"/>
    </xf>
    <xf numFmtId="176" fontId="4" fillId="3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2F8FC"/>
      <color rgb="00ECF4FA"/>
      <color rgb="0011DDBB"/>
      <color rgb="000FC2A4"/>
      <color rgb="00F5F5F5"/>
      <color rgb="00F2F8EE"/>
      <color rgb="00ECF5E7"/>
      <color rgb="00FDFEFC"/>
      <color rgb="00AEE0BF"/>
      <color rgb="0063C38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 UI" panose="020B0503020204020204" pitchFamily="34" charset="-122"/>
                <a:ea typeface="Microsoft YaHei UI" panose="020B0503020204020204" pitchFamily="34" charset="-122"/>
                <a:cs typeface="+mn-cs"/>
              </a:defRPr>
            </a:pPr>
            <a:r>
              <a:rPr lang="zh-CN" altLang="en-US" sz="1400" b="0"/>
              <a:t>各期账龄分布</a:t>
            </a:r>
            <a:endParaRPr lang="zh-CN" sz="1400" b="0"/>
          </a:p>
        </c:rich>
      </c:tx>
      <c:layout>
        <c:manualLayout>
          <c:xMode val="edge"/>
          <c:yMode val="edge"/>
          <c:x val="0.397648763638027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75246621143311"/>
          <c:y val="0.306089589092677"/>
          <c:w val="0.794324609838708"/>
          <c:h val="0.54305645918813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(Sheet1!$D$4,Sheet1!$F$4,Sheet1!$H$4,Sheet1!$J$4)</c:f>
              <c:strCache>
                <c:ptCount val="4"/>
                <c:pt idx="0">
                  <c:v>30天以内</c:v>
                </c:pt>
                <c:pt idx="1">
                  <c:v>30-60天</c:v>
                </c:pt>
                <c:pt idx="2">
                  <c:v>60-120天</c:v>
                </c:pt>
                <c:pt idx="3">
                  <c:v>120天以上</c:v>
                </c:pt>
              </c:strCache>
            </c:strRef>
          </c:cat>
          <c:val>
            <c:numRef>
              <c:f>(Sheet1!$D$15,Sheet1!$F$15,Sheet1!$H$15,Sheet1!$J$15)</c:f>
              <c:numCache>
                <c:formatCode>_ \¥* #,##0.00_ ;_ \¥* \-#,##0.00_ ;_ \¥* "-"??_ ;_ @_ </c:formatCode>
                <c:ptCount val="4"/>
                <c:pt idx="0">
                  <c:v>11800</c:v>
                </c:pt>
                <c:pt idx="1">
                  <c:v>7345</c:v>
                </c:pt>
                <c:pt idx="2">
                  <c:v>10900</c:v>
                </c:pt>
                <c:pt idx="3">
                  <c:v>2500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0631280"/>
        <c:axId val="2046957632"/>
      </c:barChart>
      <c:catAx>
        <c:axId val="206063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 UI" panose="020B0503020204020204" pitchFamily="34" charset="-122"/>
                <a:ea typeface="Microsoft YaHei UI" panose="020B0503020204020204" pitchFamily="34" charset="-122"/>
                <a:cs typeface="+mn-cs"/>
              </a:defRPr>
            </a:pPr>
          </a:p>
        </c:txPr>
        <c:crossAx val="2046957632"/>
        <c:crosses val="autoZero"/>
        <c:auto val="1"/>
        <c:lblAlgn val="ctr"/>
        <c:lblOffset val="100"/>
        <c:noMultiLvlLbl val="0"/>
      </c:catAx>
      <c:valAx>
        <c:axId val="2046957632"/>
        <c:scaling>
          <c:orientation val="minMax"/>
        </c:scaling>
        <c:delete val="0"/>
        <c:axPos val="l"/>
        <c:numFmt formatCode="_ \¥* #,##0.00_ ;_ \¥* \-#,##0.00_ ;_ \¥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 UI" panose="020B0503020204020204" pitchFamily="34" charset="-122"/>
                <a:ea typeface="Microsoft YaHei UI" panose="020B0503020204020204" pitchFamily="34" charset="-122"/>
                <a:cs typeface="+mn-cs"/>
              </a:defRPr>
            </a:pPr>
          </a:p>
        </c:txPr>
        <c:crossAx val="206063128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>
          <a:latin typeface="Microsoft YaHei UI" panose="020B0503020204020204" pitchFamily="34" charset="-122"/>
          <a:ea typeface="Microsoft YaHei U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 UI" panose="020B0503020204020204" pitchFamily="34" charset="-122"/>
                <a:ea typeface="Microsoft YaHei UI" panose="020B0503020204020204" pitchFamily="34" charset="-122"/>
                <a:cs typeface="+mn-cs"/>
              </a:defRPr>
            </a:pPr>
            <a:r>
              <a:rPr lang="zh-CN" altLang="en-US" sz="1400" b="0"/>
              <a:t>各期账龄占比</a:t>
            </a:r>
            <a:endParaRPr lang="zh-CN" sz="1400" b="0"/>
          </a:p>
        </c:rich>
      </c:tx>
      <c:layout>
        <c:manualLayout>
          <c:xMode val="edge"/>
          <c:yMode val="edge"/>
          <c:x val="0.249199954224712"/>
          <c:y val="8.02841234543366e-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0356945071698"/>
          <c:y val="0.223864502395378"/>
          <c:w val="0.753171062661056"/>
          <c:h val="0.749523746093498"/>
        </c:manualLayout>
      </c:layout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(Sheet1!$D$4,Sheet1!$F$4,Sheet1!$H$4,Sheet1!$J$4)</c:f>
              <c:strCache>
                <c:ptCount val="4"/>
                <c:pt idx="0">
                  <c:v>30天以内</c:v>
                </c:pt>
                <c:pt idx="1">
                  <c:v>30-60天</c:v>
                </c:pt>
                <c:pt idx="2">
                  <c:v>60-120天</c:v>
                </c:pt>
                <c:pt idx="3">
                  <c:v>120天以上</c:v>
                </c:pt>
              </c:strCache>
            </c:strRef>
          </c:cat>
          <c:val>
            <c:numRef>
              <c:f>(Sheet1!$D$15,Sheet1!$F$15,Sheet1!$H$15,Sheet1!$J$15)</c:f>
              <c:numCache>
                <c:formatCode>_ \¥* #,##0.00_ ;_ \¥* \-#,##0.00_ ;_ \¥* "-"??_ ;_ @_ </c:formatCode>
                <c:ptCount val="4"/>
                <c:pt idx="0">
                  <c:v>11800</c:v>
                </c:pt>
                <c:pt idx="1">
                  <c:v>7345</c:v>
                </c:pt>
                <c:pt idx="2">
                  <c:v>10900</c:v>
                </c:pt>
                <c:pt idx="3">
                  <c:v>2500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>
          <a:latin typeface="Microsoft YaHei UI" panose="020B0503020204020204" pitchFamily="34" charset="-122"/>
          <a:ea typeface="Microsoft YaHei U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 UI" panose="020B0503020204020204" pitchFamily="34" charset="-122"/>
                <a:ea typeface="Microsoft YaHei UI" panose="020B0503020204020204" pitchFamily="34" charset="-122"/>
                <a:cs typeface="+mn-cs"/>
              </a:defRPr>
            </a:pPr>
            <a:r>
              <a:rPr lang="zh-CN" altLang="en-US" sz="1400" b="0"/>
              <a:t>客户账期分布</a:t>
            </a:r>
            <a:endParaRPr lang="zh-CN" sz="1400" b="0"/>
          </a:p>
        </c:rich>
      </c:tx>
      <c:layout>
        <c:manualLayout>
          <c:xMode val="edge"/>
          <c:yMode val="edge"/>
          <c:x val="0.257023473518215"/>
          <c:y val="0.012281395860000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7934586765732"/>
          <c:y val="0.242570219758981"/>
          <c:w val="0.696580013095848"/>
          <c:h val="0.736864500682541"/>
        </c:manualLayout>
      </c:layout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Sheet1!$C$5:$C$10</c:f>
              <c:strCache>
                <c:ptCount val="6"/>
                <c:pt idx="0">
                  <c:v>客户1</c:v>
                </c:pt>
                <c:pt idx="1">
                  <c:v>客户2</c:v>
                </c:pt>
                <c:pt idx="2">
                  <c:v>客户3</c:v>
                </c:pt>
                <c:pt idx="3">
                  <c:v>客户4</c:v>
                </c:pt>
                <c:pt idx="4">
                  <c:v>客户5</c:v>
                </c:pt>
                <c:pt idx="5">
                  <c:v>客户6</c:v>
                </c:pt>
              </c:strCache>
            </c:strRef>
          </c:cat>
          <c:val>
            <c:numRef>
              <c:f>Sheet1!$L$5:$L$10</c:f>
              <c:numCache>
                <c:formatCode>_ \¥* #,##0.00_ ;_ \¥* \-#,##0.00_ ;_ \¥* "-"??_ ;_ @_ </c:formatCode>
                <c:ptCount val="6"/>
                <c:pt idx="0">
                  <c:v>8480</c:v>
                </c:pt>
                <c:pt idx="1">
                  <c:v>5600</c:v>
                </c:pt>
                <c:pt idx="2">
                  <c:v>2000</c:v>
                </c:pt>
                <c:pt idx="3">
                  <c:v>365</c:v>
                </c:pt>
                <c:pt idx="4">
                  <c:v>2800</c:v>
                </c:pt>
                <c:pt idx="5">
                  <c:v>13300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>
          <a:latin typeface="Microsoft YaHei UI" panose="020B0503020204020204" pitchFamily="34" charset="-122"/>
          <a:ea typeface="Microsoft YaHei U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933450</xdr:colOff>
      <xdr:row>0</xdr:row>
      <xdr:rowOff>123824</xdr:rowOff>
    </xdr:from>
    <xdr:to>
      <xdr:col>12</xdr:col>
      <xdr:colOff>1</xdr:colOff>
      <xdr:row>1</xdr:row>
      <xdr:rowOff>1914525</xdr:rowOff>
    </xdr:to>
    <xdr:graphicFrame>
      <xdr:nvGraphicFramePr>
        <xdr:cNvPr id="4" name="图表 3"/>
        <xdr:cNvGraphicFramePr/>
      </xdr:nvGraphicFramePr>
      <xdr:xfrm>
        <a:off x="4438650" y="123190"/>
        <a:ext cx="5114925" cy="20199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14288</xdr:colOff>
      <xdr:row>0</xdr:row>
      <xdr:rowOff>114300</xdr:rowOff>
    </xdr:from>
    <xdr:to>
      <xdr:col>3</xdr:col>
      <xdr:colOff>352426</xdr:colOff>
      <xdr:row>1</xdr:row>
      <xdr:rowOff>1828799</xdr:rowOff>
    </xdr:to>
    <xdr:graphicFrame>
      <xdr:nvGraphicFramePr>
        <xdr:cNvPr id="6" name="图表 5"/>
        <xdr:cNvGraphicFramePr/>
      </xdr:nvGraphicFramePr>
      <xdr:xfrm>
        <a:off x="280670" y="114300"/>
        <a:ext cx="1957705" cy="19424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481011</xdr:colOff>
      <xdr:row>0</xdr:row>
      <xdr:rowOff>114300</xdr:rowOff>
    </xdr:from>
    <xdr:to>
      <xdr:col>5</xdr:col>
      <xdr:colOff>952500</xdr:colOff>
      <xdr:row>1</xdr:row>
      <xdr:rowOff>1819275</xdr:rowOff>
    </xdr:to>
    <xdr:graphicFrame>
      <xdr:nvGraphicFramePr>
        <xdr:cNvPr id="7" name="图表 6"/>
        <xdr:cNvGraphicFramePr/>
      </xdr:nvGraphicFramePr>
      <xdr:xfrm>
        <a:off x="2366645" y="114300"/>
        <a:ext cx="2091055" cy="1933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L15"/>
  <sheetViews>
    <sheetView showGridLines="0" showZeros="0" tabSelected="1" workbookViewId="0">
      <selection activeCell="Q5" sqref="Q5"/>
    </sheetView>
  </sheetViews>
  <sheetFormatPr defaultColWidth="9" defaultRowHeight="18" customHeight="1"/>
  <cols>
    <col min="1" max="1" width="3.5" style="3" customWidth="1"/>
    <col min="2" max="2" width="5.625" style="3" customWidth="1"/>
    <col min="3" max="3" width="15.625" style="3" customWidth="1"/>
    <col min="4" max="4" width="12.625" style="3" customWidth="1"/>
    <col min="5" max="5" width="8.625" style="4" customWidth="1"/>
    <col min="6" max="6" width="12.625" style="3" customWidth="1"/>
    <col min="7" max="7" width="8.625" style="4" customWidth="1"/>
    <col min="8" max="8" width="12.625" style="3" customWidth="1"/>
    <col min="9" max="9" width="8.625" style="4" customWidth="1"/>
    <col min="10" max="10" width="12.625" style="5" customWidth="1"/>
    <col min="11" max="11" width="8.625" style="4" customWidth="1"/>
    <col min="12" max="12" width="15.625" style="6" customWidth="1"/>
    <col min="13" max="13" width="3.5" style="3" customWidth="1"/>
    <col min="14" max="14" width="5" style="3" customWidth="1"/>
    <col min="15" max="16384" width="9" style="3"/>
  </cols>
  <sheetData>
    <row r="2" s="1" customFormat="1" ht="159.75" customHeight="1" spans="3:12">
      <c r="C2" s="7"/>
      <c r="D2" s="8"/>
      <c r="E2" s="9"/>
      <c r="F2" s="8"/>
      <c r="G2" s="9"/>
      <c r="H2" s="8"/>
      <c r="I2" s="9"/>
      <c r="J2" s="8"/>
      <c r="K2" s="9"/>
      <c r="L2" s="21"/>
    </row>
    <row r="3" s="1" customFormat="1" ht="24" customHeight="1" spans="2:12">
      <c r="B3" s="10" t="s">
        <v>0</v>
      </c>
      <c r="C3" s="10" t="s">
        <v>1</v>
      </c>
      <c r="D3" s="10" t="s">
        <v>2</v>
      </c>
      <c r="E3" s="10"/>
      <c r="F3" s="10"/>
      <c r="G3" s="10"/>
      <c r="H3" s="10"/>
      <c r="I3" s="10"/>
      <c r="J3" s="10"/>
      <c r="K3" s="10"/>
      <c r="L3" s="22" t="s">
        <v>3</v>
      </c>
    </row>
    <row r="4" ht="24" customHeight="1" spans="2:12">
      <c r="B4" s="10"/>
      <c r="C4" s="10"/>
      <c r="D4" s="10" t="s">
        <v>4</v>
      </c>
      <c r="E4" s="11" t="s">
        <v>5</v>
      </c>
      <c r="F4" s="10" t="s">
        <v>6</v>
      </c>
      <c r="G4" s="11" t="s">
        <v>5</v>
      </c>
      <c r="H4" s="10" t="s">
        <v>7</v>
      </c>
      <c r="I4" s="11" t="s">
        <v>5</v>
      </c>
      <c r="J4" s="10" t="s">
        <v>8</v>
      </c>
      <c r="K4" s="11" t="s">
        <v>5</v>
      </c>
      <c r="L4" s="22"/>
    </row>
    <row r="5" ht="24" customHeight="1" spans="2:12">
      <c r="B5" s="12">
        <f>ROW()-4</f>
        <v>1</v>
      </c>
      <c r="C5" s="12" t="s">
        <v>9</v>
      </c>
      <c r="D5" s="13">
        <v>3500</v>
      </c>
      <c r="E5" s="14">
        <f>IFERROR(D5/L5,"")</f>
        <v>0.412735849056604</v>
      </c>
      <c r="F5" s="13">
        <v>4980</v>
      </c>
      <c r="G5" s="14">
        <f>IFERROR(F5/L5,"")</f>
        <v>0.587264150943396</v>
      </c>
      <c r="H5" s="13"/>
      <c r="I5" s="14">
        <f>IFERROR(H5/L5,"")</f>
        <v>0</v>
      </c>
      <c r="J5" s="13"/>
      <c r="K5" s="14">
        <f>IFERROR(J5/L5,"")</f>
        <v>0</v>
      </c>
      <c r="L5" s="13">
        <f>D5+F5+H5+J5</f>
        <v>8480</v>
      </c>
    </row>
    <row r="6" ht="24" customHeight="1" spans="2:12">
      <c r="B6" s="15">
        <f t="shared" ref="B6:B14" si="0">ROW()-4</f>
        <v>2</v>
      </c>
      <c r="C6" s="15" t="s">
        <v>10</v>
      </c>
      <c r="D6" s="16"/>
      <c r="E6" s="17">
        <f t="shared" ref="E6:E15" si="1">IFERROR(D6/L6,"")</f>
        <v>0</v>
      </c>
      <c r="F6" s="16">
        <v>2000</v>
      </c>
      <c r="G6" s="17">
        <f t="shared" ref="G6:G15" si="2">IFERROR(F6/L6,"")</f>
        <v>0.357142857142857</v>
      </c>
      <c r="H6" s="16">
        <v>3600</v>
      </c>
      <c r="I6" s="17">
        <f t="shared" ref="I6:I15" si="3">IFERROR(H6/L6,"")</f>
        <v>0.642857142857143</v>
      </c>
      <c r="J6" s="16"/>
      <c r="K6" s="17">
        <f t="shared" ref="K6:K15" si="4">IFERROR(J6/L6,"")</f>
        <v>0</v>
      </c>
      <c r="L6" s="16">
        <f t="shared" ref="L6:L15" si="5">D6+F6+H6+J6</f>
        <v>5600</v>
      </c>
    </row>
    <row r="7" ht="24" customHeight="1" spans="2:12">
      <c r="B7" s="12">
        <f t="shared" si="0"/>
        <v>3</v>
      </c>
      <c r="C7" s="12" t="s">
        <v>11</v>
      </c>
      <c r="D7" s="13">
        <v>1200</v>
      </c>
      <c r="E7" s="14">
        <f t="shared" si="1"/>
        <v>0.6</v>
      </c>
      <c r="F7" s="13"/>
      <c r="G7" s="14">
        <f t="shared" si="2"/>
        <v>0</v>
      </c>
      <c r="H7" s="13">
        <v>800</v>
      </c>
      <c r="I7" s="14">
        <f t="shared" si="3"/>
        <v>0.4</v>
      </c>
      <c r="J7" s="13"/>
      <c r="K7" s="14">
        <f t="shared" si="4"/>
        <v>0</v>
      </c>
      <c r="L7" s="13">
        <f t="shared" si="5"/>
        <v>2000</v>
      </c>
    </row>
    <row r="8" ht="24" customHeight="1" spans="2:12">
      <c r="B8" s="15">
        <f t="shared" si="0"/>
        <v>4</v>
      </c>
      <c r="C8" s="15" t="s">
        <v>12</v>
      </c>
      <c r="D8" s="16"/>
      <c r="E8" s="17">
        <f t="shared" si="1"/>
        <v>0</v>
      </c>
      <c r="F8" s="16">
        <v>365</v>
      </c>
      <c r="G8" s="17">
        <f t="shared" si="2"/>
        <v>1</v>
      </c>
      <c r="H8" s="16"/>
      <c r="I8" s="17">
        <f t="shared" si="3"/>
        <v>0</v>
      </c>
      <c r="J8" s="16"/>
      <c r="K8" s="17">
        <f t="shared" si="4"/>
        <v>0</v>
      </c>
      <c r="L8" s="16">
        <f t="shared" si="5"/>
        <v>365</v>
      </c>
    </row>
    <row r="9" ht="24" customHeight="1" spans="2:12">
      <c r="B9" s="12">
        <f t="shared" si="0"/>
        <v>5</v>
      </c>
      <c r="C9" s="12" t="s">
        <v>13</v>
      </c>
      <c r="D9" s="13">
        <v>300</v>
      </c>
      <c r="E9" s="14">
        <f t="shared" si="1"/>
        <v>0.107142857142857</v>
      </c>
      <c r="F9" s="13"/>
      <c r="G9" s="14">
        <f t="shared" si="2"/>
        <v>0</v>
      </c>
      <c r="H9" s="13"/>
      <c r="I9" s="14">
        <f t="shared" si="3"/>
        <v>0</v>
      </c>
      <c r="J9" s="13">
        <v>2500</v>
      </c>
      <c r="K9" s="14">
        <f t="shared" si="4"/>
        <v>0.892857142857143</v>
      </c>
      <c r="L9" s="13">
        <f t="shared" si="5"/>
        <v>2800</v>
      </c>
    </row>
    <row r="10" ht="24" customHeight="1" spans="2:12">
      <c r="B10" s="15">
        <f t="shared" si="0"/>
        <v>6</v>
      </c>
      <c r="C10" s="15" t="s">
        <v>14</v>
      </c>
      <c r="D10" s="16">
        <v>6800</v>
      </c>
      <c r="E10" s="17">
        <f t="shared" si="1"/>
        <v>0.511278195488722</v>
      </c>
      <c r="F10" s="16"/>
      <c r="G10" s="17">
        <f t="shared" si="2"/>
        <v>0</v>
      </c>
      <c r="H10" s="16">
        <v>6500</v>
      </c>
      <c r="I10" s="17">
        <f t="shared" si="3"/>
        <v>0.488721804511278</v>
      </c>
      <c r="J10" s="16"/>
      <c r="K10" s="17">
        <f t="shared" si="4"/>
        <v>0</v>
      </c>
      <c r="L10" s="16">
        <f t="shared" si="5"/>
        <v>13300</v>
      </c>
    </row>
    <row r="11" ht="24" customHeight="1" spans="2:12">
      <c r="B11" s="12">
        <f t="shared" si="0"/>
        <v>7</v>
      </c>
      <c r="C11" s="12" t="str">
        <f>IF(D11="","",IF((K11-H11)&gt;0,"超期完成",IF(K11&lt;&gt;0,"完成",IF(H11&lt;#REF!,"超期",IF((F11-#REF!)&lt;=0,"今日处理",IF((F11-#REF!)&gt;=5,"5天后开始","3天后开始"))))))</f>
        <v/>
      </c>
      <c r="D11" s="13"/>
      <c r="E11" s="14" t="str">
        <f t="shared" si="1"/>
        <v/>
      </c>
      <c r="F11" s="13"/>
      <c r="G11" s="14" t="str">
        <f t="shared" si="2"/>
        <v/>
      </c>
      <c r="H11" s="13"/>
      <c r="I11" s="14" t="str">
        <f t="shared" si="3"/>
        <v/>
      </c>
      <c r="J11" s="13"/>
      <c r="K11" s="14" t="str">
        <f t="shared" si="4"/>
        <v/>
      </c>
      <c r="L11" s="13">
        <f t="shared" si="5"/>
        <v>0</v>
      </c>
    </row>
    <row r="12" ht="24" customHeight="1" spans="2:12">
      <c r="B12" s="15">
        <f t="shared" si="0"/>
        <v>8</v>
      </c>
      <c r="C12" s="15" t="str">
        <f>IF(D12="","",IF((K12-H12)&gt;0,"超期完成",IF(K12&lt;&gt;0,"完成",IF(H12&lt;#REF!,"超期",IF((F12-#REF!)&lt;=0,"今日处理",IF((F12-#REF!)&gt;=5,"5天后开始","3天后开始"))))))</f>
        <v/>
      </c>
      <c r="D12" s="16"/>
      <c r="E12" s="17" t="str">
        <f t="shared" si="1"/>
        <v/>
      </c>
      <c r="F12" s="16"/>
      <c r="G12" s="17" t="str">
        <f t="shared" si="2"/>
        <v/>
      </c>
      <c r="H12" s="16"/>
      <c r="I12" s="17" t="str">
        <f t="shared" si="3"/>
        <v/>
      </c>
      <c r="J12" s="16"/>
      <c r="K12" s="17" t="str">
        <f t="shared" si="4"/>
        <v/>
      </c>
      <c r="L12" s="16">
        <f t="shared" si="5"/>
        <v>0</v>
      </c>
    </row>
    <row r="13" ht="24" customHeight="1" spans="2:12">
      <c r="B13" s="12">
        <f t="shared" si="0"/>
        <v>9</v>
      </c>
      <c r="C13" s="12" t="str">
        <f>IF(D13="","",IF((K13-H13)&gt;0,"超期完成",IF(K13&lt;&gt;0,"完成",IF(H13&lt;#REF!,"超期",IF((F13-#REF!)&lt;=0,"今日处理",IF((F13-#REF!)&gt;=5,"5天后开始","3天后开始"))))))</f>
        <v/>
      </c>
      <c r="D13" s="13"/>
      <c r="E13" s="14" t="str">
        <f t="shared" si="1"/>
        <v/>
      </c>
      <c r="F13" s="13"/>
      <c r="G13" s="14" t="str">
        <f t="shared" si="2"/>
        <v/>
      </c>
      <c r="H13" s="13"/>
      <c r="I13" s="14" t="str">
        <f t="shared" si="3"/>
        <v/>
      </c>
      <c r="J13" s="13"/>
      <c r="K13" s="14" t="str">
        <f t="shared" si="4"/>
        <v/>
      </c>
      <c r="L13" s="13">
        <f t="shared" si="5"/>
        <v>0</v>
      </c>
    </row>
    <row r="14" ht="24" customHeight="1" spans="2:12">
      <c r="B14" s="15">
        <f t="shared" si="0"/>
        <v>10</v>
      </c>
      <c r="C14" s="15" t="str">
        <f>IF(D14="","",IF((K14-H14)&gt;0,"超期完成",IF(K14&lt;&gt;0,"完成",IF(H14&lt;#REF!,"超期",IF((F14-#REF!)&lt;=0,"今日处理",IF((F14-#REF!)&gt;=5,"5天后开始","3天后开始"))))))</f>
        <v/>
      </c>
      <c r="D14" s="16"/>
      <c r="E14" s="17" t="str">
        <f t="shared" si="1"/>
        <v/>
      </c>
      <c r="F14" s="16"/>
      <c r="G14" s="17" t="str">
        <f t="shared" si="2"/>
        <v/>
      </c>
      <c r="H14" s="16"/>
      <c r="I14" s="17" t="str">
        <f t="shared" si="3"/>
        <v/>
      </c>
      <c r="J14" s="16"/>
      <c r="K14" s="17" t="str">
        <f t="shared" si="4"/>
        <v/>
      </c>
      <c r="L14" s="16">
        <f t="shared" si="5"/>
        <v>0</v>
      </c>
    </row>
    <row r="15" s="2" customFormat="1" ht="33" customHeight="1" spans="2:12">
      <c r="B15" s="18" t="s">
        <v>15</v>
      </c>
      <c r="C15" s="18"/>
      <c r="D15" s="19">
        <f>SUM(D5:D14)</f>
        <v>11800</v>
      </c>
      <c r="E15" s="20">
        <f t="shared" si="1"/>
        <v>0.362574896297434</v>
      </c>
      <c r="F15" s="19">
        <f>SUM(F5:F14)</f>
        <v>7345</v>
      </c>
      <c r="G15" s="20">
        <f t="shared" si="2"/>
        <v>0.225687509602089</v>
      </c>
      <c r="H15" s="19">
        <f>SUM(H5:H14)</f>
        <v>10900</v>
      </c>
      <c r="I15" s="20">
        <f t="shared" si="3"/>
        <v>0.334920878783223</v>
      </c>
      <c r="J15" s="19">
        <f>SUM(J5:J14)</f>
        <v>2500</v>
      </c>
      <c r="K15" s="20">
        <f t="shared" si="4"/>
        <v>0.076816715317253</v>
      </c>
      <c r="L15" s="19">
        <f>SUM(L5:L14)</f>
        <v>32545</v>
      </c>
    </row>
  </sheetData>
  <mergeCells count="5">
    <mergeCell ref="D3:K3"/>
    <mergeCell ref="B15:C15"/>
    <mergeCell ref="B3:B4"/>
    <mergeCell ref="C3:C4"/>
    <mergeCell ref="L3:L4"/>
  </mergeCells>
  <pageMargins left="0.196850393700787" right="0.196850393700787" top="0.393700787401575" bottom="0.393700787401575" header="0.31496062992126" footer="0.31496062992126"/>
  <pageSetup paperSize="9" scale="74" fitToHeight="0" orientation="landscape"/>
  <headerFooter/>
  <ignoredErrors>
    <ignoredError sqref="E15 G15:L15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落叶风秋</dc:creator>
  <cp:lastModifiedBy>陈东捷</cp:lastModifiedBy>
  <dcterms:created xsi:type="dcterms:W3CDTF">2020-06-03T07:52:00Z</dcterms:created>
  <cp:lastPrinted>2020-06-08T08:46:00Z</cp:lastPrinted>
  <dcterms:modified xsi:type="dcterms:W3CDTF">2021-05-13T06:18:02Z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30D9E8CFE93F423A96083AA01951A9AA</vt:lpwstr>
  </property>
</Properties>
</file>