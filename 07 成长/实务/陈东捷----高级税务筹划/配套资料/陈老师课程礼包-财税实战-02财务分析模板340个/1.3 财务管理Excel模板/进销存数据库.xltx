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68" yWindow="156" windowWidth="12384" windowHeight="7128" firstSheet="7" activeTab="8"/>
  </bookViews>
  <sheets>
    <sheet name="采购申请表" sheetId="1" r:id="rId1"/>
    <sheet name="采购记录单" sheetId="2" r:id="rId2"/>
    <sheet name="销售记录单" sheetId="3" r:id="rId3"/>
    <sheet name="库存统计表" sheetId="4" r:id="rId4"/>
    <sheet name="客户名称" sheetId="5" r:id="rId5"/>
    <sheet name="应收账款分析表" sheetId="6" r:id="rId6"/>
    <sheet name="应付账款账期金额分析图" sheetId="8" r:id="rId7"/>
    <sheet name="应付账款账期比例分析图" sheetId="9" r:id="rId8"/>
    <sheet name="应付账款分析表" sheetId="7" r:id="rId9"/>
  </sheets>
  <definedNames>
    <definedName name="客户名称">客户名称!$B$3:$B$9</definedName>
    <definedName name="应付账款到期时间">应付账款分析表!$B$4:$B$11</definedName>
    <definedName name="应付账款金额">应付账款分析表!$D$4:$D$11</definedName>
    <definedName name="应收账款金额">应收账款分析表!$D$4:$D$11</definedName>
    <definedName name="账款到期时间">应收账款分析表!$B$4:$B$11</definedName>
  </definedNames>
  <calcPr calcId="124519"/>
</workbook>
</file>

<file path=xl/calcChain.xml><?xml version="1.0" encoding="utf-8"?>
<calcChain xmlns="http://schemas.openxmlformats.org/spreadsheetml/2006/main">
  <c r="C6" i="6"/>
  <c r="F6"/>
  <c r="C4" i="7"/>
  <c r="F4"/>
  <c r="C5"/>
  <c r="F5"/>
  <c r="C6"/>
  <c r="F6"/>
  <c r="C7"/>
  <c r="F7"/>
  <c r="C8"/>
  <c r="F8"/>
  <c r="C9"/>
  <c r="F9"/>
  <c r="C10"/>
  <c r="F10"/>
  <c r="C11"/>
  <c r="F11"/>
  <c r="F12"/>
  <c r="D12"/>
  <c r="F13"/>
  <c r="G4"/>
  <c r="G5"/>
  <c r="G6"/>
  <c r="G7"/>
  <c r="G8"/>
  <c r="G9"/>
  <c r="G10"/>
  <c r="G11"/>
  <c r="G12"/>
  <c r="G13"/>
  <c r="H4"/>
  <c r="H5"/>
  <c r="H6"/>
  <c r="H7"/>
  <c r="H8"/>
  <c r="H9"/>
  <c r="H10"/>
  <c r="H11"/>
  <c r="H12"/>
  <c r="H13"/>
  <c r="I4"/>
  <c r="I5"/>
  <c r="I6"/>
  <c r="I7"/>
  <c r="I8"/>
  <c r="I9"/>
  <c r="I10"/>
  <c r="I11"/>
  <c r="I12"/>
  <c r="I13"/>
  <c r="C4" i="6"/>
  <c r="E4"/>
  <c r="C5"/>
  <c r="E5"/>
  <c r="E6"/>
  <c r="C7"/>
  <c r="E7"/>
  <c r="C8"/>
  <c r="E8"/>
  <c r="C9"/>
  <c r="E9"/>
  <c r="C10"/>
  <c r="E10"/>
  <c r="C11"/>
  <c r="E11"/>
  <c r="E12"/>
  <c r="D12"/>
  <c r="E13"/>
  <c r="F4"/>
  <c r="F5"/>
  <c r="F7"/>
  <c r="F8"/>
  <c r="F9"/>
  <c r="F10"/>
  <c r="F11"/>
  <c r="F12"/>
  <c r="F13"/>
  <c r="G4"/>
  <c r="G5"/>
  <c r="G6"/>
  <c r="G7"/>
  <c r="G8"/>
  <c r="G9"/>
  <c r="G10"/>
  <c r="G11"/>
  <c r="G12"/>
  <c r="G13"/>
  <c r="H4"/>
  <c r="H5"/>
  <c r="H6"/>
  <c r="H7"/>
  <c r="H8"/>
  <c r="H9"/>
  <c r="H10"/>
  <c r="H11"/>
  <c r="H12"/>
  <c r="H13"/>
  <c r="I4"/>
  <c r="I5"/>
  <c r="I6"/>
  <c r="I7"/>
  <c r="I8"/>
  <c r="I9"/>
  <c r="I10"/>
  <c r="I11"/>
  <c r="I12"/>
  <c r="I13"/>
  <c r="E4" i="7"/>
  <c r="E5"/>
  <c r="E6"/>
  <c r="E7"/>
  <c r="E8"/>
  <c r="E9"/>
  <c r="E10"/>
  <c r="E11"/>
  <c r="E12"/>
  <c r="E13"/>
  <c r="E3" i="4"/>
  <c r="G3"/>
  <c r="E4"/>
  <c r="G4"/>
  <c r="E5"/>
  <c r="G5"/>
  <c r="E6"/>
  <c r="G6"/>
  <c r="E7"/>
  <c r="G7"/>
  <c r="E8"/>
  <c r="G8"/>
  <c r="E9"/>
  <c r="G9"/>
  <c r="E10"/>
  <c r="G10"/>
  <c r="G4" i="1"/>
  <c r="G10"/>
  <c r="G6"/>
  <c r="G9"/>
  <c r="G8"/>
  <c r="G7"/>
  <c r="E2"/>
  <c r="C2"/>
  <c r="G5"/>
  <c r="G15" i="3"/>
  <c r="G13"/>
  <c r="G11"/>
  <c r="G8"/>
  <c r="G9"/>
  <c r="G6"/>
  <c r="G3"/>
  <c r="G4"/>
  <c r="G5"/>
  <c r="G7"/>
  <c r="G10"/>
  <c r="G12"/>
  <c r="G14"/>
  <c r="G17"/>
  <c r="E5"/>
  <c r="E7"/>
  <c r="E10"/>
  <c r="E12"/>
  <c r="E14"/>
  <c r="E17"/>
  <c r="G16"/>
  <c r="E16"/>
  <c r="E4" i="2"/>
  <c r="E5"/>
  <c r="E6"/>
  <c r="E7"/>
  <c r="E8"/>
  <c r="E9"/>
  <c r="E10"/>
  <c r="E3"/>
  <c r="C4"/>
  <c r="C5"/>
  <c r="C6"/>
  <c r="C7"/>
  <c r="C8"/>
  <c r="C9"/>
  <c r="C10"/>
  <c r="C3"/>
  <c r="B4"/>
  <c r="B5"/>
  <c r="B6"/>
  <c r="B7"/>
  <c r="B8"/>
  <c r="B9"/>
  <c r="B10"/>
  <c r="B3"/>
  <c r="G11" i="1"/>
  <c r="E5"/>
  <c r="D4" i="2" s="1"/>
  <c r="E6" i="1"/>
  <c r="D5" i="2" s="1"/>
  <c r="E7" i="1"/>
  <c r="D6" i="2" s="1"/>
  <c r="E8" i="1"/>
  <c r="D7" i="2" s="1"/>
  <c r="E9" i="1"/>
  <c r="D8" i="2" s="1"/>
  <c r="E10" i="1"/>
  <c r="D9" i="2" s="1"/>
  <c r="E11" i="1"/>
  <c r="D10" i="2" s="1"/>
  <c r="E4" i="1"/>
  <c r="D3" i="2" s="1"/>
  <c r="G2" i="1"/>
  <c r="F3" i="4" l="1"/>
  <c r="H3" s="1"/>
  <c r="J3" i="2"/>
  <c r="G3"/>
  <c r="F10" i="4"/>
  <c r="H10" s="1"/>
  <c r="J10" i="2"/>
  <c r="G10"/>
  <c r="F9" i="4"/>
  <c r="H9" s="1"/>
  <c r="J9" i="2"/>
  <c r="G9"/>
  <c r="F8" i="4"/>
  <c r="H8" s="1"/>
  <c r="J8" i="2"/>
  <c r="G8"/>
  <c r="F7" i="4"/>
  <c r="H7" s="1"/>
  <c r="J7" i="2"/>
  <c r="G7"/>
  <c r="F6" i="4"/>
  <c r="H6" s="1"/>
  <c r="J6" i="2"/>
  <c r="G6"/>
  <c r="F5" i="4"/>
  <c r="H5" s="1"/>
  <c r="J5" i="2"/>
  <c r="G5"/>
  <c r="F4" i="4"/>
  <c r="H4" s="1"/>
  <c r="J4" i="2"/>
  <c r="G4"/>
</calcChain>
</file>

<file path=xl/sharedStrings.xml><?xml version="1.0" encoding="utf-8"?>
<sst xmlns="http://schemas.openxmlformats.org/spreadsheetml/2006/main" count="156" uniqueCount="91">
  <si>
    <t>采购申请表</t>
    <phoneticPr fontId="1" type="noConversion"/>
  </si>
  <si>
    <t>申请部门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</si>
  <si>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</si>
  <si>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</si>
  <si>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</si>
  <si>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序号</t>
    <phoneticPr fontId="1" type="noConversion"/>
  </si>
  <si>
    <t>原料名称</t>
    <phoneticPr fontId="1" type="noConversion"/>
  </si>
  <si>
    <t>规格型号</t>
    <phoneticPr fontId="1" type="noConversion"/>
  </si>
  <si>
    <t>单位</t>
    <phoneticPr fontId="1" type="noConversion"/>
  </si>
  <si>
    <t>需求日期</t>
    <phoneticPr fontId="1" type="noConversion"/>
  </si>
  <si>
    <t>标准用量</t>
    <phoneticPr fontId="1" type="noConversion"/>
  </si>
  <si>
    <t>库存数量</t>
    <phoneticPr fontId="1" type="noConversion"/>
  </si>
  <si>
    <t>采购数量</t>
    <phoneticPr fontId="1" type="noConversion"/>
  </si>
  <si>
    <t>生产部</t>
  </si>
  <si>
    <t>ABC</t>
    <phoneticPr fontId="1" type="noConversion"/>
  </si>
  <si>
    <t>包</t>
    <phoneticPr fontId="1" type="noConversion"/>
  </si>
  <si>
    <t>采购记录单</t>
    <phoneticPr fontId="1" type="noConversion"/>
  </si>
  <si>
    <t>采购数量</t>
    <phoneticPr fontId="1" type="noConversion"/>
  </si>
  <si>
    <t>单位</t>
    <phoneticPr fontId="1" type="noConversion"/>
  </si>
  <si>
    <t>单价</t>
    <phoneticPr fontId="1" type="noConversion"/>
  </si>
  <si>
    <t>金额</t>
    <phoneticPr fontId="1" type="noConversion"/>
  </si>
  <si>
    <t>定购日期</t>
    <phoneticPr fontId="1" type="noConversion"/>
  </si>
  <si>
    <t>交货日期</t>
    <phoneticPr fontId="1" type="noConversion"/>
  </si>
  <si>
    <t>交货数量</t>
    <phoneticPr fontId="1" type="noConversion"/>
  </si>
  <si>
    <t>供应商</t>
    <phoneticPr fontId="1" type="noConversion"/>
  </si>
  <si>
    <t>A公司</t>
    <phoneticPr fontId="1" type="noConversion"/>
  </si>
  <si>
    <t>B公司</t>
    <phoneticPr fontId="1" type="noConversion"/>
  </si>
  <si>
    <t>C公司</t>
    <phoneticPr fontId="1" type="noConversion"/>
  </si>
  <si>
    <t>D公司</t>
    <phoneticPr fontId="1" type="noConversion"/>
  </si>
  <si>
    <t>E公司</t>
    <phoneticPr fontId="1" type="noConversion"/>
  </si>
  <si>
    <t>F公司</t>
    <phoneticPr fontId="1" type="noConversion"/>
  </si>
  <si>
    <t>G公司</t>
    <phoneticPr fontId="1" type="noConversion"/>
  </si>
  <si>
    <t>H公司</t>
    <phoneticPr fontId="1" type="noConversion"/>
  </si>
  <si>
    <t>销售记录单</t>
    <phoneticPr fontId="1" type="noConversion"/>
  </si>
  <si>
    <t>单位</t>
    <phoneticPr fontId="1" type="noConversion"/>
  </si>
  <si>
    <t>销售数量</t>
    <phoneticPr fontId="1" type="noConversion"/>
  </si>
  <si>
    <t>销售日期</t>
    <phoneticPr fontId="1" type="noConversion"/>
  </si>
  <si>
    <t>ABC</t>
    <phoneticPr fontId="1" type="noConversion"/>
  </si>
  <si>
    <t>包</t>
    <phoneticPr fontId="1" type="noConversion"/>
  </si>
  <si>
    <t>01 汇总</t>
  </si>
  <si>
    <t>02 汇总</t>
  </si>
  <si>
    <t>03 汇总</t>
  </si>
  <si>
    <t>04 汇总</t>
  </si>
  <si>
    <t>05 汇总</t>
  </si>
  <si>
    <t>06 汇总</t>
  </si>
  <si>
    <t>总计</t>
  </si>
  <si>
    <t>序号</t>
    <phoneticPr fontId="1" type="noConversion"/>
  </si>
  <si>
    <t>原料名称</t>
    <phoneticPr fontId="1" type="noConversion"/>
  </si>
  <si>
    <t>规格型号</t>
    <phoneticPr fontId="1" type="noConversion"/>
  </si>
  <si>
    <t>单位</t>
    <phoneticPr fontId="1" type="noConversion"/>
  </si>
  <si>
    <t>销售数量</t>
    <phoneticPr fontId="1" type="noConversion"/>
  </si>
  <si>
    <t>采购数量</t>
    <phoneticPr fontId="1" type="noConversion"/>
  </si>
  <si>
    <t>库存数量</t>
    <phoneticPr fontId="1" type="noConversion"/>
  </si>
  <si>
    <t>库存统计表</t>
    <phoneticPr fontId="1" type="noConversion"/>
  </si>
  <si>
    <t>期初库存</t>
    <phoneticPr fontId="1" type="noConversion"/>
  </si>
  <si>
    <t>客户名称</t>
    <phoneticPr fontId="1" type="noConversion"/>
  </si>
  <si>
    <t>大信公司</t>
  </si>
  <si>
    <t>大信公司</t>
    <phoneticPr fontId="1" type="noConversion"/>
  </si>
  <si>
    <t>锦耀公司</t>
  </si>
  <si>
    <t>利昌公司</t>
  </si>
  <si>
    <t>神龙企业</t>
  </si>
  <si>
    <t>康达公司</t>
  </si>
  <si>
    <t>锦耀公司</t>
    <phoneticPr fontId="1" type="noConversion"/>
  </si>
  <si>
    <t>利昌公司</t>
    <phoneticPr fontId="1" type="noConversion"/>
  </si>
  <si>
    <t>神龙企业</t>
    <phoneticPr fontId="1" type="noConversion"/>
  </si>
  <si>
    <t>ABC公司</t>
    <phoneticPr fontId="1" type="noConversion"/>
  </si>
  <si>
    <t>康达公司</t>
    <phoneticPr fontId="1" type="noConversion"/>
  </si>
  <si>
    <t>顺达公司</t>
    <phoneticPr fontId="1" type="noConversion"/>
  </si>
  <si>
    <t>应收账款分析</t>
    <phoneticPr fontId="1" type="noConversion"/>
  </si>
  <si>
    <t>账款到期日</t>
    <phoneticPr fontId="1" type="noConversion"/>
  </si>
  <si>
    <t>当前日期</t>
    <phoneticPr fontId="1" type="noConversion"/>
  </si>
  <si>
    <t>账期分析</t>
    <phoneticPr fontId="1" type="noConversion"/>
  </si>
  <si>
    <t>0～10天</t>
    <phoneticPr fontId="1" type="noConversion"/>
  </si>
  <si>
    <t>11-25天</t>
    <phoneticPr fontId="1" type="noConversion"/>
  </si>
  <si>
    <t>应收金额合计：</t>
    <phoneticPr fontId="1" type="noConversion"/>
  </si>
  <si>
    <t>应收金额比例：</t>
    <phoneticPr fontId="1" type="noConversion"/>
  </si>
  <si>
    <t>26～45天</t>
    <phoneticPr fontId="1" type="noConversion"/>
  </si>
  <si>
    <t>80天以上</t>
    <phoneticPr fontId="1" type="noConversion"/>
  </si>
  <si>
    <t>46-80天</t>
    <phoneticPr fontId="1" type="noConversion"/>
  </si>
  <si>
    <t>应付账款分析</t>
    <phoneticPr fontId="1" type="noConversion"/>
  </si>
  <si>
    <t>应付金额合计：</t>
    <phoneticPr fontId="1" type="noConversion"/>
  </si>
  <si>
    <t>应付金额比例：</t>
    <phoneticPr fontId="1" type="noConversion"/>
  </si>
  <si>
    <t>应付金额</t>
    <phoneticPr fontId="1" type="noConversion"/>
  </si>
  <si>
    <t>11～25天</t>
    <phoneticPr fontId="1" type="noConversion"/>
  </si>
  <si>
    <t>46～80天</t>
    <phoneticPr fontId="1" type="noConversion"/>
  </si>
  <si>
    <t>ABC公司</t>
  </si>
  <si>
    <t>顺达公司</t>
  </si>
  <si>
    <t>客户名称</t>
    <phoneticPr fontId="1" type="noConversion"/>
  </si>
  <si>
    <t>账款到期日</t>
    <phoneticPr fontId="1" type="noConversion"/>
  </si>
  <si>
    <t>当前日期</t>
    <phoneticPr fontId="1" type="noConversion"/>
  </si>
  <si>
    <t>应收金额</t>
    <phoneticPr fontId="1" type="noConversion"/>
  </si>
</sst>
</file>

<file path=xl/styles.xml><?xml version="1.0" encoding="utf-8"?>
<styleSheet xmlns="http://schemas.openxmlformats.org/spreadsheetml/2006/main">
  <numFmts count="3">
    <numFmt numFmtId="5" formatCode="&quot;￥&quot;#,##0;&quot;￥&quot;\-#,##0"/>
    <numFmt numFmtId="176" formatCode="00"/>
    <numFmt numFmtId="177" formatCode="0.00_);[Red]\(0.00\)"/>
  </numFmts>
  <fonts count="10">
    <font>
      <sz val="12"/>
      <name val="宋体"/>
      <charset val="134"/>
    </font>
    <font>
      <sz val="9"/>
      <name val="宋体"/>
      <charset val="134"/>
    </font>
    <font>
      <sz val="14"/>
      <name val="楷体_GB2312"/>
      <family val="3"/>
      <charset val="134"/>
    </font>
    <font>
      <sz val="12"/>
      <color indexed="8"/>
      <name val="宋体"/>
      <charset val="134"/>
    </font>
    <font>
      <sz val="11"/>
      <name val="宋体"/>
      <charset val="134"/>
    </font>
    <font>
      <sz val="10"/>
      <name val="宋体"/>
      <charset val="134"/>
    </font>
    <font>
      <b/>
      <sz val="11"/>
      <name val="宋体"/>
      <charset val="134"/>
    </font>
    <font>
      <sz val="16"/>
      <name val="楷体_GB2312"/>
      <family val="3"/>
      <charset val="134"/>
    </font>
    <font>
      <b/>
      <sz val="16"/>
      <color theme="8" tint="-0.499984740745262"/>
      <name val="楷体_GB2312"/>
      <family val="3"/>
      <charset val="134"/>
    </font>
    <font>
      <b/>
      <sz val="12"/>
      <color theme="8" tint="-0.249977111117893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8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6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4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177" fontId="4" fillId="0" borderId="11" xfId="0" applyNumberFormat="1" applyFont="1" applyBorder="1" applyAlignment="1">
      <alignment horizontal="center" vertical="center"/>
    </xf>
    <xf numFmtId="177" fontId="4" fillId="0" borderId="12" xfId="0" applyNumberFormat="1" applyFont="1" applyBorder="1" applyAlignment="1">
      <alignment horizontal="center" vertical="center"/>
    </xf>
    <xf numFmtId="176" fontId="6" fillId="0" borderId="11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>
      <alignment vertical="center"/>
    </xf>
    <xf numFmtId="5" fontId="4" fillId="0" borderId="5" xfId="0" applyNumberFormat="1" applyFont="1" applyBorder="1" applyAlignment="1">
      <alignment horizontal="center" vertical="center"/>
    </xf>
    <xf numFmtId="5" fontId="4" fillId="0" borderId="6" xfId="0" applyNumberFormat="1" applyFont="1" applyBorder="1" applyAlignment="1">
      <alignment horizontal="center" vertical="center"/>
    </xf>
    <xf numFmtId="5" fontId="4" fillId="2" borderId="5" xfId="0" applyNumberFormat="1" applyFont="1" applyFill="1" applyBorder="1" applyAlignment="1">
      <alignment horizontal="center" vertical="center"/>
    </xf>
    <xf numFmtId="5" fontId="4" fillId="2" borderId="6" xfId="0" applyNumberFormat="1" applyFont="1" applyFill="1" applyBorder="1" applyAlignment="1">
      <alignment horizontal="center" vertical="center"/>
    </xf>
    <xf numFmtId="10" fontId="4" fillId="2" borderId="8" xfId="0" applyNumberFormat="1" applyFont="1" applyFill="1" applyBorder="1" applyAlignment="1">
      <alignment horizontal="center" vertical="center"/>
    </xf>
    <xf numFmtId="10" fontId="4" fillId="2" borderId="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5" xfId="0" applyNumberFormat="1" applyFont="1" applyFill="1" applyBorder="1" applyAlignment="1">
      <alignment horizontal="center" vertical="center"/>
    </xf>
    <xf numFmtId="5" fontId="4" fillId="3" borderId="5" xfId="0" applyNumberFormat="1" applyFont="1" applyFill="1" applyBorder="1" applyAlignment="1">
      <alignment horizontal="center" vertical="center"/>
    </xf>
    <xf numFmtId="5" fontId="4" fillId="3" borderId="6" xfId="0" applyNumberFormat="1" applyFont="1" applyFill="1" applyBorder="1" applyAlignment="1">
      <alignment horizontal="center" vertical="center"/>
    </xf>
    <xf numFmtId="0" fontId="0" fillId="3" borderId="8" xfId="0" applyFill="1" applyBorder="1">
      <alignment vertical="center"/>
    </xf>
    <xf numFmtId="10" fontId="4" fillId="3" borderId="8" xfId="0" applyNumberFormat="1" applyFont="1" applyFill="1" applyBorder="1" applyAlignment="1">
      <alignment horizontal="center" vertical="center"/>
    </xf>
    <xf numFmtId="10" fontId="4" fillId="3" borderId="9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>
        <c:manualLayout>
          <c:xMode val="edge"/>
          <c:yMode val="edge"/>
          <c:x val="0.46394633873672431"/>
          <c:y val="2.00348432055749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title>
    <c:view3D>
      <c:hPercent val="58"/>
      <c:depthPercent val="100"/>
      <c:rAngAx val="1"/>
    </c:view3D>
    <c:floor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9.6702068194522081E-2"/>
          <c:y val="8.9721254355400709E-2"/>
          <c:w val="0.89714924538848528"/>
          <c:h val="0.82317073170731703"/>
        </c:manualLayout>
      </c:layout>
      <c:bar3DChart>
        <c:barDir val="col"/>
        <c:grouping val="clustered"/>
        <c:ser>
          <c:idx val="0"/>
          <c:order val="0"/>
          <c:tx>
            <c:v>应付金额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应付账款分析表!$E$3:$I$3</c:f>
              <c:strCache>
                <c:ptCount val="5"/>
                <c:pt idx="0">
                  <c:v>0～10天</c:v>
                </c:pt>
                <c:pt idx="1">
                  <c:v>11～25天</c:v>
                </c:pt>
                <c:pt idx="2">
                  <c:v>26～45天</c:v>
                </c:pt>
                <c:pt idx="3">
                  <c:v>46～80天</c:v>
                </c:pt>
                <c:pt idx="4">
                  <c:v>80天以上</c:v>
                </c:pt>
              </c:strCache>
            </c:strRef>
          </c:cat>
          <c:val>
            <c:numRef>
              <c:f>应付账款分析表!$E$12:$I$12</c:f>
              <c:numCache>
                <c:formatCode>"￥"#,##0;"￥"\-#,##0</c:formatCode>
                <c:ptCount val="5"/>
                <c:pt idx="0">
                  <c:v>366900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hape val="cylinder"/>
        <c:axId val="136172288"/>
        <c:axId val="136173824"/>
        <c:axId val="0"/>
      </c:bar3DChart>
      <c:catAx>
        <c:axId val="136172288"/>
        <c:scaling>
          <c:orientation val="minMax"/>
        </c:scaling>
        <c:axPos val="b"/>
        <c:numFmt formatCode="General" sourceLinked="1"/>
        <c:maj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36173824"/>
        <c:crosses val="autoZero"/>
        <c:auto val="1"/>
        <c:lblAlgn val="ctr"/>
        <c:lblOffset val="100"/>
        <c:tickLblSkip val="1"/>
        <c:tickMarkSkip val="1"/>
      </c:catAx>
      <c:valAx>
        <c:axId val="13617382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￥&quot;#,##0;&quot;￥&quot;\-#,##0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361722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</c:dTable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77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/>
              <a:t>应付账款账期比例分析图</a:t>
            </a:r>
          </a:p>
        </c:rich>
      </c:tx>
      <c:layout>
        <c:manualLayout>
          <c:xMode val="edge"/>
          <c:yMode val="edge"/>
          <c:x val="0.38904415874790382"/>
          <c:y val="0.17944250871080142"/>
        </c:manualLayout>
      </c:layout>
      <c:spPr>
        <a:noFill/>
        <a:ln w="25400">
          <a:noFill/>
        </a:ln>
      </c:spPr>
    </c:title>
    <c:view3D>
      <c:perspective val="0"/>
    </c:view3D>
    <c:plotArea>
      <c:layout>
        <c:manualLayout>
          <c:layoutTarget val="inner"/>
          <c:xMode val="edge"/>
          <c:yMode val="edge"/>
          <c:x val="0.15651201788708777"/>
          <c:y val="0.32491289198606293"/>
          <c:w val="0.68697596422582463"/>
          <c:h val="0.42508710801393729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77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showCatName val="1"/>
            <c:showPercent val="1"/>
            <c:showLeaderLines val="1"/>
          </c:dLbls>
          <c:cat>
            <c:strRef>
              <c:f>应付账款分析表!$E$3:$I$3</c:f>
              <c:strCache>
                <c:ptCount val="5"/>
                <c:pt idx="0">
                  <c:v>0～10天</c:v>
                </c:pt>
                <c:pt idx="1">
                  <c:v>11～25天</c:v>
                </c:pt>
                <c:pt idx="2">
                  <c:v>26～45天</c:v>
                </c:pt>
                <c:pt idx="3">
                  <c:v>46～80天</c:v>
                </c:pt>
                <c:pt idx="4">
                  <c:v>80天以上</c:v>
                </c:pt>
              </c:strCache>
            </c:strRef>
          </c:cat>
          <c:val>
            <c:numRef>
              <c:f>应付账款分析表!$E$13:$I$13</c:f>
              <c:numCache>
                <c:formatCode>0.00%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CatName val="1"/>
          <c:showPercent val="1"/>
        </c:dLbls>
      </c:pie3D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77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5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62</xdr:row>
      <xdr:rowOff>38100</xdr:rowOff>
    </xdr:from>
    <xdr:to>
      <xdr:col>14</xdr:col>
      <xdr:colOff>53340</xdr:colOff>
      <xdr:row>73</xdr:row>
      <xdr:rowOff>38100</xdr:rowOff>
    </xdr:to>
    <xdr:pic>
      <xdr:nvPicPr>
        <xdr:cNvPr id="1025" name="Picture 1" descr="5-12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51120" y="12451080"/>
          <a:ext cx="4701540" cy="21793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69</xdr:row>
      <xdr:rowOff>38100</xdr:rowOff>
    </xdr:from>
    <xdr:to>
      <xdr:col>10</xdr:col>
      <xdr:colOff>53340</xdr:colOff>
      <xdr:row>80</xdr:row>
      <xdr:rowOff>38100</xdr:rowOff>
    </xdr:to>
    <xdr:pic>
      <xdr:nvPicPr>
        <xdr:cNvPr id="2049" name="Picture 1" descr="5-12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75960" y="13837920"/>
          <a:ext cx="2065020" cy="21793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632180" cy="874776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3632180" cy="874776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12"/>
  <sheetViews>
    <sheetView workbookViewId="0">
      <selection activeCell="D11" sqref="D11"/>
    </sheetView>
  </sheetViews>
  <sheetFormatPr defaultRowHeight="15.6"/>
  <cols>
    <col min="2" max="2" width="10.19921875" customWidth="1"/>
    <col min="3" max="3" width="11.09765625" customWidth="1"/>
    <col min="4" max="4" width="9.59765625" customWidth="1"/>
    <col min="5" max="5" width="10.09765625" customWidth="1"/>
    <col min="7" max="7" width="10.8984375" customWidth="1"/>
    <col min="8" max="8" width="10" customWidth="1"/>
  </cols>
  <sheetData>
    <row r="1" spans="1:8" ht="24" customHeight="1" thickBot="1">
      <c r="A1" s="52" t="s">
        <v>0</v>
      </c>
      <c r="B1" s="52"/>
      <c r="C1" s="52"/>
      <c r="D1" s="52"/>
      <c r="E1" s="52"/>
      <c r="F1" s="52"/>
      <c r="G1" s="52"/>
      <c r="H1" s="52"/>
    </row>
    <row r="2" spans="1:8" ht="16.2" thickTop="1">
      <c r="A2" s="1" t="s">
        <v>1</v>
      </c>
      <c r="B2" s="2" t="s">
        <v>13</v>
      </c>
      <c r="C2" s="2">
        <f ca="1">YEAR(TODAY())</f>
        <v>2008</v>
      </c>
      <c r="D2" s="2" t="s">
        <v>2</v>
      </c>
      <c r="E2" s="2">
        <f ca="1">MONTH(TODAY())</f>
        <v>1</v>
      </c>
      <c r="F2" s="2" t="s">
        <v>3</v>
      </c>
      <c r="G2" s="2">
        <f ca="1">DAY(TODAY())</f>
        <v>19</v>
      </c>
      <c r="H2" s="3" t="s">
        <v>4</v>
      </c>
    </row>
    <row r="3" spans="1:8">
      <c r="A3" s="4" t="s">
        <v>5</v>
      </c>
      <c r="B3" s="5" t="s">
        <v>6</v>
      </c>
      <c r="C3" s="5" t="s">
        <v>7</v>
      </c>
      <c r="D3" s="5" t="s">
        <v>11</v>
      </c>
      <c r="E3" s="5" t="s">
        <v>12</v>
      </c>
      <c r="F3" s="5" t="s">
        <v>8</v>
      </c>
      <c r="G3" s="5" t="s">
        <v>9</v>
      </c>
      <c r="H3" s="6" t="s">
        <v>10</v>
      </c>
    </row>
    <row r="4" spans="1:8">
      <c r="A4" s="7">
        <v>1</v>
      </c>
      <c r="B4" s="8" t="s">
        <v>14</v>
      </c>
      <c r="C4" s="9">
        <v>1</v>
      </c>
      <c r="D4" s="8">
        <v>3</v>
      </c>
      <c r="E4" s="8">
        <f>INT(H4*1.2)</f>
        <v>24</v>
      </c>
      <c r="F4" s="8" t="s">
        <v>15</v>
      </c>
      <c r="G4" s="15">
        <f ca="1">TODAY()+5</f>
        <v>39471</v>
      </c>
      <c r="H4" s="13">
        <v>20</v>
      </c>
    </row>
    <row r="5" spans="1:8">
      <c r="A5" s="7">
        <v>2</v>
      </c>
      <c r="B5" s="8" t="s">
        <v>14</v>
      </c>
      <c r="C5" s="9">
        <v>2</v>
      </c>
      <c r="D5" s="8">
        <v>10</v>
      </c>
      <c r="E5" s="8">
        <f t="shared" ref="E5:E11" si="0">INT(H5*1.2)</f>
        <v>60</v>
      </c>
      <c r="F5" s="8" t="s">
        <v>15</v>
      </c>
      <c r="G5" s="15">
        <f t="shared" ref="G5:G11" ca="1" si="1">TODAY()+5</f>
        <v>39471</v>
      </c>
      <c r="H5" s="13">
        <v>50</v>
      </c>
    </row>
    <row r="6" spans="1:8">
      <c r="A6" s="7">
        <v>3</v>
      </c>
      <c r="B6" s="8" t="s">
        <v>14</v>
      </c>
      <c r="C6" s="9">
        <v>3</v>
      </c>
      <c r="D6" s="8">
        <v>5</v>
      </c>
      <c r="E6" s="8">
        <f t="shared" si="0"/>
        <v>36</v>
      </c>
      <c r="F6" s="8" t="s">
        <v>15</v>
      </c>
      <c r="G6" s="15">
        <f t="shared" ca="1" si="1"/>
        <v>39471</v>
      </c>
      <c r="H6" s="13">
        <v>30</v>
      </c>
    </row>
    <row r="7" spans="1:8">
      <c r="A7" s="7">
        <v>4</v>
      </c>
      <c r="B7" s="8" t="s">
        <v>14</v>
      </c>
      <c r="C7" s="9">
        <v>4</v>
      </c>
      <c r="D7" s="8">
        <v>8</v>
      </c>
      <c r="E7" s="8">
        <f t="shared" si="0"/>
        <v>54</v>
      </c>
      <c r="F7" s="8" t="s">
        <v>15</v>
      </c>
      <c r="G7" s="15">
        <f t="shared" ca="1" si="1"/>
        <v>39471</v>
      </c>
      <c r="H7" s="13">
        <v>45</v>
      </c>
    </row>
    <row r="8" spans="1:8">
      <c r="A8" s="7">
        <v>5</v>
      </c>
      <c r="B8" s="8" t="s">
        <v>14</v>
      </c>
      <c r="C8" s="9">
        <v>5</v>
      </c>
      <c r="D8" s="8">
        <v>7</v>
      </c>
      <c r="E8" s="8">
        <f t="shared" si="0"/>
        <v>42</v>
      </c>
      <c r="F8" s="8" t="s">
        <v>15</v>
      </c>
      <c r="G8" s="15">
        <f t="shared" ca="1" si="1"/>
        <v>39471</v>
      </c>
      <c r="H8" s="13">
        <v>35</v>
      </c>
    </row>
    <row r="9" spans="1:8">
      <c r="A9" s="7">
        <v>6</v>
      </c>
      <c r="B9" s="8" t="s">
        <v>14</v>
      </c>
      <c r="C9" s="9">
        <v>6</v>
      </c>
      <c r="D9" s="8">
        <v>6</v>
      </c>
      <c r="E9" s="8">
        <f t="shared" si="0"/>
        <v>33</v>
      </c>
      <c r="F9" s="8" t="s">
        <v>15</v>
      </c>
      <c r="G9" s="15">
        <f t="shared" ca="1" si="1"/>
        <v>39471</v>
      </c>
      <c r="H9" s="13">
        <v>28</v>
      </c>
    </row>
    <row r="10" spans="1:8">
      <c r="A10" s="7">
        <v>7</v>
      </c>
      <c r="B10" s="8" t="s">
        <v>14</v>
      </c>
      <c r="C10" s="9">
        <v>7</v>
      </c>
      <c r="D10" s="8">
        <v>4</v>
      </c>
      <c r="E10" s="8">
        <f t="shared" si="0"/>
        <v>72</v>
      </c>
      <c r="F10" s="8" t="s">
        <v>15</v>
      </c>
      <c r="G10" s="15">
        <f t="shared" ca="1" si="1"/>
        <v>39471</v>
      </c>
      <c r="H10" s="13">
        <v>60</v>
      </c>
    </row>
    <row r="11" spans="1:8" ht="16.2" thickBot="1">
      <c r="A11" s="10">
        <v>8</v>
      </c>
      <c r="B11" s="11" t="s">
        <v>14</v>
      </c>
      <c r="C11" s="12">
        <v>8</v>
      </c>
      <c r="D11" s="11">
        <v>9</v>
      </c>
      <c r="E11" s="11">
        <f t="shared" si="0"/>
        <v>43</v>
      </c>
      <c r="F11" s="11" t="s">
        <v>15</v>
      </c>
      <c r="G11" s="16">
        <f t="shared" ca="1" si="1"/>
        <v>39471</v>
      </c>
      <c r="H11" s="14">
        <v>36</v>
      </c>
    </row>
    <row r="12" spans="1:8" ht="16.2" thickTop="1"/>
  </sheetData>
  <mergeCells count="1">
    <mergeCell ref="A1:H1"/>
  </mergeCells>
  <phoneticPr fontId="1" type="noConversion"/>
  <dataValidations count="1">
    <dataValidation type="list" allowBlank="1" showInputMessage="1" showErrorMessage="1" errorTitle="输入申请部门错误！" error="请重新选择部门名称！" promptTitle="请输入申请部门！" prompt="请从下拉列表中选择！" sqref="B2">
      <formula1>"实验室,销售部,生产部"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K11"/>
  <sheetViews>
    <sheetView workbookViewId="0">
      <selection activeCell="F8" sqref="F8"/>
    </sheetView>
  </sheetViews>
  <sheetFormatPr defaultRowHeight="15.6"/>
  <cols>
    <col min="1" max="1" width="7.19921875" customWidth="1"/>
    <col min="2" max="2" width="9.69921875" customWidth="1"/>
    <col min="3" max="3" width="10.19921875" customWidth="1"/>
    <col min="4" max="4" width="9.69921875" customWidth="1"/>
    <col min="5" max="5" width="8.5" customWidth="1"/>
    <col min="6" max="6" width="9.69921875" customWidth="1"/>
    <col min="7" max="7" width="9.09765625" customWidth="1"/>
    <col min="8" max="9" width="9.59765625" customWidth="1"/>
    <col min="10" max="10" width="10.09765625" customWidth="1"/>
  </cols>
  <sheetData>
    <row r="1" spans="1:11" ht="24" customHeight="1" thickBot="1">
      <c r="A1" s="52" t="s">
        <v>16</v>
      </c>
      <c r="B1" s="52"/>
      <c r="C1" s="52"/>
      <c r="D1" s="52"/>
      <c r="E1" s="52"/>
      <c r="F1" s="52"/>
      <c r="G1" s="52"/>
      <c r="H1" s="52"/>
      <c r="I1" s="52"/>
      <c r="J1" s="52"/>
      <c r="K1" s="52"/>
    </row>
    <row r="2" spans="1:11" ht="16.2" thickTop="1">
      <c r="A2" s="1" t="s">
        <v>5</v>
      </c>
      <c r="B2" s="2" t="s">
        <v>6</v>
      </c>
      <c r="C2" s="2" t="s">
        <v>7</v>
      </c>
      <c r="D2" s="2" t="s">
        <v>17</v>
      </c>
      <c r="E2" s="2" t="s">
        <v>18</v>
      </c>
      <c r="F2" s="2" t="s">
        <v>19</v>
      </c>
      <c r="G2" s="2" t="s">
        <v>20</v>
      </c>
      <c r="H2" s="2" t="s">
        <v>21</v>
      </c>
      <c r="I2" s="2" t="s">
        <v>22</v>
      </c>
      <c r="J2" s="2" t="s">
        <v>23</v>
      </c>
      <c r="K2" s="3" t="s">
        <v>24</v>
      </c>
    </row>
    <row r="3" spans="1:11">
      <c r="A3" s="7">
        <v>1</v>
      </c>
      <c r="B3" s="8" t="str">
        <f>IF(A3="","",VLOOKUP(A3,采购申请表!$A$2:$H$11,2,0))</f>
        <v>ABC</v>
      </c>
      <c r="C3" s="9">
        <f>IF(A3="","",VLOOKUP(A3,采购申请表!$A$2:$H$11,3,0))</f>
        <v>1</v>
      </c>
      <c r="D3" s="9">
        <f>IF(A3="","",VLOOKUP(A3,采购申请表!$A$2:$H$11,5,0))</f>
        <v>24</v>
      </c>
      <c r="E3" s="9" t="str">
        <f>IF(A3="","",VLOOKUP(A3,采购申请表!$A$2:$H$11,6,0))</f>
        <v>包</v>
      </c>
      <c r="F3" s="19">
        <v>62</v>
      </c>
      <c r="G3" s="19">
        <f>D3*F3</f>
        <v>1488</v>
      </c>
      <c r="H3" s="15">
        <v>38768</v>
      </c>
      <c r="I3" s="15">
        <v>38773</v>
      </c>
      <c r="J3" s="9">
        <f>D3</f>
        <v>24</v>
      </c>
      <c r="K3" s="17" t="s">
        <v>25</v>
      </c>
    </row>
    <row r="4" spans="1:11">
      <c r="A4" s="7">
        <v>2</v>
      </c>
      <c r="B4" s="8" t="str">
        <f>IF(A4="","",VLOOKUP(A4,采购申请表!$A$2:$H$11,2,0))</f>
        <v>ABC</v>
      </c>
      <c r="C4" s="9">
        <f>IF(A4="","",VLOOKUP(A4,采购申请表!$A$2:$H$11,3,0))</f>
        <v>2</v>
      </c>
      <c r="D4" s="9">
        <f>IF(A4="","",VLOOKUP(A4,采购申请表!$A$2:$H$11,5,0))</f>
        <v>60</v>
      </c>
      <c r="E4" s="9" t="str">
        <f>IF(A4="","",VLOOKUP(A4,采购申请表!$A$2:$H$11,6,0))</f>
        <v>包</v>
      </c>
      <c r="F4" s="19">
        <v>65</v>
      </c>
      <c r="G4" s="19">
        <f t="shared" ref="G4:G10" si="0">D4*F4</f>
        <v>3900</v>
      </c>
      <c r="H4" s="15">
        <v>38768</v>
      </c>
      <c r="I4" s="15">
        <v>38773</v>
      </c>
      <c r="J4" s="9">
        <f t="shared" ref="J4:J10" si="1">D4</f>
        <v>60</v>
      </c>
      <c r="K4" s="17" t="s">
        <v>26</v>
      </c>
    </row>
    <row r="5" spans="1:11">
      <c r="A5" s="7">
        <v>3</v>
      </c>
      <c r="B5" s="8" t="str">
        <f>IF(A5="","",VLOOKUP(A5,采购申请表!$A$2:$H$11,2,0))</f>
        <v>ABC</v>
      </c>
      <c r="C5" s="9">
        <f>IF(A5="","",VLOOKUP(A5,采购申请表!$A$2:$H$11,3,0))</f>
        <v>3</v>
      </c>
      <c r="D5" s="9">
        <f>IF(A5="","",VLOOKUP(A5,采购申请表!$A$2:$H$11,5,0))</f>
        <v>36</v>
      </c>
      <c r="E5" s="9" t="str">
        <f>IF(A5="","",VLOOKUP(A5,采购申请表!$A$2:$H$11,6,0))</f>
        <v>包</v>
      </c>
      <c r="F5" s="19">
        <v>58</v>
      </c>
      <c r="G5" s="19">
        <f t="shared" si="0"/>
        <v>2088</v>
      </c>
      <c r="H5" s="15">
        <v>38768</v>
      </c>
      <c r="I5" s="15">
        <v>38773</v>
      </c>
      <c r="J5" s="9">
        <f t="shared" si="1"/>
        <v>36</v>
      </c>
      <c r="K5" s="17" t="s">
        <v>27</v>
      </c>
    </row>
    <row r="6" spans="1:11">
      <c r="A6" s="7">
        <v>4</v>
      </c>
      <c r="B6" s="8" t="str">
        <f>IF(A6="","",VLOOKUP(A6,采购申请表!$A$2:$H$11,2,0))</f>
        <v>ABC</v>
      </c>
      <c r="C6" s="9">
        <f>IF(A6="","",VLOOKUP(A6,采购申请表!$A$2:$H$11,3,0))</f>
        <v>4</v>
      </c>
      <c r="D6" s="9">
        <f>IF(A6="","",VLOOKUP(A6,采购申请表!$A$2:$H$11,5,0))</f>
        <v>54</v>
      </c>
      <c r="E6" s="9" t="str">
        <f>IF(A6="","",VLOOKUP(A6,采购申请表!$A$2:$H$11,6,0))</f>
        <v>包</v>
      </c>
      <c r="F6" s="19">
        <v>56</v>
      </c>
      <c r="G6" s="19">
        <f t="shared" si="0"/>
        <v>3024</v>
      </c>
      <c r="H6" s="15">
        <v>38768</v>
      </c>
      <c r="I6" s="15">
        <v>38773</v>
      </c>
      <c r="J6" s="9">
        <f t="shared" si="1"/>
        <v>54</v>
      </c>
      <c r="K6" s="17" t="s">
        <v>28</v>
      </c>
    </row>
    <row r="7" spans="1:11">
      <c r="A7" s="7">
        <v>5</v>
      </c>
      <c r="B7" s="8" t="str">
        <f>IF(A7="","",VLOOKUP(A7,采购申请表!$A$2:$H$11,2,0))</f>
        <v>ABC</v>
      </c>
      <c r="C7" s="9">
        <f>IF(A7="","",VLOOKUP(A7,采购申请表!$A$2:$H$11,3,0))</f>
        <v>5</v>
      </c>
      <c r="D7" s="9">
        <f>IF(A7="","",VLOOKUP(A7,采购申请表!$A$2:$H$11,5,0))</f>
        <v>42</v>
      </c>
      <c r="E7" s="9" t="str">
        <f>IF(A7="","",VLOOKUP(A7,采购申请表!$A$2:$H$11,6,0))</f>
        <v>包</v>
      </c>
      <c r="F7" s="19">
        <v>45</v>
      </c>
      <c r="G7" s="19">
        <f t="shared" si="0"/>
        <v>1890</v>
      </c>
      <c r="H7" s="15">
        <v>38768</v>
      </c>
      <c r="I7" s="15">
        <v>38773</v>
      </c>
      <c r="J7" s="9">
        <f t="shared" si="1"/>
        <v>42</v>
      </c>
      <c r="K7" s="17" t="s">
        <v>29</v>
      </c>
    </row>
    <row r="8" spans="1:11">
      <c r="A8" s="7">
        <v>6</v>
      </c>
      <c r="B8" s="8" t="str">
        <f>IF(A8="","",VLOOKUP(A8,采购申请表!$A$2:$H$11,2,0))</f>
        <v>ABC</v>
      </c>
      <c r="C8" s="9">
        <f>IF(A8="","",VLOOKUP(A8,采购申请表!$A$2:$H$11,3,0))</f>
        <v>6</v>
      </c>
      <c r="D8" s="9">
        <f>IF(A8="","",VLOOKUP(A8,采购申请表!$A$2:$H$11,5,0))</f>
        <v>33</v>
      </c>
      <c r="E8" s="9" t="str">
        <f>IF(A8="","",VLOOKUP(A8,采购申请表!$A$2:$H$11,6,0))</f>
        <v>包</v>
      </c>
      <c r="F8" s="19">
        <v>80</v>
      </c>
      <c r="G8" s="19">
        <f t="shared" si="0"/>
        <v>2640</v>
      </c>
      <c r="H8" s="15">
        <v>38768</v>
      </c>
      <c r="I8" s="15">
        <v>38773</v>
      </c>
      <c r="J8" s="9">
        <f t="shared" si="1"/>
        <v>33</v>
      </c>
      <c r="K8" s="17" t="s">
        <v>30</v>
      </c>
    </row>
    <row r="9" spans="1:11">
      <c r="A9" s="7">
        <v>7</v>
      </c>
      <c r="B9" s="8" t="str">
        <f>IF(A9="","",VLOOKUP(A9,采购申请表!$A$2:$H$11,2,0))</f>
        <v>ABC</v>
      </c>
      <c r="C9" s="9">
        <f>IF(A9="","",VLOOKUP(A9,采购申请表!$A$2:$H$11,3,0))</f>
        <v>7</v>
      </c>
      <c r="D9" s="9">
        <f>IF(A9="","",VLOOKUP(A9,采购申请表!$A$2:$H$11,5,0))</f>
        <v>72</v>
      </c>
      <c r="E9" s="9" t="str">
        <f>IF(A9="","",VLOOKUP(A9,采购申请表!$A$2:$H$11,6,0))</f>
        <v>包</v>
      </c>
      <c r="F9" s="19">
        <v>60</v>
      </c>
      <c r="G9" s="19">
        <f t="shared" si="0"/>
        <v>4320</v>
      </c>
      <c r="H9" s="15">
        <v>38768</v>
      </c>
      <c r="I9" s="15">
        <v>38773</v>
      </c>
      <c r="J9" s="9">
        <f t="shared" si="1"/>
        <v>72</v>
      </c>
      <c r="K9" s="17" t="s">
        <v>31</v>
      </c>
    </row>
    <row r="10" spans="1:11" ht="16.2" thickBot="1">
      <c r="A10" s="10">
        <v>8</v>
      </c>
      <c r="B10" s="11" t="str">
        <f>IF(A10="","",VLOOKUP(A10,采购申请表!$A$2:$H$11,2,0))</f>
        <v>ABC</v>
      </c>
      <c r="C10" s="12">
        <f>IF(A10="","",VLOOKUP(A10,采购申请表!$A$2:$H$11,3,0))</f>
        <v>8</v>
      </c>
      <c r="D10" s="12">
        <f>IF(A10="","",VLOOKUP(A10,采购申请表!$A$2:$H$11,5,0))</f>
        <v>43</v>
      </c>
      <c r="E10" s="12" t="str">
        <f>IF(A10="","",VLOOKUP(A10,采购申请表!$A$2:$H$11,6,0))</f>
        <v>包</v>
      </c>
      <c r="F10" s="20">
        <v>71</v>
      </c>
      <c r="G10" s="20">
        <f t="shared" si="0"/>
        <v>3053</v>
      </c>
      <c r="H10" s="16">
        <v>38768</v>
      </c>
      <c r="I10" s="16">
        <v>38773</v>
      </c>
      <c r="J10" s="12">
        <f t="shared" si="1"/>
        <v>43</v>
      </c>
      <c r="K10" s="18" t="s">
        <v>32</v>
      </c>
    </row>
    <row r="11" spans="1:11" ht="16.2" thickTop="1"/>
  </sheetData>
  <mergeCells count="1">
    <mergeCell ref="A1:K1"/>
  </mergeCells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G17"/>
  <sheetViews>
    <sheetView topLeftCell="A10" workbookViewId="0">
      <selection activeCell="E10" sqref="E10"/>
    </sheetView>
  </sheetViews>
  <sheetFormatPr defaultRowHeight="15.6" outlineLevelRow="2"/>
  <cols>
    <col min="1" max="1" width="13.69921875" customWidth="1"/>
    <col min="2" max="3" width="10.19921875" customWidth="1"/>
    <col min="4" max="4" width="9.69921875" customWidth="1"/>
    <col min="5" max="5" width="10.19921875" customWidth="1"/>
    <col min="6" max="6" width="10.09765625" customWidth="1"/>
    <col min="7" max="7" width="11.69921875" customWidth="1"/>
  </cols>
  <sheetData>
    <row r="1" spans="1:7" ht="24" customHeight="1" thickBot="1">
      <c r="A1" s="53" t="s">
        <v>33</v>
      </c>
      <c r="B1" s="53"/>
      <c r="C1" s="53"/>
      <c r="D1" s="53"/>
      <c r="E1" s="53"/>
      <c r="F1" s="53"/>
      <c r="G1" s="53"/>
    </row>
    <row r="2" spans="1:7" ht="16.2" thickTop="1">
      <c r="A2" s="1" t="s">
        <v>36</v>
      </c>
      <c r="B2" s="2" t="s">
        <v>6</v>
      </c>
      <c r="C2" s="2" t="s">
        <v>7</v>
      </c>
      <c r="D2" s="2" t="s">
        <v>34</v>
      </c>
      <c r="E2" s="2" t="s">
        <v>35</v>
      </c>
      <c r="F2" s="2" t="s">
        <v>19</v>
      </c>
      <c r="G2" s="3" t="s">
        <v>20</v>
      </c>
    </row>
    <row r="3" spans="1:7" outlineLevel="2">
      <c r="A3" s="23">
        <v>38776</v>
      </c>
      <c r="B3" s="8" t="s">
        <v>37</v>
      </c>
      <c r="C3" s="9">
        <v>1</v>
      </c>
      <c r="D3" s="9" t="s">
        <v>38</v>
      </c>
      <c r="E3" s="9">
        <v>10</v>
      </c>
      <c r="F3" s="19">
        <v>70</v>
      </c>
      <c r="G3" s="21">
        <f>E3*F3</f>
        <v>700</v>
      </c>
    </row>
    <row r="4" spans="1:7" outlineLevel="2">
      <c r="A4" s="23">
        <v>38786</v>
      </c>
      <c r="B4" s="8" t="s">
        <v>37</v>
      </c>
      <c r="C4" s="9">
        <v>1</v>
      </c>
      <c r="D4" s="9" t="s">
        <v>38</v>
      </c>
      <c r="E4" s="9">
        <v>8</v>
      </c>
      <c r="F4" s="19">
        <v>70</v>
      </c>
      <c r="G4" s="21">
        <f>E4*F4</f>
        <v>560</v>
      </c>
    </row>
    <row r="5" spans="1:7" outlineLevel="1">
      <c r="A5" s="23"/>
      <c r="B5" s="8"/>
      <c r="C5" s="25" t="s">
        <v>39</v>
      </c>
      <c r="D5" s="9"/>
      <c r="E5" s="9">
        <f>SUBTOTAL(9,E3:E4)</f>
        <v>18</v>
      </c>
      <c r="F5" s="19"/>
      <c r="G5" s="21">
        <f>SUBTOTAL(9,G3:G4)</f>
        <v>1260</v>
      </c>
    </row>
    <row r="6" spans="1:7" outlineLevel="2">
      <c r="A6" s="23">
        <v>38784</v>
      </c>
      <c r="B6" s="8" t="s">
        <v>37</v>
      </c>
      <c r="C6" s="9">
        <v>2</v>
      </c>
      <c r="D6" s="9" t="s">
        <v>38</v>
      </c>
      <c r="E6" s="9">
        <v>50</v>
      </c>
      <c r="F6" s="19">
        <v>75</v>
      </c>
      <c r="G6" s="21">
        <f>E6*F6</f>
        <v>3750</v>
      </c>
    </row>
    <row r="7" spans="1:7" outlineLevel="1">
      <c r="A7" s="23"/>
      <c r="B7" s="8"/>
      <c r="C7" s="25" t="s">
        <v>40</v>
      </c>
      <c r="D7" s="9"/>
      <c r="E7" s="9">
        <f>SUBTOTAL(9,E6:E6)</f>
        <v>50</v>
      </c>
      <c r="F7" s="19"/>
      <c r="G7" s="21">
        <f>SUBTOTAL(9,G6:G6)</f>
        <v>3750</v>
      </c>
    </row>
    <row r="8" spans="1:7" outlineLevel="2">
      <c r="A8" s="23">
        <v>38778</v>
      </c>
      <c r="B8" s="8" t="s">
        <v>37</v>
      </c>
      <c r="C8" s="9">
        <v>3</v>
      </c>
      <c r="D8" s="9" t="s">
        <v>38</v>
      </c>
      <c r="E8" s="9">
        <v>18</v>
      </c>
      <c r="F8" s="19">
        <v>63</v>
      </c>
      <c r="G8" s="21">
        <f>E8*F8</f>
        <v>1134</v>
      </c>
    </row>
    <row r="9" spans="1:7" outlineLevel="2">
      <c r="A9" s="23">
        <v>38790</v>
      </c>
      <c r="B9" s="8" t="s">
        <v>37</v>
      </c>
      <c r="C9" s="9">
        <v>3</v>
      </c>
      <c r="D9" s="9" t="s">
        <v>38</v>
      </c>
      <c r="E9" s="9">
        <v>12</v>
      </c>
      <c r="F9" s="19">
        <v>63</v>
      </c>
      <c r="G9" s="21">
        <f>E9*F9</f>
        <v>756</v>
      </c>
    </row>
    <row r="10" spans="1:7" outlineLevel="1">
      <c r="A10" s="23"/>
      <c r="B10" s="8"/>
      <c r="C10" s="25" t="s">
        <v>41</v>
      </c>
      <c r="D10" s="9"/>
      <c r="E10" s="9">
        <f>SUBTOTAL(9,E8:E9)</f>
        <v>30</v>
      </c>
      <c r="F10" s="19"/>
      <c r="G10" s="21">
        <f>SUBTOTAL(9,G8:G9)</f>
        <v>1890</v>
      </c>
    </row>
    <row r="11" spans="1:7" outlineLevel="2">
      <c r="A11" s="23">
        <v>38787</v>
      </c>
      <c r="B11" s="8" t="s">
        <v>37</v>
      </c>
      <c r="C11" s="9">
        <v>4</v>
      </c>
      <c r="D11" s="9" t="s">
        <v>38</v>
      </c>
      <c r="E11" s="9">
        <v>20</v>
      </c>
      <c r="F11" s="19">
        <v>60</v>
      </c>
      <c r="G11" s="21">
        <f>E11*F11</f>
        <v>1200</v>
      </c>
    </row>
    <row r="12" spans="1:7" outlineLevel="1">
      <c r="A12" s="23"/>
      <c r="B12" s="8"/>
      <c r="C12" s="25" t="s">
        <v>42</v>
      </c>
      <c r="D12" s="9"/>
      <c r="E12" s="9">
        <f>SUBTOTAL(9,E11:E11)</f>
        <v>20</v>
      </c>
      <c r="F12" s="19"/>
      <c r="G12" s="21">
        <f>SUBTOTAL(9,G11:G11)</f>
        <v>1200</v>
      </c>
    </row>
    <row r="13" spans="1:7" outlineLevel="2">
      <c r="A13" s="23">
        <v>38779</v>
      </c>
      <c r="B13" s="8" t="s">
        <v>37</v>
      </c>
      <c r="C13" s="9">
        <v>5</v>
      </c>
      <c r="D13" s="9" t="s">
        <v>38</v>
      </c>
      <c r="E13" s="9">
        <v>39</v>
      </c>
      <c r="F13" s="19">
        <v>60</v>
      </c>
      <c r="G13" s="21">
        <f>E13*F13</f>
        <v>2340</v>
      </c>
    </row>
    <row r="14" spans="1:7" outlineLevel="1">
      <c r="A14" s="26"/>
      <c r="B14" s="27"/>
      <c r="C14" s="31" t="s">
        <v>43</v>
      </c>
      <c r="D14" s="28"/>
      <c r="E14" s="28">
        <f>SUBTOTAL(9,E13:E13)</f>
        <v>39</v>
      </c>
      <c r="F14" s="29"/>
      <c r="G14" s="30">
        <f>SUBTOTAL(9,G13:G13)</f>
        <v>2340</v>
      </c>
    </row>
    <row r="15" spans="1:7" ht="16.2" outlineLevel="2" thickBot="1">
      <c r="A15" s="24">
        <v>38792</v>
      </c>
      <c r="B15" s="11" t="s">
        <v>37</v>
      </c>
      <c r="C15" s="12">
        <v>6</v>
      </c>
      <c r="D15" s="12" t="s">
        <v>38</v>
      </c>
      <c r="E15" s="12">
        <v>20</v>
      </c>
      <c r="F15" s="20">
        <v>85</v>
      </c>
      <c r="G15" s="22">
        <f>E15*F15</f>
        <v>1700</v>
      </c>
    </row>
    <row r="16" spans="1:7" ht="16.2" outlineLevel="1" thickTop="1">
      <c r="A16" s="32"/>
      <c r="B16" s="33"/>
      <c r="C16" s="36" t="s">
        <v>44</v>
      </c>
      <c r="D16" s="34"/>
      <c r="E16" s="34">
        <f>SUBTOTAL(9,E15:E15)</f>
        <v>20</v>
      </c>
      <c r="F16" s="35"/>
      <c r="G16" s="35">
        <f>SUBTOTAL(9,G15:G15)</f>
        <v>1700</v>
      </c>
    </row>
    <row r="17" spans="1:7">
      <c r="A17" s="32"/>
      <c r="B17" s="33"/>
      <c r="C17" s="36" t="s">
        <v>45</v>
      </c>
      <c r="D17" s="34"/>
      <c r="E17" s="34">
        <f>SUBTOTAL(9,E3:E15)</f>
        <v>177</v>
      </c>
      <c r="F17" s="35"/>
      <c r="G17" s="35">
        <f>SUBTOTAL(9,G3:G15)</f>
        <v>12140</v>
      </c>
    </row>
  </sheetData>
  <mergeCells count="1">
    <mergeCell ref="A1:G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H11"/>
  <sheetViews>
    <sheetView workbookViewId="0">
      <selection activeCell="C10" sqref="C10"/>
    </sheetView>
  </sheetViews>
  <sheetFormatPr defaultRowHeight="15.6"/>
  <cols>
    <col min="1" max="1" width="7.3984375" customWidth="1"/>
    <col min="2" max="2" width="10" customWidth="1"/>
    <col min="3" max="3" width="9.69921875" customWidth="1"/>
    <col min="4" max="5" width="10.69921875" customWidth="1"/>
    <col min="6" max="6" width="11.3984375" customWidth="1"/>
    <col min="7" max="7" width="11.5" customWidth="1"/>
    <col min="8" max="8" width="11.19921875" customWidth="1"/>
  </cols>
  <sheetData>
    <row r="1" spans="1:8" ht="24.6" customHeight="1" thickBot="1">
      <c r="A1" s="52" t="s">
        <v>53</v>
      </c>
      <c r="B1" s="52"/>
      <c r="C1" s="52"/>
      <c r="D1" s="52"/>
      <c r="E1" s="52"/>
      <c r="F1" s="52"/>
      <c r="G1" s="52"/>
      <c r="H1" s="52"/>
    </row>
    <row r="2" spans="1:8" ht="16.2" thickTop="1">
      <c r="A2" s="37" t="s">
        <v>46</v>
      </c>
      <c r="B2" s="38" t="s">
        <v>47</v>
      </c>
      <c r="C2" s="38" t="s">
        <v>48</v>
      </c>
      <c r="D2" s="38" t="s">
        <v>49</v>
      </c>
      <c r="E2" s="38" t="s">
        <v>54</v>
      </c>
      <c r="F2" s="38" t="s">
        <v>51</v>
      </c>
      <c r="G2" s="38" t="s">
        <v>50</v>
      </c>
      <c r="H2" s="39" t="s">
        <v>52</v>
      </c>
    </row>
    <row r="3" spans="1:8">
      <c r="A3" s="7">
        <v>1</v>
      </c>
      <c r="B3" s="8" t="s">
        <v>14</v>
      </c>
      <c r="C3" s="9">
        <v>1</v>
      </c>
      <c r="D3" s="8" t="s">
        <v>15</v>
      </c>
      <c r="E3" s="8">
        <f>SUMIF(采购申请表!$A$3:$A$11,A3,采购申请表!$D$3:$D$11)</f>
        <v>3</v>
      </c>
      <c r="F3" s="8">
        <f>SUMIF(采购记录单!$A$3:$A$10,A3,采购记录单!$D$3:$D$10)</f>
        <v>24</v>
      </c>
      <c r="G3" s="8">
        <f>SUMIF(销售记录单!$C$3:$C$15,C3,销售记录单!$E$3:$E$17)</f>
        <v>18</v>
      </c>
      <c r="H3" s="17">
        <f>E3+F3-G3</f>
        <v>9</v>
      </c>
    </row>
    <row r="4" spans="1:8">
      <c r="A4" s="7">
        <v>2</v>
      </c>
      <c r="B4" s="8" t="s">
        <v>14</v>
      </c>
      <c r="C4" s="9">
        <v>2</v>
      </c>
      <c r="D4" s="8" t="s">
        <v>15</v>
      </c>
      <c r="E4" s="8">
        <f>SUMIF(采购申请表!$A$3:$A$11,A4,采购申请表!$D$3:$D$11)</f>
        <v>10</v>
      </c>
      <c r="F4" s="8">
        <f>SUMIF(采购记录单!$A$3:$A$10,A4,采购记录单!$D$3:$D$10)</f>
        <v>60</v>
      </c>
      <c r="G4" s="8">
        <f>SUMIF(销售记录单!$C$3:$C$15,C4,销售记录单!$E$3:$E$17)</f>
        <v>50</v>
      </c>
      <c r="H4" s="17">
        <f t="shared" ref="H4:H10" si="0">E4+F4-G4</f>
        <v>20</v>
      </c>
    </row>
    <row r="5" spans="1:8">
      <c r="A5" s="7">
        <v>3</v>
      </c>
      <c r="B5" s="8" t="s">
        <v>14</v>
      </c>
      <c r="C5" s="9">
        <v>3</v>
      </c>
      <c r="D5" s="8" t="s">
        <v>15</v>
      </c>
      <c r="E5" s="8">
        <f>SUMIF(采购申请表!$A$3:$A$11,A5,采购申请表!$D$3:$D$11)</f>
        <v>5</v>
      </c>
      <c r="F5" s="8">
        <f>SUMIF(采购记录单!$A$3:$A$10,A5,采购记录单!$D$3:$D$10)</f>
        <v>36</v>
      </c>
      <c r="G5" s="8">
        <f>SUMIF(销售记录单!$C$3:$C$15,C5,销售记录单!$E$3:$E$17)</f>
        <v>30</v>
      </c>
      <c r="H5" s="17">
        <f t="shared" si="0"/>
        <v>11</v>
      </c>
    </row>
    <row r="6" spans="1:8">
      <c r="A6" s="7">
        <v>4</v>
      </c>
      <c r="B6" s="8" t="s">
        <v>14</v>
      </c>
      <c r="C6" s="9">
        <v>4</v>
      </c>
      <c r="D6" s="8" t="s">
        <v>15</v>
      </c>
      <c r="E6" s="8">
        <f>SUMIF(采购申请表!$A$3:$A$11,A6,采购申请表!$D$3:$D$11)</f>
        <v>8</v>
      </c>
      <c r="F6" s="8">
        <f>SUMIF(采购记录单!$A$3:$A$10,A6,采购记录单!$D$3:$D$10)</f>
        <v>54</v>
      </c>
      <c r="G6" s="8">
        <f>SUMIF(销售记录单!$C$3:$C$15,C6,销售记录单!$E$3:$E$17)</f>
        <v>20</v>
      </c>
      <c r="H6" s="17">
        <f t="shared" si="0"/>
        <v>42</v>
      </c>
    </row>
    <row r="7" spans="1:8">
      <c r="A7" s="7">
        <v>5</v>
      </c>
      <c r="B7" s="8" t="s">
        <v>14</v>
      </c>
      <c r="C7" s="9">
        <v>5</v>
      </c>
      <c r="D7" s="8" t="s">
        <v>15</v>
      </c>
      <c r="E7" s="8">
        <f>SUMIF(采购申请表!$A$3:$A$11,A7,采购申请表!$D$3:$D$11)</f>
        <v>7</v>
      </c>
      <c r="F7" s="8">
        <f>SUMIF(采购记录单!$A$3:$A$10,A7,采购记录单!$D$3:$D$10)</f>
        <v>42</v>
      </c>
      <c r="G7" s="8">
        <f>SUMIF(销售记录单!$C$3:$C$15,C7,销售记录单!$E$3:$E$17)</f>
        <v>39</v>
      </c>
      <c r="H7" s="17">
        <f t="shared" si="0"/>
        <v>10</v>
      </c>
    </row>
    <row r="8" spans="1:8">
      <c r="A8" s="7">
        <v>6</v>
      </c>
      <c r="B8" s="8" t="s">
        <v>14</v>
      </c>
      <c r="C8" s="9">
        <v>6</v>
      </c>
      <c r="D8" s="8" t="s">
        <v>15</v>
      </c>
      <c r="E8" s="8">
        <f>SUMIF(采购申请表!$A$3:$A$11,A8,采购申请表!$D$3:$D$11)</f>
        <v>6</v>
      </c>
      <c r="F8" s="8">
        <f>SUMIF(采购记录单!$A$3:$A$10,A8,采购记录单!$D$3:$D$10)</f>
        <v>33</v>
      </c>
      <c r="G8" s="8">
        <f>SUMIF(销售记录单!$C$3:$C$15,C8,销售记录单!$E$3:$E$17)</f>
        <v>20</v>
      </c>
      <c r="H8" s="17">
        <f t="shared" si="0"/>
        <v>19</v>
      </c>
    </row>
    <row r="9" spans="1:8">
      <c r="A9" s="7">
        <v>7</v>
      </c>
      <c r="B9" s="8" t="s">
        <v>14</v>
      </c>
      <c r="C9" s="9">
        <v>7</v>
      </c>
      <c r="D9" s="8" t="s">
        <v>15</v>
      </c>
      <c r="E9" s="8">
        <f>SUMIF(采购申请表!$A$3:$A$11,A9,采购申请表!$D$3:$D$11)</f>
        <v>4</v>
      </c>
      <c r="F9" s="8">
        <f>SUMIF(采购记录单!$A$3:$A$10,A9,采购记录单!$D$3:$D$10)</f>
        <v>72</v>
      </c>
      <c r="G9" s="8">
        <f>SUMIF(销售记录单!$C$3:$C$15,C9,销售记录单!$E$3:$E$17)</f>
        <v>0</v>
      </c>
      <c r="H9" s="17">
        <f t="shared" si="0"/>
        <v>76</v>
      </c>
    </row>
    <row r="10" spans="1:8" ht="16.2" thickBot="1">
      <c r="A10" s="10">
        <v>8</v>
      </c>
      <c r="B10" s="11" t="s">
        <v>14</v>
      </c>
      <c r="C10" s="12">
        <v>8</v>
      </c>
      <c r="D10" s="11" t="s">
        <v>15</v>
      </c>
      <c r="E10" s="11">
        <f>SUMIF(采购申请表!$A$3:$A$11,A10,采购申请表!$D$3:$D$11)</f>
        <v>9</v>
      </c>
      <c r="F10" s="11">
        <f>SUMIF(采购记录单!$A$3:$A$10,A10,采购记录单!$D$3:$D$10)</f>
        <v>43</v>
      </c>
      <c r="G10" s="11">
        <f>SUMIF(销售记录单!$C$3:$C$15,C10,销售记录单!$E$3:$E$17)</f>
        <v>0</v>
      </c>
      <c r="H10" s="18">
        <f t="shared" si="0"/>
        <v>52</v>
      </c>
    </row>
    <row r="11" spans="1:8" ht="16.2" thickTop="1"/>
  </sheetData>
  <mergeCells count="1">
    <mergeCell ref="A1:H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B1:B10"/>
  <sheetViews>
    <sheetView workbookViewId="0">
      <selection activeCell="B3" sqref="B3:B9"/>
    </sheetView>
  </sheetViews>
  <sheetFormatPr defaultRowHeight="15.6"/>
  <cols>
    <col min="2" max="2" width="12.69921875" customWidth="1"/>
  </cols>
  <sheetData>
    <row r="1" spans="2:2" ht="9.6" customHeight="1" thickBot="1"/>
    <row r="2" spans="2:2" ht="16.2" thickTop="1">
      <c r="B2" s="40" t="s">
        <v>55</v>
      </c>
    </row>
    <row r="3" spans="2:2">
      <c r="B3" s="41" t="s">
        <v>57</v>
      </c>
    </row>
    <row r="4" spans="2:2">
      <c r="B4" s="41" t="s">
        <v>62</v>
      </c>
    </row>
    <row r="5" spans="2:2">
      <c r="B5" s="41" t="s">
        <v>63</v>
      </c>
    </row>
    <row r="6" spans="2:2">
      <c r="B6" s="41" t="s">
        <v>64</v>
      </c>
    </row>
    <row r="7" spans="2:2">
      <c r="B7" s="41" t="s">
        <v>65</v>
      </c>
    </row>
    <row r="8" spans="2:2">
      <c r="B8" s="41" t="s">
        <v>66</v>
      </c>
    </row>
    <row r="9" spans="2:2" ht="16.2" thickBot="1">
      <c r="B9" s="42" t="s">
        <v>67</v>
      </c>
    </row>
    <row r="10" spans="2:2" ht="16.2" thickTop="1"/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dimension ref="A1:I14"/>
  <sheetViews>
    <sheetView workbookViewId="0">
      <selection activeCell="C4" sqref="C4"/>
    </sheetView>
  </sheetViews>
  <sheetFormatPr defaultRowHeight="15.6"/>
  <cols>
    <col min="1" max="1" width="9.69921875" style="68" customWidth="1"/>
    <col min="2" max="2" width="12.19921875" style="68" customWidth="1"/>
    <col min="3" max="3" width="12.69921875" style="68" customWidth="1"/>
    <col min="4" max="4" width="11" style="68" customWidth="1"/>
    <col min="5" max="5" width="10.3984375" style="68" customWidth="1"/>
    <col min="6" max="6" width="10.19921875" style="68" customWidth="1"/>
    <col min="7" max="8" width="10.09765625" style="68" customWidth="1"/>
    <col min="9" max="9" width="10" style="68" customWidth="1"/>
    <col min="10" max="16384" width="8.796875" style="68"/>
  </cols>
  <sheetData>
    <row r="1" spans="1:9" ht="24" customHeight="1" thickBot="1">
      <c r="A1" s="78" t="s">
        <v>68</v>
      </c>
      <c r="B1" s="78"/>
      <c r="C1" s="78"/>
      <c r="D1" s="78"/>
      <c r="E1" s="78"/>
      <c r="F1" s="78"/>
      <c r="G1" s="78"/>
      <c r="H1" s="78"/>
      <c r="I1" s="78"/>
    </row>
    <row r="2" spans="1:9" ht="16.2" thickTop="1">
      <c r="A2" s="79" t="s">
        <v>87</v>
      </c>
      <c r="B2" s="80" t="s">
        <v>88</v>
      </c>
      <c r="C2" s="80" t="s">
        <v>89</v>
      </c>
      <c r="D2" s="81" t="s">
        <v>90</v>
      </c>
      <c r="E2" s="80" t="s">
        <v>71</v>
      </c>
      <c r="F2" s="80"/>
      <c r="G2" s="80"/>
      <c r="H2" s="80"/>
      <c r="I2" s="85"/>
    </row>
    <row r="3" spans="1:9">
      <c r="A3" s="82"/>
      <c r="B3" s="83"/>
      <c r="C3" s="83"/>
      <c r="D3" s="84"/>
      <c r="E3" s="69" t="s">
        <v>72</v>
      </c>
      <c r="F3" s="69" t="s">
        <v>73</v>
      </c>
      <c r="G3" s="69" t="s">
        <v>76</v>
      </c>
      <c r="H3" s="69" t="s">
        <v>78</v>
      </c>
      <c r="I3" s="70" t="s">
        <v>77</v>
      </c>
    </row>
    <row r="4" spans="1:9">
      <c r="A4" s="71" t="s">
        <v>58</v>
      </c>
      <c r="B4" s="72">
        <v>38786</v>
      </c>
      <c r="C4" s="72">
        <f ca="1">NOW()</f>
        <v>39466.356253356484</v>
      </c>
      <c r="D4" s="73">
        <v>10000</v>
      </c>
      <c r="E4" s="73">
        <f t="shared" ref="E4:E11" ca="1" si="0">IF(账款到期时间-C4&lt;=10,应收账款金额,"")</f>
        <v>10000</v>
      </c>
      <c r="F4" s="73" t="str">
        <f t="shared" ref="F4:F11" ca="1" si="1">IF(AND(账款到期时间-C4&gt;10,账款到期时间-C4&lt;=25),应收账款金额,"")</f>
        <v/>
      </c>
      <c r="G4" s="73" t="str">
        <f t="shared" ref="G4:G11" ca="1" si="2">IF(AND(账款到期时间-C4&gt;25,账款到期时间-C4&lt;=45),应收账款金额,"")</f>
        <v/>
      </c>
      <c r="H4" s="73" t="str">
        <f t="shared" ref="H4:H11" ca="1" si="3">IF(AND(账款到期时间-C4&gt;45,账款到期时间-C4&lt;=80),应收账款金额,"")</f>
        <v/>
      </c>
      <c r="I4" s="74" t="str">
        <f t="shared" ref="I4:I11" ca="1" si="4">IF(账款到期时间-C4&gt;80,应收账款金额,"")</f>
        <v/>
      </c>
    </row>
    <row r="5" spans="1:9">
      <c r="A5" s="71" t="s">
        <v>59</v>
      </c>
      <c r="B5" s="72">
        <v>38822</v>
      </c>
      <c r="C5" s="72">
        <f t="shared" ref="C5:C11" ca="1" si="5">NOW()</f>
        <v>39466.356253356484</v>
      </c>
      <c r="D5" s="73">
        <v>25000</v>
      </c>
      <c r="E5" s="73">
        <f t="shared" ca="1" si="0"/>
        <v>25000</v>
      </c>
      <c r="F5" s="73" t="str">
        <f t="shared" ca="1" si="1"/>
        <v/>
      </c>
      <c r="G5" s="73" t="str">
        <f t="shared" ca="1" si="2"/>
        <v/>
      </c>
      <c r="H5" s="73" t="str">
        <f t="shared" ca="1" si="3"/>
        <v/>
      </c>
      <c r="I5" s="74" t="str">
        <f t="shared" ca="1" si="4"/>
        <v/>
      </c>
    </row>
    <row r="6" spans="1:9">
      <c r="A6" s="71" t="s">
        <v>60</v>
      </c>
      <c r="B6" s="72">
        <v>38776</v>
      </c>
      <c r="C6" s="72">
        <f t="shared" ca="1" si="5"/>
        <v>39466.356253356484</v>
      </c>
      <c r="D6" s="73">
        <v>35000</v>
      </c>
      <c r="E6" s="73">
        <f t="shared" ca="1" si="0"/>
        <v>35000</v>
      </c>
      <c r="F6" s="73" t="str">
        <f ca="1">IF(AND(账款到期时间-C6&gt;10,账款到期时间-C6&lt;=25),应收账款金额,"")</f>
        <v/>
      </c>
      <c r="G6" s="73" t="str">
        <f t="shared" ca="1" si="2"/>
        <v/>
      </c>
      <c r="H6" s="73" t="str">
        <f t="shared" ca="1" si="3"/>
        <v/>
      </c>
      <c r="I6" s="74" t="str">
        <f t="shared" ca="1" si="4"/>
        <v/>
      </c>
    </row>
    <row r="7" spans="1:9">
      <c r="A7" s="71" t="s">
        <v>56</v>
      </c>
      <c r="B7" s="72">
        <v>38777</v>
      </c>
      <c r="C7" s="72">
        <f t="shared" ca="1" si="5"/>
        <v>39466.356253356484</v>
      </c>
      <c r="D7" s="73">
        <v>42000</v>
      </c>
      <c r="E7" s="73">
        <f t="shared" ca="1" si="0"/>
        <v>42000</v>
      </c>
      <c r="F7" s="73" t="str">
        <f t="shared" ca="1" si="1"/>
        <v/>
      </c>
      <c r="G7" s="73" t="str">
        <f t="shared" ca="1" si="2"/>
        <v/>
      </c>
      <c r="H7" s="73" t="str">
        <f t="shared" ca="1" si="3"/>
        <v/>
      </c>
      <c r="I7" s="74" t="str">
        <f t="shared" ca="1" si="4"/>
        <v/>
      </c>
    </row>
    <row r="8" spans="1:9">
      <c r="A8" s="71" t="s">
        <v>61</v>
      </c>
      <c r="B8" s="72">
        <v>38847</v>
      </c>
      <c r="C8" s="72">
        <f t="shared" ca="1" si="5"/>
        <v>39466.356253356484</v>
      </c>
      <c r="D8" s="73">
        <v>15000</v>
      </c>
      <c r="E8" s="73">
        <f t="shared" ca="1" si="0"/>
        <v>15000</v>
      </c>
      <c r="F8" s="73" t="str">
        <f t="shared" ca="1" si="1"/>
        <v/>
      </c>
      <c r="G8" s="73" t="str">
        <f t="shared" ca="1" si="2"/>
        <v/>
      </c>
      <c r="H8" s="73" t="str">
        <f t="shared" ca="1" si="3"/>
        <v/>
      </c>
      <c r="I8" s="74" t="str">
        <f t="shared" ca="1" si="4"/>
        <v/>
      </c>
    </row>
    <row r="9" spans="1:9">
      <c r="A9" s="71" t="s">
        <v>56</v>
      </c>
      <c r="B9" s="72">
        <v>38812</v>
      </c>
      <c r="C9" s="72">
        <f t="shared" ca="1" si="5"/>
        <v>39466.356253356484</v>
      </c>
      <c r="D9" s="73">
        <v>18000</v>
      </c>
      <c r="E9" s="73">
        <f t="shared" ca="1" si="0"/>
        <v>18000</v>
      </c>
      <c r="F9" s="73" t="str">
        <f t="shared" ca="1" si="1"/>
        <v/>
      </c>
      <c r="G9" s="73" t="str">
        <f t="shared" ca="1" si="2"/>
        <v/>
      </c>
      <c r="H9" s="73" t="str">
        <f t="shared" ca="1" si="3"/>
        <v/>
      </c>
      <c r="I9" s="74" t="str">
        <f t="shared" ca="1" si="4"/>
        <v/>
      </c>
    </row>
    <row r="10" spans="1:9">
      <c r="A10" s="71" t="s">
        <v>58</v>
      </c>
      <c r="B10" s="72">
        <v>38959</v>
      </c>
      <c r="C10" s="72">
        <f t="shared" ca="1" si="5"/>
        <v>39466.356253356484</v>
      </c>
      <c r="D10" s="73">
        <v>38000</v>
      </c>
      <c r="E10" s="73">
        <f t="shared" ca="1" si="0"/>
        <v>38000</v>
      </c>
      <c r="F10" s="73" t="str">
        <f t="shared" ca="1" si="1"/>
        <v/>
      </c>
      <c r="G10" s="73" t="str">
        <f t="shared" ca="1" si="2"/>
        <v/>
      </c>
      <c r="H10" s="73" t="str">
        <f t="shared" ca="1" si="3"/>
        <v/>
      </c>
      <c r="I10" s="74" t="str">
        <f t="shared" ca="1" si="4"/>
        <v/>
      </c>
    </row>
    <row r="11" spans="1:9">
      <c r="A11" s="71" t="s">
        <v>60</v>
      </c>
      <c r="B11" s="72">
        <v>38929</v>
      </c>
      <c r="C11" s="72">
        <f t="shared" ca="1" si="5"/>
        <v>39466.356253356484</v>
      </c>
      <c r="D11" s="73">
        <v>12000</v>
      </c>
      <c r="E11" s="73">
        <f t="shared" ca="1" si="0"/>
        <v>12000</v>
      </c>
      <c r="F11" s="73" t="str">
        <f t="shared" ca="1" si="1"/>
        <v/>
      </c>
      <c r="G11" s="73" t="str">
        <f t="shared" ca="1" si="2"/>
        <v/>
      </c>
      <c r="H11" s="73" t="str">
        <f t="shared" ca="1" si="3"/>
        <v/>
      </c>
      <c r="I11" s="74" t="str">
        <f t="shared" ca="1" si="4"/>
        <v/>
      </c>
    </row>
    <row r="12" spans="1:9">
      <c r="A12" s="86" t="s">
        <v>74</v>
      </c>
      <c r="B12" s="87"/>
      <c r="C12" s="88"/>
      <c r="D12" s="73">
        <f>SUM(应收账款金额)</f>
        <v>195000</v>
      </c>
      <c r="E12" s="73">
        <f ca="1">SUM(E4:E11)</f>
        <v>195000</v>
      </c>
      <c r="F12" s="73">
        <f ca="1">SUM(F4:F11)</f>
        <v>0</v>
      </c>
      <c r="G12" s="73">
        <f ca="1">SUM(G4:G11)</f>
        <v>0</v>
      </c>
      <c r="H12" s="73">
        <f ca="1">SUM(H4:H11)</f>
        <v>0</v>
      </c>
      <c r="I12" s="74">
        <f ca="1">SUM(I4:I11)</f>
        <v>0</v>
      </c>
    </row>
    <row r="13" spans="1:9" ht="16.2" thickBot="1">
      <c r="A13" s="89" t="s">
        <v>75</v>
      </c>
      <c r="B13" s="90"/>
      <c r="C13" s="91"/>
      <c r="D13" s="75"/>
      <c r="E13" s="76">
        <f ca="1">E12/$D$12</f>
        <v>1</v>
      </c>
      <c r="F13" s="76">
        <f ca="1">F12/$D$12</f>
        <v>0</v>
      </c>
      <c r="G13" s="76">
        <f ca="1">G12/$D$12</f>
        <v>0</v>
      </c>
      <c r="H13" s="76">
        <f ca="1">H12/$D$12</f>
        <v>0</v>
      </c>
      <c r="I13" s="77">
        <f ca="1">I12/$D$12</f>
        <v>0</v>
      </c>
    </row>
    <row r="14" spans="1:9" ht="16.2" thickTop="1"/>
  </sheetData>
  <mergeCells count="8">
    <mergeCell ref="A1:I1"/>
    <mergeCell ref="D2:D3"/>
    <mergeCell ref="A12:C12"/>
    <mergeCell ref="A13:C13"/>
    <mergeCell ref="E2:I2"/>
    <mergeCell ref="A2:A3"/>
    <mergeCell ref="B2:B3"/>
    <mergeCell ref="C2:C3"/>
  </mergeCells>
  <phoneticPr fontId="1" type="noConversion"/>
  <dataValidations count="1">
    <dataValidation type="list" allowBlank="1" showInputMessage="1" showErrorMessage="1" sqref="A4:A11">
      <formula1>客户名称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dimension ref="A1:I14"/>
  <sheetViews>
    <sheetView tabSelected="1" workbookViewId="0">
      <selection activeCell="B9" sqref="B9"/>
    </sheetView>
  </sheetViews>
  <sheetFormatPr defaultRowHeight="15.6"/>
  <cols>
    <col min="1" max="1" width="11.5" customWidth="1"/>
    <col min="2" max="2" width="12.19921875" customWidth="1"/>
    <col min="3" max="3" width="12.69921875" customWidth="1"/>
    <col min="4" max="4" width="11" customWidth="1"/>
    <col min="5" max="5" width="10.3984375" customWidth="1"/>
    <col min="6" max="6" width="10.19921875" customWidth="1"/>
    <col min="7" max="8" width="10.09765625" customWidth="1"/>
    <col min="9" max="9" width="10" customWidth="1"/>
  </cols>
  <sheetData>
    <row r="1" spans="1:9" ht="24" customHeight="1" thickBot="1">
      <c r="A1" s="60" t="s">
        <v>79</v>
      </c>
      <c r="B1" s="60"/>
      <c r="C1" s="60"/>
      <c r="D1" s="60"/>
      <c r="E1" s="60"/>
      <c r="F1" s="60"/>
      <c r="G1" s="60"/>
      <c r="H1" s="60"/>
      <c r="I1" s="60"/>
    </row>
    <row r="2" spans="1:9" ht="16.2" thickTop="1">
      <c r="A2" s="61" t="s">
        <v>55</v>
      </c>
      <c r="B2" s="63" t="s">
        <v>69</v>
      </c>
      <c r="C2" s="63" t="s">
        <v>70</v>
      </c>
      <c r="D2" s="65" t="s">
        <v>82</v>
      </c>
      <c r="E2" s="63" t="s">
        <v>71</v>
      </c>
      <c r="F2" s="63"/>
      <c r="G2" s="63"/>
      <c r="H2" s="63"/>
      <c r="I2" s="67"/>
    </row>
    <row r="3" spans="1:9">
      <c r="A3" s="62"/>
      <c r="B3" s="64"/>
      <c r="C3" s="64"/>
      <c r="D3" s="66"/>
      <c r="E3" s="43" t="s">
        <v>72</v>
      </c>
      <c r="F3" s="43" t="s">
        <v>83</v>
      </c>
      <c r="G3" s="43" t="s">
        <v>76</v>
      </c>
      <c r="H3" s="43" t="s">
        <v>84</v>
      </c>
      <c r="I3" s="44" t="s">
        <v>77</v>
      </c>
    </row>
    <row r="4" spans="1:9">
      <c r="A4" s="7" t="s">
        <v>59</v>
      </c>
      <c r="B4" s="15">
        <v>38786</v>
      </c>
      <c r="C4" s="15">
        <f ca="1">NOW()</f>
        <v>39466.356253356484</v>
      </c>
      <c r="D4" s="46">
        <v>20000</v>
      </c>
      <c r="E4" s="46">
        <f t="shared" ref="E4:E11" ca="1" si="0">IF(应付账款到期时间-C4&lt;=10,应付账款金额,"")</f>
        <v>20000</v>
      </c>
      <c r="F4" s="46" t="str">
        <f t="shared" ref="F4:F11" ca="1" si="1">IF(AND(应付账款到期时间-C4&gt;10,应付账款到期时间-C4&lt;=25),应付账款金额,"")</f>
        <v/>
      </c>
      <c r="G4" s="46" t="str">
        <f t="shared" ref="G4:G11" ca="1" si="2">IF(AND(应付账款到期时间-C4&gt;25,应付账款到期时间-C4&lt;=45),应付账款金额,"")</f>
        <v/>
      </c>
      <c r="H4" s="46" t="str">
        <f t="shared" ref="H4:H11" ca="1" si="3">IF(AND(应付账款到期时间-C4&gt;45,应付账款到期时间-C4&lt;=80),应付账款金额,"")</f>
        <v/>
      </c>
      <c r="I4" s="47" t="str">
        <f t="shared" ref="I4:I11" ca="1" si="4">IF(应付账款到期时间-C4&gt;80,应付账款金额,"")</f>
        <v/>
      </c>
    </row>
    <row r="5" spans="1:9">
      <c r="A5" s="7" t="s">
        <v>60</v>
      </c>
      <c r="B5" s="15">
        <v>38822</v>
      </c>
      <c r="C5" s="15">
        <f t="shared" ref="C5:C11" ca="1" si="5">NOW()</f>
        <v>39466.356253356484</v>
      </c>
      <c r="D5" s="46">
        <v>18000</v>
      </c>
      <c r="E5" s="46">
        <f t="shared" ca="1" si="0"/>
        <v>18000</v>
      </c>
      <c r="F5" s="46" t="str">
        <f t="shared" ca="1" si="1"/>
        <v/>
      </c>
      <c r="G5" s="46" t="str">
        <f t="shared" ca="1" si="2"/>
        <v/>
      </c>
      <c r="H5" s="46" t="str">
        <f t="shared" ca="1" si="3"/>
        <v/>
      </c>
      <c r="I5" s="47" t="str">
        <f t="shared" ca="1" si="4"/>
        <v/>
      </c>
    </row>
    <row r="6" spans="1:9">
      <c r="A6" s="7" t="s">
        <v>85</v>
      </c>
      <c r="B6" s="15">
        <v>38776</v>
      </c>
      <c r="C6" s="15">
        <f t="shared" ca="1" si="5"/>
        <v>39466.356253356484</v>
      </c>
      <c r="D6" s="46">
        <v>150000</v>
      </c>
      <c r="E6" s="46">
        <f t="shared" ca="1" si="0"/>
        <v>150000</v>
      </c>
      <c r="F6" s="46" t="str">
        <f t="shared" ca="1" si="1"/>
        <v/>
      </c>
      <c r="G6" s="46" t="str">
        <f t="shared" ca="1" si="2"/>
        <v/>
      </c>
      <c r="H6" s="46" t="str">
        <f t="shared" ca="1" si="3"/>
        <v/>
      </c>
      <c r="I6" s="47" t="str">
        <f t="shared" ca="1" si="4"/>
        <v/>
      </c>
    </row>
    <row r="7" spans="1:9">
      <c r="A7" s="7" t="s">
        <v>56</v>
      </c>
      <c r="B7" s="15">
        <v>38777</v>
      </c>
      <c r="C7" s="15">
        <f t="shared" ca="1" si="5"/>
        <v>39466.356253356484</v>
      </c>
      <c r="D7" s="46">
        <v>30000</v>
      </c>
      <c r="E7" s="46">
        <f t="shared" ca="1" si="0"/>
        <v>30000</v>
      </c>
      <c r="F7" s="46" t="str">
        <f t="shared" ca="1" si="1"/>
        <v/>
      </c>
      <c r="G7" s="46" t="str">
        <f t="shared" ca="1" si="2"/>
        <v/>
      </c>
      <c r="H7" s="46" t="str">
        <f t="shared" ca="1" si="3"/>
        <v/>
      </c>
      <c r="I7" s="47" t="str">
        <f t="shared" ca="1" si="4"/>
        <v/>
      </c>
    </row>
    <row r="8" spans="1:9">
      <c r="A8" s="7" t="s">
        <v>61</v>
      </c>
      <c r="B8" s="15">
        <v>38847</v>
      </c>
      <c r="C8" s="15">
        <f t="shared" ca="1" si="5"/>
        <v>39466.356253356484</v>
      </c>
      <c r="D8" s="46">
        <v>5000</v>
      </c>
      <c r="E8" s="46">
        <f t="shared" ca="1" si="0"/>
        <v>5000</v>
      </c>
      <c r="F8" s="46" t="str">
        <f t="shared" ca="1" si="1"/>
        <v/>
      </c>
      <c r="G8" s="46" t="str">
        <f t="shared" ca="1" si="2"/>
        <v/>
      </c>
      <c r="H8" s="46" t="str">
        <f t="shared" ca="1" si="3"/>
        <v/>
      </c>
      <c r="I8" s="47" t="str">
        <f t="shared" ca="1" si="4"/>
        <v/>
      </c>
    </row>
    <row r="9" spans="1:9">
      <c r="A9" s="7" t="s">
        <v>86</v>
      </c>
      <c r="B9" s="15">
        <v>38812</v>
      </c>
      <c r="C9" s="15">
        <f t="shared" ca="1" si="5"/>
        <v>39466.356253356484</v>
      </c>
      <c r="D9" s="46">
        <v>8900</v>
      </c>
      <c r="E9" s="46">
        <f t="shared" ca="1" si="0"/>
        <v>8900</v>
      </c>
      <c r="F9" s="46" t="str">
        <f t="shared" ca="1" si="1"/>
        <v/>
      </c>
      <c r="G9" s="46" t="str">
        <f t="shared" ca="1" si="2"/>
        <v/>
      </c>
      <c r="H9" s="46" t="str">
        <f t="shared" ca="1" si="3"/>
        <v/>
      </c>
      <c r="I9" s="47" t="str">
        <f t="shared" ca="1" si="4"/>
        <v/>
      </c>
    </row>
    <row r="10" spans="1:9">
      <c r="A10" s="7" t="s">
        <v>56</v>
      </c>
      <c r="B10" s="15">
        <v>38959</v>
      </c>
      <c r="C10" s="15">
        <f t="shared" ca="1" si="5"/>
        <v>39466.356253356484</v>
      </c>
      <c r="D10" s="46">
        <v>90000</v>
      </c>
      <c r="E10" s="46">
        <f t="shared" ca="1" si="0"/>
        <v>90000</v>
      </c>
      <c r="F10" s="46" t="str">
        <f t="shared" ca="1" si="1"/>
        <v/>
      </c>
      <c r="G10" s="46" t="str">
        <f t="shared" ca="1" si="2"/>
        <v/>
      </c>
      <c r="H10" s="46" t="str">
        <f t="shared" ca="1" si="3"/>
        <v/>
      </c>
      <c r="I10" s="47" t="str">
        <f t="shared" ca="1" si="4"/>
        <v/>
      </c>
    </row>
    <row r="11" spans="1:9">
      <c r="A11" s="7" t="s">
        <v>58</v>
      </c>
      <c r="B11" s="15">
        <v>38929</v>
      </c>
      <c r="C11" s="15">
        <f t="shared" ca="1" si="5"/>
        <v>39466.356253356484</v>
      </c>
      <c r="D11" s="46">
        <v>45000</v>
      </c>
      <c r="E11" s="46">
        <f t="shared" ca="1" si="0"/>
        <v>45000</v>
      </c>
      <c r="F11" s="46" t="str">
        <f t="shared" ca="1" si="1"/>
        <v/>
      </c>
      <c r="G11" s="46" t="str">
        <f t="shared" ca="1" si="2"/>
        <v/>
      </c>
      <c r="H11" s="46" t="str">
        <f t="shared" ca="1" si="3"/>
        <v/>
      </c>
      <c r="I11" s="47" t="str">
        <f t="shared" ca="1" si="4"/>
        <v/>
      </c>
    </row>
    <row r="12" spans="1:9">
      <c r="A12" s="54" t="s">
        <v>80</v>
      </c>
      <c r="B12" s="55"/>
      <c r="C12" s="56"/>
      <c r="D12" s="48">
        <f>SUM(应付账款金额)</f>
        <v>366900</v>
      </c>
      <c r="E12" s="48">
        <f ca="1">SUM(E4:E11)</f>
        <v>366900</v>
      </c>
      <c r="F12" s="48">
        <f ca="1">SUM(F4:F11)</f>
        <v>0</v>
      </c>
      <c r="G12" s="48">
        <f ca="1">SUM(G4:G11)</f>
        <v>0</v>
      </c>
      <c r="H12" s="48">
        <f ca="1">SUM(H4:H11)</f>
        <v>0</v>
      </c>
      <c r="I12" s="49">
        <f ca="1">SUM(I4:I11)</f>
        <v>0</v>
      </c>
    </row>
    <row r="13" spans="1:9" ht="16.2" thickBot="1">
      <c r="A13" s="57" t="s">
        <v>81</v>
      </c>
      <c r="B13" s="58"/>
      <c r="C13" s="59"/>
      <c r="D13" s="45"/>
      <c r="E13" s="50">
        <f ca="1">E12/$D$12</f>
        <v>1</v>
      </c>
      <c r="F13" s="50">
        <f ca="1">F12/$D$12</f>
        <v>0</v>
      </c>
      <c r="G13" s="50">
        <f ca="1">G12/$D$12</f>
        <v>0</v>
      </c>
      <c r="H13" s="50">
        <f ca="1">H12/$D$12</f>
        <v>0</v>
      </c>
      <c r="I13" s="51">
        <f ca="1">I12/$D$12</f>
        <v>0</v>
      </c>
    </row>
    <row r="14" spans="1:9" ht="16.2" thickTop="1"/>
  </sheetData>
  <mergeCells count="8">
    <mergeCell ref="A12:C12"/>
    <mergeCell ref="A13:C13"/>
    <mergeCell ref="A1:I1"/>
    <mergeCell ref="A2:A3"/>
    <mergeCell ref="B2:B3"/>
    <mergeCell ref="C2:C3"/>
    <mergeCell ref="D2:D3"/>
    <mergeCell ref="E2:I2"/>
  </mergeCells>
  <phoneticPr fontId="1" type="noConversion"/>
  <dataValidations count="1">
    <dataValidation type="list" allowBlank="1" showInputMessage="1" showErrorMessage="1" sqref="A4:A11">
      <formula1>客户名称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7</vt:i4>
      </vt:variant>
      <vt:variant>
        <vt:lpstr>图表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14" baseType="lpstr">
      <vt:lpstr>采购申请表</vt:lpstr>
      <vt:lpstr>采购记录单</vt:lpstr>
      <vt:lpstr>销售记录单</vt:lpstr>
      <vt:lpstr>库存统计表</vt:lpstr>
      <vt:lpstr>客户名称</vt:lpstr>
      <vt:lpstr>应收账款分析表</vt:lpstr>
      <vt:lpstr>应付账款分析表</vt:lpstr>
      <vt:lpstr>应付账款账期金额分析图</vt:lpstr>
      <vt:lpstr>应付账款账期比例分析图</vt:lpstr>
      <vt:lpstr>客户名称</vt:lpstr>
      <vt:lpstr>应付账款到期时间</vt:lpstr>
      <vt:lpstr>应付账款金额</vt:lpstr>
      <vt:lpstr>应收账款金额</vt:lpstr>
      <vt:lpstr>账款到期时间</vt:lpstr>
    </vt:vector>
  </TitlesOfParts>
  <Company>gw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</dc:creator>
  <cp:lastModifiedBy>syq</cp:lastModifiedBy>
  <dcterms:created xsi:type="dcterms:W3CDTF">2006-02-20T02:21:11Z</dcterms:created>
  <dcterms:modified xsi:type="dcterms:W3CDTF">2008-01-19T00:33:00Z</dcterms:modified>
</cp:coreProperties>
</file>