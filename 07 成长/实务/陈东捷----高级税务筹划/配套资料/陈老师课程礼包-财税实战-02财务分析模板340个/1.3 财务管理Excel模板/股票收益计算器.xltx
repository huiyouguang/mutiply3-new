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116" yWindow="1080" windowWidth="10488" windowHeight="4728"/>
  </bookViews>
  <sheets>
    <sheet name="股票收益计算器" sheetId="1" r:id="rId1"/>
  </sheets>
  <calcPr calcId="124519"/>
</workbook>
</file>

<file path=xl/calcChain.xml><?xml version="1.0" encoding="utf-8"?>
<calcChain xmlns="http://schemas.openxmlformats.org/spreadsheetml/2006/main">
  <c r="C5" i="1"/>
  <c r="G5"/>
  <c r="G7"/>
  <c r="G8"/>
  <c r="G9"/>
  <c r="I5"/>
  <c r="I9"/>
  <c r="I7"/>
  <c r="I8"/>
  <c r="I3"/>
</calcChain>
</file>

<file path=xl/sharedStrings.xml><?xml version="1.0" encoding="utf-8"?>
<sst xmlns="http://schemas.openxmlformats.org/spreadsheetml/2006/main" count="16" uniqueCount="16">
  <si>
    <t>股 票 收 益 计 算 器</t>
    <phoneticPr fontId="2" type="noConversion"/>
  </si>
  <si>
    <t>系统参数</t>
    <phoneticPr fontId="2" type="noConversion"/>
  </si>
  <si>
    <t>总收益</t>
    <phoneticPr fontId="2" type="noConversion"/>
  </si>
  <si>
    <t>交易数量</t>
    <phoneticPr fontId="2" type="noConversion"/>
  </si>
  <si>
    <t>价格</t>
    <phoneticPr fontId="2" type="noConversion"/>
  </si>
  <si>
    <t>金额</t>
    <phoneticPr fontId="2" type="noConversion"/>
  </si>
  <si>
    <t>印花税</t>
    <phoneticPr fontId="2" type="noConversion"/>
  </si>
  <si>
    <t>买入</t>
    <phoneticPr fontId="2" type="noConversion"/>
  </si>
  <si>
    <t>手续费</t>
    <phoneticPr fontId="2" type="noConversion"/>
  </si>
  <si>
    <t>送股</t>
    <phoneticPr fontId="2" type="noConversion"/>
  </si>
  <si>
    <t>委托费</t>
    <phoneticPr fontId="2" type="noConversion"/>
  </si>
  <si>
    <t>配股</t>
    <phoneticPr fontId="2" type="noConversion"/>
  </si>
  <si>
    <t>成交费</t>
    <phoneticPr fontId="2" type="noConversion"/>
  </si>
  <si>
    <t>派息</t>
    <phoneticPr fontId="2" type="noConversion"/>
  </si>
  <si>
    <t>通信费</t>
    <phoneticPr fontId="2" type="noConversion"/>
  </si>
  <si>
    <t>卖出</t>
    <phoneticPr fontId="2" type="noConversion"/>
  </si>
</sst>
</file>

<file path=xl/styles.xml><?xml version="1.0" encoding="utf-8"?>
<styleSheet xmlns="http://schemas.openxmlformats.org/spreadsheetml/2006/main">
  <numFmts count="1">
    <numFmt numFmtId="7" formatCode="&quot;￥&quot;#,##0.00;&quot;￥&quot;\-#,##0.00"/>
  </numFmts>
  <fonts count="5">
    <font>
      <sz val="12"/>
      <name val="宋体"/>
      <charset val="134"/>
    </font>
    <font>
      <sz val="18"/>
      <name val="隶书"/>
      <family val="3"/>
      <charset val="134"/>
    </font>
    <font>
      <sz val="9"/>
      <name val="宋体"/>
      <charset val="134"/>
    </font>
    <font>
      <sz val="12"/>
      <name val="隶书"/>
      <family val="3"/>
      <charset val="134"/>
    </font>
    <font>
      <sz val="9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5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7" fontId="3" fillId="2" borderId="8" xfId="0" applyNumberFormat="1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10" fontId="3" fillId="2" borderId="9" xfId="0" applyNumberFormat="1" applyFont="1" applyFill="1" applyBorder="1" applyAlignment="1">
      <alignment horizontal="center" vertical="center"/>
    </xf>
    <xf numFmtId="0" fontId="3" fillId="2" borderId="9" xfId="0" applyFont="1" applyFill="1" applyBorder="1" applyAlignment="1" applyProtection="1">
      <alignment horizontal="center" vertical="center"/>
      <protection locked="0"/>
    </xf>
    <xf numFmtId="7" fontId="3" fillId="2" borderId="9" xfId="0" applyNumberFormat="1" applyFont="1" applyFill="1" applyBorder="1" applyAlignment="1">
      <alignment horizontal="center" vertical="center"/>
    </xf>
    <xf numFmtId="7" fontId="3" fillId="2" borderId="10" xfId="0" applyNumberFormat="1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7" fontId="3" fillId="2" borderId="13" xfId="0" applyNumberFormat="1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3" xfId="0" applyFont="1" applyFill="1" applyBorder="1" applyAlignment="1" applyProtection="1">
      <alignment horizontal="center" vertical="center"/>
      <protection locked="0"/>
    </xf>
    <xf numFmtId="7" fontId="3" fillId="2" borderId="14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5" xfId="0" applyFont="1" applyFill="1" applyBorder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K10"/>
  <sheetViews>
    <sheetView tabSelected="1" workbookViewId="0">
      <selection activeCell="I9" sqref="I9"/>
    </sheetView>
  </sheetViews>
  <sheetFormatPr defaultColWidth="9" defaultRowHeight="15.6"/>
  <cols>
    <col min="1" max="1" width="2" style="1" customWidth="1"/>
    <col min="2" max="8" width="9" style="1" customWidth="1"/>
    <col min="9" max="9" width="12.69921875" style="1" bestFit="1" customWidth="1"/>
    <col min="10" max="10" width="3" style="1" customWidth="1"/>
    <col min="11" max="11" width="0" style="2" hidden="1" customWidth="1"/>
    <col min="12" max="16384" width="9" style="1"/>
  </cols>
  <sheetData>
    <row r="1" spans="2:11" ht="16.2" thickBot="1"/>
    <row r="2" spans="2:11" ht="28.5" customHeight="1" thickTop="1">
      <c r="B2" s="16" t="s">
        <v>0</v>
      </c>
      <c r="C2" s="17"/>
      <c r="D2" s="17"/>
      <c r="E2" s="17"/>
      <c r="F2" s="17"/>
      <c r="G2" s="17"/>
      <c r="H2" s="17"/>
      <c r="I2" s="18"/>
    </row>
    <row r="3" spans="2:11" ht="18" customHeight="1">
      <c r="B3" s="20"/>
      <c r="C3" s="21"/>
      <c r="D3" s="22"/>
      <c r="E3" s="23"/>
      <c r="F3" s="21"/>
      <c r="G3" s="22" t="s">
        <v>2</v>
      </c>
      <c r="H3" s="24"/>
      <c r="I3" s="3">
        <f>I9*(1-C5-C6)-I5*(1+C5+C6)-I7+I8-(SIGN(I5)+SIGN(I9))*(C7+C8+C9)</f>
        <v>1596.1294999999991</v>
      </c>
    </row>
    <row r="4" spans="2:11" ht="18" customHeight="1">
      <c r="B4" s="20" t="s">
        <v>1</v>
      </c>
      <c r="C4" s="21"/>
      <c r="D4" s="22" t="s">
        <v>3</v>
      </c>
      <c r="E4" s="23"/>
      <c r="F4" s="21"/>
      <c r="G4" s="19" t="s">
        <v>4</v>
      </c>
      <c r="H4" s="19"/>
      <c r="I4" s="5" t="s">
        <v>5</v>
      </c>
    </row>
    <row r="5" spans="2:11" ht="18" customHeight="1">
      <c r="B5" s="6" t="s">
        <v>6</v>
      </c>
      <c r="C5" s="7">
        <f>ABS((K6-2)*0.005)</f>
        <v>5.0000000000000001E-3</v>
      </c>
      <c r="D5" s="4" t="s">
        <v>7</v>
      </c>
      <c r="E5" s="8">
        <v>1100</v>
      </c>
      <c r="F5" s="4"/>
      <c r="G5" s="9">
        <f>K5/100</f>
        <v>8.5</v>
      </c>
      <c r="H5" s="4"/>
      <c r="I5" s="10">
        <f>E5*G5</f>
        <v>9350</v>
      </c>
      <c r="K5" s="4">
        <v>850</v>
      </c>
    </row>
    <row r="6" spans="2:11" ht="18" customHeight="1">
      <c r="B6" s="6" t="s">
        <v>8</v>
      </c>
      <c r="C6" s="7">
        <v>3.5000000000000001E-3</v>
      </c>
      <c r="D6" s="4" t="s">
        <v>9</v>
      </c>
      <c r="E6" s="8">
        <v>210</v>
      </c>
      <c r="F6" s="4"/>
      <c r="G6" s="9"/>
      <c r="H6" s="4"/>
      <c r="I6" s="10"/>
      <c r="K6" s="4">
        <v>1</v>
      </c>
    </row>
    <row r="7" spans="2:11" ht="18" customHeight="1">
      <c r="B7" s="6" t="s">
        <v>10</v>
      </c>
      <c r="C7" s="9">
        <v>1</v>
      </c>
      <c r="D7" s="4" t="s">
        <v>11</v>
      </c>
      <c r="E7" s="8">
        <v>100</v>
      </c>
      <c r="F7" s="4"/>
      <c r="G7" s="9">
        <f>K7/100</f>
        <v>3.5</v>
      </c>
      <c r="H7" s="4"/>
      <c r="I7" s="10">
        <f>E7*G7</f>
        <v>350</v>
      </c>
      <c r="K7" s="4">
        <v>350</v>
      </c>
    </row>
    <row r="8" spans="2:11" ht="18" customHeight="1">
      <c r="B8" s="6" t="s">
        <v>12</v>
      </c>
      <c r="C8" s="9">
        <v>1</v>
      </c>
      <c r="D8" s="4" t="s">
        <v>13</v>
      </c>
      <c r="E8" s="8">
        <v>1300</v>
      </c>
      <c r="F8" s="4"/>
      <c r="G8" s="9">
        <f>K8/100</f>
        <v>0.2</v>
      </c>
      <c r="H8" s="4"/>
      <c r="I8" s="10">
        <f>E8*G8</f>
        <v>260</v>
      </c>
      <c r="K8" s="4">
        <v>20</v>
      </c>
    </row>
    <row r="9" spans="2:11" ht="18" customHeight="1" thickBot="1">
      <c r="B9" s="11" t="s">
        <v>14</v>
      </c>
      <c r="C9" s="12">
        <v>4</v>
      </c>
      <c r="D9" s="13" t="s">
        <v>15</v>
      </c>
      <c r="E9" s="14">
        <v>1290</v>
      </c>
      <c r="F9" s="13"/>
      <c r="G9" s="12">
        <f>K9/100</f>
        <v>8.6999999999999993</v>
      </c>
      <c r="H9" s="13"/>
      <c r="I9" s="15">
        <f>E9*G9</f>
        <v>11222.999999999998</v>
      </c>
      <c r="K9" s="4">
        <v>870</v>
      </c>
    </row>
    <row r="10" spans="2:11" ht="16.2" thickTop="1"/>
  </sheetData>
  <mergeCells count="7">
    <mergeCell ref="B2:I2"/>
    <mergeCell ref="G4:H4"/>
    <mergeCell ref="B4:C4"/>
    <mergeCell ref="D4:F4"/>
    <mergeCell ref="G3:H3"/>
    <mergeCell ref="B3:C3"/>
    <mergeCell ref="D3:F3"/>
  </mergeCells>
  <phoneticPr fontId="2" type="noConversion"/>
  <pageMargins left="0.75" right="0.75" top="1" bottom="1" header="0.5" footer="0.5"/>
  <pageSetup paperSize="9" orientation="portrait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股票收益计算器</vt:lpstr>
    </vt:vector>
  </TitlesOfParts>
  <Company>shenlong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cyd</dc:creator>
  <cp:lastModifiedBy>syq</cp:lastModifiedBy>
  <dcterms:created xsi:type="dcterms:W3CDTF">2005-11-09T06:59:26Z</dcterms:created>
  <dcterms:modified xsi:type="dcterms:W3CDTF">2008-01-19T00:43:29Z</dcterms:modified>
</cp:coreProperties>
</file>