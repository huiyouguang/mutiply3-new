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0" yWindow="0" windowWidth="12120" windowHeight="9090"/>
  </bookViews>
  <sheets>
    <sheet name="Sheet1" sheetId="1" r:id="rId1"/>
  </sheets>
  <definedNames>
    <definedName name="_xlnm.Print_Area" localSheetId="0">Sheet1!$A$1:$K$87</definedName>
    <definedName name="_xlnm.Print_Area">Sheet1!$A$1:$K$88</definedName>
  </definedNames>
  <calcPr calcId="144525"/>
</workbook>
</file>

<file path=xl/calcChain.xml><?xml version="1.0" encoding="utf-8"?>
<calcChain xmlns="http://schemas.openxmlformats.org/spreadsheetml/2006/main">
  <c r="I28" i="1" l="1"/>
  <c r="I30" i="1"/>
  <c r="G51" i="1"/>
  <c r="G50" i="1"/>
  <c r="J50" i="1"/>
  <c r="G53" i="1"/>
  <c r="E54" i="1"/>
  <c r="G55" i="1"/>
  <c r="J55" i="1"/>
  <c r="I70" i="1"/>
  <c r="G70" i="1"/>
  <c r="J57" i="1"/>
  <c r="J70" i="1"/>
  <c r="J58" i="1"/>
  <c r="G60" i="1"/>
  <c r="J60" i="1"/>
  <c r="G65" i="1"/>
  <c r="G66" i="1"/>
  <c r="G67" i="1"/>
  <c r="J67" i="1"/>
</calcChain>
</file>

<file path=xl/sharedStrings.xml><?xml version="1.0" encoding="utf-8"?>
<sst xmlns="http://schemas.openxmlformats.org/spreadsheetml/2006/main" count="69" uniqueCount="69">
  <si>
    <t>1.</t>
  </si>
  <si>
    <t>2.</t>
  </si>
  <si>
    <t>3.</t>
  </si>
  <si>
    <t>4.</t>
  </si>
  <si>
    <t>5.</t>
  </si>
  <si>
    <t>每月租金</t>
    <phoneticPr fontId="0" type="noConversion"/>
  </si>
  <si>
    <t>租赁与购买分析</t>
    <phoneticPr fontId="0" type="noConversion"/>
  </si>
  <si>
    <t>您可以使用这份工作表来协助您估算租赁购车与贷款购买汽车的费用，并且比较何项方式是最适合您。</t>
    <phoneticPr fontId="0" type="noConversion"/>
  </si>
  <si>
    <t>在这份工作表中，仅简单列出一般租约内容，并未详加考虑其它租约变动项目。(请参阅下方之「其它注意事项」)</t>
    <phoneticPr fontId="0" type="noConversion"/>
  </si>
  <si>
    <t>输入百分比时请勿使用 % 符号。例如 25% 和 9.5% 请输入 25 或 9.5。</t>
    <phoneticPr fontId="0" type="noConversion"/>
  </si>
  <si>
    <t>重要说明：这份工作表仅供个人粗略估算之用，并非专门作为商业之用途。</t>
    <phoneticPr fontId="0" type="noConversion"/>
  </si>
  <si>
    <t>请注意租赁与购买的法律与财税条件会随各个地区规定而有所不同，且通常会视商品而定。</t>
    <phoneticPr fontId="0" type="noConversion"/>
  </si>
  <si>
    <t>租赁电子表格</t>
    <phoneticPr fontId="0" type="noConversion"/>
  </si>
  <si>
    <t>金额中不含税金</t>
    <phoneticPr fontId="0" type="noConversion"/>
  </si>
  <si>
    <t>租赁费用</t>
    <phoneticPr fontId="0" type="noConversion"/>
  </si>
  <si>
    <t>零售价</t>
    <phoneticPr fontId="0" type="noConversion"/>
  </si>
  <si>
    <t>协议后的价格 (现金价)</t>
    <phoneticPr fontId="0" type="noConversion"/>
  </si>
  <si>
    <t>保证金</t>
    <phoneticPr fontId="0" type="noConversion"/>
  </si>
  <si>
    <t>付款期限 (以月计算)</t>
    <phoneticPr fontId="0" type="noConversion"/>
  </si>
  <si>
    <t>残值</t>
    <phoneticPr fontId="0" type="noConversion"/>
  </si>
  <si>
    <t>[请在其中一个字段中输入数字]</t>
    <phoneticPr fontId="0" type="noConversion"/>
  </si>
  <si>
    <t>首月预付款</t>
    <phoneticPr fontId="0" type="noConversion"/>
  </si>
  <si>
    <t>最后一个月预付款 (若有需要)</t>
    <phoneticPr fontId="0" type="noConversion"/>
  </si>
  <si>
    <t>比较电子表格</t>
    <phoneticPr fontId="0" type="noConversion"/>
  </si>
  <si>
    <t>以下的工作表将可协助您比较租赁购买或直接购买的费用成本。</t>
    <phoneticPr fontId="0" type="noConversion"/>
  </si>
  <si>
    <t>有关未尽详加考虑的因素，请参阅下方的「其它注意事项」。</t>
    <phoneticPr fontId="0" type="noConversion"/>
  </si>
  <si>
    <t>1. 计算履行贷款以购买相同车款的成本：</t>
    <phoneticPr fontId="0" type="noConversion"/>
  </si>
  <si>
    <t>2. 比较租赁同样期间后再购入所需的成本：</t>
    <phoneticPr fontId="0" type="noConversion"/>
  </si>
  <si>
    <t>汽车售价 (厂商定价或协议后的价格)</t>
    <phoneticPr fontId="0" type="noConversion"/>
  </si>
  <si>
    <t>头期款</t>
    <phoneticPr fontId="0" type="noConversion"/>
  </si>
  <si>
    <t>其它费用 (若有需要)</t>
    <phoneticPr fontId="0" type="noConversion"/>
  </si>
  <si>
    <t>贷款年利率 (例如：10.25)</t>
    <phoneticPr fontId="0" type="noConversion"/>
  </si>
  <si>
    <t>贷款期限 (以年计算)</t>
    <phoneticPr fontId="0" type="noConversion"/>
  </si>
  <si>
    <t>每月应付款</t>
    <phoneticPr fontId="0" type="noConversion"/>
  </si>
  <si>
    <t>租赁金额</t>
    <phoneticPr fontId="0" type="noConversion"/>
  </si>
  <si>
    <t>付款总期数 (年 x 12)</t>
    <phoneticPr fontId="0" type="noConversion"/>
  </si>
  <si>
    <t>租赁期数</t>
    <phoneticPr fontId="0" type="noConversion"/>
  </si>
  <si>
    <t>总偿还金额 (本金+利息)</t>
    <phoneticPr fontId="0" type="noConversion"/>
  </si>
  <si>
    <t>应缴利息</t>
    <phoneticPr fontId="0" type="noConversion"/>
  </si>
  <si>
    <t>购车总金额 (本金+利息 + 头期款)</t>
    <phoneticPr fontId="0" type="noConversion"/>
  </si>
  <si>
    <t>租赁总额</t>
    <phoneticPr fontId="0" type="noConversion"/>
  </si>
  <si>
    <t>租赁净成本 (现值)</t>
    <phoneticPr fontId="0" type="noConversion"/>
  </si>
  <si>
    <t>残值净额  (现值)</t>
    <phoneticPr fontId="0" type="noConversion"/>
  </si>
  <si>
    <t>贷款购车净成本 (现值)</t>
    <phoneticPr fontId="0" type="noConversion"/>
  </si>
  <si>
    <t>租赁净成本</t>
    <phoneticPr fontId="0" type="noConversion"/>
  </si>
  <si>
    <t>3. 如果您在付清贷款后，</t>
    <phoneticPr fontId="0" type="noConversion"/>
  </si>
  <si>
    <t>4. 比较租赁后不购买的情况：</t>
    <phoneticPr fontId="0" type="noConversion"/>
  </si>
  <si>
    <t>以残值卖出汽车会如何？</t>
    <phoneticPr fontId="0" type="noConversion"/>
  </si>
  <si>
    <t>自购净成本</t>
    <phoneticPr fontId="0" type="noConversion"/>
  </si>
  <si>
    <t>卖出收益差价 (=残值净额)</t>
    <phoneticPr fontId="0" type="noConversion"/>
  </si>
  <si>
    <t>购入后售出的净成本</t>
    <phoneticPr fontId="0" type="noConversion"/>
  </si>
  <si>
    <t>租赁成本</t>
    <phoneticPr fontId="0" type="noConversion"/>
  </si>
  <si>
    <t>其它注意事项</t>
    <phoneticPr fontId="0" type="noConversion"/>
  </si>
  <si>
    <t>本分析表是假设您以每月付款的方式来计算结果。如果您是以双周或每半个月的方式偿还贷款，则应缴利息</t>
    <phoneticPr fontId="0" type="noConversion"/>
  </si>
  <si>
    <t>及成本净值会比现在分析表中的数字更低；如果您另外偿还贷款本金，则您的应缴利息及自购净成本亦会比目</t>
    <phoneticPr fontId="0" type="noConversion"/>
  </si>
  <si>
    <t>前的数字更低。</t>
    <phoneticPr fontId="0" type="noConversion"/>
  </si>
  <si>
    <t>维修费用亦是可能需要计算的因素之一。如果在租赁费用中包含例行的维修费用(诸如换机油以及其它保养</t>
    <phoneticPr fontId="0" type="noConversion"/>
  </si>
  <si>
    <t>费用)，您将可省下那些可能需自付的维修费用。</t>
    <phoneticPr fontId="0" type="noConversion"/>
  </si>
  <si>
    <t>如果您选择在租赁结束时，以贷款的方式购买汽车，则「自购净成本」的比较结果将会有所差异。在此情况下，</t>
    <phoneticPr fontId="0" type="noConversion"/>
  </si>
  <si>
    <t>应缴利息将增加自购成本。</t>
    <phoneticPr fontId="0" type="noConversion"/>
  </si>
  <si>
    <t>如果您必须支付额外的行驶里数费用，则「租赁净成本」、「自购净成本」以及「租赁成本」的金额数字将提高。</t>
    <phoneticPr fontId="0" type="noConversion"/>
  </si>
  <si>
    <t>如果这是商务用车，则租赁与购车的税率将有所差异。一般而言，您可以藉由拥有汽车的方式来要求扣抵支出费用。</t>
    <phoneticPr fontId="0" type="noConversion"/>
  </si>
  <si>
    <t>请向您的税务顾问了解相关细节。</t>
    <phoneticPr fontId="0" type="noConversion"/>
  </si>
  <si>
    <t>·   以百分比表示</t>
    <phoneticPr fontId="0" type="noConversion"/>
  </si>
  <si>
    <t>·   以现金金额表示</t>
    <phoneticPr fontId="0" type="noConversion"/>
  </si>
  <si>
    <t>注意：</t>
  </si>
  <si>
    <t>您必须在红色框线的表格中输入金额，</t>
  </si>
  <si>
    <t>才可以在模板中正确地执行 Excel 函数功能。</t>
  </si>
  <si>
    <t>工作表运算的结果会自动显示在灰色单元格中，因此请勿在灰色单元格中输入数据。</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</si>
</sst>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98" formatCode="&quot;$&quot;#,##0.00_);\(&quot;$&quot;#,##0.00\)"/>
    <numFmt numFmtId="210" formatCode="0.00000"/>
    <numFmt numFmtId="211" formatCode="&quot;£&quot;#,##0.00"/>
    <numFmt numFmtId="212" formatCode="#,##0.00_);[Red]\(#,##0.00\)"/>
    <numFmt numFmtId="213" formatCode="#,##0_);[Red]\(#,##0\)"/>
  </numFmts>
  <fonts count="16" x14ac:knownFonts="1">
    <font>
      <sz val="10"/>
      <name val="Arial"/>
      <family val="2"/>
    </font>
    <font>
      <sz val="24"/>
      <name val="宋体"/>
      <family val="3"/>
      <charset val="134"/>
    </font>
    <font>
      <sz val="24"/>
      <color indexed="9"/>
      <name val="宋体"/>
      <family val="3"/>
      <charset val="134"/>
    </font>
    <font>
      <sz val="10"/>
      <name val="宋体"/>
      <family val="3"/>
      <charset val="134"/>
    </font>
    <font>
      <sz val="9"/>
      <name val="宋体"/>
      <family val="3"/>
      <charset val="134"/>
    </font>
    <font>
      <i/>
      <sz val="9"/>
      <color indexed="10"/>
      <name val="宋体"/>
      <family val="3"/>
      <charset val="134"/>
    </font>
    <font>
      <b/>
      <sz val="9"/>
      <color indexed="23"/>
      <name val="宋体"/>
      <family val="3"/>
      <charset val="134"/>
    </font>
    <font>
      <sz val="9"/>
      <color indexed="23"/>
      <name val="宋体"/>
      <family val="3"/>
      <charset val="134"/>
    </font>
    <font>
      <i/>
      <sz val="10"/>
      <name val="宋体"/>
      <family val="3"/>
      <charset val="134"/>
    </font>
    <font>
      <b/>
      <sz val="10"/>
      <color indexed="16"/>
      <name val="宋体"/>
      <family val="3"/>
      <charset val="134"/>
    </font>
    <font>
      <sz val="9"/>
      <color indexed="16"/>
      <name val="宋体"/>
      <family val="3"/>
      <charset val="134"/>
    </font>
    <font>
      <b/>
      <sz val="9"/>
      <name val="宋体"/>
      <family val="3"/>
      <charset val="134"/>
    </font>
    <font>
      <sz val="9"/>
      <color indexed="9"/>
      <name val="宋体"/>
      <family val="3"/>
      <charset val="134"/>
    </font>
    <font>
      <b/>
      <sz val="9"/>
      <color indexed="9"/>
      <name val="宋体"/>
      <family val="3"/>
      <charset val="134"/>
    </font>
    <font>
      <sz val="8"/>
      <name val="宋体"/>
      <family val="3"/>
      <charset val="134"/>
    </font>
    <font>
      <b/>
      <sz val="8"/>
      <name val="宋体"/>
      <family val="3"/>
      <charset val="134"/>
    </font>
  </fonts>
  <fills count="4">
    <fill>
      <patternFill patternType="none"/>
    </fill>
    <fill>
      <patternFill patternType="gray125"/>
    </fill>
    <fill>
      <patternFill patternType="solid">
        <fgColor indexed="17"/>
        <bgColor indexed="64"/>
      </patternFill>
    </fill>
    <fill>
      <patternFill patternType="gray125">
        <fgColor indexed="22"/>
      </patternFill>
    </fill>
  </fills>
  <borders count="2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10"/>
      </left>
      <right style="thin">
        <color indexed="10"/>
      </right>
      <top style="thin">
        <color indexed="10"/>
      </top>
      <bottom style="thin">
        <color indexed="1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66">
    <xf numFmtId="0" fontId="0" fillId="0" borderId="0" xfId="0"/>
    <xf numFmtId="0" fontId="1" fillId="2" borderId="0" xfId="0" applyNumberFormat="1" applyFont="1" applyFill="1" applyBorder="1" applyAlignment="1" applyProtection="1"/>
    <xf numFmtId="0" fontId="2" fillId="2" borderId="0" xfId="0" applyNumberFormat="1" applyFont="1" applyFill="1" applyBorder="1" applyAlignment="1" applyProtection="1">
      <alignment vertical="center"/>
    </xf>
    <xf numFmtId="0" fontId="3" fillId="0" borderId="0" xfId="0" applyNumberFormat="1" applyFont="1" applyFill="1" applyBorder="1" applyAlignment="1" applyProtection="1"/>
    <xf numFmtId="0" fontId="4" fillId="0" borderId="0" xfId="0" applyNumberFormat="1" applyFont="1" applyFill="1" applyBorder="1" applyAlignment="1" applyProtection="1"/>
    <xf numFmtId="0" fontId="5" fillId="0" borderId="0" xfId="0" applyNumberFormat="1" applyFont="1" applyFill="1" applyBorder="1" applyAlignment="1" applyProtection="1"/>
    <xf numFmtId="0" fontId="6" fillId="0" borderId="0" xfId="0" applyNumberFormat="1" applyFont="1" applyFill="1" applyBorder="1" applyAlignment="1" applyProtection="1"/>
    <xf numFmtId="0" fontId="7" fillId="0" borderId="0" xfId="0" applyNumberFormat="1" applyFont="1" applyFill="1" applyBorder="1" applyAlignment="1" applyProtection="1"/>
    <xf numFmtId="0" fontId="8" fillId="0" borderId="0" xfId="0" applyNumberFormat="1" applyFont="1" applyFill="1" applyBorder="1" applyAlignment="1" applyProtection="1"/>
    <xf numFmtId="0" fontId="4" fillId="3" borderId="1" xfId="0" applyNumberFormat="1" applyFont="1" applyFill="1" applyBorder="1" applyAlignment="1" applyProtection="1"/>
    <xf numFmtId="0" fontId="4" fillId="3" borderId="2" xfId="0" applyNumberFormat="1" applyFont="1" applyFill="1" applyBorder="1" applyAlignment="1" applyProtection="1"/>
    <xf numFmtId="0" fontId="3" fillId="3" borderId="2" xfId="0" applyNumberFormat="1" applyFont="1" applyFill="1" applyBorder="1" applyAlignment="1" applyProtection="1"/>
    <xf numFmtId="0" fontId="3" fillId="3" borderId="3" xfId="0" applyNumberFormat="1" applyFont="1" applyFill="1" applyBorder="1" applyAlignment="1" applyProtection="1"/>
    <xf numFmtId="0" fontId="4" fillId="3" borderId="4" xfId="0" applyNumberFormat="1" applyFont="1" applyFill="1" applyBorder="1" applyAlignment="1" applyProtection="1"/>
    <xf numFmtId="0" fontId="4" fillId="3" borderId="0" xfId="0" applyNumberFormat="1" applyFont="1" applyFill="1" applyBorder="1" applyAlignment="1" applyProtection="1"/>
    <xf numFmtId="0" fontId="4" fillId="3" borderId="5" xfId="0" applyNumberFormat="1" applyFont="1" applyFill="1" applyBorder="1" applyAlignment="1" applyProtection="1"/>
    <xf numFmtId="0" fontId="3" fillId="3" borderId="5" xfId="0" applyNumberFormat="1" applyFont="1" applyFill="1" applyBorder="1" applyAlignment="1" applyProtection="1"/>
    <xf numFmtId="0" fontId="3" fillId="3" borderId="6" xfId="0" applyNumberFormat="1" applyFont="1" applyFill="1" applyBorder="1" applyAlignment="1" applyProtection="1"/>
    <xf numFmtId="0" fontId="4" fillId="0" borderId="2" xfId="0" applyNumberFormat="1" applyFont="1" applyFill="1" applyBorder="1" applyAlignment="1" applyProtection="1"/>
    <xf numFmtId="0" fontId="4" fillId="0" borderId="2" xfId="0" applyNumberFormat="1" applyFont="1" applyFill="1" applyBorder="1" applyAlignment="1" applyProtection="1">
      <alignment horizontal="left"/>
    </xf>
    <xf numFmtId="0" fontId="9" fillId="0" borderId="0" xfId="0" applyNumberFormat="1" applyFont="1" applyFill="1" applyBorder="1" applyAlignment="1" applyProtection="1">
      <alignment horizontal="left"/>
    </xf>
    <xf numFmtId="0" fontId="10" fillId="0" borderId="0" xfId="0" applyNumberFormat="1" applyFont="1" applyFill="1" applyBorder="1" applyAlignment="1" applyProtection="1"/>
    <xf numFmtId="0" fontId="4" fillId="0" borderId="7" xfId="0" applyNumberFormat="1" applyFont="1" applyFill="1" applyBorder="1" applyAlignment="1" applyProtection="1"/>
    <xf numFmtId="0" fontId="4" fillId="0" borderId="8" xfId="0" applyNumberFormat="1" applyFont="1" applyFill="1" applyBorder="1" applyAlignment="1" applyProtection="1"/>
    <xf numFmtId="0" fontId="4" fillId="0" borderId="8" xfId="0" applyNumberFormat="1" applyFont="1" applyFill="1" applyBorder="1" applyAlignment="1" applyProtection="1">
      <alignment horizontal="centerContinuous"/>
    </xf>
    <xf numFmtId="0" fontId="4" fillId="0" borderId="9" xfId="0" applyNumberFormat="1" applyFont="1" applyFill="1" applyBorder="1" applyAlignment="1" applyProtection="1"/>
    <xf numFmtId="0" fontId="4" fillId="0" borderId="10" xfId="0" applyNumberFormat="1" applyFont="1" applyFill="1" applyBorder="1" applyAlignment="1" applyProtection="1"/>
    <xf numFmtId="0" fontId="11" fillId="0" borderId="0" xfId="0" applyNumberFormat="1" applyFont="1" applyFill="1" applyBorder="1" applyAlignment="1" applyProtection="1">
      <alignment horizontal="centerContinuous" vertical="center"/>
    </xf>
    <xf numFmtId="0" fontId="4" fillId="0" borderId="0" xfId="0" applyNumberFormat="1" applyFont="1" applyFill="1" applyBorder="1" applyAlignment="1" applyProtection="1">
      <alignment horizontal="centerContinuous"/>
    </xf>
    <xf numFmtId="0" fontId="11" fillId="0" borderId="0" xfId="0" applyNumberFormat="1" applyFont="1" applyFill="1" applyBorder="1" applyAlignment="1" applyProtection="1">
      <alignment horizontal="left"/>
    </xf>
    <xf numFmtId="0" fontId="4" fillId="0" borderId="11" xfId="0" applyNumberFormat="1" applyFont="1" applyFill="1" applyBorder="1" applyAlignment="1" applyProtection="1"/>
    <xf numFmtId="213" fontId="4" fillId="0" borderId="12" xfId="0" applyNumberFormat="1" applyFont="1" applyFill="1" applyBorder="1" applyAlignment="1" applyProtection="1"/>
    <xf numFmtId="0" fontId="4" fillId="0" borderId="0" xfId="0" applyNumberFormat="1" applyFont="1" applyFill="1" applyBorder="1" applyAlignment="1" applyProtection="1">
      <alignment horizontal="left" vertical="top"/>
    </xf>
    <xf numFmtId="213" fontId="4" fillId="0" borderId="12" xfId="0" applyNumberFormat="1" applyFont="1" applyFill="1" applyBorder="1" applyAlignment="1" applyProtection="1">
      <alignment vertical="center"/>
    </xf>
    <xf numFmtId="211" fontId="4" fillId="0" borderId="0" xfId="0" applyNumberFormat="1" applyFont="1" applyFill="1" applyBorder="1" applyAlignment="1" applyProtection="1"/>
    <xf numFmtId="213" fontId="4" fillId="3" borderId="13" xfId="0" applyNumberFormat="1" applyFont="1" applyFill="1" applyBorder="1" applyAlignment="1" applyProtection="1">
      <alignment horizontal="right"/>
    </xf>
    <xf numFmtId="213" fontId="4" fillId="0" borderId="0" xfId="0" applyNumberFormat="1" applyFont="1" applyFill="1" applyBorder="1" applyAlignment="1" applyProtection="1"/>
    <xf numFmtId="213" fontId="4" fillId="3" borderId="14" xfId="0" applyNumberFormat="1" applyFont="1" applyFill="1" applyBorder="1" applyAlignment="1" applyProtection="1"/>
    <xf numFmtId="198" fontId="4" fillId="0" borderId="0" xfId="0" applyNumberFormat="1" applyFont="1" applyFill="1" applyBorder="1" applyAlignment="1" applyProtection="1"/>
    <xf numFmtId="0" fontId="4" fillId="0" borderId="15" xfId="0" applyNumberFormat="1" applyFont="1" applyFill="1" applyBorder="1" applyAlignment="1" applyProtection="1"/>
    <xf numFmtId="0" fontId="4" fillId="0" borderId="16" xfId="0" applyNumberFormat="1" applyFont="1" applyFill="1" applyBorder="1" applyAlignment="1" applyProtection="1"/>
    <xf numFmtId="0" fontId="4" fillId="0" borderId="17" xfId="0" applyNumberFormat="1" applyFont="1" applyFill="1" applyBorder="1" applyAlignment="1" applyProtection="1"/>
    <xf numFmtId="0" fontId="11" fillId="0" borderId="0" xfId="0" applyNumberFormat="1" applyFont="1" applyFill="1" applyBorder="1" applyAlignment="1" applyProtection="1"/>
    <xf numFmtId="0" fontId="12" fillId="0" borderId="0" xfId="0" applyNumberFormat="1" applyFont="1" applyFill="1" applyBorder="1" applyAlignment="1" applyProtection="1"/>
    <xf numFmtId="0" fontId="13" fillId="0" borderId="0" xfId="0" applyNumberFormat="1" applyFont="1" applyFill="1" applyBorder="1" applyAlignment="1" applyProtection="1">
      <alignment horizontal="right"/>
    </xf>
    <xf numFmtId="212" fontId="4" fillId="0" borderId="12" xfId="0" applyNumberFormat="1" applyFont="1" applyFill="1" applyBorder="1" applyAlignment="1" applyProtection="1"/>
    <xf numFmtId="213" fontId="4" fillId="3" borderId="18" xfId="0" applyNumberFormat="1" applyFont="1" applyFill="1" applyBorder="1" applyAlignment="1" applyProtection="1"/>
    <xf numFmtId="0" fontId="4" fillId="0" borderId="0" xfId="0" applyNumberFormat="1" applyFont="1" applyFill="1" applyBorder="1" applyAlignment="1" applyProtection="1">
      <alignment horizontal="right"/>
    </xf>
    <xf numFmtId="213" fontId="4" fillId="0" borderId="18" xfId="0" applyNumberFormat="1" applyFont="1" applyFill="1" applyBorder="1" applyAlignment="1" applyProtection="1"/>
    <xf numFmtId="198" fontId="4" fillId="0" borderId="2" xfId="0" applyNumberFormat="1" applyFont="1" applyFill="1" applyBorder="1" applyAlignment="1" applyProtection="1"/>
    <xf numFmtId="213" fontId="4" fillId="3" borderId="18" xfId="0" applyNumberFormat="1" applyFont="1" applyFill="1" applyBorder="1" applyAlignment="1" applyProtection="1">
      <alignment horizontal="right"/>
    </xf>
    <xf numFmtId="0" fontId="4" fillId="0" borderId="19" xfId="0" applyNumberFormat="1" applyFont="1" applyFill="1" applyBorder="1" applyAlignment="1" applyProtection="1"/>
    <xf numFmtId="212" fontId="4" fillId="3" borderId="18" xfId="0" applyNumberFormat="1" applyFont="1" applyFill="1" applyBorder="1" applyAlignment="1" applyProtection="1"/>
    <xf numFmtId="211" fontId="4" fillId="0" borderId="5" xfId="0" applyNumberFormat="1" applyFont="1" applyFill="1" applyBorder="1" applyAlignment="1" applyProtection="1"/>
    <xf numFmtId="2" fontId="4" fillId="0" borderId="0" xfId="0" applyNumberFormat="1" applyFont="1" applyFill="1" applyBorder="1" applyAlignment="1" applyProtection="1"/>
    <xf numFmtId="198" fontId="4" fillId="0" borderId="11" xfId="0" applyNumberFormat="1" applyFont="1" applyFill="1" applyBorder="1" applyAlignment="1" applyProtection="1"/>
    <xf numFmtId="0" fontId="14" fillId="0" borderId="10" xfId="0" applyNumberFormat="1" applyFont="1" applyFill="1" applyBorder="1" applyAlignment="1" applyProtection="1"/>
    <xf numFmtId="213" fontId="11" fillId="3" borderId="18" xfId="0" applyNumberFormat="1" applyFont="1" applyFill="1" applyBorder="1" applyAlignment="1" applyProtection="1">
      <alignment horizontal="right"/>
    </xf>
    <xf numFmtId="0" fontId="11" fillId="0" borderId="0" xfId="0" applyNumberFormat="1" applyFont="1" applyFill="1" applyBorder="1" applyAlignment="1" applyProtection="1">
      <alignment horizontal="right"/>
    </xf>
    <xf numFmtId="213" fontId="11" fillId="3" borderId="18" xfId="0" applyNumberFormat="1" applyFont="1" applyFill="1" applyBorder="1" applyAlignment="1" applyProtection="1"/>
    <xf numFmtId="0" fontId="11" fillId="0" borderId="0" xfId="0" applyNumberFormat="1" applyFont="1" applyFill="1" applyBorder="1" applyAlignment="1" applyProtection="1">
      <alignment horizontal="right" vertical="top"/>
    </xf>
    <xf numFmtId="0" fontId="14" fillId="0" borderId="0" xfId="0" applyNumberFormat="1" applyFont="1" applyFill="1" applyBorder="1" applyAlignment="1" applyProtection="1"/>
    <xf numFmtId="0" fontId="15" fillId="0" borderId="0" xfId="0" applyNumberFormat="1" applyFont="1" applyFill="1" applyBorder="1" applyAlignment="1" applyProtection="1"/>
    <xf numFmtId="0" fontId="15" fillId="0" borderId="0" xfId="0" applyNumberFormat="1" applyFont="1" applyFill="1" applyBorder="1" applyAlignment="1" applyProtection="1">
      <alignment horizontal="right"/>
    </xf>
    <xf numFmtId="210" fontId="4" fillId="0" borderId="0" xfId="0" applyNumberFormat="1" applyFont="1" applyFill="1" applyBorder="1" applyAlignment="1" applyProtection="1"/>
    <xf numFmtId="49" fontId="4" fillId="0" borderId="0" xfId="0" applyNumberFormat="1" applyFont="1" applyFill="1" applyBorder="1" applyAlignment="1" applyProtection="1"/>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04"/>
  <sheetViews>
    <sheetView showGridLines="0" tabSelected="1" topLeftCell="B1" workbookViewId="0">
      <selection activeCell="G29" sqref="G29"/>
    </sheetView>
  </sheetViews>
  <sheetFormatPr defaultColWidth="10" defaultRowHeight="12" x14ac:dyDescent="0.15"/>
  <cols>
    <col min="1" max="1" width="1" style="3" customWidth="1"/>
    <col min="2" max="2" width="2" style="3" customWidth="1"/>
    <col min="3" max="3" width="7.140625" style="3" customWidth="1"/>
    <col min="4" max="4" width="13" style="3" customWidth="1"/>
    <col min="5" max="5" width="17.28515625" style="3" customWidth="1"/>
    <col min="6" max="6" width="1.42578125" style="3" customWidth="1"/>
    <col min="7" max="7" width="13" style="3" customWidth="1"/>
    <col min="8" max="8" width="1.5703125" style="3" customWidth="1"/>
    <col min="9" max="9" width="11.5703125" style="3" customWidth="1"/>
    <col min="10" max="10" width="15.5703125" style="3" customWidth="1"/>
    <col min="11" max="11" width="11.5703125" style="3" customWidth="1"/>
    <col min="12" max="16384" width="10" style="3"/>
  </cols>
  <sheetData>
    <row r="1" spans="1:14" ht="30" customHeight="1" x14ac:dyDescent="0.4">
      <c r="A1" s="1"/>
      <c r="B1" s="2" t="s">
        <v>6</v>
      </c>
      <c r="C1" s="1"/>
      <c r="D1" s="1"/>
      <c r="E1" s="1"/>
      <c r="F1" s="1"/>
      <c r="G1" s="1"/>
      <c r="H1" s="1"/>
      <c r="I1" s="1"/>
      <c r="J1" s="1"/>
      <c r="K1" s="1"/>
    </row>
    <row r="2" spans="1:14" ht="12" customHeight="1" x14ac:dyDescent="0.15">
      <c r="A2" s="4"/>
      <c r="B2" s="4"/>
      <c r="C2" s="4"/>
      <c r="D2" s="4"/>
      <c r="E2" s="4"/>
      <c r="F2" s="4"/>
      <c r="G2" s="4"/>
      <c r="H2" s="4"/>
      <c r="I2" s="4"/>
      <c r="J2" s="4"/>
      <c r="K2" s="4"/>
    </row>
    <row r="3" spans="1:14" ht="12" customHeight="1" x14ac:dyDescent="0.15">
      <c r="A3" s="4"/>
      <c r="B3" s="4" t="s">
        <v>7</v>
      </c>
      <c r="C3" s="4"/>
      <c r="D3" s="4"/>
      <c r="E3" s="4"/>
      <c r="F3" s="4"/>
      <c r="G3" s="4"/>
      <c r="H3" s="4"/>
      <c r="I3" s="4"/>
      <c r="J3" s="4"/>
      <c r="K3" s="4"/>
    </row>
    <row r="4" spans="1:14" ht="12" customHeight="1" x14ac:dyDescent="0.15">
      <c r="A4" s="4"/>
      <c r="B4" s="4" t="s">
        <v>8</v>
      </c>
      <c r="C4" s="4"/>
      <c r="D4" s="4"/>
      <c r="E4" s="4"/>
      <c r="F4" s="4"/>
      <c r="G4" s="4"/>
      <c r="H4" s="4"/>
      <c r="I4" s="4"/>
      <c r="J4" s="4"/>
      <c r="K4" s="4"/>
      <c r="N4" s="5" t="s">
        <v>65</v>
      </c>
    </row>
    <row r="5" spans="1:14" ht="12" customHeight="1" x14ac:dyDescent="0.15">
      <c r="A5" s="4"/>
      <c r="B5" s="4"/>
      <c r="C5" s="4"/>
      <c r="D5" s="4"/>
      <c r="E5" s="4"/>
      <c r="F5" s="4"/>
      <c r="G5" s="4"/>
      <c r="H5" s="4"/>
      <c r="I5" s="4"/>
      <c r="J5" s="4"/>
      <c r="K5" s="4"/>
      <c r="N5" s="5" t="s">
        <v>66</v>
      </c>
    </row>
    <row r="6" spans="1:14" s="4" customFormat="1" ht="12" customHeight="1" x14ac:dyDescent="0.15">
      <c r="B6" s="6" t="s">
        <v>9</v>
      </c>
      <c r="N6" s="5" t="s">
        <v>67</v>
      </c>
    </row>
    <row r="7" spans="1:14" ht="12" customHeight="1" x14ac:dyDescent="0.15">
      <c r="A7" s="4"/>
      <c r="B7" s="6" t="s">
        <v>68</v>
      </c>
      <c r="C7" s="4"/>
      <c r="D7" s="4"/>
      <c r="E7" s="4"/>
      <c r="F7" s="4"/>
      <c r="G7" s="4"/>
      <c r="H7" s="4"/>
      <c r="I7" s="4"/>
      <c r="J7" s="4"/>
      <c r="K7" s="4"/>
    </row>
    <row r="8" spans="1:14" ht="12" customHeight="1" x14ac:dyDescent="0.15">
      <c r="A8" s="4"/>
      <c r="B8" s="6"/>
      <c r="C8" s="6"/>
      <c r="D8" s="6"/>
      <c r="E8" s="7"/>
      <c r="F8" s="4"/>
      <c r="G8" s="4"/>
      <c r="H8" s="4"/>
      <c r="I8" s="4"/>
      <c r="J8" s="4"/>
      <c r="K8" s="4"/>
    </row>
    <row r="9" spans="1:14" ht="12" customHeight="1" x14ac:dyDescent="0.15">
      <c r="A9" s="4"/>
      <c r="B9" s="6"/>
      <c r="C9" s="6"/>
      <c r="D9" s="6"/>
      <c r="E9" s="7"/>
      <c r="F9" s="4"/>
      <c r="G9" s="4"/>
      <c r="H9" s="4"/>
      <c r="I9" s="4"/>
      <c r="J9" s="4"/>
      <c r="K9" s="4"/>
      <c r="L9" s="8"/>
      <c r="N9" s="5"/>
    </row>
    <row r="10" spans="1:14" ht="12" customHeight="1" x14ac:dyDescent="0.15">
      <c r="A10" s="4"/>
      <c r="B10" s="6"/>
      <c r="C10" s="6"/>
      <c r="D10" s="6"/>
      <c r="E10" s="7"/>
      <c r="F10" s="4"/>
      <c r="G10" s="4"/>
      <c r="H10" s="4"/>
      <c r="I10" s="4"/>
      <c r="J10" s="4"/>
      <c r="K10" s="4"/>
      <c r="N10" s="5"/>
    </row>
    <row r="11" spans="1:14" ht="12" customHeight="1" x14ac:dyDescent="0.15">
      <c r="A11" s="4"/>
      <c r="B11" s="9" t="s">
        <v>10</v>
      </c>
      <c r="C11" s="10"/>
      <c r="D11" s="10"/>
      <c r="E11" s="10"/>
      <c r="F11" s="10"/>
      <c r="G11" s="11"/>
      <c r="H11" s="11"/>
      <c r="I11" s="11"/>
      <c r="J11" s="11"/>
      <c r="K11" s="12"/>
      <c r="N11" s="5"/>
    </row>
    <row r="12" spans="1:14" ht="12" customHeight="1" x14ac:dyDescent="0.15">
      <c r="A12" s="4"/>
      <c r="B12" s="13" t="s">
        <v>11</v>
      </c>
      <c r="C12" s="14"/>
      <c r="D12" s="14"/>
      <c r="E12" s="14"/>
      <c r="F12" s="15"/>
      <c r="G12" s="16"/>
      <c r="H12" s="16"/>
      <c r="I12" s="16"/>
      <c r="J12" s="16"/>
      <c r="K12" s="17"/>
    </row>
    <row r="13" spans="1:14" ht="12" customHeight="1" x14ac:dyDescent="0.15">
      <c r="B13" s="18"/>
      <c r="C13" s="19"/>
      <c r="D13" s="18"/>
      <c r="E13" s="18"/>
      <c r="F13" s="4"/>
    </row>
    <row r="14" spans="1:14" ht="15.95" customHeight="1" x14ac:dyDescent="0.15">
      <c r="B14" s="20" t="s">
        <v>12</v>
      </c>
      <c r="C14" s="21"/>
      <c r="D14" s="21"/>
      <c r="E14" s="4"/>
    </row>
    <row r="15" spans="1:14" ht="6" customHeight="1" thickBot="1" x14ac:dyDescent="0.2"/>
    <row r="16" spans="1:14" ht="12" customHeight="1" x14ac:dyDescent="0.15">
      <c r="B16" s="22"/>
      <c r="C16" s="23"/>
      <c r="D16" s="23"/>
      <c r="E16" s="23"/>
      <c r="F16" s="23"/>
      <c r="G16" s="23"/>
      <c r="H16" s="23"/>
      <c r="I16" s="24"/>
      <c r="J16" s="23"/>
      <c r="K16" s="25"/>
    </row>
    <row r="17" spans="2:11" ht="12" customHeight="1" x14ac:dyDescent="0.15">
      <c r="B17" s="26"/>
      <c r="C17" s="6" t="s">
        <v>13</v>
      </c>
      <c r="D17" s="4"/>
      <c r="E17" s="4"/>
      <c r="F17" s="4"/>
      <c r="G17" s="27"/>
      <c r="H17" s="28"/>
      <c r="I17" s="29" t="s">
        <v>14</v>
      </c>
      <c r="J17" s="28"/>
      <c r="K17" s="30"/>
    </row>
    <row r="18" spans="2:11" ht="6" customHeight="1" x14ac:dyDescent="0.15">
      <c r="B18" s="26"/>
      <c r="C18" s="4"/>
      <c r="D18" s="4"/>
      <c r="E18" s="4"/>
      <c r="F18" s="4"/>
      <c r="G18" s="4"/>
      <c r="H18" s="4"/>
      <c r="I18" s="4"/>
      <c r="J18" s="4"/>
      <c r="K18" s="30"/>
    </row>
    <row r="19" spans="2:11" ht="12" customHeight="1" x14ac:dyDescent="0.15">
      <c r="B19" s="26"/>
      <c r="C19" s="4" t="s">
        <v>15</v>
      </c>
      <c r="D19" s="4"/>
      <c r="E19" s="4"/>
      <c r="F19" s="4"/>
      <c r="G19" s="4"/>
      <c r="H19" s="4"/>
      <c r="I19" s="31">
        <v>610000</v>
      </c>
      <c r="J19" s="4"/>
      <c r="K19" s="30"/>
    </row>
    <row r="20" spans="2:11" ht="12" customHeight="1" x14ac:dyDescent="0.15">
      <c r="B20" s="26"/>
      <c r="C20" s="4" t="s">
        <v>5</v>
      </c>
      <c r="D20" s="4"/>
      <c r="E20" s="4"/>
      <c r="F20" s="4"/>
      <c r="G20" s="4"/>
      <c r="H20" s="4"/>
      <c r="I20" s="31">
        <v>7500</v>
      </c>
      <c r="J20" s="4"/>
      <c r="K20" s="30"/>
    </row>
    <row r="21" spans="2:11" ht="12" customHeight="1" x14ac:dyDescent="0.15">
      <c r="B21" s="26"/>
      <c r="C21" s="4" t="s">
        <v>16</v>
      </c>
      <c r="D21" s="4"/>
      <c r="E21" s="4"/>
      <c r="F21" s="4"/>
      <c r="G21" s="4"/>
      <c r="H21" s="4"/>
      <c r="I21" s="31">
        <v>555000</v>
      </c>
      <c r="J21" s="4"/>
      <c r="K21" s="30"/>
    </row>
    <row r="22" spans="2:11" ht="12" customHeight="1" x14ac:dyDescent="0.15">
      <c r="B22" s="26"/>
      <c r="C22" s="4" t="s">
        <v>17</v>
      </c>
      <c r="D22" s="4"/>
      <c r="E22" s="4"/>
      <c r="F22" s="4"/>
      <c r="G22" s="4"/>
      <c r="H22" s="4"/>
      <c r="I22" s="31">
        <v>250000</v>
      </c>
      <c r="J22" s="4"/>
      <c r="K22" s="30"/>
    </row>
    <row r="23" spans="2:11" ht="12" customHeight="1" x14ac:dyDescent="0.15">
      <c r="B23" s="26"/>
      <c r="C23" s="4" t="s">
        <v>18</v>
      </c>
      <c r="D23" s="4"/>
      <c r="E23" s="4"/>
      <c r="F23" s="4"/>
      <c r="G23" s="4"/>
      <c r="H23" s="4"/>
      <c r="I23" s="31">
        <v>32</v>
      </c>
      <c r="J23" s="4"/>
      <c r="K23" s="30"/>
    </row>
    <row r="24" spans="2:11" ht="6" customHeight="1" x14ac:dyDescent="0.15">
      <c r="B24" s="26"/>
      <c r="C24" s="4"/>
      <c r="D24" s="4"/>
      <c r="E24" s="4"/>
      <c r="F24" s="4"/>
      <c r="G24" s="4"/>
      <c r="H24" s="4"/>
      <c r="I24" s="4"/>
      <c r="J24" s="4"/>
      <c r="K24" s="30"/>
    </row>
    <row r="25" spans="2:11" ht="12" customHeight="1" x14ac:dyDescent="0.15">
      <c r="B25" s="26"/>
      <c r="C25" s="4" t="s">
        <v>19</v>
      </c>
      <c r="D25" s="6" t="s">
        <v>20</v>
      </c>
      <c r="E25" s="6"/>
      <c r="F25" s="4"/>
      <c r="G25" s="4"/>
      <c r="H25" s="4"/>
      <c r="I25" s="4"/>
      <c r="J25" s="4"/>
      <c r="K25" s="30"/>
    </row>
    <row r="26" spans="2:11" ht="6" customHeight="1" x14ac:dyDescent="0.15">
      <c r="B26" s="26"/>
      <c r="C26" s="4"/>
      <c r="D26" s="4"/>
      <c r="E26" s="4"/>
      <c r="F26" s="4"/>
      <c r="G26" s="4"/>
      <c r="H26" s="4"/>
      <c r="I26" s="4"/>
      <c r="J26" s="4"/>
      <c r="K26" s="30"/>
    </row>
    <row r="27" spans="2:11" ht="12" customHeight="1" x14ac:dyDescent="0.15">
      <c r="B27" s="26"/>
      <c r="C27" s="32" t="s">
        <v>63</v>
      </c>
      <c r="D27" s="4"/>
      <c r="E27" s="4"/>
      <c r="F27" s="4"/>
      <c r="G27" s="33">
        <v>20</v>
      </c>
      <c r="H27" s="4"/>
      <c r="I27" s="4"/>
      <c r="J27" s="4"/>
      <c r="K27" s="30"/>
    </row>
    <row r="28" spans="2:11" ht="12" customHeight="1" x14ac:dyDescent="0.15">
      <c r="B28" s="26"/>
      <c r="C28" s="32" t="s">
        <v>64</v>
      </c>
      <c r="D28" s="4"/>
      <c r="E28" s="4"/>
      <c r="F28" s="4"/>
      <c r="G28" s="31"/>
      <c r="H28" s="34"/>
      <c r="I28" s="35">
        <f>IF(OR(G27,G28),IF(AND(G27&gt;0,G28&gt;0),#NULL!,IF(G27&gt;0,(G27*0.01)*I19,IF(G28&gt;0,G28,""))),"")</f>
        <v>122000</v>
      </c>
      <c r="J28" s="4"/>
      <c r="K28" s="30"/>
    </row>
    <row r="29" spans="2:11" ht="6" customHeight="1" x14ac:dyDescent="0.15">
      <c r="B29" s="26"/>
      <c r="C29" s="4"/>
      <c r="D29" s="4"/>
      <c r="E29" s="4"/>
      <c r="F29" s="4"/>
      <c r="G29" s="4"/>
      <c r="H29" s="4"/>
      <c r="I29" s="36"/>
      <c r="J29" s="4"/>
      <c r="K29" s="30"/>
    </row>
    <row r="30" spans="2:11" ht="12" customHeight="1" x14ac:dyDescent="0.15">
      <c r="B30" s="26"/>
      <c r="C30" s="4" t="s">
        <v>21</v>
      </c>
      <c r="D30" s="4"/>
      <c r="E30" s="4"/>
      <c r="F30" s="4"/>
      <c r="G30" s="4"/>
      <c r="H30" s="4"/>
      <c r="I30" s="37">
        <f>IF(I20,I20,"")</f>
        <v>7500</v>
      </c>
      <c r="J30" s="4"/>
      <c r="K30" s="30"/>
    </row>
    <row r="31" spans="2:11" x14ac:dyDescent="0.15">
      <c r="B31" s="26"/>
      <c r="C31" s="4" t="s">
        <v>22</v>
      </c>
      <c r="D31" s="4"/>
      <c r="E31" s="4"/>
      <c r="F31" s="4"/>
      <c r="G31" s="4"/>
      <c r="H31" s="4"/>
      <c r="I31" s="31">
        <v>7500</v>
      </c>
      <c r="J31" s="4"/>
      <c r="K31" s="30"/>
    </row>
    <row r="32" spans="2:11" x14ac:dyDescent="0.15">
      <c r="B32" s="26"/>
      <c r="D32" s="4"/>
      <c r="E32" s="4"/>
      <c r="F32" s="4"/>
      <c r="G32" s="4"/>
      <c r="H32" s="4"/>
      <c r="I32" s="4"/>
      <c r="J32" s="4"/>
      <c r="K32" s="30"/>
    </row>
    <row r="33" spans="1:11" ht="12" customHeight="1" x14ac:dyDescent="0.15">
      <c r="B33" s="26"/>
      <c r="C33" s="6"/>
      <c r="D33" s="6"/>
      <c r="E33" s="6"/>
      <c r="F33" s="4"/>
      <c r="G33" s="4"/>
      <c r="H33" s="4"/>
      <c r="I33" s="38"/>
      <c r="J33" s="4"/>
      <c r="K33" s="30"/>
    </row>
    <row r="34" spans="1:11" ht="9" customHeight="1" thickBot="1" x14ac:dyDescent="0.2">
      <c r="B34" s="39"/>
      <c r="C34" s="40"/>
      <c r="D34" s="40"/>
      <c r="E34" s="40"/>
      <c r="F34" s="40"/>
      <c r="G34" s="40"/>
      <c r="H34" s="40"/>
      <c r="I34" s="40"/>
      <c r="J34" s="40"/>
      <c r="K34" s="41"/>
    </row>
    <row r="35" spans="1:11" ht="6" customHeight="1" x14ac:dyDescent="0.15"/>
    <row r="36" spans="1:11" x14ac:dyDescent="0.15">
      <c r="B36" s="20" t="s">
        <v>23</v>
      </c>
      <c r="C36" s="20"/>
    </row>
    <row r="37" spans="1:11" x14ac:dyDescent="0.15">
      <c r="A37" s="4"/>
      <c r="B37" s="4" t="s">
        <v>24</v>
      </c>
      <c r="C37" s="4"/>
      <c r="D37" s="4"/>
      <c r="E37" s="4"/>
      <c r="F37" s="4"/>
      <c r="G37" s="4"/>
      <c r="H37" s="4"/>
      <c r="I37" s="4"/>
      <c r="J37" s="4"/>
      <c r="K37" s="4"/>
    </row>
    <row r="38" spans="1:11" x14ac:dyDescent="0.15">
      <c r="A38" s="4"/>
      <c r="B38" s="4" t="s">
        <v>25</v>
      </c>
      <c r="C38" s="4"/>
      <c r="D38" s="4"/>
      <c r="E38" s="4"/>
      <c r="F38" s="4"/>
      <c r="G38" s="4"/>
      <c r="H38" s="4"/>
      <c r="I38" s="4"/>
      <c r="J38" s="4"/>
      <c r="K38" s="4"/>
    </row>
    <row r="39" spans="1:11" ht="11.1" customHeight="1" x14ac:dyDescent="0.15">
      <c r="A39" s="4"/>
      <c r="B39" s="4"/>
      <c r="C39" s="4"/>
      <c r="D39" s="4"/>
      <c r="E39" s="4"/>
      <c r="F39" s="4"/>
      <c r="G39" s="4"/>
      <c r="H39" s="4"/>
      <c r="I39" s="4"/>
      <c r="J39" s="4"/>
      <c r="K39" s="4"/>
    </row>
    <row r="40" spans="1:11" ht="12" customHeight="1" x14ac:dyDescent="0.15">
      <c r="A40" s="4"/>
      <c r="B40" s="22"/>
      <c r="C40" s="23"/>
      <c r="D40" s="23"/>
      <c r="E40" s="23"/>
      <c r="F40" s="23"/>
      <c r="G40" s="23"/>
      <c r="H40" s="23"/>
      <c r="I40" s="23"/>
      <c r="J40" s="23"/>
      <c r="K40" s="25"/>
    </row>
    <row r="41" spans="1:11" ht="14.1" customHeight="1" x14ac:dyDescent="0.15">
      <c r="A41" s="4"/>
      <c r="B41" s="26"/>
      <c r="C41" s="42" t="s">
        <v>26</v>
      </c>
      <c r="D41" s="4"/>
      <c r="E41" s="4"/>
      <c r="F41" s="43"/>
      <c r="G41" s="4"/>
      <c r="H41" s="4"/>
      <c r="I41" s="42" t="s">
        <v>27</v>
      </c>
      <c r="J41" s="44"/>
      <c r="K41" s="30"/>
    </row>
    <row r="42" spans="1:11" ht="12" customHeight="1" x14ac:dyDescent="0.15">
      <c r="A42" s="4"/>
      <c r="B42" s="26"/>
      <c r="C42" s="42"/>
      <c r="D42" s="4"/>
      <c r="E42" s="4"/>
      <c r="F42" s="4"/>
      <c r="G42" s="4"/>
      <c r="H42" s="4"/>
      <c r="I42" s="42"/>
      <c r="J42" s="4"/>
      <c r="K42" s="30"/>
    </row>
    <row r="43" spans="1:11" ht="12" customHeight="1" x14ac:dyDescent="0.15">
      <c r="A43" s="4"/>
      <c r="B43" s="26"/>
      <c r="C43" s="4"/>
      <c r="D43" s="4"/>
      <c r="E43" s="4"/>
      <c r="F43" s="4"/>
      <c r="G43" s="4"/>
      <c r="H43" s="4"/>
      <c r="I43" s="4"/>
      <c r="J43" s="4"/>
      <c r="K43" s="30"/>
    </row>
    <row r="44" spans="1:11" ht="12" customHeight="1" x14ac:dyDescent="0.15">
      <c r="A44" s="4"/>
      <c r="B44" s="26"/>
      <c r="C44" s="4" t="s">
        <v>28</v>
      </c>
      <c r="D44" s="4"/>
      <c r="E44" s="4"/>
      <c r="F44" s="4"/>
      <c r="G44" s="31">
        <v>555000</v>
      </c>
      <c r="H44" s="4"/>
      <c r="I44" s="4"/>
      <c r="J44" s="38"/>
      <c r="K44" s="30"/>
    </row>
    <row r="45" spans="1:11" ht="12" customHeight="1" x14ac:dyDescent="0.15">
      <c r="A45" s="4"/>
      <c r="B45" s="26"/>
      <c r="C45" s="4" t="s">
        <v>29</v>
      </c>
      <c r="D45" s="4"/>
      <c r="E45" s="4"/>
      <c r="F45" s="4"/>
      <c r="G45" s="31">
        <v>150000</v>
      </c>
      <c r="H45" s="4"/>
      <c r="I45" s="4"/>
      <c r="J45" s="4"/>
      <c r="K45" s="30"/>
    </row>
    <row r="46" spans="1:11" ht="12" customHeight="1" x14ac:dyDescent="0.15">
      <c r="A46" s="4"/>
      <c r="B46" s="26"/>
      <c r="C46" s="4" t="s">
        <v>30</v>
      </c>
      <c r="D46" s="4"/>
      <c r="E46" s="4"/>
      <c r="F46" s="4"/>
      <c r="G46" s="31">
        <v>0</v>
      </c>
      <c r="H46" s="4"/>
      <c r="I46" s="4"/>
      <c r="J46" s="4"/>
      <c r="K46" s="30"/>
    </row>
    <row r="47" spans="1:11" ht="12" customHeight="1" x14ac:dyDescent="0.15">
      <c r="A47" s="4"/>
      <c r="B47" s="26"/>
      <c r="C47" s="4" t="s">
        <v>31</v>
      </c>
      <c r="D47" s="4"/>
      <c r="E47" s="4"/>
      <c r="F47" s="4"/>
      <c r="G47" s="45">
        <v>9.5</v>
      </c>
      <c r="H47" s="4"/>
      <c r="I47" s="4"/>
      <c r="J47" s="4"/>
      <c r="K47" s="30"/>
    </row>
    <row r="48" spans="1:11" ht="12" customHeight="1" x14ac:dyDescent="0.15">
      <c r="A48" s="4"/>
      <c r="B48" s="26"/>
      <c r="C48" s="4" t="s">
        <v>32</v>
      </c>
      <c r="D48" s="4"/>
      <c r="E48" s="4"/>
      <c r="F48" s="4"/>
      <c r="G48" s="31">
        <v>5</v>
      </c>
      <c r="H48" s="4"/>
      <c r="I48" s="4"/>
      <c r="J48" s="4"/>
      <c r="K48" s="30"/>
    </row>
    <row r="49" spans="1:11" ht="6" customHeight="1" x14ac:dyDescent="0.15">
      <c r="A49" s="4"/>
      <c r="B49" s="26"/>
      <c r="C49" s="4"/>
      <c r="D49" s="4"/>
      <c r="E49" s="4"/>
      <c r="F49" s="4"/>
      <c r="G49" s="4"/>
      <c r="H49" s="4"/>
      <c r="I49" s="4"/>
      <c r="J49" s="4"/>
      <c r="K49" s="30"/>
    </row>
    <row r="50" spans="1:11" ht="12" customHeight="1" x14ac:dyDescent="0.15">
      <c r="A50" s="4"/>
      <c r="B50" s="26"/>
      <c r="C50" s="4" t="s">
        <v>33</v>
      </c>
      <c r="D50" s="4"/>
      <c r="E50" s="4"/>
      <c r="F50" s="4"/>
      <c r="G50" s="46">
        <f>IF(AND(G44,G47,G48),PMT((G47/12)/100,G51,-G44+G46-G45),"")</f>
        <v>8505.7538304347818</v>
      </c>
      <c r="H50" s="4"/>
      <c r="I50" s="47" t="s">
        <v>34</v>
      </c>
      <c r="J50" s="48">
        <f>IF(I20,I20,"")</f>
        <v>7500</v>
      </c>
      <c r="K50" s="30"/>
    </row>
    <row r="51" spans="1:11" ht="12" customHeight="1" x14ac:dyDescent="0.15">
      <c r="A51" s="4"/>
      <c r="B51" s="26"/>
      <c r="C51" s="4" t="s">
        <v>35</v>
      </c>
      <c r="D51" s="4"/>
      <c r="E51" s="4"/>
      <c r="F51" s="4"/>
      <c r="G51" s="46">
        <f>IF(AND(G44,G47,G48/12),G48*12,"")</f>
        <v>60</v>
      </c>
      <c r="H51" s="4"/>
      <c r="I51" s="47" t="s">
        <v>36</v>
      </c>
      <c r="J51" s="48">
        <v>60</v>
      </c>
      <c r="K51" s="30"/>
    </row>
    <row r="52" spans="1:11" ht="6" customHeight="1" x14ac:dyDescent="0.15">
      <c r="A52" s="4"/>
      <c r="B52" s="26"/>
      <c r="C52" s="4"/>
      <c r="D52" s="4"/>
      <c r="E52" s="4"/>
      <c r="F52" s="4"/>
      <c r="G52" s="18"/>
      <c r="H52" s="4"/>
      <c r="I52" s="47"/>
      <c r="J52" s="49"/>
      <c r="K52" s="30"/>
    </row>
    <row r="53" spans="1:11" ht="12" customHeight="1" x14ac:dyDescent="0.15">
      <c r="A53" s="4"/>
      <c r="B53" s="26"/>
      <c r="C53" s="4" t="s">
        <v>37</v>
      </c>
      <c r="D53" s="4"/>
      <c r="E53" s="4"/>
      <c r="F53" s="4"/>
      <c r="G53" s="46">
        <f>IF(G50,G50*G51,"")</f>
        <v>510345.2298260869</v>
      </c>
      <c r="H53" s="4"/>
      <c r="I53" s="4"/>
      <c r="J53" s="4"/>
      <c r="K53" s="30"/>
    </row>
    <row r="54" spans="1:11" ht="12" customHeight="1" x14ac:dyDescent="0.15">
      <c r="A54" s="4"/>
      <c r="B54" s="26"/>
      <c r="C54" s="4" t="s">
        <v>38</v>
      </c>
      <c r="D54" s="4"/>
      <c r="E54" s="50">
        <f>IF(G50,G53-(G44+G46-G45),"")</f>
        <v>105345.2298260869</v>
      </c>
      <c r="F54" s="4"/>
      <c r="G54" s="51"/>
      <c r="H54" s="4"/>
      <c r="I54" s="4"/>
      <c r="J54" s="4"/>
      <c r="K54" s="30"/>
    </row>
    <row r="55" spans="1:11" ht="12" customHeight="1" x14ac:dyDescent="0.15">
      <c r="A55" s="4"/>
      <c r="B55" s="26"/>
      <c r="C55" s="4" t="s">
        <v>39</v>
      </c>
      <c r="D55" s="4"/>
      <c r="E55" s="4"/>
      <c r="F55" s="4"/>
      <c r="G55" s="46">
        <f>IF(AND(G48,G53),G53+G45,"")</f>
        <v>660345.2298260869</v>
      </c>
      <c r="H55" s="4"/>
      <c r="I55" s="47" t="s">
        <v>40</v>
      </c>
      <c r="J55" s="52">
        <f>IF(AND(J50,J51),J50*J51+J52,"")</f>
        <v>450000</v>
      </c>
      <c r="K55" s="30"/>
    </row>
    <row r="56" spans="1:11" ht="6" customHeight="1" x14ac:dyDescent="0.15">
      <c r="A56" s="4"/>
      <c r="B56" s="26"/>
      <c r="C56" s="4"/>
      <c r="D56" s="4"/>
      <c r="E56" s="4"/>
      <c r="F56" s="4"/>
      <c r="G56" s="18"/>
      <c r="H56" s="4"/>
      <c r="I56" s="4"/>
      <c r="J56" s="53"/>
      <c r="K56" s="30"/>
    </row>
    <row r="57" spans="1:11" ht="12" customHeight="1" x14ac:dyDescent="0.15">
      <c r="A57" s="4"/>
      <c r="B57" s="26"/>
      <c r="C57" s="4"/>
      <c r="D57" s="38"/>
      <c r="E57" s="4"/>
      <c r="F57" s="4"/>
      <c r="G57" s="4"/>
      <c r="H57" s="4"/>
      <c r="I57" s="47" t="s">
        <v>41</v>
      </c>
      <c r="J57" s="46">
        <f>IF(AND(G47,J50,J51),(PV(G47*0.01/12,J51,-J50)+G70),"")</f>
        <v>451348.88412397448</v>
      </c>
      <c r="K57" s="30"/>
    </row>
    <row r="58" spans="1:11" ht="12" customHeight="1" x14ac:dyDescent="0.15">
      <c r="A58" s="4"/>
      <c r="B58" s="26"/>
      <c r="C58" s="4"/>
      <c r="D58" s="54"/>
      <c r="E58" s="4"/>
      <c r="F58" s="4"/>
      <c r="G58" s="4"/>
      <c r="H58" s="4"/>
      <c r="I58" s="47" t="s">
        <v>42</v>
      </c>
      <c r="J58" s="46">
        <f>IF(AND(G47,J50,J51),PV(G47*0.01/12,J51,-J70),"")</f>
        <v>76012.012597829758</v>
      </c>
      <c r="K58" s="55"/>
    </row>
    <row r="59" spans="1:11" ht="6" customHeight="1" x14ac:dyDescent="0.15">
      <c r="A59" s="4"/>
      <c r="B59" s="26"/>
      <c r="C59" s="4"/>
      <c r="D59" s="4"/>
      <c r="E59" s="4"/>
      <c r="F59" s="4"/>
      <c r="G59" s="4"/>
      <c r="H59" s="4"/>
      <c r="I59" s="47"/>
      <c r="J59" s="34"/>
      <c r="K59" s="30"/>
    </row>
    <row r="60" spans="1:11" ht="12" customHeight="1" x14ac:dyDescent="0.15">
      <c r="A60" s="4"/>
      <c r="B60" s="56"/>
      <c r="C60" s="42" t="s">
        <v>43</v>
      </c>
      <c r="D60" s="4"/>
      <c r="E60" s="4"/>
      <c r="F60" s="4"/>
      <c r="G60" s="57">
        <f>IF(G44,G44+G46,"")</f>
        <v>555000</v>
      </c>
      <c r="H60" s="4"/>
      <c r="I60" s="58" t="s">
        <v>44</v>
      </c>
      <c r="J60" s="59">
        <f>IF(AND(J57,J58),J57+J58,"")</f>
        <v>527360.89672180428</v>
      </c>
      <c r="K60" s="30"/>
    </row>
    <row r="61" spans="1:11" ht="18" customHeight="1" x14ac:dyDescent="0.15">
      <c r="A61" s="4"/>
      <c r="B61" s="26"/>
      <c r="C61" s="4"/>
      <c r="D61" s="4"/>
      <c r="E61" s="4"/>
      <c r="F61" s="4"/>
      <c r="G61" s="4"/>
      <c r="H61" s="4"/>
      <c r="I61" s="60"/>
      <c r="J61" s="4"/>
      <c r="K61" s="30"/>
    </row>
    <row r="62" spans="1:11" ht="14.1" customHeight="1" x14ac:dyDescent="0.15">
      <c r="A62" s="4"/>
      <c r="B62" s="26"/>
      <c r="C62" s="42" t="s">
        <v>45</v>
      </c>
      <c r="D62" s="4"/>
      <c r="E62" s="4"/>
      <c r="F62" s="4"/>
      <c r="G62" s="4"/>
      <c r="H62" s="4"/>
      <c r="I62" s="42" t="s">
        <v>46</v>
      </c>
      <c r="J62" s="4"/>
      <c r="K62" s="30"/>
    </row>
    <row r="63" spans="1:11" x14ac:dyDescent="0.15">
      <c r="A63" s="4"/>
      <c r="B63" s="26"/>
      <c r="C63" s="42" t="s">
        <v>47</v>
      </c>
      <c r="D63" s="4"/>
      <c r="E63" s="4"/>
      <c r="F63" s="4"/>
      <c r="G63" s="4"/>
      <c r="H63" s="4"/>
      <c r="I63" s="42"/>
      <c r="J63" s="4"/>
      <c r="K63" s="30"/>
    </row>
    <row r="64" spans="1:11" x14ac:dyDescent="0.15">
      <c r="A64" s="4"/>
      <c r="B64" s="26"/>
      <c r="C64" s="4"/>
      <c r="D64" s="4"/>
      <c r="E64" s="4"/>
      <c r="F64" s="4"/>
      <c r="G64" s="4"/>
      <c r="H64" s="4"/>
      <c r="I64" s="4"/>
      <c r="J64" s="4"/>
      <c r="K64" s="30"/>
    </row>
    <row r="65" spans="1:11" ht="12" customHeight="1" x14ac:dyDescent="0.15">
      <c r="A65" s="4"/>
      <c r="B65" s="26"/>
      <c r="C65" s="61" t="s">
        <v>48</v>
      </c>
      <c r="D65" s="61"/>
      <c r="E65" s="61"/>
      <c r="F65" s="61"/>
      <c r="G65" s="46">
        <f>IF(G60,G60,"")</f>
        <v>555000</v>
      </c>
      <c r="H65" s="4"/>
      <c r="I65" s="4"/>
      <c r="J65" s="4"/>
      <c r="K65" s="30"/>
    </row>
    <row r="66" spans="1:11" ht="12" customHeight="1" x14ac:dyDescent="0.15">
      <c r="A66" s="4"/>
      <c r="B66" s="26"/>
      <c r="C66" s="61" t="s">
        <v>49</v>
      </c>
      <c r="D66" s="61"/>
      <c r="E66" s="61"/>
      <c r="F66" s="61"/>
      <c r="G66" s="46">
        <f>IF(G65,J58,"")</f>
        <v>76012.012597829758</v>
      </c>
      <c r="H66" s="4"/>
      <c r="I66" s="4"/>
      <c r="J66" s="4"/>
      <c r="K66" s="30"/>
    </row>
    <row r="67" spans="1:11" ht="12" customHeight="1" x14ac:dyDescent="0.15">
      <c r="A67" s="4"/>
      <c r="B67" s="26"/>
      <c r="C67" s="62" t="s">
        <v>50</v>
      </c>
      <c r="D67" s="61"/>
      <c r="E67" s="61"/>
      <c r="F67" s="61"/>
      <c r="G67" s="59">
        <f>IF(G65,G65-G66,"")</f>
        <v>478987.98740217026</v>
      </c>
      <c r="H67" s="4"/>
      <c r="I67" s="63" t="s">
        <v>51</v>
      </c>
      <c r="J67" s="59">
        <f>IF(J57,J57,"")</f>
        <v>451348.88412397448</v>
      </c>
      <c r="K67" s="30"/>
    </row>
    <row r="68" spans="1:11" x14ac:dyDescent="0.15">
      <c r="A68" s="4"/>
      <c r="B68" s="39"/>
      <c r="C68" s="40"/>
      <c r="D68" s="40"/>
      <c r="E68" s="40"/>
      <c r="F68" s="40"/>
      <c r="G68" s="40"/>
      <c r="H68" s="40"/>
      <c r="I68" s="40"/>
      <c r="J68" s="40"/>
      <c r="K68" s="41"/>
    </row>
    <row r="69" spans="1:11" ht="12" customHeight="1" x14ac:dyDescent="0.15">
      <c r="A69" s="4"/>
      <c r="B69" s="4"/>
      <c r="C69" s="4"/>
      <c r="D69" s="4"/>
      <c r="E69" s="4"/>
      <c r="F69" s="4"/>
      <c r="G69" s="4"/>
      <c r="H69" s="4"/>
      <c r="I69" s="4"/>
      <c r="J69" s="4"/>
      <c r="K69" s="4"/>
    </row>
    <row r="70" spans="1:11" ht="409.6" hidden="1" customHeight="1" x14ac:dyDescent="0.15">
      <c r="A70" s="4"/>
      <c r="B70" s="4"/>
      <c r="C70" s="4"/>
      <c r="D70" s="4"/>
      <c r="E70" s="4"/>
      <c r="F70" s="4"/>
      <c r="G70" s="38">
        <f>I22-PV(G47*0.01/12,J51,-I70)</f>
        <v>94237.679102807859</v>
      </c>
      <c r="H70" s="4"/>
      <c r="I70" s="64">
        <f>I22*(G47*0.01/12)/((1+(G47*0.01/12))^J51-1)</f>
        <v>3271.2986607622647</v>
      </c>
      <c r="J70" s="64">
        <f>I28*(G47*0.01/12)/((1+(G47*0.01/12))^J51-1)</f>
        <v>1596.3937464519852</v>
      </c>
      <c r="K70" s="4"/>
    </row>
    <row r="71" spans="1:11" ht="12" customHeight="1" x14ac:dyDescent="0.15">
      <c r="A71" s="4"/>
      <c r="B71" s="42" t="s">
        <v>52</v>
      </c>
      <c r="C71" s="4"/>
      <c r="D71" s="4"/>
      <c r="E71" s="4"/>
      <c r="F71" s="4"/>
      <c r="G71" s="4"/>
      <c r="H71" s="4"/>
      <c r="I71" s="4"/>
      <c r="J71" s="4"/>
      <c r="K71" s="4"/>
    </row>
    <row r="72" spans="1:11" ht="5.0999999999999996" customHeight="1" x14ac:dyDescent="0.15">
      <c r="A72" s="4"/>
      <c r="B72" s="42"/>
      <c r="C72" s="4"/>
      <c r="D72" s="4"/>
      <c r="E72" s="4"/>
      <c r="F72" s="4"/>
      <c r="G72" s="4"/>
      <c r="H72" s="4"/>
      <c r="I72" s="4"/>
      <c r="J72" s="4"/>
      <c r="K72" s="4"/>
    </row>
    <row r="73" spans="1:11" x14ac:dyDescent="0.15">
      <c r="A73" s="4"/>
      <c r="B73" s="65" t="s">
        <v>0</v>
      </c>
      <c r="C73" s="4" t="s">
        <v>53</v>
      </c>
      <c r="D73" s="4"/>
      <c r="E73" s="4"/>
      <c r="F73" s="4"/>
      <c r="G73" s="4"/>
      <c r="H73" s="4"/>
      <c r="I73" s="4"/>
      <c r="J73" s="4"/>
      <c r="K73" s="4"/>
    </row>
    <row r="74" spans="1:11" x14ac:dyDescent="0.15">
      <c r="A74" s="4"/>
      <c r="B74" s="4"/>
      <c r="C74" s="4" t="s">
        <v>54</v>
      </c>
      <c r="D74" s="4"/>
      <c r="E74" s="4"/>
      <c r="F74" s="4"/>
      <c r="G74" s="4"/>
      <c r="H74" s="4"/>
      <c r="I74" s="4"/>
      <c r="J74" s="4"/>
      <c r="K74" s="4"/>
    </row>
    <row r="75" spans="1:11" x14ac:dyDescent="0.15">
      <c r="A75" s="4"/>
      <c r="B75" s="4"/>
      <c r="C75" s="4" t="s">
        <v>55</v>
      </c>
      <c r="D75" s="4"/>
      <c r="E75" s="4"/>
      <c r="F75" s="4"/>
      <c r="G75" s="4"/>
      <c r="H75" s="4"/>
      <c r="I75" s="4"/>
      <c r="J75" s="4"/>
      <c r="K75" s="4"/>
    </row>
    <row r="76" spans="1:11" ht="3" customHeight="1" x14ac:dyDescent="0.15">
      <c r="A76" s="4"/>
      <c r="B76" s="4"/>
      <c r="C76" s="4"/>
      <c r="D76" s="4"/>
      <c r="E76" s="4"/>
      <c r="F76" s="4"/>
      <c r="G76" s="4"/>
      <c r="H76" s="4"/>
      <c r="I76" s="4"/>
      <c r="J76" s="4"/>
      <c r="K76" s="4"/>
    </row>
    <row r="77" spans="1:11" x14ac:dyDescent="0.15">
      <c r="A77" s="4"/>
      <c r="B77" s="65" t="s">
        <v>1</v>
      </c>
      <c r="C77" s="4" t="s">
        <v>56</v>
      </c>
      <c r="D77" s="4"/>
      <c r="E77" s="4"/>
      <c r="F77" s="4"/>
      <c r="G77" s="4"/>
      <c r="H77" s="4"/>
      <c r="I77" s="4"/>
      <c r="J77" s="4"/>
      <c r="K77" s="4"/>
    </row>
    <row r="78" spans="1:11" x14ac:dyDescent="0.15">
      <c r="A78" s="4"/>
      <c r="B78" s="4"/>
      <c r="C78" s="4" t="s">
        <v>57</v>
      </c>
      <c r="D78" s="4"/>
      <c r="E78" s="4"/>
      <c r="F78" s="4"/>
      <c r="G78" s="4"/>
      <c r="H78" s="4"/>
      <c r="I78" s="4"/>
      <c r="J78" s="4"/>
      <c r="K78" s="4"/>
    </row>
    <row r="79" spans="1:11" ht="3" customHeight="1" x14ac:dyDescent="0.15">
      <c r="A79" s="4"/>
      <c r="B79" s="4"/>
      <c r="C79" s="4"/>
      <c r="D79" s="4"/>
      <c r="E79" s="4"/>
      <c r="F79" s="4"/>
      <c r="G79" s="4"/>
      <c r="H79" s="4"/>
      <c r="I79" s="4"/>
      <c r="J79" s="4"/>
      <c r="K79" s="4"/>
    </row>
    <row r="80" spans="1:11" x14ac:dyDescent="0.15">
      <c r="A80" s="4"/>
      <c r="B80" s="65" t="s">
        <v>2</v>
      </c>
      <c r="C80" s="4" t="s">
        <v>58</v>
      </c>
      <c r="D80" s="4"/>
      <c r="E80" s="4"/>
      <c r="F80" s="4"/>
      <c r="G80" s="4"/>
      <c r="H80" s="4"/>
      <c r="I80" s="4"/>
      <c r="J80" s="4"/>
      <c r="K80" s="4"/>
    </row>
    <row r="81" spans="1:11" x14ac:dyDescent="0.15">
      <c r="A81" s="4"/>
      <c r="B81" s="65"/>
      <c r="C81" s="4" t="s">
        <v>59</v>
      </c>
      <c r="D81" s="4"/>
      <c r="E81" s="4"/>
      <c r="F81" s="4"/>
      <c r="G81" s="4"/>
      <c r="H81" s="4"/>
      <c r="I81" s="4"/>
      <c r="J81" s="4"/>
      <c r="K81" s="4"/>
    </row>
    <row r="82" spans="1:11" ht="3" customHeight="1" x14ac:dyDescent="0.15">
      <c r="A82" s="4"/>
      <c r="B82" s="4"/>
      <c r="C82" s="4"/>
      <c r="D82" s="4"/>
      <c r="E82" s="4"/>
      <c r="F82" s="4"/>
      <c r="G82" s="4"/>
      <c r="H82" s="4"/>
      <c r="I82" s="4"/>
      <c r="J82" s="4"/>
      <c r="K82" s="4"/>
    </row>
    <row r="83" spans="1:11" x14ac:dyDescent="0.15">
      <c r="A83" s="4"/>
      <c r="B83" s="65" t="s">
        <v>3</v>
      </c>
      <c r="C83" s="4" t="s">
        <v>60</v>
      </c>
      <c r="D83" s="4"/>
      <c r="E83" s="4"/>
      <c r="F83" s="4"/>
      <c r="G83" s="4"/>
      <c r="H83" s="4"/>
      <c r="I83" s="4"/>
      <c r="J83" s="4"/>
      <c r="K83" s="4"/>
    </row>
    <row r="84" spans="1:11" ht="3" customHeight="1" x14ac:dyDescent="0.15">
      <c r="A84" s="4"/>
      <c r="B84" s="4"/>
      <c r="C84" s="4"/>
      <c r="D84" s="4"/>
      <c r="E84" s="4"/>
      <c r="F84" s="4"/>
      <c r="G84" s="4"/>
      <c r="H84" s="4"/>
      <c r="I84" s="4"/>
      <c r="J84" s="4"/>
      <c r="K84" s="4"/>
    </row>
    <row r="85" spans="1:11" x14ac:dyDescent="0.15">
      <c r="A85" s="4"/>
      <c r="B85" s="65" t="s">
        <v>4</v>
      </c>
      <c r="C85" s="4" t="s">
        <v>61</v>
      </c>
      <c r="D85" s="4"/>
      <c r="E85" s="4"/>
      <c r="F85" s="4"/>
      <c r="G85" s="4"/>
      <c r="H85" s="4"/>
      <c r="I85" s="4"/>
      <c r="J85" s="4"/>
      <c r="K85" s="4"/>
    </row>
    <row r="86" spans="1:11" x14ac:dyDescent="0.15">
      <c r="A86" s="4"/>
      <c r="B86" s="4"/>
      <c r="C86" s="4" t="s">
        <v>62</v>
      </c>
      <c r="D86" s="4"/>
      <c r="E86" s="4"/>
      <c r="F86" s="4"/>
      <c r="G86" s="4"/>
      <c r="H86" s="4"/>
      <c r="I86" s="4"/>
      <c r="J86" s="4"/>
      <c r="K86" s="4"/>
    </row>
    <row r="87" spans="1:11" x14ac:dyDescent="0.15">
      <c r="A87" s="4"/>
      <c r="B87" s="4"/>
      <c r="C87" s="4"/>
      <c r="D87" s="4"/>
      <c r="E87" s="4"/>
      <c r="F87" s="4"/>
      <c r="G87" s="4"/>
      <c r="H87" s="4"/>
      <c r="I87" s="4"/>
      <c r="J87" s="4"/>
      <c r="K87" s="4"/>
    </row>
    <row r="88" spans="1:11" x14ac:dyDescent="0.15">
      <c r="A88" s="4"/>
      <c r="B88" s="4"/>
      <c r="D88" s="4"/>
      <c r="E88" s="4"/>
      <c r="F88" s="4"/>
      <c r="G88" s="4"/>
      <c r="H88" s="4"/>
      <c r="I88" s="4"/>
      <c r="J88" s="4"/>
      <c r="K88" s="4"/>
    </row>
    <row r="89" spans="1:11" x14ac:dyDescent="0.15">
      <c r="A89" s="4"/>
      <c r="B89" s="4"/>
      <c r="D89" s="4"/>
      <c r="E89" s="4"/>
      <c r="F89" s="4"/>
      <c r="G89" s="4"/>
      <c r="H89" s="4"/>
      <c r="I89" s="4"/>
      <c r="J89" s="4"/>
      <c r="K89" s="4"/>
    </row>
    <row r="90" spans="1:11" x14ac:dyDescent="0.15">
      <c r="A90" s="4"/>
      <c r="B90" s="4"/>
      <c r="C90" s="4"/>
      <c r="D90" s="4"/>
      <c r="E90" s="4"/>
      <c r="F90" s="4"/>
      <c r="G90" s="4"/>
      <c r="H90" s="4"/>
      <c r="I90" s="4"/>
      <c r="J90" s="4"/>
      <c r="K90" s="4"/>
    </row>
    <row r="91" spans="1:11" x14ac:dyDescent="0.15">
      <c r="A91" s="4"/>
      <c r="B91" s="4"/>
      <c r="C91" s="4"/>
      <c r="D91" s="4"/>
      <c r="E91" s="4"/>
      <c r="F91" s="4"/>
      <c r="G91" s="4"/>
      <c r="H91" s="4"/>
      <c r="I91" s="4"/>
      <c r="J91" s="4"/>
      <c r="K91" s="4"/>
    </row>
    <row r="92" spans="1:11" x14ac:dyDescent="0.15">
      <c r="A92" s="4"/>
      <c r="B92" s="4"/>
      <c r="C92" s="4"/>
      <c r="D92" s="4"/>
      <c r="E92" s="4"/>
      <c r="F92" s="4"/>
      <c r="G92" s="4"/>
      <c r="H92" s="4"/>
      <c r="I92" s="4"/>
      <c r="J92" s="4"/>
      <c r="K92" s="4"/>
    </row>
    <row r="93" spans="1:11" x14ac:dyDescent="0.15">
      <c r="A93" s="4"/>
      <c r="B93" s="4"/>
      <c r="C93" s="4"/>
      <c r="D93" s="4"/>
      <c r="E93" s="4"/>
      <c r="F93" s="4"/>
      <c r="G93" s="4"/>
      <c r="H93" s="4"/>
      <c r="I93" s="4"/>
      <c r="J93" s="4"/>
      <c r="K93" s="4"/>
    </row>
    <row r="94" spans="1:11" x14ac:dyDescent="0.15">
      <c r="A94" s="4"/>
      <c r="B94" s="4"/>
      <c r="C94" s="4"/>
      <c r="D94" s="4"/>
      <c r="E94" s="4"/>
      <c r="F94" s="4"/>
      <c r="G94" s="4"/>
      <c r="H94" s="4"/>
      <c r="I94" s="4"/>
      <c r="J94" s="4"/>
      <c r="K94" s="4"/>
    </row>
    <row r="95" spans="1:11" x14ac:dyDescent="0.15">
      <c r="A95" s="4"/>
      <c r="B95" s="4"/>
      <c r="C95" s="4"/>
      <c r="D95" s="4"/>
      <c r="E95" s="4"/>
      <c r="F95" s="4"/>
      <c r="G95" s="4"/>
      <c r="H95" s="4"/>
      <c r="I95" s="4"/>
      <c r="J95" s="4"/>
      <c r="K95" s="4"/>
    </row>
    <row r="96" spans="1:11" x14ac:dyDescent="0.15">
      <c r="A96" s="4"/>
      <c r="B96" s="4"/>
      <c r="C96" s="4"/>
      <c r="D96" s="4"/>
      <c r="E96" s="4"/>
      <c r="F96" s="4"/>
      <c r="G96" s="4"/>
      <c r="H96" s="4"/>
      <c r="I96" s="4"/>
      <c r="J96" s="4"/>
      <c r="K96" s="4"/>
    </row>
    <row r="97" spans="1:11" x14ac:dyDescent="0.15">
      <c r="A97" s="4"/>
      <c r="B97" s="4"/>
      <c r="C97" s="4"/>
      <c r="D97" s="4"/>
      <c r="E97" s="4"/>
      <c r="F97" s="4"/>
      <c r="G97" s="4"/>
      <c r="H97" s="4"/>
      <c r="I97" s="4"/>
      <c r="J97" s="4"/>
      <c r="K97" s="4"/>
    </row>
    <row r="98" spans="1:11" x14ac:dyDescent="0.15">
      <c r="A98" s="4"/>
      <c r="B98" s="4"/>
      <c r="C98" s="4"/>
      <c r="D98" s="4"/>
      <c r="E98" s="4"/>
      <c r="F98" s="4"/>
      <c r="G98" s="4"/>
      <c r="H98" s="4"/>
      <c r="I98" s="4"/>
      <c r="J98" s="4"/>
      <c r="K98" s="4"/>
    </row>
    <row r="99" spans="1:11" x14ac:dyDescent="0.15">
      <c r="A99" s="4"/>
      <c r="B99" s="4"/>
      <c r="C99" s="4"/>
      <c r="D99" s="4"/>
      <c r="E99" s="4"/>
      <c r="F99" s="4"/>
      <c r="G99" s="4"/>
      <c r="H99" s="4"/>
      <c r="I99" s="4"/>
      <c r="J99" s="4"/>
      <c r="K99" s="4"/>
    </row>
    <row r="100" spans="1:11" x14ac:dyDescent="0.15">
      <c r="A100" s="4"/>
      <c r="B100" s="4"/>
      <c r="C100" s="4"/>
      <c r="D100" s="4"/>
      <c r="E100" s="4"/>
      <c r="F100" s="4"/>
      <c r="G100" s="4"/>
      <c r="H100" s="4"/>
      <c r="I100" s="4"/>
      <c r="J100" s="4"/>
      <c r="K100" s="4"/>
    </row>
    <row r="101" spans="1:11" x14ac:dyDescent="0.15">
      <c r="A101" s="4"/>
      <c r="B101" s="4"/>
      <c r="C101" s="4"/>
      <c r="D101" s="4"/>
      <c r="E101" s="4"/>
      <c r="F101" s="4"/>
      <c r="G101" s="4"/>
      <c r="H101" s="4"/>
      <c r="I101" s="4"/>
      <c r="J101" s="4"/>
      <c r="K101" s="4"/>
    </row>
    <row r="102" spans="1:11" x14ac:dyDescent="0.15">
      <c r="A102" s="4"/>
      <c r="B102" s="4"/>
      <c r="C102" s="4"/>
      <c r="D102" s="4"/>
      <c r="E102" s="4"/>
      <c r="F102" s="4"/>
      <c r="G102" s="4"/>
      <c r="H102" s="4"/>
      <c r="I102" s="4"/>
      <c r="J102" s="4"/>
      <c r="K102" s="4"/>
    </row>
    <row r="103" spans="1:11" x14ac:dyDescent="0.15">
      <c r="A103" s="4"/>
      <c r="B103" s="4"/>
      <c r="C103" s="4"/>
      <c r="D103" s="4"/>
      <c r="E103" s="4"/>
      <c r="F103" s="4"/>
      <c r="G103" s="4"/>
      <c r="H103" s="4"/>
      <c r="I103" s="4"/>
      <c r="J103" s="4"/>
      <c r="K103" s="4"/>
    </row>
    <row r="104" spans="1:11" x14ac:dyDescent="0.15">
      <c r="A104" s="4"/>
      <c r="B104" s="4"/>
      <c r="C104" s="4"/>
      <c r="D104" s="4"/>
      <c r="E104" s="4"/>
      <c r="F104" s="4"/>
      <c r="G104" s="4"/>
      <c r="H104" s="4"/>
      <c r="I104" s="4"/>
      <c r="J104" s="4"/>
      <c r="K104" s="4"/>
    </row>
  </sheetData>
  <phoneticPr fontId="0" type="noConversion"/>
  <printOptions horizontalCentered="1" gridLinesSet="0"/>
  <pageMargins left="0.5" right="0.5" top="0.75" bottom="0.75" header="0" footer="0"/>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vt:i4>
      </vt:variant>
      <vt:variant>
        <vt:lpstr>命名范围</vt:lpstr>
      </vt:variant>
      <vt:variant>
        <vt:i4>2</vt:i4>
      </vt:variant>
    </vt:vector>
  </HeadingPairs>
  <TitlesOfParts>
    <vt:vector size="3" baseType="lpstr">
      <vt:lpstr>Sheet1</vt:lpstr>
      <vt:lpstr>Sheet1!Print_Area</vt:lpstr>
      <vt:lpstr>Print_Area</vt:lpstr>
    </vt:vector>
  </TitlesOfParts>
  <Company>微软（中国）有限公司</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wang guo</cp:lastModifiedBy>
  <cp:lastPrinted>2001-03-01T20:07:25Z</cp:lastPrinted>
  <dcterms:created xsi:type="dcterms:W3CDTF">2001-02-06T19:39:22Z</dcterms:created>
  <dcterms:modified xsi:type="dcterms:W3CDTF">2010-07-12T09:54:49Z</dcterms:modified>
</cp:coreProperties>
</file>