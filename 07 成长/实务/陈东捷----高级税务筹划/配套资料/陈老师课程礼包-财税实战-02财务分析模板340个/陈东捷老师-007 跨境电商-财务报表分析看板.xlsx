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2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 tabRatio="752"/>
  </bookViews>
  <sheets>
    <sheet name="数据分析看板" sheetId="6" r:id="rId1"/>
    <sheet name="使用说明" sheetId="2" r:id="rId2"/>
    <sheet name="辅助" sheetId="3" state="veryHidden" r:id="rId3"/>
    <sheet name="稻壳琪一独家首发" sheetId="5" state="veryHidden" r:id="rId4"/>
  </sheets>
  <definedNames>
    <definedName name="WPSDocer独家琪一" hidden="1">"WPSDocer独家琪一"</definedName>
    <definedName name="稻壳独家琪一">使用说明!#REF!</definedName>
  </definedName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6C7E305D970740BFB0BD4804F0B5C804" descr="稻壳琪一独家版权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699480" y="3809626620"/>
          <a:ext cx="5570220" cy="374142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<sst xmlns="http://schemas.openxmlformats.org/spreadsheetml/2006/main" count="32" uniqueCount="32">
  <si>
    <t>财务报表分析看板(成本分析)</t>
  </si>
  <si>
    <t>费用明细表</t>
  </si>
  <si>
    <t>总计费用</t>
  </si>
  <si>
    <t>项目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</si>
  <si>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</si>
  <si>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</si>
  <si>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</si>
  <si>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</si>
  <si>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</si>
  <si>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</si>
  <si>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</si>
  <si>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</si>
  <si>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</si>
  <si>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</si>
  <si>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</si>
  <si>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</si>
  <si>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小计</t>
  </si>
  <si>
    <t>占比</t>
  </si>
  <si>
    <t>研发费用</t>
  </si>
  <si>
    <t>测试费用</t>
  </si>
  <si>
    <t>原料成本</t>
  </si>
  <si>
    <t>加工费用</t>
  </si>
  <si>
    <t>货运费</t>
  </si>
  <si>
    <t>包装费</t>
  </si>
  <si>
    <t>人力费用</t>
  </si>
  <si>
    <t>委外费用</t>
  </si>
  <si>
    <t>其他费用</t>
  </si>
  <si>
    <t>合计</t>
  </si>
  <si>
    <t>一季度</t>
  </si>
  <si>
    <t>二季度</t>
  </si>
  <si>
    <t>三季度</t>
  </si>
  <si>
    <t>四季度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</si>
</sst>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微软雅黑"/>
      <charset val="134"/>
    </font>
    <font>
      <sz val="10"/>
      <name val="微软雅黑"/>
      <charset val="134"/>
    </font>
    <font>
      <sz val="11"/>
      <color theme="1"/>
      <name val="黑体"/>
      <charset val="134"/>
    </font>
    <font>
      <sz val="11"/>
      <color theme="1" tint="0.349986266670736"/>
      <name val="黑体"/>
      <charset val="134"/>
    </font>
    <font>
      <sz val="11"/>
      <color theme="1" tint="0.249977111117893"/>
      <name val="黑体"/>
      <charset val="134"/>
    </font>
    <font>
      <sz val="26"/>
      <color theme="1" tint="0.249977111117893"/>
      <name val="黑体"/>
      <charset val="134"/>
    </font>
    <font>
      <b/>
      <sz val="12"/>
      <color rgb="FF2AB7A2"/>
      <name val="黑体"/>
      <charset val="134"/>
    </font>
    <font>
      <sz val="11"/>
      <color theme="0"/>
      <name val="黑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AB7A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2AB7A2"/>
      </left>
      <right style="thin">
        <color theme="0" tint="-0.0499893185216834"/>
      </right>
      <top/>
      <bottom/>
      <diagonal/>
    </border>
    <border>
      <left style="thin">
        <color theme="0" tint="-0.0499893185216834"/>
      </left>
      <right style="thin">
        <color theme="0" tint="-0.0499893185216834"/>
      </right>
      <top/>
      <bottom/>
      <diagonal/>
    </border>
    <border>
      <left style="medium">
        <color rgb="FF2AB7A2"/>
      </left>
      <right style="thin">
        <color theme="0" tint="-0.149998474074526"/>
      </right>
      <top/>
      <bottom/>
      <diagonal/>
    </border>
    <border>
      <left style="thin">
        <color theme="0" tint="-0.149998474074526"/>
      </left>
      <right style="thin">
        <color theme="0" tint="-0.149998474074526"/>
      </right>
      <top/>
      <bottom/>
      <diagonal/>
    </border>
    <border>
      <left style="thin">
        <color theme="0" tint="-0.0499893185216834"/>
      </left>
      <right style="medium">
        <color rgb="FF2AB7A2"/>
      </right>
      <top/>
      <bottom/>
      <diagonal/>
    </border>
    <border>
      <left style="thin">
        <color theme="0" tint="-0.149998474074526"/>
      </left>
      <right style="medium">
        <color rgb="FF2AB7A2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8" borderId="7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12" borderId="8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1" fillId="16" borderId="11" applyNumberFormat="0" applyAlignment="0" applyProtection="0">
      <alignment vertical="center"/>
    </xf>
    <xf numFmtId="0" fontId="22" fillId="16" borderId="7" applyNumberFormat="0" applyAlignment="0" applyProtection="0">
      <alignment vertical="center"/>
    </xf>
    <xf numFmtId="0" fontId="23" fillId="17" borderId="12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Border="1" applyAlignment="1" applyProtection="1">
      <alignment horizontal="center" vertical="center"/>
      <protection locked="0"/>
    </xf>
    <xf numFmtId="0" fontId="4" fillId="3" borderId="0" xfId="0" applyFont="1" applyFill="1" applyBorder="1" applyAlignment="1" applyProtection="1">
      <alignment horizontal="left" vertical="center"/>
      <protection locked="0"/>
    </xf>
    <xf numFmtId="0" fontId="4" fillId="3" borderId="0" xfId="0" applyFont="1" applyFill="1" applyAlignment="1" applyProtection="1">
      <alignment horizontal="center" vertical="center" wrapText="1"/>
      <protection locked="0"/>
    </xf>
    <xf numFmtId="0" fontId="4" fillId="3" borderId="0" xfId="0" applyFont="1" applyFill="1" applyBorder="1" applyAlignment="1" applyProtection="1">
      <alignment horizontal="center" vertical="center" wrapText="1"/>
      <protection locked="0"/>
    </xf>
    <xf numFmtId="0" fontId="4" fillId="3" borderId="0" xfId="0" applyFont="1" applyFill="1" applyAlignment="1" applyProtection="1">
      <alignment horizontal="left" vertical="center" wrapText="1"/>
      <protection locked="0"/>
    </xf>
    <xf numFmtId="0" fontId="5" fillId="4" borderId="0" xfId="0" applyFont="1" applyFill="1" applyAlignment="1" applyProtection="1">
      <alignment horizontal="center" vertical="center"/>
      <protection locked="0"/>
    </xf>
    <xf numFmtId="0" fontId="4" fillId="4" borderId="0" xfId="0" applyFont="1" applyFill="1" applyBorder="1" applyAlignment="1" applyProtection="1">
      <alignment horizontal="center" vertical="center"/>
      <protection locked="0"/>
    </xf>
    <xf numFmtId="0" fontId="4" fillId="4" borderId="0" xfId="0" applyFont="1" applyFill="1" applyBorder="1" applyAlignment="1" applyProtection="1">
      <alignment horizontal="left" vertical="center"/>
      <protection locked="0"/>
    </xf>
    <xf numFmtId="0" fontId="6" fillId="4" borderId="0" xfId="0" applyFont="1" applyFill="1" applyBorder="1" applyAlignment="1" applyProtection="1">
      <alignment horizontal="left" vertical="center"/>
      <protection locked="0"/>
    </xf>
    <xf numFmtId="0" fontId="4" fillId="4" borderId="0" xfId="0" applyFont="1" applyFill="1" applyBorder="1" applyAlignment="1" applyProtection="1">
      <alignment horizontal="centerContinuous" vertical="center"/>
      <protection locked="0"/>
    </xf>
    <xf numFmtId="0" fontId="4" fillId="4" borderId="0" xfId="0" applyFont="1" applyFill="1" applyAlignment="1" applyProtection="1">
      <alignment horizontal="center" vertical="center" wrapText="1"/>
      <protection locked="0"/>
    </xf>
    <xf numFmtId="0" fontId="7" fillId="5" borderId="1" xfId="0" applyFont="1" applyFill="1" applyBorder="1" applyAlignment="1" applyProtection="1">
      <alignment horizontal="center" vertical="center" shrinkToFit="1"/>
      <protection locked="0"/>
    </xf>
    <xf numFmtId="0" fontId="7" fillId="5" borderId="2" xfId="0" applyFont="1" applyFill="1" applyBorder="1" applyAlignment="1" applyProtection="1">
      <alignment horizontal="center" vertical="center" shrinkToFit="1"/>
      <protection locked="0"/>
    </xf>
    <xf numFmtId="0" fontId="4" fillId="4" borderId="3" xfId="0" applyFont="1" applyFill="1" applyBorder="1" applyAlignment="1" applyProtection="1">
      <alignment horizontal="center" vertical="center" shrinkToFit="1"/>
      <protection locked="0"/>
    </xf>
    <xf numFmtId="0" fontId="4" fillId="4" borderId="4" xfId="0" applyFont="1" applyFill="1" applyBorder="1" applyAlignment="1" applyProtection="1">
      <alignment horizontal="center" vertical="center" shrinkToFit="1"/>
      <protection locked="0"/>
    </xf>
    <xf numFmtId="0" fontId="4" fillId="6" borderId="3" xfId="0" applyFont="1" applyFill="1" applyBorder="1" applyAlignment="1" applyProtection="1">
      <alignment horizontal="center" vertical="center" shrinkToFit="1"/>
      <protection locked="0"/>
    </xf>
    <xf numFmtId="0" fontId="4" fillId="6" borderId="4" xfId="0" applyFont="1" applyFill="1" applyBorder="1" applyAlignment="1" applyProtection="1">
      <alignment horizontal="center" vertical="center" shrinkToFit="1"/>
      <protection locked="0"/>
    </xf>
    <xf numFmtId="0" fontId="7" fillId="5" borderId="2" xfId="0" applyFont="1" applyFill="1" applyBorder="1" applyAlignment="1" applyProtection="1">
      <alignment horizontal="center" vertical="center" shrinkToFit="1"/>
    </xf>
    <xf numFmtId="0" fontId="4" fillId="4" borderId="0" xfId="0" applyFont="1" applyFill="1" applyBorder="1" applyAlignment="1" applyProtection="1">
      <alignment horizontal="center" vertical="center" wrapText="1"/>
      <protection locked="0"/>
    </xf>
    <xf numFmtId="0" fontId="4" fillId="4" borderId="4" xfId="0" applyFont="1" applyFill="1" applyBorder="1" applyAlignment="1" applyProtection="1">
      <alignment horizontal="center" vertical="center" shrinkToFit="1"/>
    </xf>
    <xf numFmtId="0" fontId="4" fillId="6" borderId="4" xfId="0" applyFont="1" applyFill="1" applyBorder="1" applyAlignment="1" applyProtection="1">
      <alignment horizontal="center" vertical="center" shrinkToFit="1"/>
    </xf>
    <xf numFmtId="0" fontId="4" fillId="3" borderId="0" xfId="0" applyFont="1" applyFill="1" applyAlignment="1" applyProtection="1">
      <alignment horizontal="left" vertical="center"/>
      <protection locked="0"/>
    </xf>
    <xf numFmtId="0" fontId="4" fillId="4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horizontal="left" vertical="center" wrapText="1"/>
      <protection locked="0"/>
    </xf>
    <xf numFmtId="0" fontId="7" fillId="5" borderId="5" xfId="0" applyFont="1" applyFill="1" applyBorder="1" applyAlignment="1" applyProtection="1">
      <alignment horizontal="center" vertical="center" shrinkToFit="1"/>
      <protection locked="0"/>
    </xf>
    <xf numFmtId="0" fontId="5" fillId="4" borderId="0" xfId="0" applyFont="1" applyFill="1" applyAlignment="1" applyProtection="1">
      <alignment horizontal="left" vertical="center" shrinkToFit="1"/>
    </xf>
    <xf numFmtId="9" fontId="4" fillId="4" borderId="6" xfId="0" applyNumberFormat="1" applyFont="1" applyFill="1" applyBorder="1" applyAlignment="1" applyProtection="1">
      <alignment horizontal="center" vertical="center" shrinkToFit="1"/>
    </xf>
    <xf numFmtId="0" fontId="4" fillId="4" borderId="0" xfId="0" applyFont="1" applyFill="1" applyAlignment="1" applyProtection="1">
      <alignment horizontal="left" vertical="center" wrapText="1"/>
      <protection locked="0"/>
    </xf>
    <xf numFmtId="9" fontId="4" fillId="6" borderId="6" xfId="0" applyNumberFormat="1" applyFont="1" applyFill="1" applyBorder="1" applyAlignment="1" applyProtection="1">
      <alignment horizontal="center" vertical="center" shrinkToFit="1"/>
    </xf>
    <xf numFmtId="9" fontId="7" fillId="5" borderId="5" xfId="0" applyNumberFormat="1" applyFont="1" applyFill="1" applyBorder="1" applyAlignment="1" applyProtection="1">
      <alignment horizontal="center"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7CDF7"/>
      <color rgb="00FCDBDB"/>
      <color rgb="00A0CFFF"/>
      <color rgb="00AFD9FF"/>
      <color rgb="00B9E4FF"/>
      <color rgb="0020DDDB"/>
      <color rgb="001CC5C3"/>
      <color rgb="0035DB97"/>
      <color rgb="00F5F4F7"/>
      <color rgb="002AB7A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spc="0" baseline="0">
                <a:solidFill>
                  <a:srgbClr val="2AB7A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r>
              <a:rPr lang="zh-CN" altLang="en-US" sz="1200" b="1">
                <a:solidFill>
                  <a:srgbClr val="2AB7A2"/>
                </a:solidFill>
              </a:rPr>
              <a:t>费用占比示意</a:t>
            </a:r>
            <a:endParaRPr lang="zh-CN" altLang="en-US" sz="1000" b="0">
              <a:solidFill>
                <a:schemeClr val="bg1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1171875"/>
          <c:y val="0.10721406020831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1275605214153"/>
          <c:y val="0.410869565217391"/>
          <c:w val="0.450418994413408"/>
          <c:h val="0.467391304347826"/>
        </c:manualLayout>
      </c:layout>
      <c:pieChart>
        <c:varyColors val="1"/>
        <c:ser>
          <c:idx val="12"/>
          <c:order val="0"/>
          <c:tx>
            <c:strRef>
              <c:f>数据分析看板!$P$6</c:f>
              <c:strCache>
                <c:ptCount val="1"/>
                <c:pt idx="0">
                  <c:v>小计</c:v>
                </c:pt>
              </c:strCache>
            </c:strRef>
          </c:tx>
          <c:spPr>
            <a:solidFill>
              <a:srgbClr val="2AB7A2"/>
            </a:solidFill>
          </c:spPr>
          <c:explosion val="0"/>
          <c:dPt>
            <c:idx val="0"/>
            <c:bubble3D val="0"/>
            <c:spPr>
              <a:solidFill>
                <a:srgbClr val="2AB7A2">
                  <a:alpha val="2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2AB7A2">
                  <a:alpha val="3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B7A2">
                  <a:alpha val="4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2AB7A2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2AB7A2">
                  <a:alpha val="6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2AB7A2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rgbClr val="2AB7A2">
                  <a:alpha val="8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rgbClr val="2AB7A2">
                  <a:alpha val="9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rgbClr val="2AB7A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黑体" panose="02010609060101010101" charset="-122"/>
                    <a:ea typeface="黑体" panose="02010609060101010101" charset="-122"/>
                    <a:cs typeface="黑体" panose="02010609060101010101" charset="-122"/>
                    <a:sym typeface="黑体" panose="02010609060101010101" charset="-122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数据分析看板!$C$7:$C$15</c:f>
              <c:strCache>
                <c:ptCount val="9"/>
                <c:pt idx="0">
                  <c:v>研发费用</c:v>
                </c:pt>
                <c:pt idx="1">
                  <c:v>测试费用</c:v>
                </c:pt>
                <c:pt idx="2">
                  <c:v>原料成本</c:v>
                </c:pt>
                <c:pt idx="3">
                  <c:v>加工费用</c:v>
                </c:pt>
                <c:pt idx="4">
                  <c:v>货运费</c:v>
                </c:pt>
                <c:pt idx="5">
                  <c:v>包装费</c:v>
                </c:pt>
                <c:pt idx="6">
                  <c:v>人力费用</c:v>
                </c:pt>
                <c:pt idx="7">
                  <c:v>委外费用</c:v>
                </c:pt>
                <c:pt idx="8">
                  <c:v>其他费用</c:v>
                </c:pt>
              </c:strCache>
            </c:strRef>
          </c:cat>
          <c:val>
            <c:numRef>
              <c:f>数据分析看板!$P$7:$P$15</c:f>
              <c:numCache>
                <c:formatCode>General</c:formatCode>
                <c:ptCount val="9"/>
                <c:pt idx="0">
                  <c:v>9200</c:v>
                </c:pt>
                <c:pt idx="1">
                  <c:v>25800</c:v>
                </c:pt>
                <c:pt idx="2">
                  <c:v>5700</c:v>
                </c:pt>
                <c:pt idx="3">
                  <c:v>3600</c:v>
                </c:pt>
                <c:pt idx="4">
                  <c:v>5900</c:v>
                </c:pt>
                <c:pt idx="5">
                  <c:v>6700</c:v>
                </c:pt>
                <c:pt idx="6">
                  <c:v>55600</c:v>
                </c:pt>
                <c:pt idx="7">
                  <c:v>12600</c:v>
                </c:pt>
                <c:pt idx="8">
                  <c:v>13900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0102420856611"/>
          <c:y val="0.153730703259005"/>
          <c:w val="0.310055865921788"/>
          <c:h val="0.74378216123499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黑体" panose="02010609060101010101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tx1">
              <a:lumMod val="65000"/>
              <a:lumOff val="35000"/>
            </a:schemeClr>
          </a:solidFill>
          <a:latin typeface="黑体" panose="02010609060101010101" charset="-122"/>
          <a:ea typeface="黑体" panose="02010609060101010101" charset="-122"/>
          <a:cs typeface="黑体" panose="02010609060101010101" charset="-122"/>
          <a:sym typeface="黑体" panose="0201060906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spc="0" baseline="0">
                <a:solidFill>
                  <a:srgbClr val="2AB7A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r>
              <a:rPr lang="zh-CN" altLang="en-US" sz="1200" b="1">
                <a:solidFill>
                  <a:srgbClr val="2AB7A2"/>
                </a:solidFill>
              </a:rPr>
              <a:t>各阶段费用趋势线图</a:t>
            </a:r>
            <a:endParaRPr lang="zh-CN" altLang="en-US" sz="1000" b="0">
              <a:solidFill>
                <a:schemeClr val="bg1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0534689237119389"/>
          <c:y val="0.10464116140900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07317680245582"/>
          <c:y val="0.301029159519726"/>
          <c:w val="0.884924914958931"/>
          <c:h val="0.52860205831904"/>
        </c:manualLayout>
      </c:layout>
      <c:barChart>
        <c:barDir val="col"/>
        <c:grouping val="clustered"/>
        <c:varyColors val="0"/>
        <c:ser>
          <c:idx val="12"/>
          <c:order val="0"/>
          <c:tx>
            <c:strRef>
              <c:f>数据分析看板!$P$6</c:f>
              <c:strCache>
                <c:ptCount val="1"/>
                <c:pt idx="0">
                  <c:v>小计</c:v>
                </c:pt>
              </c:strCache>
            </c:strRef>
          </c:tx>
          <c:spPr>
            <a:solidFill>
              <a:srgbClr val="2AB7A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AB7A2">
                  <a:alpha val="2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2AB7A2">
                  <a:alpha val="3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2AB7A2">
                  <a:alpha val="4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2AB7A2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rgbClr val="2AB7A2">
                  <a:alpha val="6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rgbClr val="2AB7A2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rgbClr val="2AB7A2">
                  <a:alpha val="8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rgbClr val="2AB7A2">
                  <a:alpha val="9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rgbClr val="2AB7A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黑体" panose="02010609060101010101" charset="-122"/>
                    <a:ea typeface="黑体" panose="02010609060101010101" charset="-122"/>
                    <a:cs typeface="黑体" panose="02010609060101010101" charset="-122"/>
                    <a:sym typeface="黑体" panose="02010609060101010101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8100" cap="rnd">
                <a:solidFill>
                  <a:srgbClr val="FFC000"/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cat>
            <c:strRef>
              <c:f>数据分析看板!$C$7:$C$15</c:f>
              <c:strCache>
                <c:ptCount val="9"/>
                <c:pt idx="0">
                  <c:v>研发费用</c:v>
                </c:pt>
                <c:pt idx="1">
                  <c:v>测试费用</c:v>
                </c:pt>
                <c:pt idx="2">
                  <c:v>原料成本</c:v>
                </c:pt>
                <c:pt idx="3">
                  <c:v>加工费用</c:v>
                </c:pt>
                <c:pt idx="4">
                  <c:v>货运费</c:v>
                </c:pt>
                <c:pt idx="5">
                  <c:v>包装费</c:v>
                </c:pt>
                <c:pt idx="6">
                  <c:v>人力费用</c:v>
                </c:pt>
                <c:pt idx="7">
                  <c:v>委外费用</c:v>
                </c:pt>
                <c:pt idx="8">
                  <c:v>其他费用</c:v>
                </c:pt>
              </c:strCache>
            </c:strRef>
          </c:cat>
          <c:val>
            <c:numRef>
              <c:f>数据分析看板!$P$7:$P$15</c:f>
              <c:numCache>
                <c:formatCode>General</c:formatCode>
                <c:ptCount val="9"/>
                <c:pt idx="0">
                  <c:v>9200</c:v>
                </c:pt>
                <c:pt idx="1">
                  <c:v>25800</c:v>
                </c:pt>
                <c:pt idx="2">
                  <c:v>5700</c:v>
                </c:pt>
                <c:pt idx="3">
                  <c:v>3600</c:v>
                </c:pt>
                <c:pt idx="4">
                  <c:v>5900</c:v>
                </c:pt>
                <c:pt idx="5">
                  <c:v>6700</c:v>
                </c:pt>
                <c:pt idx="6">
                  <c:v>55600</c:v>
                </c:pt>
                <c:pt idx="7">
                  <c:v>12600</c:v>
                </c:pt>
                <c:pt idx="8">
                  <c:v>13900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38023134"/>
        <c:axId val="524490093"/>
      </c:barChart>
      <c:catAx>
        <c:axId val="43802313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  <c:crossAx val="524490093"/>
        <c:crosses val="autoZero"/>
        <c:auto val="1"/>
        <c:lblAlgn val="ctr"/>
        <c:lblOffset val="100"/>
        <c:noMultiLvlLbl val="0"/>
      </c:catAx>
      <c:valAx>
        <c:axId val="52449009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  <c:crossAx val="43802313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tx1">
              <a:lumMod val="65000"/>
              <a:lumOff val="35000"/>
            </a:schemeClr>
          </a:solidFill>
          <a:latin typeface="黑体" panose="02010609060101010101" charset="-122"/>
          <a:ea typeface="黑体" panose="02010609060101010101" charset="-122"/>
          <a:cs typeface="黑体" panose="02010609060101010101" charset="-122"/>
          <a:sym typeface="黑体" panose="0201060906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spc="0" baseline="0">
                <a:solidFill>
                  <a:srgbClr val="2AB7A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r>
              <a:rPr lang="zh-CN" altLang="en-US" sz="1200" b="1">
                <a:solidFill>
                  <a:srgbClr val="2AB7A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rPr>
              <a:t>逐月费用分布趋势</a:t>
            </a:r>
            <a:endParaRPr lang="zh-CN" altLang="en-US" sz="1200" b="1">
              <a:solidFill>
                <a:srgbClr val="2AB7A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黑体" panose="02010609060101010101" charset="-122"/>
            </a:endParaRPr>
          </a:p>
        </c:rich>
      </c:tx>
      <c:layout>
        <c:manualLayout>
          <c:xMode val="edge"/>
          <c:yMode val="edge"/>
          <c:x val="0.0357413871604189"/>
          <c:y val="0.072716516184651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04340567612688"/>
          <c:y val="0.257179323548181"/>
          <c:w val="0.905418121110943"/>
          <c:h val="0.583577962135716"/>
        </c:manualLayout>
      </c:layout>
      <c:areaChart>
        <c:grouping val="standard"/>
        <c:varyColors val="0"/>
        <c:ser>
          <c:idx val="9"/>
          <c:order val="0"/>
          <c:tx>
            <c:strRef>
              <c:f>数据分析看板!$C$16</c:f>
              <c:strCache>
                <c:ptCount val="1"/>
                <c:pt idx="0">
                  <c:v>合计</c:v>
                </c:pt>
              </c:strCache>
            </c:strRef>
          </c:tx>
          <c:spPr>
            <a:gradFill>
              <a:gsLst>
                <a:gs pos="7000">
                  <a:srgbClr val="2AB7A2">
                    <a:alpha val="16000"/>
                  </a:srgbClr>
                </a:gs>
                <a:gs pos="85000">
                  <a:srgbClr val="2AB7A2">
                    <a:alpha val="0"/>
                  </a:srgbClr>
                </a:gs>
              </a:gsLst>
              <a:lin ang="5400000"/>
            </a:gradFill>
            <a:ln>
              <a:noFill/>
            </a:ln>
            <a:effectLst>
              <a:outerShdw blurRad="76200" dist="12700" dir="2700000" sy="-23000" kx="-800400" algn="bl" rotWithShape="0">
                <a:prstClr val="black">
                  <a:alpha val="20000"/>
                </a:prstClr>
              </a:outerShdw>
            </a:effectLst>
          </c:spPr>
          <c:dLbls>
            <c:delete val="1"/>
          </c:dLbls>
          <c:cat>
            <c:strRef>
              <c:f>数据分析看板!$D$6:$O$6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数据分析看板!$D$16:$O$16</c:f>
              <c:numCache>
                <c:formatCode>General</c:formatCode>
                <c:ptCount val="12"/>
                <c:pt idx="0">
                  <c:v>77400</c:v>
                </c:pt>
                <c:pt idx="1">
                  <c:v>3800</c:v>
                </c:pt>
                <c:pt idx="2">
                  <c:v>4800</c:v>
                </c:pt>
                <c:pt idx="3">
                  <c:v>3800</c:v>
                </c:pt>
                <c:pt idx="4">
                  <c:v>4400</c:v>
                </c:pt>
                <c:pt idx="5">
                  <c:v>4100</c:v>
                </c:pt>
                <c:pt idx="6">
                  <c:v>3600</c:v>
                </c:pt>
                <c:pt idx="7">
                  <c:v>3900</c:v>
                </c:pt>
                <c:pt idx="8">
                  <c:v>11600</c:v>
                </c:pt>
                <c:pt idx="9">
                  <c:v>4300</c:v>
                </c:pt>
                <c:pt idx="10">
                  <c:v>4300</c:v>
                </c:pt>
                <c:pt idx="11">
                  <c:v>13000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20224"/>
        <c:axId val="487327291"/>
      </c:areaChart>
      <c:lineChart>
        <c:grouping val="standard"/>
        <c:varyColors val="0"/>
        <c:ser>
          <c:idx val="0"/>
          <c:order val="1"/>
          <c:spPr>
            <a:ln w="44450" cap="rnd">
              <a:solidFill>
                <a:srgbClr val="2AB7A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38100">
                <a:solidFill>
                  <a:srgbClr val="2AB7A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黑体" panose="02010609060101010101" charset="-122"/>
                    <a:ea typeface="黑体" panose="02010609060101010101" charset="-122"/>
                    <a:cs typeface="黑体" panose="02010609060101010101" charset="-122"/>
                    <a:sym typeface="黑体" panose="0201060906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数据分析看板!$D$6:$O$6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数据分析看板!$D$16:$O$16</c:f>
              <c:numCache>
                <c:formatCode>General</c:formatCode>
                <c:ptCount val="12"/>
                <c:pt idx="0">
                  <c:v>77400</c:v>
                </c:pt>
                <c:pt idx="1">
                  <c:v>3800</c:v>
                </c:pt>
                <c:pt idx="2">
                  <c:v>4800</c:v>
                </c:pt>
                <c:pt idx="3">
                  <c:v>3800</c:v>
                </c:pt>
                <c:pt idx="4">
                  <c:v>4400</c:v>
                </c:pt>
                <c:pt idx="5">
                  <c:v>4100</c:v>
                </c:pt>
                <c:pt idx="6">
                  <c:v>3600</c:v>
                </c:pt>
                <c:pt idx="7">
                  <c:v>3900</c:v>
                </c:pt>
                <c:pt idx="8">
                  <c:v>11600</c:v>
                </c:pt>
                <c:pt idx="9">
                  <c:v>4300</c:v>
                </c:pt>
                <c:pt idx="10">
                  <c:v>4300</c:v>
                </c:pt>
                <c:pt idx="11">
                  <c:v>13000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1"/>
        <c:axId val="184520224"/>
        <c:axId val="487327291"/>
      </c:lineChart>
      <c:catAx>
        <c:axId val="18452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9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  <c:crossAx val="487327291"/>
        <c:crosses val="autoZero"/>
        <c:auto val="1"/>
        <c:lblAlgn val="ctr"/>
        <c:lblOffset val="100"/>
        <c:noMultiLvlLbl val="0"/>
      </c:catAx>
      <c:valAx>
        <c:axId val="4873272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  <c:crossAx val="18452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1">
              <a:lumMod val="65000"/>
            </a:schemeClr>
          </a:solidFill>
          <a:latin typeface="黑体" panose="02010609060101010101" charset="-122"/>
          <a:ea typeface="黑体" panose="02010609060101010101" charset="-122"/>
          <a:cs typeface="黑体" panose="02010609060101010101" charset="-122"/>
          <a:sym typeface="黑体" panose="0201060906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spc="0" baseline="0">
                <a:solidFill>
                  <a:srgbClr val="2AB7A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r>
              <a:rPr lang="zh-CN" altLang="en-US" sz="1200" b="1">
                <a:solidFill>
                  <a:srgbClr val="2AB7A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rPr>
              <a:t>季度分析比较</a:t>
            </a:r>
            <a:endParaRPr lang="zh-CN" altLang="en-US" sz="1200" b="1">
              <a:solidFill>
                <a:srgbClr val="2AB7A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黑体" panose="02010609060101010101" charset="-122"/>
            </a:endParaRPr>
          </a:p>
        </c:rich>
      </c:tx>
      <c:layout>
        <c:manualLayout>
          <c:xMode val="edge"/>
          <c:yMode val="edge"/>
          <c:x val="0.073944043690209"/>
          <c:y val="0.10343698854337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2971952535059"/>
          <c:y val="0.301472995090016"/>
          <c:w val="0.738052858683927"/>
          <c:h val="0.53551554828150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2AB7A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黑体" panose="02010609060101010101" charset="-122"/>
                    <a:ea typeface="黑体" panose="02010609060101010101" charset="-122"/>
                    <a:cs typeface="黑体" panose="02010609060101010101" charset="-122"/>
                    <a:sym typeface="黑体" panose="02010609060101010101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数据分析看板!$Q$20:$Q$23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数据分析看板!$R$20:$R$23</c:f>
              <c:numCache>
                <c:formatCode>General</c:formatCode>
                <c:ptCount val="4"/>
                <c:pt idx="0">
                  <c:v>86000</c:v>
                </c:pt>
                <c:pt idx="1">
                  <c:v>12300</c:v>
                </c:pt>
                <c:pt idx="2">
                  <c:v>19100</c:v>
                </c:pt>
                <c:pt idx="3">
                  <c:v>21600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1"/>
        <c:axId val="780254729"/>
        <c:axId val="40835329"/>
      </c:barChart>
      <c:catAx>
        <c:axId val="780254729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  <c:crossAx val="40835329"/>
        <c:crosses val="autoZero"/>
        <c:auto val="1"/>
        <c:lblAlgn val="ctr"/>
        <c:lblOffset val="100"/>
        <c:noMultiLvlLbl val="0"/>
      </c:catAx>
      <c:valAx>
        <c:axId val="40835329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  <c:crossAx val="78025472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1">
              <a:lumMod val="65000"/>
            </a:schemeClr>
          </a:solidFill>
          <a:latin typeface="黑体" panose="02010609060101010101" charset="-122"/>
          <a:ea typeface="黑体" panose="02010609060101010101" charset="-122"/>
          <a:cs typeface="黑体" panose="02010609060101010101" charset="-122"/>
          <a:sym typeface="黑体" panose="0201060906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126365</xdr:colOff>
      <xdr:row>7</xdr:row>
      <xdr:rowOff>139065</xdr:rowOff>
    </xdr:from>
    <xdr:to>
      <xdr:col>21</xdr:col>
      <xdr:colOff>652145</xdr:colOff>
      <xdr:row>16</xdr:row>
      <xdr:rowOff>288925</xdr:rowOff>
    </xdr:to>
    <xdr:graphicFrame>
      <xdr:nvGraphicFramePr>
        <xdr:cNvPr id="5" name="图表 4"/>
        <xdr:cNvGraphicFramePr/>
      </xdr:nvGraphicFramePr>
      <xdr:xfrm>
        <a:off x="10001885" y="2402205"/>
        <a:ext cx="2727960" cy="3013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1744980</xdr:colOff>
      <xdr:row>4</xdr:row>
      <xdr:rowOff>139700</xdr:rowOff>
    </xdr:from>
    <xdr:to>
      <xdr:col>21</xdr:col>
      <xdr:colOff>318770</xdr:colOff>
      <xdr:row>5</xdr:row>
      <xdr:rowOff>34290</xdr:rowOff>
    </xdr:to>
    <xdr:pic>
      <xdr:nvPicPr>
        <xdr:cNvPr id="7" name="图片 6" descr="343435383038393b343532323232383bb7a2d5b9c7b0beb0"/>
        <xdr:cNvPicPr>
          <a:picLocks noChangeAspect="1"/>
        </xdr:cNvPicPr>
      </xdr:nvPicPr>
      <xdr:blipFill>
        <a:blip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2077700" y="1334135"/>
          <a:ext cx="318770" cy="3270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</xdr:row>
      <xdr:rowOff>112395</xdr:rowOff>
    </xdr:from>
    <xdr:to>
      <xdr:col>14</xdr:col>
      <xdr:colOff>33655</xdr:colOff>
      <xdr:row>24</xdr:row>
      <xdr:rowOff>36830</xdr:rowOff>
    </xdr:to>
    <xdr:graphicFrame>
      <xdr:nvGraphicFramePr>
        <xdr:cNvPr id="8" name="图表 7"/>
        <xdr:cNvGraphicFramePr/>
      </xdr:nvGraphicFramePr>
      <xdr:xfrm>
        <a:off x="220980" y="5556885"/>
        <a:ext cx="7653655" cy="19475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214630</xdr:colOff>
      <xdr:row>24</xdr:row>
      <xdr:rowOff>164465</xdr:rowOff>
    </xdr:from>
    <xdr:to>
      <xdr:col>21</xdr:col>
      <xdr:colOff>607060</xdr:colOff>
      <xdr:row>33</xdr:row>
      <xdr:rowOff>37465</xdr:rowOff>
    </xdr:to>
    <xdr:graphicFrame>
      <xdr:nvGraphicFramePr>
        <xdr:cNvPr id="9" name="图表 8"/>
        <xdr:cNvGraphicFramePr/>
      </xdr:nvGraphicFramePr>
      <xdr:xfrm>
        <a:off x="214630" y="7632065"/>
        <a:ext cx="12470130" cy="2532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160655</xdr:colOff>
      <xdr:row>18</xdr:row>
      <xdr:rowOff>18415</xdr:rowOff>
    </xdr:from>
    <xdr:to>
      <xdr:col>21</xdr:col>
      <xdr:colOff>644525</xdr:colOff>
      <xdr:row>24</xdr:row>
      <xdr:rowOff>46990</xdr:rowOff>
    </xdr:to>
    <xdr:graphicFrame>
      <xdr:nvGraphicFramePr>
        <xdr:cNvPr id="10" name="图表 9"/>
        <xdr:cNvGraphicFramePr/>
      </xdr:nvGraphicFramePr>
      <xdr:xfrm>
        <a:off x="8001635" y="5577205"/>
        <a:ext cx="4720590" cy="1937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2</xdr:col>
      <xdr:colOff>29845</xdr:colOff>
      <xdr:row>0</xdr:row>
      <xdr:rowOff>152400</xdr:rowOff>
    </xdr:from>
    <xdr:to>
      <xdr:col>13</xdr:col>
      <xdr:colOff>67945</xdr:colOff>
      <xdr:row>75</xdr:row>
      <xdr:rowOff>219075</xdr:rowOff>
    </xdr:to>
    <xdr:sp>
      <xdr:nvSpPr>
        <xdr:cNvPr id="16" name="底"/>
        <xdr:cNvSpPr/>
      </xdr:nvSpPr>
      <xdr:spPr>
        <a:xfrm>
          <a:off x="555625" y="152400"/>
          <a:ext cx="11468100" cy="2092642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27000" sx="101000" sy="101000" algn="ctr" rotWithShape="0">
            <a:schemeClr val="bg1">
              <a:lumMod val="75000"/>
              <a:alpha val="3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absolute">
    <xdr:from>
      <xdr:col>2</xdr:col>
      <xdr:colOff>25400</xdr:colOff>
      <xdr:row>2</xdr:row>
      <xdr:rowOff>185420</xdr:rowOff>
    </xdr:from>
    <xdr:to>
      <xdr:col>5</xdr:col>
      <xdr:colOff>1423035</xdr:colOff>
      <xdr:row>5</xdr:row>
      <xdr:rowOff>133350</xdr:rowOff>
    </xdr:to>
    <xdr:grpSp>
      <xdr:nvGrpSpPr>
        <xdr:cNvPr id="17" name="稻壳儿表格模板使用说明"/>
        <xdr:cNvGrpSpPr/>
      </xdr:nvGrpSpPr>
      <xdr:grpSpPr>
        <a:xfrm>
          <a:off x="551180" y="741680"/>
          <a:ext cx="5078095" cy="782320"/>
          <a:chOff x="-48" y="701"/>
          <a:chExt cx="6845" cy="1236"/>
        </a:xfrm>
      </xdr:grpSpPr>
      <xdr:sp>
        <xdr:nvSpPr>
          <xdr:cNvPr id="18" name="矩形 17"/>
          <xdr:cNvSpPr/>
        </xdr:nvSpPr>
        <xdr:spPr>
          <a:xfrm>
            <a:off x="-48" y="717"/>
            <a:ext cx="170" cy="737"/>
          </a:xfrm>
          <a:prstGeom prst="rect">
            <a:avLst/>
          </a:prstGeom>
          <a:solidFill>
            <a:srgbClr val="FF283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sp>
      <xdr:sp>
        <xdr:nvSpPr>
          <xdr:cNvPr id="19" name="文本框 18"/>
          <xdr:cNvSpPr txBox="1"/>
        </xdr:nvSpPr>
        <xdr:spPr>
          <a:xfrm>
            <a:off x="166" y="701"/>
            <a:ext cx="6631" cy="1036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zh-CN" altLang="en-US" sz="26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表格</a:t>
            </a:r>
            <a:r>
              <a:rPr lang="en-US" altLang="zh-CN" sz="26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模板使用说明</a:t>
            </a:r>
            <a:endParaRPr lang="en-US" altLang="zh-CN" sz="2600" kern="100"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20" name="文本框 19"/>
          <xdr:cNvSpPr txBox="1"/>
        </xdr:nvSpPr>
        <xdr:spPr>
          <a:xfrm>
            <a:off x="56" y="1473"/>
            <a:ext cx="5900" cy="46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12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（本页为说明页，用户使用模板时可删除本页</a:t>
            </a:r>
            <a:r>
              <a:rPr lang="zh-CN" altLang="en-US" sz="12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文字及图片</a:t>
            </a:r>
            <a:r>
              <a:rPr lang="en-US" altLang="zh-CN" sz="12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）</a:t>
            </a:r>
            <a:endParaRPr lang="en-US" altLang="zh-CN" sz="12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</xdr:grpSp>
    <xdr:clientData/>
  </xdr:twoCellAnchor>
  <xdr:twoCellAnchor editAs="absolute">
    <xdr:from>
      <xdr:col>6</xdr:col>
      <xdr:colOff>1124585</xdr:colOff>
      <xdr:row>8</xdr:row>
      <xdr:rowOff>102870</xdr:rowOff>
    </xdr:from>
    <xdr:to>
      <xdr:col>6</xdr:col>
      <xdr:colOff>1143635</xdr:colOff>
      <xdr:row>72</xdr:row>
      <xdr:rowOff>83185</xdr:rowOff>
    </xdr:to>
    <xdr:cxnSp>
      <xdr:nvCxnSpPr>
        <xdr:cNvPr id="21" name="直接连接符 20"/>
        <xdr:cNvCxnSpPr/>
      </xdr:nvCxnSpPr>
      <xdr:spPr>
        <a:xfrm>
          <a:off x="6885305" y="2327910"/>
          <a:ext cx="19050" cy="17780635"/>
        </a:xfrm>
        <a:prstGeom prst="line">
          <a:avLst/>
        </a:prstGeom>
        <a:ln w="9525">
          <a:solidFill>
            <a:srgbClr val="222222">
              <a:alpha val="8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1525270</xdr:colOff>
      <xdr:row>34</xdr:row>
      <xdr:rowOff>19050</xdr:rowOff>
    </xdr:from>
    <xdr:to>
      <xdr:col>10</xdr:col>
      <xdr:colOff>143510</xdr:colOff>
      <xdr:row>43</xdr:row>
      <xdr:rowOff>113665</xdr:rowOff>
    </xdr:to>
    <xdr:grpSp>
      <xdr:nvGrpSpPr>
        <xdr:cNvPr id="3" name="组合 2"/>
        <xdr:cNvGrpSpPr/>
      </xdr:nvGrpSpPr>
      <xdr:grpSpPr>
        <a:xfrm>
          <a:off x="7285990" y="9475470"/>
          <a:ext cx="2961640" cy="2597785"/>
          <a:chOff x="11462" y="3468"/>
          <a:chExt cx="4664" cy="4037"/>
        </a:xfrm>
      </xdr:grpSpPr>
      <xdr:sp>
        <xdr:nvSpPr>
          <xdr:cNvPr id="22" name="字体说明"/>
          <xdr:cNvSpPr txBox="1"/>
        </xdr:nvSpPr>
        <xdr:spPr>
          <a:xfrm>
            <a:off x="11463" y="5924"/>
            <a:ext cx="4663" cy="158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fontAlgn="auto">
              <a:lnSpc>
                <a:spcPct val="150000"/>
              </a:lnSpc>
            </a:pPr>
            <a:r>
              <a:rPr lang="zh-CN" altLang="en-US" sz="7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</a:rPr>
              <a:t>【说明】</a:t>
            </a:r>
            <a:endParaRPr lang="zh-CN" altLang="en-US" sz="7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</a:endParaRPr>
          </a:p>
          <a:p>
            <a:pPr marL="39370" algn="l" fontAlgn="auto">
              <a:lnSpc>
                <a:spcPct val="200000"/>
              </a:lnSpc>
            </a:pPr>
            <a:r>
              <a:rPr sz="7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+mn-ea"/>
              </a:rPr>
              <a:t>模板中使用的字体仅限于个人学习、研究或欣赏目的使用，如需商用请您自行向版权方购买、获取商用版权。</a:t>
            </a:r>
            <a:endParaRPr lang="zh-CN" altLang="en-US" sz="7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endParaRPr>
          </a:p>
        </xdr:txBody>
      </xdr:sp>
      <xdr:grpSp>
        <xdr:nvGrpSpPr>
          <xdr:cNvPr id="23" name="01"/>
          <xdr:cNvGrpSpPr/>
        </xdr:nvGrpSpPr>
        <xdr:grpSpPr>
          <a:xfrm>
            <a:off x="11462" y="3468"/>
            <a:ext cx="4586" cy="2242"/>
            <a:chOff x="8438" y="3906"/>
            <a:chExt cx="4604" cy="2250"/>
          </a:xfrm>
        </xdr:grpSpPr>
        <xdr:cxnSp>
          <xdr:nvCxnSpPr>
            <xdr:cNvPr id="26" name="直接连接符 25"/>
            <xdr:cNvCxnSpPr/>
          </xdr:nvCxnSpPr>
          <xdr:spPr>
            <a:xfrm>
              <a:off x="8722" y="6083"/>
              <a:ext cx="4320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28" name="组合 34"/>
            <xdr:cNvGrpSpPr/>
          </xdr:nvGrpSpPr>
          <xdr:grpSpPr>
            <a:xfrm>
              <a:off x="8438" y="3906"/>
              <a:ext cx="3997" cy="2250"/>
              <a:chOff x="10730" y="3085"/>
              <a:chExt cx="3979" cy="2279"/>
            </a:xfrm>
          </xdr:grpSpPr>
          <xdr:sp>
            <xdr:nvSpPr>
              <xdr:cNvPr id="31" name="文本框 30"/>
              <xdr:cNvSpPr txBox="1"/>
            </xdr:nvSpPr>
            <xdr:spPr>
              <a:xfrm>
                <a:off x="10892" y="4279"/>
                <a:ext cx="1702" cy="46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algn="l" eaLnBrk="1"/>
                <a:r>
                  <a:rPr lang="en-US" altLang="zh-CN" sz="900" kern="1200">
                    <a:solidFill>
                      <a:srgbClr val="222222">
                        <a:alpha val="60000"/>
                      </a:srgbClr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rPr>
                  <a:t>中文｜</a:t>
                </a:r>
                <a:r>
                  <a:rPr lang="zh-CN" altLang="en-US" sz="900" kern="1200">
                    <a:solidFill>
                      <a:srgbClr val="222222">
                        <a:alpha val="60000"/>
                      </a:srgbClr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rPr>
                  <a:t>黑体</a:t>
                </a:r>
                <a:endParaRPr lang="en-US" altLang="zh-CN" sz="900" kern="1200">
                  <a:solidFill>
                    <a:srgbClr val="222222">
                      <a:alpha val="60000"/>
                    </a:srgbClr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endParaRPr>
              </a:p>
            </xdr:txBody>
          </xdr:sp>
          <xdr:sp>
            <xdr:nvSpPr>
              <xdr:cNvPr id="32" name="文本框 31"/>
              <xdr:cNvSpPr txBox="1"/>
            </xdr:nvSpPr>
            <xdr:spPr>
              <a:xfrm>
                <a:off x="10848" y="4696"/>
                <a:ext cx="3045" cy="668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algn="l" eaLnBrk="1"/>
                <a:r>
                  <a:rPr lang="zh-CN" altLang="en-US" sz="2000" kern="1200">
                    <a:solidFill>
                      <a:srgbClr val="22222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rPr>
                  <a:t>黑体</a:t>
                </a:r>
                <a:endParaRPr lang="en-US" altLang="zh-CN" sz="1200" kern="100"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endParaRPr>
              </a:p>
            </xdr:txBody>
          </xdr:sp>
          <xdr:grpSp>
            <xdr:nvGrpSpPr>
              <xdr:cNvPr id="33" name="组合 32"/>
              <xdr:cNvGrpSpPr/>
            </xdr:nvGrpSpPr>
            <xdr:grpSpPr>
              <a:xfrm>
                <a:off x="10730" y="3085"/>
                <a:ext cx="3979" cy="1140"/>
                <a:chOff x="1046" y="2417"/>
                <a:chExt cx="3979" cy="1140"/>
              </a:xfrm>
            </xdr:grpSpPr>
            <xdr:sp>
              <xdr:nvSpPr>
                <xdr:cNvPr id="34" name="文本框 33"/>
                <xdr:cNvSpPr txBox="1"/>
              </xdr:nvSpPr>
              <xdr:spPr>
                <a:xfrm>
                  <a:off x="1046" y="2417"/>
                  <a:ext cx="1505" cy="1140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algn="l" eaLnBrk="1"/>
                  <a:r>
                    <a:rPr lang="en-US" altLang="zh-CN" sz="3800" b="1" kern="1200">
                      <a:solidFill>
                        <a:srgbClr val="FF2832"/>
                      </a:solidFill>
                      <a:latin typeface="黑体" panose="02010609060101010101" charset="-122"/>
                      <a:ea typeface="黑体" panose="02010609060101010101" charset="-122"/>
                      <a:cs typeface="Times New Roman" panose="02020603050405020304" pitchFamily="12"/>
                      <a:sym typeface="Times New Roman" panose="02020603050405020304" pitchFamily="12"/>
                    </a:rPr>
                    <a:t>05</a:t>
                  </a:r>
                  <a:endParaRPr lang="en-US" altLang="zh-CN" sz="3800" b="1" kern="1200">
                    <a:solidFill>
                      <a:srgbClr val="FF283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endParaRPr>
                </a:p>
              </xdr:txBody>
            </xdr:sp>
            <xdr:sp>
              <xdr:nvSpPr>
                <xdr:cNvPr id="35" name="文本框 34"/>
                <xdr:cNvSpPr txBox="1"/>
              </xdr:nvSpPr>
              <xdr:spPr>
                <a:xfrm>
                  <a:off x="2012" y="2609"/>
                  <a:ext cx="3013" cy="720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algn="l" eaLnBrk="1"/>
                  <a:r>
                    <a:rPr lang="en-US" altLang="zh-CN" sz="2200" b="1" kern="1200">
                      <a:solidFill>
                        <a:srgbClr val="222222"/>
                      </a:solidFill>
                      <a:latin typeface="黑体" panose="02010609060101010101" charset="-122"/>
                      <a:ea typeface="黑体" panose="02010609060101010101" charset="-122"/>
                      <a:cs typeface="Times New Roman" panose="02020603050405020304" pitchFamily="12"/>
                      <a:sym typeface="Times New Roman" panose="02020603050405020304" pitchFamily="12"/>
                    </a:rPr>
                    <a:t>字体说明</a:t>
                  </a:r>
                  <a:endParaRPr lang="en-US" altLang="zh-CN" sz="2200" b="1" kern="1200">
                    <a:solidFill>
                      <a:srgbClr val="22222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endParaRPr>
                </a:p>
              </xdr:txBody>
            </xdr:sp>
          </xdr:grpSp>
        </xdr:grpSp>
      </xdr:grpSp>
    </xdr:grpSp>
    <xdr:clientData/>
  </xdr:twoCellAnchor>
  <xdr:twoCellAnchor editAs="absolute">
    <xdr:from>
      <xdr:col>6</xdr:col>
      <xdr:colOff>1503045</xdr:colOff>
      <xdr:row>48</xdr:row>
      <xdr:rowOff>271780</xdr:rowOff>
    </xdr:from>
    <xdr:to>
      <xdr:col>11</xdr:col>
      <xdr:colOff>13335</xdr:colOff>
      <xdr:row>57</xdr:row>
      <xdr:rowOff>253365</xdr:rowOff>
    </xdr:to>
    <xdr:grpSp>
      <xdr:nvGrpSpPr>
        <xdr:cNvPr id="38" name="02"/>
        <xdr:cNvGrpSpPr/>
      </xdr:nvGrpSpPr>
      <xdr:grpSpPr>
        <a:xfrm>
          <a:off x="7263765" y="13622020"/>
          <a:ext cx="3470910" cy="2484755"/>
          <a:chOff x="8434" y="9692"/>
          <a:chExt cx="5506" cy="3869"/>
        </a:xfrm>
      </xdr:grpSpPr>
      <xdr:grpSp>
        <xdr:nvGrpSpPr>
          <xdr:cNvPr id="39" name="组合 61"/>
          <xdr:cNvGrpSpPr/>
        </xdr:nvGrpSpPr>
        <xdr:grpSpPr>
          <a:xfrm>
            <a:off x="8434" y="9692"/>
            <a:ext cx="3902" cy="1123"/>
            <a:chOff x="1213" y="2429"/>
            <a:chExt cx="3886" cy="1138"/>
          </a:xfrm>
        </xdr:grpSpPr>
        <xdr:sp>
          <xdr:nvSpPr>
            <xdr:cNvPr id="40" name="文本框 39"/>
            <xdr:cNvSpPr txBox="1"/>
          </xdr:nvSpPr>
          <xdr:spPr>
            <a:xfrm>
              <a:off x="1213" y="2429"/>
              <a:ext cx="1554" cy="113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3800" b="1" kern="1200">
                  <a:solidFill>
                    <a:srgbClr val="FF283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06</a:t>
              </a:r>
              <a:endParaRPr lang="en-US" altLang="zh-CN" sz="3800" b="1" kern="1200">
                <a:solidFill>
                  <a:srgbClr val="FF283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41" name="文本框 40"/>
            <xdr:cNvSpPr txBox="1"/>
          </xdr:nvSpPr>
          <xdr:spPr>
            <a:xfrm>
              <a:off x="2236" y="2623"/>
              <a:ext cx="2863" cy="71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2200" b="1" kern="1200">
                  <a:solidFill>
                    <a:srgbClr val="22222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素材说明</a:t>
              </a:r>
              <a:endParaRPr lang="en-US" altLang="zh-CN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</xdr:grpSp>
      <xdr:grpSp>
        <xdr:nvGrpSpPr>
          <xdr:cNvPr id="42" name="组合 69"/>
          <xdr:cNvGrpSpPr/>
        </xdr:nvGrpSpPr>
        <xdr:grpSpPr>
          <a:xfrm>
            <a:off x="8443" y="10825"/>
            <a:ext cx="5469" cy="1078"/>
            <a:chOff x="7157" y="3565"/>
            <a:chExt cx="5450" cy="1090"/>
          </a:xfrm>
        </xdr:grpSpPr>
        <xdr:sp>
          <xdr:nvSpPr>
            <xdr:cNvPr id="43" name="文本框 42"/>
            <xdr:cNvSpPr txBox="1"/>
          </xdr:nvSpPr>
          <xdr:spPr>
            <a:xfrm>
              <a:off x="7157" y="3565"/>
              <a:ext cx="1289" cy="431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b="1" kern="1200">
                  <a:solidFill>
                    <a:srgbClr val="22222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图片：</a:t>
              </a:r>
              <a:endPara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44" name="文本框 43"/>
            <xdr:cNvSpPr txBox="1"/>
          </xdr:nvSpPr>
          <xdr:spPr>
            <a:xfrm>
              <a:off x="7161" y="4051"/>
              <a:ext cx="5446" cy="604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 fontAlgn="t">
                <a:lnSpc>
                  <a:spcPct val="100000"/>
                </a:lnSpc>
              </a:pPr>
              <a:r>
                <a:rPr lang="zh-CN" altLang="en-US" sz="900" kern="1200">
                  <a:solidFill>
                    <a:srgbClr val="222222">
                      <a:alpha val="60000"/>
                    </a:srgbClr>
                  </a:solidFill>
                  <a:latin typeface="黑体" panose="02010609060101010101" charset="-122"/>
                  <a:ea typeface="黑体" panose="02010609060101010101" charset="-122"/>
                  <a:cs typeface="黑体" panose="02010609060101010101" charset="-122"/>
                  <a:sym typeface="+mn-ea"/>
                </a:rPr>
                <a:t>无</a:t>
              </a:r>
              <a:endPara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+mn-ea"/>
              </a:endParaRPr>
            </a:p>
          </xdr:txBody>
        </xdr:sp>
      </xdr:grpSp>
      <xdr:grpSp>
        <xdr:nvGrpSpPr>
          <xdr:cNvPr id="45" name="组合 77"/>
          <xdr:cNvGrpSpPr/>
        </xdr:nvGrpSpPr>
        <xdr:grpSpPr>
          <a:xfrm>
            <a:off x="8434" y="12127"/>
            <a:ext cx="5506" cy="1434"/>
            <a:chOff x="7148" y="5415"/>
            <a:chExt cx="5487" cy="1453"/>
          </a:xfrm>
        </xdr:grpSpPr>
        <xdr:sp>
          <xdr:nvSpPr>
            <xdr:cNvPr id="46" name="文本框 45"/>
            <xdr:cNvSpPr txBox="1"/>
          </xdr:nvSpPr>
          <xdr:spPr>
            <a:xfrm>
              <a:off x="7171" y="5415"/>
              <a:ext cx="1287" cy="431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b="1" kern="1200">
                  <a:solidFill>
                    <a:srgbClr val="22222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素材：</a:t>
              </a:r>
              <a:endPara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47" name="文本框 46"/>
            <xdr:cNvSpPr txBox="1"/>
          </xdr:nvSpPr>
          <xdr:spPr>
            <a:xfrm>
              <a:off x="7148" y="5934"/>
              <a:ext cx="5487" cy="934"/>
            </a:xfrm>
            <a:prstGeom prst="rect">
              <a:avLst/>
            </a:prstGeom>
            <a:noFill/>
          </xdr:spPr>
          <xdr:txBody>
            <a:bodyPr wrap="square" rtlCol="0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 fontAlgn="t">
                <a:lnSpc>
                  <a:spcPct val="100000"/>
                </a:lnSpc>
              </a:pPr>
              <a:r>
                <a:rPr lang="zh-CN" altLang="en-US" sz="900" kern="1200">
                  <a:solidFill>
                    <a:srgbClr val="222222">
                      <a:alpha val="60000"/>
                    </a:srgbClr>
                  </a:solidFill>
                  <a:latin typeface="黑体" panose="02010609060101010101" charset="-122"/>
                  <a:ea typeface="黑体" panose="02010609060101010101" charset="-122"/>
                  <a:cs typeface="黑体" panose="02010609060101010101" charset="-122"/>
                  <a:sym typeface="+mn-ea"/>
                </a:rPr>
                <a:t>模板中使用的素材/图片/图标等来源于【稻壳素材】，仅限于个人学习、研究或欣赏目的使用，如需商用请您自行向版权方购买、获取商用版权。</a:t>
              </a:r>
              <a:endPara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+mn-ea"/>
              </a:endParaRPr>
            </a:p>
            <a:p>
              <a:pPr marL="0" algn="l" eaLnBrk="1" fontAlgn="t">
                <a:lnSpc>
                  <a:spcPct val="100000"/>
                </a:lnSpc>
              </a:pPr>
              <a:endPara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+mn-ea"/>
              </a:endParaRPr>
            </a:p>
          </xdr:txBody>
        </xdr:sp>
      </xdr:grpSp>
    </xdr:grpSp>
    <xdr:clientData/>
  </xdr:twoCellAnchor>
  <xdr:twoCellAnchor editAs="absolute">
    <xdr:from>
      <xdr:col>2</xdr:col>
      <xdr:colOff>266065</xdr:colOff>
      <xdr:row>21</xdr:row>
      <xdr:rowOff>35560</xdr:rowOff>
    </xdr:from>
    <xdr:to>
      <xdr:col>4</xdr:col>
      <xdr:colOff>1212215</xdr:colOff>
      <xdr:row>23</xdr:row>
      <xdr:rowOff>210820</xdr:rowOff>
    </xdr:to>
    <xdr:grpSp>
      <xdr:nvGrpSpPr>
        <xdr:cNvPr id="54" name="04"/>
        <xdr:cNvGrpSpPr/>
      </xdr:nvGrpSpPr>
      <xdr:grpSpPr>
        <a:xfrm>
          <a:off x="791845" y="5876290"/>
          <a:ext cx="3072130" cy="731520"/>
          <a:chOff x="1212" y="2209"/>
          <a:chExt cx="4839" cy="1150"/>
        </a:xfrm>
      </xdr:grpSpPr>
      <xdr:sp>
        <xdr:nvSpPr>
          <xdr:cNvPr id="55" name="文本框 54"/>
          <xdr:cNvSpPr txBox="1"/>
        </xdr:nvSpPr>
        <xdr:spPr>
          <a:xfrm>
            <a:off x="1212" y="2209"/>
            <a:ext cx="1548" cy="115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3800" b="1" kern="1200">
                <a:solidFill>
                  <a:srgbClr val="FF283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03</a:t>
            </a:r>
            <a:endParaRPr lang="en-US" altLang="zh-CN" sz="3800" b="1" kern="1200">
              <a:solidFill>
                <a:srgbClr val="FF283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56" name="文本框 55"/>
          <xdr:cNvSpPr txBox="1"/>
        </xdr:nvSpPr>
        <xdr:spPr>
          <a:xfrm>
            <a:off x="2192" y="2378"/>
            <a:ext cx="3859" cy="7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>
              <a:buClrTx/>
              <a:buSzTx/>
              <a:buFontTx/>
            </a:pPr>
            <a:r>
              <a:rPr lang="zh-CN" altLang="en-US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注意事项</a:t>
            </a:r>
            <a:endParaRPr lang="en-US" altLang="zh-CN" sz="2200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</xdr:grpSp>
    <xdr:clientData/>
  </xdr:twoCellAnchor>
  <xdr:twoCellAnchor editAs="absolute">
    <xdr:from>
      <xdr:col>2</xdr:col>
      <xdr:colOff>323215</xdr:colOff>
      <xdr:row>23</xdr:row>
      <xdr:rowOff>224155</xdr:rowOff>
    </xdr:from>
    <xdr:to>
      <xdr:col>6</xdr:col>
      <xdr:colOff>986790</xdr:colOff>
      <xdr:row>25</xdr:row>
      <xdr:rowOff>141605</xdr:rowOff>
    </xdr:to>
    <xdr:sp>
      <xdr:nvSpPr>
        <xdr:cNvPr id="57" name="qiyitext  注意"/>
        <xdr:cNvSpPr txBox="1"/>
      </xdr:nvSpPr>
      <xdr:spPr>
        <a:xfrm>
          <a:off x="848995" y="6621145"/>
          <a:ext cx="5898515" cy="4737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algn="l" fontAlgn="auto">
            <a:spcAft>
              <a:spcPts val="400"/>
            </a:spcAft>
          </a:pPr>
          <a:r>
            <a:rPr lang="en-US" altLang="zh-CN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· </a:t>
          </a:r>
          <a:r>
            <a:rPr lang="zh-CN" altLang="en-US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函数公式</a:t>
          </a:r>
          <a:endParaRPr lang="zh-CN" altLang="en-US" b="1" kern="1200">
            <a:solidFill>
              <a:srgbClr val="222222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  <a:p>
          <a:pPr marL="0" algn="l" eaLnBrk="1" fontAlgn="t">
            <a:lnSpc>
              <a:spcPct val="100000"/>
            </a:lnSpc>
          </a:pP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 本模板内含有公式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的</a:t>
          </a: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单元格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内容</a:t>
          </a: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，请勿随意改动，防止影响使用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。</a:t>
          </a:r>
          <a:endParaRPr lang="en-US" altLang="zh-CN" sz="900" kern="1200">
            <a:solidFill>
              <a:schemeClr val="tx1">
                <a:lumMod val="85000"/>
                <a:lumOff val="15000"/>
                <a:alpha val="60000"/>
              </a:scheme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</xdr:txBody>
    </xdr:sp>
    <xdr:clientData/>
  </xdr:twoCellAnchor>
  <xdr:twoCellAnchor editAs="absolute">
    <xdr:from>
      <xdr:col>6</xdr:col>
      <xdr:colOff>1416685</xdr:colOff>
      <xdr:row>6</xdr:row>
      <xdr:rowOff>92075</xdr:rowOff>
    </xdr:from>
    <xdr:to>
      <xdr:col>10</xdr:col>
      <xdr:colOff>325120</xdr:colOff>
      <xdr:row>8</xdr:row>
      <xdr:rowOff>271145</xdr:rowOff>
    </xdr:to>
    <xdr:grpSp>
      <xdr:nvGrpSpPr>
        <xdr:cNvPr id="61" name="03"/>
        <xdr:cNvGrpSpPr/>
      </xdr:nvGrpSpPr>
      <xdr:grpSpPr>
        <a:xfrm>
          <a:off x="7177405" y="1760855"/>
          <a:ext cx="3251835" cy="735330"/>
          <a:chOff x="1212" y="2209"/>
          <a:chExt cx="5122" cy="1157"/>
        </a:xfrm>
      </xdr:grpSpPr>
      <xdr:sp>
        <xdr:nvSpPr>
          <xdr:cNvPr id="62" name="文本框 61"/>
          <xdr:cNvSpPr txBox="1"/>
        </xdr:nvSpPr>
        <xdr:spPr>
          <a:xfrm>
            <a:off x="1212" y="2209"/>
            <a:ext cx="1548" cy="115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3800" b="1" kern="1200">
                <a:solidFill>
                  <a:srgbClr val="FF283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04</a:t>
            </a:r>
            <a:endParaRPr lang="en-US" altLang="zh-CN" sz="3800" b="1" kern="1200">
              <a:solidFill>
                <a:srgbClr val="FF283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63" name="文本框 62"/>
          <xdr:cNvSpPr txBox="1"/>
        </xdr:nvSpPr>
        <xdr:spPr>
          <a:xfrm>
            <a:off x="2208" y="2404"/>
            <a:ext cx="4126" cy="73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>
              <a:buClrTx/>
              <a:buSzTx/>
              <a:buFontTx/>
            </a:pPr>
            <a:r>
              <a:rPr lang="zh-CN" altLang="en-US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表格</a:t>
            </a:r>
            <a:r>
              <a:rPr lang="en-US" altLang="zh-CN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基础操作</a:t>
            </a:r>
            <a:r>
              <a:rPr lang="zh-CN" altLang="en-US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指南</a:t>
            </a:r>
            <a:endParaRPr lang="en-US" altLang="zh-CN" sz="2200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</xdr:grpSp>
    <xdr:clientData/>
  </xdr:twoCellAnchor>
  <xdr:twoCellAnchor editAs="absolute">
    <xdr:from>
      <xdr:col>6</xdr:col>
      <xdr:colOff>1486535</xdr:colOff>
      <xdr:row>9</xdr:row>
      <xdr:rowOff>21590</xdr:rowOff>
    </xdr:from>
    <xdr:to>
      <xdr:col>12</xdr:col>
      <xdr:colOff>384810</xdr:colOff>
      <xdr:row>11</xdr:row>
      <xdr:rowOff>107315</xdr:rowOff>
    </xdr:to>
    <xdr:grpSp>
      <xdr:nvGrpSpPr>
        <xdr:cNvPr id="64" name="qiyitext  撤销工作表"/>
        <xdr:cNvGrpSpPr/>
      </xdr:nvGrpSpPr>
      <xdr:grpSpPr>
        <a:xfrm>
          <a:off x="7247255" y="2524760"/>
          <a:ext cx="4476115" cy="641985"/>
          <a:chOff x="7139" y="3569"/>
          <a:chExt cx="4652" cy="1008"/>
        </a:xfrm>
      </xdr:grpSpPr>
      <xdr:sp>
        <xdr:nvSpPr>
          <xdr:cNvPr id="65" name="文本框 64"/>
          <xdr:cNvSpPr txBox="1"/>
        </xdr:nvSpPr>
        <xdr:spPr>
          <a:xfrm>
            <a:off x="7139" y="3569"/>
            <a:ext cx="3308" cy="441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如何撤销工作表保护？</a:t>
            </a:r>
            <a:r>
              <a:rPr lang="zh-CN" altLang="en-US" sz="700" kern="1200">
                <a:solidFill>
                  <a:srgbClr val="FF0000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本模板无需操作</a:t>
            </a:r>
            <a:endParaRPr lang="en-US" altLang="zh-CN" kern="100"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  <xdr:sp>
        <xdr:nvSpPr>
          <xdr:cNvPr id="66" name="文本框 65"/>
          <xdr:cNvSpPr txBox="1"/>
        </xdr:nvSpPr>
        <xdr:spPr>
          <a:xfrm>
            <a:off x="7197" y="3960"/>
            <a:ext cx="4594" cy="61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chemeClr val="tx1">
                    <a:lumMod val="85000"/>
                    <a:lumOff val="15000"/>
                    <a:alpha val="60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chemeClr val="tx1">
                    <a:lumMod val="85000"/>
                    <a:lumOff val="15000"/>
                    <a:alpha val="60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</a:t>
            </a:r>
            <a:r>
              <a:rPr lang="en-US" altLang="zh-CN" sz="900" kern="1200">
                <a:solidFill>
                  <a:schemeClr val="tx1">
                    <a:lumMod val="85000"/>
                    <a:lumOff val="15000"/>
                    <a:alpha val="60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选中对应工作表</a:t>
            </a:r>
            <a:r>
              <a:rPr lang="zh-CN" altLang="en-US" sz="900" kern="1200">
                <a:solidFill>
                  <a:schemeClr val="tx1">
                    <a:lumMod val="85000"/>
                    <a:lumOff val="15000"/>
                    <a:alpha val="60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chemeClr val="tx1">
                    <a:lumMod val="85000"/>
                    <a:lumOff val="15000"/>
                    <a:alpha val="60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chemeClr val="tx1">
                    <a:lumMod val="85000"/>
                    <a:lumOff val="15000"/>
                    <a:alpha val="60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</a:t>
            </a:r>
            <a:r>
              <a:rPr lang="en-US" altLang="zh-CN" sz="900" kern="1200">
                <a:solidFill>
                  <a:schemeClr val="tx1">
                    <a:lumMod val="85000"/>
                    <a:lumOff val="15000"/>
                    <a:alpha val="60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点击：「审阅---撤销工作表」保护</a:t>
            </a:r>
            <a:r>
              <a:rPr lang="zh-CN" altLang="en-US" sz="900" kern="1200">
                <a:solidFill>
                  <a:schemeClr val="tx1">
                    <a:lumMod val="85000"/>
                    <a:lumOff val="15000"/>
                    <a:alpha val="60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 editAs="absolute">
    <xdr:from>
      <xdr:col>7</xdr:col>
      <xdr:colOff>43180</xdr:colOff>
      <xdr:row>11</xdr:row>
      <xdr:rowOff>172720</xdr:rowOff>
    </xdr:from>
    <xdr:to>
      <xdr:col>12</xdr:col>
      <xdr:colOff>48260</xdr:colOff>
      <xdr:row>14</xdr:row>
      <xdr:rowOff>44450</xdr:rowOff>
    </xdr:to>
    <xdr:pic>
      <xdr:nvPicPr>
        <xdr:cNvPr id="67" name="撤销图" descr="WPS图片编辑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58380" y="3232150"/>
          <a:ext cx="4028440" cy="706120"/>
        </a:xfrm>
        <a:prstGeom prst="rect">
          <a:avLst/>
        </a:prstGeom>
        <a:effectLst>
          <a:outerShdw blurRad="38100" sx="101000" sy="101000" algn="ctr" rotWithShape="0">
            <a:schemeClr val="bg1">
              <a:lumMod val="75000"/>
              <a:alpha val="40000"/>
            </a:schemeClr>
          </a:outerShdw>
        </a:effectLst>
      </xdr:spPr>
    </xdr:pic>
    <xdr:clientData/>
  </xdr:twoCellAnchor>
  <xdr:twoCellAnchor editAs="absolute">
    <xdr:from>
      <xdr:col>6</xdr:col>
      <xdr:colOff>1486535</xdr:colOff>
      <xdr:row>14</xdr:row>
      <xdr:rowOff>164465</xdr:rowOff>
    </xdr:from>
    <xdr:to>
      <xdr:col>12</xdr:col>
      <xdr:colOff>384810</xdr:colOff>
      <xdr:row>16</xdr:row>
      <xdr:rowOff>243205</xdr:rowOff>
    </xdr:to>
    <xdr:grpSp>
      <xdr:nvGrpSpPr>
        <xdr:cNvPr id="68" name="qiyitext  增加行数"/>
        <xdr:cNvGrpSpPr/>
      </xdr:nvGrpSpPr>
      <xdr:grpSpPr>
        <a:xfrm>
          <a:off x="7247255" y="4058285"/>
          <a:ext cx="4476115" cy="635000"/>
          <a:chOff x="7127" y="5903"/>
          <a:chExt cx="5482" cy="1014"/>
        </a:xfrm>
      </xdr:grpSpPr>
      <xdr:sp>
        <xdr:nvSpPr>
          <xdr:cNvPr id="69" name="文本框 68"/>
          <xdr:cNvSpPr txBox="1"/>
        </xdr:nvSpPr>
        <xdr:spPr>
          <a:xfrm>
            <a:off x="7127" y="5903"/>
            <a:ext cx="3887" cy="43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如何增加行数？</a:t>
            </a:r>
            <a:r>
              <a:rPr lang="zh-CN" altLang="en-US" sz="700" kern="1200">
                <a:solidFill>
                  <a:srgbClr val="FF0000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本模板无需操作</a:t>
            </a:r>
            <a:endParaRPr lang="en-US" altLang="zh-CN" kern="100"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  <xdr:sp>
        <xdr:nvSpPr>
          <xdr:cNvPr id="70" name="文本框 69"/>
          <xdr:cNvSpPr txBox="1"/>
        </xdr:nvSpPr>
        <xdr:spPr>
          <a:xfrm>
            <a:off x="7197" y="6292"/>
            <a:ext cx="5412" cy="62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chemeClr val="tx1">
                    <a:lumMod val="85000"/>
                    <a:lumOff val="15000"/>
                    <a:alpha val="60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chemeClr val="tx1">
                    <a:lumMod val="85000"/>
                    <a:lumOff val="15000"/>
                    <a:alpha val="60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、选中最后一行，鼠标放在选中区域右下角。</a:t>
            </a:r>
            <a:endPara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chemeClr val="tx1">
                    <a:lumMod val="85000"/>
                    <a:lumOff val="15000"/>
                    <a:alpha val="60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chemeClr val="tx1">
                    <a:lumMod val="85000"/>
                    <a:lumOff val="15000"/>
                    <a:alpha val="60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、当鼠标箭头变成黑色十字形时，点击鼠标左键下拉即可</a:t>
            </a:r>
            <a:r>
              <a:rPr lang="en-US" altLang="zh-CN" sz="900" kern="1200">
                <a:solidFill>
                  <a:schemeClr val="tx1">
                    <a:lumMod val="85000"/>
                    <a:lumOff val="15000"/>
                    <a:alpha val="60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 editAs="absolute">
    <xdr:from>
      <xdr:col>6</xdr:col>
      <xdr:colOff>1517650</xdr:colOff>
      <xdr:row>16</xdr:row>
      <xdr:rowOff>240030</xdr:rowOff>
    </xdr:from>
    <xdr:to>
      <xdr:col>10</xdr:col>
      <xdr:colOff>238125</xdr:colOff>
      <xdr:row>21</xdr:row>
      <xdr:rowOff>99695</xdr:rowOff>
    </xdr:to>
    <xdr:pic>
      <xdr:nvPicPr>
        <xdr:cNvPr id="71" name="增行图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278370" y="4690110"/>
          <a:ext cx="3063875" cy="1250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absolute">
    <xdr:from>
      <xdr:col>6</xdr:col>
      <xdr:colOff>1486535</xdr:colOff>
      <xdr:row>25</xdr:row>
      <xdr:rowOff>142875</xdr:rowOff>
    </xdr:from>
    <xdr:to>
      <xdr:col>12</xdr:col>
      <xdr:colOff>384810</xdr:colOff>
      <xdr:row>28</xdr:row>
      <xdr:rowOff>242570</xdr:rowOff>
    </xdr:to>
    <xdr:sp>
      <xdr:nvSpPr>
        <xdr:cNvPr id="72" name="qiyitext  跨表复制"/>
        <xdr:cNvSpPr txBox="1"/>
      </xdr:nvSpPr>
      <xdr:spPr>
        <a:xfrm>
          <a:off x="7247255" y="7096125"/>
          <a:ext cx="4476115" cy="93408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algn="l" fontAlgn="auto">
            <a:spcAft>
              <a:spcPts val="400"/>
            </a:spcAft>
          </a:pPr>
          <a:r>
            <a:rPr lang="en-US" altLang="zh-CN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· </a:t>
          </a:r>
          <a:r>
            <a:rPr lang="zh-CN" altLang="en-US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如何跨表复制数据</a:t>
          </a:r>
          <a:r>
            <a:rPr lang="en-US" altLang="zh-CN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?</a:t>
          </a:r>
          <a:endParaRPr lang="zh-CN" altLang="en-US" b="1" kern="1200">
            <a:solidFill>
              <a:srgbClr val="222222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  <a:p>
          <a:pPr marL="0" algn="l" eaLnBrk="1" fontAlgn="t">
            <a:lnSpc>
              <a:spcPct val="100000"/>
            </a:lnSpc>
          </a:pP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 1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、撤销对应</a:t>
          </a: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Sheet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工作表保护。</a:t>
          </a:r>
          <a:endParaRPr lang="en-US" altLang="zh-CN" sz="900" kern="1200">
            <a:solidFill>
              <a:schemeClr val="tx1">
                <a:lumMod val="85000"/>
                <a:lumOff val="15000"/>
                <a:alpha val="60000"/>
              </a:scheme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  <a:p>
          <a:pPr marL="0" algn="l" eaLnBrk="1" fontAlgn="t">
            <a:lnSpc>
              <a:spcPct val="100000"/>
            </a:lnSpc>
          </a:pP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 2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、复制其他表格中需要复制的内容</a:t>
          </a: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。</a:t>
          </a:r>
          <a:endParaRPr lang="en-US" altLang="zh-CN" sz="900" kern="1200">
            <a:solidFill>
              <a:schemeClr val="tx1">
                <a:lumMod val="85000"/>
                <a:lumOff val="15000"/>
                <a:alpha val="60000"/>
              </a:scheme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  <a:p>
          <a:pPr marL="0" algn="l" eaLnBrk="1" fontAlgn="t">
            <a:lnSpc>
              <a:spcPct val="100000"/>
            </a:lnSpc>
          </a:pP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 3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、回到本需粘贴的表格，按</a:t>
          </a: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 </a:t>
          </a:r>
          <a:r>
            <a:rPr lang="en-US" altLang="zh-CN" sz="900" kern="1200">
              <a:solidFill>
                <a:srgbClr val="FF0000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Ctrl+Shift+V</a:t>
          </a: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 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粘贴（或：右键</a:t>
          </a: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 - 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粘贴为数值）</a:t>
          </a:r>
          <a:endParaRPr lang="zh-CN" altLang="en-US" sz="900" kern="1200">
            <a:solidFill>
              <a:schemeClr val="tx1">
                <a:lumMod val="85000"/>
                <a:lumOff val="15000"/>
                <a:alpha val="60000"/>
              </a:scheme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  <a:p>
          <a:pPr marL="0" algn="l" eaLnBrk="1" fontAlgn="t">
            <a:lnSpc>
              <a:spcPct val="100000"/>
            </a:lnSpc>
          </a:pP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 * 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此方法</a:t>
          </a: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可过滤掉原表的链接、格式、公式等等不相关信息，只保留值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，防止错误。</a:t>
          </a:r>
          <a:endParaRPr lang="en-US" altLang="zh-CN" sz="900" kern="1200">
            <a:solidFill>
              <a:schemeClr val="tx1">
                <a:lumMod val="85000"/>
                <a:lumOff val="15000"/>
                <a:alpha val="60000"/>
              </a:scheme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</xdr:txBody>
    </xdr:sp>
    <xdr:clientData/>
  </xdr:twoCellAnchor>
  <xdr:twoCellAnchor editAs="absolute">
    <xdr:from>
      <xdr:col>6</xdr:col>
      <xdr:colOff>1486535</xdr:colOff>
      <xdr:row>28</xdr:row>
      <xdr:rowOff>208915</xdr:rowOff>
    </xdr:from>
    <xdr:to>
      <xdr:col>12</xdr:col>
      <xdr:colOff>384810</xdr:colOff>
      <xdr:row>32</xdr:row>
      <xdr:rowOff>183515</xdr:rowOff>
    </xdr:to>
    <xdr:sp>
      <xdr:nvSpPr>
        <xdr:cNvPr id="73" name="qiyitext  常用快捷键"/>
        <xdr:cNvSpPr txBox="1"/>
      </xdr:nvSpPr>
      <xdr:spPr>
        <a:xfrm>
          <a:off x="7247255" y="7996555"/>
          <a:ext cx="4476115" cy="108712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algn="l" fontAlgn="auto">
            <a:spcAft>
              <a:spcPts val="400"/>
            </a:spcAft>
          </a:pPr>
          <a:r>
            <a:rPr lang="en-US" altLang="zh-CN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· </a:t>
          </a:r>
          <a:r>
            <a:rPr lang="zh-CN" altLang="en-US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表格常用</a:t>
          </a:r>
          <a:r>
            <a:rPr lang="en-US" altLang="zh-CN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快捷键（</a:t>
          </a:r>
          <a:r>
            <a:rPr lang="zh-CN" altLang="en-US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通用，</a:t>
          </a:r>
          <a:r>
            <a:rPr lang="en-US" altLang="zh-CN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非</a:t>
          </a:r>
          <a:r>
            <a:rPr lang="zh-CN" altLang="en-US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特</a:t>
          </a:r>
          <a:r>
            <a:rPr lang="en-US" altLang="zh-CN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指本模板）</a:t>
          </a:r>
          <a:endParaRPr lang="zh-CN" altLang="en-US" b="1" kern="1200">
            <a:solidFill>
              <a:srgbClr val="222222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  <a:p>
          <a:pPr marL="0" algn="l" eaLnBrk="1" fontAlgn="t">
            <a:lnSpc>
              <a:spcPct val="100000"/>
            </a:lnSpc>
          </a:pP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 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输入当前日期：Ctrl + ;</a:t>
          </a:r>
          <a:endParaRPr lang="zh-CN" altLang="en-US" sz="900" kern="1200">
            <a:solidFill>
              <a:schemeClr val="tx1">
                <a:lumMod val="85000"/>
                <a:lumOff val="15000"/>
                <a:alpha val="60000"/>
              </a:scheme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  <a:p>
          <a:pPr marL="0" algn="l" eaLnBrk="1" fontAlgn="t">
            <a:lnSpc>
              <a:spcPct val="100000"/>
            </a:lnSpc>
          </a:pP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 输入当前时间：Ctrl + '</a:t>
          </a:r>
          <a:endParaRPr lang="en-US" altLang="zh-CN" sz="900" kern="1200">
            <a:solidFill>
              <a:schemeClr val="tx1">
                <a:lumMod val="85000"/>
                <a:lumOff val="15000"/>
                <a:alpha val="60000"/>
              </a:scheme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  <a:p>
          <a:pPr marL="0" algn="l" eaLnBrk="1" fontAlgn="t">
            <a:lnSpc>
              <a:spcPct val="100000"/>
            </a:lnSpc>
          </a:pP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 定位有内容的行/列尽端：Ctrl + 方向键</a:t>
          </a:r>
          <a:endParaRPr lang="en-US" altLang="zh-CN" sz="900" kern="1200">
            <a:solidFill>
              <a:schemeClr val="tx1">
                <a:lumMod val="85000"/>
                <a:lumOff val="15000"/>
                <a:alpha val="60000"/>
              </a:scheme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  <a:p>
          <a:pPr marL="0" algn="l" eaLnBrk="1" fontAlgn="t">
            <a:lnSpc>
              <a:spcPct val="100000"/>
            </a:lnSpc>
          </a:pP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 定位尽端并选中：Ctrl + Shift + 方向键</a:t>
          </a:r>
          <a:endParaRPr lang="en-US" altLang="zh-CN" sz="900" kern="1200">
            <a:solidFill>
              <a:schemeClr val="tx1">
                <a:lumMod val="85000"/>
                <a:lumOff val="15000"/>
                <a:alpha val="60000"/>
              </a:scheme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  <a:p>
          <a:pPr marL="0" algn="l" eaLnBrk="1" fontAlgn="t">
            <a:lnSpc>
              <a:spcPct val="100000"/>
            </a:lnSpc>
          </a:pP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 复制上一个单元格：Ctrl + D</a:t>
          </a:r>
          <a:endParaRPr lang="en-US" altLang="zh-CN" sz="900" kern="1200">
            <a:solidFill>
              <a:schemeClr val="tx1">
                <a:lumMod val="85000"/>
                <a:lumOff val="15000"/>
                <a:alpha val="60000"/>
              </a:scheme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</xdr:txBody>
    </xdr:sp>
    <xdr:clientData/>
  </xdr:twoCellAnchor>
  <xdr:twoCellAnchor editAs="absolute">
    <xdr:from>
      <xdr:col>2</xdr:col>
      <xdr:colOff>266065</xdr:colOff>
      <xdr:row>11</xdr:row>
      <xdr:rowOff>206375</xdr:rowOff>
    </xdr:from>
    <xdr:to>
      <xdr:col>4</xdr:col>
      <xdr:colOff>1212215</xdr:colOff>
      <xdr:row>14</xdr:row>
      <xdr:rowOff>93980</xdr:rowOff>
    </xdr:to>
    <xdr:grpSp>
      <xdr:nvGrpSpPr>
        <xdr:cNvPr id="74" name="02"/>
        <xdr:cNvGrpSpPr/>
      </xdr:nvGrpSpPr>
      <xdr:grpSpPr>
        <a:xfrm>
          <a:off x="791845" y="3265805"/>
          <a:ext cx="3072130" cy="721995"/>
          <a:chOff x="1212" y="2209"/>
          <a:chExt cx="4839" cy="1136"/>
        </a:xfrm>
      </xdr:grpSpPr>
      <xdr:sp>
        <xdr:nvSpPr>
          <xdr:cNvPr id="75" name="文本框 74"/>
          <xdr:cNvSpPr txBox="1"/>
        </xdr:nvSpPr>
        <xdr:spPr>
          <a:xfrm>
            <a:off x="1212" y="2209"/>
            <a:ext cx="1553" cy="113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3800" b="1" kern="1200">
                <a:solidFill>
                  <a:srgbClr val="FF283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02</a:t>
            </a:r>
            <a:endParaRPr lang="en-US" altLang="zh-CN" sz="3800" b="1" kern="1200">
              <a:solidFill>
                <a:srgbClr val="FF283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76" name="文本框 75"/>
          <xdr:cNvSpPr txBox="1"/>
        </xdr:nvSpPr>
        <xdr:spPr>
          <a:xfrm>
            <a:off x="2187" y="2373"/>
            <a:ext cx="3864" cy="7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>
              <a:buClrTx/>
              <a:buSzTx/>
              <a:buFontTx/>
            </a:pPr>
            <a:r>
              <a:rPr lang="zh-CN" altLang="en-US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使用步骤方法</a:t>
            </a:r>
            <a:endParaRPr lang="en-US" altLang="zh-CN" sz="2200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</xdr:grpSp>
    <xdr:clientData/>
  </xdr:twoCellAnchor>
  <xdr:twoCellAnchor editAs="absolute">
    <xdr:from>
      <xdr:col>2</xdr:col>
      <xdr:colOff>330835</xdr:colOff>
      <xdr:row>14</xdr:row>
      <xdr:rowOff>128270</xdr:rowOff>
    </xdr:from>
    <xdr:to>
      <xdr:col>6</xdr:col>
      <xdr:colOff>681990</xdr:colOff>
      <xdr:row>16</xdr:row>
      <xdr:rowOff>203835</xdr:rowOff>
    </xdr:to>
    <xdr:sp>
      <xdr:nvSpPr>
        <xdr:cNvPr id="77" name="qiyitext  步骤"/>
        <xdr:cNvSpPr txBox="1"/>
      </xdr:nvSpPr>
      <xdr:spPr>
        <a:xfrm>
          <a:off x="856615" y="4022090"/>
          <a:ext cx="5586095" cy="63182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algn="l" fontAlgn="auto">
            <a:spcAft>
              <a:spcPts val="400"/>
            </a:spcAft>
          </a:pPr>
          <a:r>
            <a:rPr lang="zh-CN" altLang="en-US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1、删除示例数据</a:t>
          </a:r>
          <a:endParaRPr lang="zh-CN" altLang="en-US" b="1" kern="1200">
            <a:solidFill>
              <a:srgbClr val="222222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  <a:p>
          <a:pPr marL="0" algn="l" eaLnBrk="1" fontAlgn="t">
            <a:lnSpc>
              <a:spcPct val="100000"/>
            </a:lnSpc>
          </a:pP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1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、下载模板后，建议先在电脑复制备份一份作长期备用，以防电脑故障等情况造成文件损坏</a:t>
          </a:r>
          <a:endParaRPr lang="zh-CN" altLang="en-US" sz="900" kern="1200">
            <a:solidFill>
              <a:schemeClr val="tx1">
                <a:lumMod val="85000"/>
                <a:lumOff val="15000"/>
                <a:alpha val="60000"/>
              </a:scheme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  <a:p>
          <a:pPr marL="0" algn="l" eaLnBrk="1" fontAlgn="t">
            <a:lnSpc>
              <a:spcPct val="100000"/>
            </a:lnSpc>
          </a:pP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2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、删除明细表中各月度数据，其他不用删除</a:t>
          </a:r>
          <a:endParaRPr lang="en-US" altLang="zh-CN" sz="900" kern="1200">
            <a:solidFill>
              <a:schemeClr val="tx1">
                <a:lumMod val="85000"/>
                <a:lumOff val="15000"/>
                <a:alpha val="60000"/>
              </a:scheme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</xdr:txBody>
    </xdr:sp>
    <xdr:clientData/>
  </xdr:twoCellAnchor>
  <xdr:twoCellAnchor editAs="absolute">
    <xdr:from>
      <xdr:col>2</xdr:col>
      <xdr:colOff>330835</xdr:colOff>
      <xdr:row>16</xdr:row>
      <xdr:rowOff>247015</xdr:rowOff>
    </xdr:from>
    <xdr:to>
      <xdr:col>6</xdr:col>
      <xdr:colOff>681990</xdr:colOff>
      <xdr:row>19</xdr:row>
      <xdr:rowOff>48260</xdr:rowOff>
    </xdr:to>
    <xdr:sp>
      <xdr:nvSpPr>
        <xdr:cNvPr id="79" name="qiyitext  步骤"/>
        <xdr:cNvSpPr txBox="1"/>
      </xdr:nvSpPr>
      <xdr:spPr>
        <a:xfrm>
          <a:off x="856615" y="4697095"/>
          <a:ext cx="5586095" cy="63563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algn="l" fontAlgn="auto">
            <a:spcAft>
              <a:spcPts val="400"/>
            </a:spcAft>
          </a:pPr>
          <a:r>
            <a:rPr lang="en-US" altLang="zh-CN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2</a:t>
          </a:r>
          <a:r>
            <a:rPr lang="zh-CN" altLang="en-US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、填写数值</a:t>
          </a:r>
          <a:endParaRPr lang="zh-CN" altLang="en-US" b="1" kern="1200">
            <a:solidFill>
              <a:srgbClr val="222222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  <a:p>
          <a:pPr marL="0" algn="l" eaLnBrk="1" fontAlgn="t">
            <a:lnSpc>
              <a:spcPct val="100000"/>
            </a:lnSpc>
          </a:pP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在每月填写对应该月成本金额数值即可</a:t>
          </a:r>
          <a:endParaRPr lang="zh-CN" altLang="en-US" sz="900" kern="1200">
            <a:solidFill>
              <a:schemeClr val="tx1">
                <a:lumMod val="85000"/>
                <a:lumOff val="15000"/>
                <a:alpha val="60000"/>
              </a:scheme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  <a:p>
          <a:pPr marL="0" algn="l" eaLnBrk="1" fontAlgn="t">
            <a:lnSpc>
              <a:spcPct val="100000"/>
            </a:lnSpc>
          </a:pP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其他全部自动生成</a:t>
          </a:r>
          <a:endParaRPr lang="en-US" altLang="zh-CN" sz="900" kern="1200">
            <a:solidFill>
              <a:schemeClr val="tx1">
                <a:lumMod val="85000"/>
                <a:lumOff val="15000"/>
                <a:alpha val="60000"/>
              </a:scheme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</xdr:txBody>
    </xdr:sp>
    <xdr:clientData/>
  </xdr:twoCellAnchor>
  <xdr:twoCellAnchor editAs="absolute">
    <xdr:from>
      <xdr:col>2</xdr:col>
      <xdr:colOff>266065</xdr:colOff>
      <xdr:row>6</xdr:row>
      <xdr:rowOff>55880</xdr:rowOff>
    </xdr:from>
    <xdr:to>
      <xdr:col>4</xdr:col>
      <xdr:colOff>1212215</xdr:colOff>
      <xdr:row>8</xdr:row>
      <xdr:rowOff>235585</xdr:rowOff>
    </xdr:to>
    <xdr:grpSp>
      <xdr:nvGrpSpPr>
        <xdr:cNvPr id="80" name="01"/>
        <xdr:cNvGrpSpPr/>
      </xdr:nvGrpSpPr>
      <xdr:grpSpPr>
        <a:xfrm>
          <a:off x="791845" y="1724660"/>
          <a:ext cx="3072130" cy="735965"/>
          <a:chOff x="1212" y="2209"/>
          <a:chExt cx="4839" cy="1158"/>
        </a:xfrm>
      </xdr:grpSpPr>
      <xdr:sp>
        <xdr:nvSpPr>
          <xdr:cNvPr id="81" name="文本框 80"/>
          <xdr:cNvSpPr txBox="1"/>
        </xdr:nvSpPr>
        <xdr:spPr>
          <a:xfrm>
            <a:off x="1212" y="2209"/>
            <a:ext cx="1555" cy="115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3800" b="1" kern="1200">
                <a:solidFill>
                  <a:srgbClr val="FF283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01</a:t>
            </a:r>
            <a:endParaRPr lang="en-US" altLang="zh-CN" sz="3800" b="1" kern="1200">
              <a:solidFill>
                <a:srgbClr val="FF283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82" name="文本框 81"/>
          <xdr:cNvSpPr txBox="1"/>
        </xdr:nvSpPr>
        <xdr:spPr>
          <a:xfrm>
            <a:off x="2203" y="2389"/>
            <a:ext cx="3848" cy="71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>
              <a:buClrTx/>
              <a:buSzTx/>
              <a:buFontTx/>
            </a:pPr>
            <a:r>
              <a:rPr lang="zh-CN" altLang="en-US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模板概述</a:t>
            </a:r>
            <a:endParaRPr lang="en-US" altLang="zh-CN" sz="2200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</xdr:grpSp>
    <xdr:clientData/>
  </xdr:twoCellAnchor>
  <xdr:twoCellAnchor editAs="absolute">
    <xdr:from>
      <xdr:col>2</xdr:col>
      <xdr:colOff>330835</xdr:colOff>
      <xdr:row>8</xdr:row>
      <xdr:rowOff>183515</xdr:rowOff>
    </xdr:from>
    <xdr:to>
      <xdr:col>6</xdr:col>
      <xdr:colOff>651510</xdr:colOff>
      <xdr:row>10</xdr:row>
      <xdr:rowOff>109220</xdr:rowOff>
    </xdr:to>
    <xdr:sp>
      <xdr:nvSpPr>
        <xdr:cNvPr id="143" name="qiyitext  概述"/>
        <xdr:cNvSpPr txBox="1"/>
      </xdr:nvSpPr>
      <xdr:spPr>
        <a:xfrm>
          <a:off x="856615" y="2408555"/>
          <a:ext cx="5555615" cy="48196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algn="l" fontAlgn="auto">
            <a:spcAft>
              <a:spcPts val="400"/>
            </a:spcAft>
          </a:pPr>
          <a:r>
            <a:rPr lang="en-US" altLang="zh-CN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· </a:t>
          </a:r>
          <a:r>
            <a:rPr lang="zh-CN" altLang="en-US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本模板为成本分析财务报表看板</a:t>
          </a:r>
          <a:endParaRPr lang="zh-CN" altLang="en-US" b="1" kern="1200">
            <a:solidFill>
              <a:srgbClr val="222222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  <a:p>
          <a:pPr marL="0" algn="l" eaLnBrk="1" fontAlgn="t">
            <a:lnSpc>
              <a:spcPct val="100000"/>
            </a:lnSpc>
          </a:pP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 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适宜按年全阶段周期成本分析统计</a:t>
          </a:r>
          <a:endParaRPr lang="en-US" altLang="zh-CN" sz="900" kern="1200">
            <a:solidFill>
              <a:schemeClr val="tx1">
                <a:lumMod val="85000"/>
                <a:lumOff val="15000"/>
                <a:alpha val="60000"/>
              </a:scheme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</xdr:txBody>
    </xdr:sp>
    <xdr:clientData/>
  </xdr:twoCellAnchor>
  <xdr:twoCellAnchor editAs="absolute">
    <xdr:from>
      <xdr:col>6</xdr:col>
      <xdr:colOff>1486535</xdr:colOff>
      <xdr:row>20</xdr:row>
      <xdr:rowOff>249555</xdr:rowOff>
    </xdr:from>
    <xdr:to>
      <xdr:col>12</xdr:col>
      <xdr:colOff>384810</xdr:colOff>
      <xdr:row>22</xdr:row>
      <xdr:rowOff>171450</xdr:rowOff>
    </xdr:to>
    <xdr:sp>
      <xdr:nvSpPr>
        <xdr:cNvPr id="145" name="qiyitext  跨表复制"/>
        <xdr:cNvSpPr txBox="1"/>
      </xdr:nvSpPr>
      <xdr:spPr>
        <a:xfrm>
          <a:off x="7247255" y="5812155"/>
          <a:ext cx="4476115" cy="47815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algn="l" fontAlgn="auto">
            <a:spcAft>
              <a:spcPts val="400"/>
            </a:spcAft>
          </a:pPr>
          <a:r>
            <a:rPr lang="en-US" altLang="zh-CN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· </a:t>
          </a:r>
          <a:r>
            <a:rPr lang="zh-CN" altLang="en-US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如何显示行号列标？</a:t>
          </a:r>
          <a:endParaRPr lang="zh-CN" altLang="en-US" b="1" kern="1200">
            <a:solidFill>
              <a:srgbClr val="222222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  <a:p>
          <a:pPr marL="0" algn="l" eaLnBrk="1" fontAlgn="t">
            <a:lnSpc>
              <a:spcPct val="100000"/>
            </a:lnSpc>
          </a:pP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 点击：「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视图</a:t>
          </a: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---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显示行号列标</a:t>
          </a: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」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勾选。</a:t>
          </a:r>
          <a:endParaRPr lang="en-US" altLang="zh-CN" sz="900" kern="1200">
            <a:solidFill>
              <a:schemeClr val="tx1">
                <a:lumMod val="85000"/>
                <a:lumOff val="15000"/>
                <a:alpha val="60000"/>
              </a:scheme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</xdr:txBody>
    </xdr:sp>
    <xdr:clientData/>
  </xdr:twoCellAnchor>
  <xdr:twoCellAnchor editAs="absolute">
    <xdr:from>
      <xdr:col>6</xdr:col>
      <xdr:colOff>1486535</xdr:colOff>
      <xdr:row>23</xdr:row>
      <xdr:rowOff>5715</xdr:rowOff>
    </xdr:from>
    <xdr:to>
      <xdr:col>12</xdr:col>
      <xdr:colOff>384810</xdr:colOff>
      <xdr:row>25</xdr:row>
      <xdr:rowOff>81280</xdr:rowOff>
    </xdr:to>
    <xdr:sp>
      <xdr:nvSpPr>
        <xdr:cNvPr id="146" name="qiyitext  跨表复制"/>
        <xdr:cNvSpPr txBox="1"/>
      </xdr:nvSpPr>
      <xdr:spPr>
        <a:xfrm>
          <a:off x="7247255" y="6402705"/>
          <a:ext cx="4476115" cy="63182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algn="l" fontAlgn="auto">
            <a:spcAft>
              <a:spcPts val="400"/>
            </a:spcAft>
          </a:pPr>
          <a:r>
            <a:rPr lang="en-US" altLang="zh-CN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· </a:t>
          </a:r>
          <a:r>
            <a:rPr lang="zh-CN" altLang="en-US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如何固定前几行不滚动（冻结窗格）</a:t>
          </a:r>
          <a:r>
            <a:rPr lang="en-US" altLang="zh-CN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? </a:t>
          </a:r>
          <a:r>
            <a:rPr lang="zh-CN" altLang="en-US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例如冻结前</a:t>
          </a:r>
          <a:r>
            <a:rPr lang="en-US" altLang="zh-CN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3</a:t>
          </a:r>
          <a:r>
            <a:rPr lang="zh-CN" altLang="en-US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行：</a:t>
          </a:r>
          <a:endParaRPr lang="zh-CN" altLang="en-US" b="1" kern="1200">
            <a:solidFill>
              <a:srgbClr val="222222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  <a:p>
          <a:pPr marL="0" algn="l" eaLnBrk="1" fontAlgn="t">
            <a:lnSpc>
              <a:spcPct val="100000"/>
            </a:lnSpc>
          </a:pP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 1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、</a:t>
          </a: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选中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第</a:t>
          </a: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 4 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行。</a:t>
          </a:r>
          <a:endParaRPr lang="en-US" altLang="zh-CN" sz="900" kern="1200">
            <a:solidFill>
              <a:schemeClr val="tx1">
                <a:lumMod val="85000"/>
                <a:lumOff val="15000"/>
                <a:alpha val="60000"/>
              </a:scheme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  <a:p>
          <a:pPr marL="0" algn="l" eaLnBrk="1" fontAlgn="t">
            <a:lnSpc>
              <a:spcPct val="100000"/>
            </a:lnSpc>
          </a:pP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 2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、</a:t>
          </a: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点击：「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开始</a:t>
          </a: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---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冻结窗格</a:t>
          </a: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---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冻结至第</a:t>
          </a: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3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行</a:t>
          </a: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」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。</a:t>
          </a:r>
          <a:endParaRPr lang="en-US" altLang="zh-CN" sz="900" kern="1200">
            <a:solidFill>
              <a:schemeClr val="tx1">
                <a:lumMod val="85000"/>
                <a:lumOff val="15000"/>
                <a:alpha val="60000"/>
              </a:scheme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</xdr:txBody>
    </xdr:sp>
    <xdr:clientData/>
  </xdr:twoCellAnchor>
  <xdr:twoCellAnchor editAs="absolute">
    <xdr:from>
      <xdr:col>2</xdr:col>
      <xdr:colOff>322580</xdr:colOff>
      <xdr:row>25</xdr:row>
      <xdr:rowOff>166370</xdr:rowOff>
    </xdr:from>
    <xdr:to>
      <xdr:col>6</xdr:col>
      <xdr:colOff>986155</xdr:colOff>
      <xdr:row>28</xdr:row>
      <xdr:rowOff>269875</xdr:rowOff>
    </xdr:to>
    <xdr:sp>
      <xdr:nvSpPr>
        <xdr:cNvPr id="8" name="qiyitext  注意"/>
        <xdr:cNvSpPr txBox="1"/>
      </xdr:nvSpPr>
      <xdr:spPr>
        <a:xfrm>
          <a:off x="848360" y="7119620"/>
          <a:ext cx="5898515" cy="93789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algn="l" fontAlgn="auto">
            <a:spcAft>
              <a:spcPts val="400"/>
            </a:spcAft>
          </a:pPr>
          <a:r>
            <a:rPr lang="en-US" altLang="zh-CN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· </a:t>
          </a:r>
          <a:r>
            <a:rPr lang="zh-CN" altLang="en-US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关于自行修改</a:t>
          </a:r>
          <a:endParaRPr lang="zh-CN" altLang="en-US" b="1" kern="1200">
            <a:solidFill>
              <a:srgbClr val="222222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  <a:p>
          <a:pPr marL="0" algn="l" eaLnBrk="1" fontAlgn="t">
            <a:lnSpc>
              <a:spcPct val="100000"/>
            </a:lnSpc>
          </a:pP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 请勿随意更改表格结构，防止影响使用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。</a:t>
          </a:r>
          <a:endParaRPr lang="zh-CN" altLang="en-US" sz="900" kern="1200">
            <a:solidFill>
              <a:schemeClr val="tx1">
                <a:lumMod val="85000"/>
                <a:lumOff val="15000"/>
                <a:alpha val="60000"/>
              </a:scheme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  <a:p>
          <a:pPr marL="0" algn="l" eaLnBrk="1" fontAlgn="t">
            <a:lnSpc>
              <a:spcPct val="100000"/>
            </a:lnSpc>
          </a:pP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 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本模板适用于如下适量修改：</a:t>
          </a:r>
          <a:endParaRPr lang="zh-CN" altLang="en-US" sz="900" kern="1200">
            <a:solidFill>
              <a:schemeClr val="tx1">
                <a:lumMod val="85000"/>
                <a:lumOff val="15000"/>
                <a:alpha val="60000"/>
              </a:scheme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  <a:p>
          <a:pPr marL="0" algn="l" eaLnBrk="1" fontAlgn="t">
            <a:lnSpc>
              <a:spcPct val="100000"/>
            </a:lnSpc>
          </a:pP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 </a:t>
          </a:r>
          <a:r>
            <a:rPr lang="en-US" altLang="zh-CN" sz="900" kern="1200">
              <a:solidFill>
                <a:srgbClr val="00B050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√</a:t>
          </a: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 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常规通用表，有表格基础可适量修改</a:t>
          </a:r>
          <a:endParaRPr lang="en-US" altLang="zh-CN" sz="900" kern="1200">
            <a:solidFill>
              <a:schemeClr val="tx1">
                <a:lumMod val="85000"/>
                <a:lumOff val="15000"/>
                <a:alpha val="60000"/>
              </a:scheme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  <a:p>
          <a:pPr marL="0" algn="l" eaLnBrk="1" fontAlgn="t">
            <a:lnSpc>
              <a:spcPct val="100000"/>
            </a:lnSpc>
          </a:pPr>
          <a:r>
            <a:rPr lang="en-US" altLang="zh-CN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 * </a:t>
          </a:r>
          <a:r>
            <a:rPr lang="zh-CN" altLang="en-US" sz="900" kern="1200">
              <a:solidFill>
                <a:schemeClr val="tx1">
                  <a:lumMod val="85000"/>
                  <a:lumOff val="15000"/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rPr>
            <a:t>注：如需自行修改建议先备份；特殊功能需求建议定制模板。</a:t>
          </a:r>
          <a:endParaRPr lang="en-US" altLang="zh-CN" sz="900" kern="1200">
            <a:solidFill>
              <a:schemeClr val="tx1">
                <a:lumMod val="85000"/>
                <a:lumOff val="15000"/>
                <a:alpha val="60000"/>
              </a:scheme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Times New Roman" panose="02020603050405020304" pitchFamily="1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B1:V27"/>
  <sheetViews>
    <sheetView showGridLines="0" tabSelected="1" zoomScale="80" zoomScaleNormal="80" workbookViewId="0">
      <selection activeCell="Y7" sqref="Y7"/>
    </sheetView>
  </sheetViews>
  <sheetFormatPr defaultColWidth="7.90909090909091" defaultRowHeight="25.05" customHeight="1"/>
  <cols>
    <col min="1" max="1" width="2.63636363636364" style="9" customWidth="1"/>
    <col min="2" max="2" width="3.63636363636364" style="9" customWidth="1"/>
    <col min="3" max="3" width="12.2727272727273" style="10" customWidth="1"/>
    <col min="4" max="11" width="6.81818181818182" style="10" customWidth="1"/>
    <col min="12" max="17" width="6.81818181818182" style="9" customWidth="1"/>
    <col min="18" max="18" width="3.81818181818182" style="9" customWidth="1"/>
    <col min="19" max="19" width="1.63636363636364" style="9" customWidth="1"/>
    <col min="20" max="20" width="3.81818181818182" style="9" customWidth="1"/>
    <col min="21" max="21" width="20.8181818181818" style="11" customWidth="1"/>
    <col min="22" max="22" width="7.90909090909091" style="9" customWidth="1"/>
    <col min="23" max="23" width="2.63636363636364" style="9" customWidth="1"/>
    <col min="24" max="16382" width="7.90909090909091" style="9" customWidth="1"/>
    <col min="16383" max="16384" width="7.90909090909091" style="9"/>
  </cols>
  <sheetData>
    <row r="1" s="7" customFormat="1" ht="12" customHeight="1" spans="21:21">
      <c r="U1" s="8"/>
    </row>
    <row r="2" s="7" customFormat="1" ht="58.05" customHeight="1" spans="2:22">
      <c r="B2" s="12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="7" customFormat="1" ht="12" customHeight="1" spans="21:21">
      <c r="U3" s="28"/>
    </row>
    <row r="4" s="7" customFormat="1" ht="12" customHeight="1" spans="2:22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T4" s="13"/>
      <c r="U4" s="29"/>
      <c r="V4" s="13"/>
    </row>
    <row r="5" s="8" customFormat="1" ht="34.05" customHeight="1" spans="2:22">
      <c r="B5" s="14"/>
      <c r="C5" s="15" t="s">
        <v>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4"/>
      <c r="T5" s="14"/>
      <c r="U5" s="30" t="s">
        <v>2</v>
      </c>
      <c r="V5" s="14"/>
    </row>
    <row r="6" customHeight="1" spans="2:22">
      <c r="B6" s="17"/>
      <c r="C6" s="18" t="s">
        <v>3</v>
      </c>
      <c r="D6" s="19" t="s">
        <v>4</v>
      </c>
      <c r="E6" s="19" t="s">
        <v>5</v>
      </c>
      <c r="F6" s="19" t="s">
        <v>6</v>
      </c>
      <c r="G6" s="19" t="s">
        <v>7</v>
      </c>
      <c r="H6" s="19" t="s">
        <v>8</v>
      </c>
      <c r="I6" s="19" t="s">
        <v>9</v>
      </c>
      <c r="J6" s="19" t="s">
        <v>10</v>
      </c>
      <c r="K6" s="19" t="s">
        <v>11</v>
      </c>
      <c r="L6" s="19" t="s">
        <v>12</v>
      </c>
      <c r="M6" s="19" t="s">
        <v>13</v>
      </c>
      <c r="N6" s="19" t="s">
        <v>14</v>
      </c>
      <c r="O6" s="19" t="s">
        <v>15</v>
      </c>
      <c r="P6" s="19" t="s">
        <v>16</v>
      </c>
      <c r="Q6" s="31" t="s">
        <v>17</v>
      </c>
      <c r="R6" s="17"/>
      <c r="T6" s="17"/>
      <c r="U6" s="32">
        <f>P16</f>
        <v>139000</v>
      </c>
      <c r="V6" s="17"/>
    </row>
    <row r="7" customHeight="1" spans="2:22">
      <c r="B7" s="17"/>
      <c r="C7" s="20" t="s">
        <v>18</v>
      </c>
      <c r="D7" s="21">
        <v>5000</v>
      </c>
      <c r="E7" s="21">
        <v>300</v>
      </c>
      <c r="F7" s="21">
        <v>700</v>
      </c>
      <c r="G7" s="21">
        <v>200</v>
      </c>
      <c r="H7" s="21">
        <v>600</v>
      </c>
      <c r="I7" s="21">
        <v>400</v>
      </c>
      <c r="J7" s="21">
        <v>200</v>
      </c>
      <c r="K7" s="21">
        <v>300</v>
      </c>
      <c r="L7" s="21">
        <v>100</v>
      </c>
      <c r="M7" s="21">
        <v>700</v>
      </c>
      <c r="N7" s="21">
        <v>300</v>
      </c>
      <c r="O7" s="21">
        <v>400</v>
      </c>
      <c r="P7" s="26">
        <f>SUM(D7:O7)</f>
        <v>9200</v>
      </c>
      <c r="Q7" s="33">
        <f>IFERROR(P7/SUM($P$7:$P$15),0)</f>
        <v>0.0661870503597122</v>
      </c>
      <c r="R7" s="17"/>
      <c r="T7" s="17"/>
      <c r="U7" s="34"/>
      <c r="V7" s="17"/>
    </row>
    <row r="8" customHeight="1" spans="2:18">
      <c r="B8" s="17"/>
      <c r="C8" s="22" t="s">
        <v>19</v>
      </c>
      <c r="D8" s="23">
        <v>20000</v>
      </c>
      <c r="E8" s="23">
        <v>300</v>
      </c>
      <c r="F8" s="23">
        <v>800</v>
      </c>
      <c r="G8" s="23">
        <v>700</v>
      </c>
      <c r="H8" s="23">
        <v>400</v>
      </c>
      <c r="I8" s="23">
        <v>100</v>
      </c>
      <c r="J8" s="23">
        <v>200</v>
      </c>
      <c r="K8" s="23">
        <v>400</v>
      </c>
      <c r="L8" s="23">
        <v>800</v>
      </c>
      <c r="M8" s="23">
        <v>600</v>
      </c>
      <c r="N8" s="23">
        <v>800</v>
      </c>
      <c r="O8" s="23">
        <v>700</v>
      </c>
      <c r="P8" s="27">
        <f t="shared" ref="P8:P15" si="0">SUM(D8:O8)</f>
        <v>25800</v>
      </c>
      <c r="Q8" s="35">
        <f t="shared" ref="Q8:Q16" si="1">IFERROR(P8/SUM($P$7:$P$15),0)</f>
        <v>0.185611510791367</v>
      </c>
      <c r="R8" s="17"/>
    </row>
    <row r="9" customHeight="1" spans="2:18">
      <c r="B9" s="17"/>
      <c r="C9" s="20" t="s">
        <v>20</v>
      </c>
      <c r="D9" s="21">
        <v>100</v>
      </c>
      <c r="E9" s="21">
        <v>500</v>
      </c>
      <c r="F9" s="21">
        <v>800</v>
      </c>
      <c r="G9" s="21">
        <v>200</v>
      </c>
      <c r="H9" s="21">
        <v>500</v>
      </c>
      <c r="I9" s="21">
        <v>100</v>
      </c>
      <c r="J9" s="21">
        <v>300</v>
      </c>
      <c r="K9" s="21">
        <v>600</v>
      </c>
      <c r="L9" s="21">
        <v>800</v>
      </c>
      <c r="M9" s="21">
        <v>200</v>
      </c>
      <c r="N9" s="21">
        <v>800</v>
      </c>
      <c r="O9" s="21">
        <v>800</v>
      </c>
      <c r="P9" s="26">
        <f t="shared" si="0"/>
        <v>5700</v>
      </c>
      <c r="Q9" s="33">
        <f t="shared" si="1"/>
        <v>0.0410071942446043</v>
      </c>
      <c r="R9" s="17"/>
    </row>
    <row r="10" customHeight="1" spans="2:18">
      <c r="B10" s="17"/>
      <c r="C10" s="22" t="s">
        <v>21</v>
      </c>
      <c r="D10" s="23">
        <v>400</v>
      </c>
      <c r="E10" s="23">
        <v>700</v>
      </c>
      <c r="F10" s="23">
        <v>100</v>
      </c>
      <c r="G10" s="23">
        <v>100</v>
      </c>
      <c r="H10" s="23">
        <v>500</v>
      </c>
      <c r="I10" s="23">
        <v>800</v>
      </c>
      <c r="J10" s="23">
        <v>200</v>
      </c>
      <c r="K10" s="23">
        <v>100</v>
      </c>
      <c r="L10" s="23">
        <v>300</v>
      </c>
      <c r="M10" s="23">
        <v>100</v>
      </c>
      <c r="N10" s="23">
        <v>100</v>
      </c>
      <c r="O10" s="23">
        <v>200</v>
      </c>
      <c r="P10" s="27">
        <f t="shared" si="0"/>
        <v>3600</v>
      </c>
      <c r="Q10" s="35">
        <f t="shared" si="1"/>
        <v>0.0258992805755396</v>
      </c>
      <c r="R10" s="17"/>
    </row>
    <row r="11" customHeight="1" spans="2:18">
      <c r="B11" s="17"/>
      <c r="C11" s="20" t="s">
        <v>22</v>
      </c>
      <c r="D11" s="21">
        <v>600</v>
      </c>
      <c r="E11" s="21">
        <v>400</v>
      </c>
      <c r="F11" s="21">
        <v>700</v>
      </c>
      <c r="G11" s="21">
        <v>100</v>
      </c>
      <c r="H11" s="21">
        <v>800</v>
      </c>
      <c r="I11" s="21">
        <v>800</v>
      </c>
      <c r="J11" s="21">
        <v>300</v>
      </c>
      <c r="K11" s="21">
        <v>300</v>
      </c>
      <c r="L11" s="21">
        <v>200</v>
      </c>
      <c r="M11" s="21">
        <v>700</v>
      </c>
      <c r="N11" s="21">
        <v>700</v>
      </c>
      <c r="O11" s="21">
        <v>300</v>
      </c>
      <c r="P11" s="26">
        <f t="shared" si="0"/>
        <v>5900</v>
      </c>
      <c r="Q11" s="33">
        <f t="shared" si="1"/>
        <v>0.0424460431654676</v>
      </c>
      <c r="R11" s="17"/>
    </row>
    <row r="12" customHeight="1" spans="2:18">
      <c r="B12" s="17"/>
      <c r="C12" s="22" t="s">
        <v>23</v>
      </c>
      <c r="D12" s="23">
        <v>300</v>
      </c>
      <c r="E12" s="23">
        <v>200</v>
      </c>
      <c r="F12" s="23">
        <v>500</v>
      </c>
      <c r="G12" s="23">
        <v>800</v>
      </c>
      <c r="H12" s="23">
        <v>300</v>
      </c>
      <c r="I12" s="23">
        <v>300</v>
      </c>
      <c r="J12" s="23">
        <v>700</v>
      </c>
      <c r="K12" s="23">
        <v>700</v>
      </c>
      <c r="L12" s="23">
        <v>800</v>
      </c>
      <c r="M12" s="23">
        <v>800</v>
      </c>
      <c r="N12" s="23">
        <v>600</v>
      </c>
      <c r="O12" s="23">
        <v>700</v>
      </c>
      <c r="P12" s="27">
        <f t="shared" si="0"/>
        <v>6700</v>
      </c>
      <c r="Q12" s="35">
        <f t="shared" si="1"/>
        <v>0.0482014388489209</v>
      </c>
      <c r="R12" s="17"/>
    </row>
    <row r="13" customHeight="1" spans="2:18">
      <c r="B13" s="17"/>
      <c r="C13" s="20" t="s">
        <v>24</v>
      </c>
      <c r="D13" s="21">
        <v>50000</v>
      </c>
      <c r="E13" s="21">
        <v>700</v>
      </c>
      <c r="F13" s="21">
        <v>600</v>
      </c>
      <c r="G13" s="21">
        <v>700</v>
      </c>
      <c r="H13" s="21">
        <v>500</v>
      </c>
      <c r="I13" s="21">
        <v>700</v>
      </c>
      <c r="J13" s="21">
        <v>200</v>
      </c>
      <c r="K13" s="21">
        <v>800</v>
      </c>
      <c r="L13" s="21">
        <v>300</v>
      </c>
      <c r="M13" s="21">
        <v>400</v>
      </c>
      <c r="N13" s="21">
        <v>500</v>
      </c>
      <c r="O13" s="21">
        <v>200</v>
      </c>
      <c r="P13" s="26">
        <f t="shared" si="0"/>
        <v>55600</v>
      </c>
      <c r="Q13" s="33">
        <f t="shared" si="1"/>
        <v>0.4</v>
      </c>
      <c r="R13" s="17"/>
    </row>
    <row r="14" customHeight="1" spans="2:18">
      <c r="B14" s="17"/>
      <c r="C14" s="22" t="s">
        <v>25</v>
      </c>
      <c r="D14" s="23">
        <v>200</v>
      </c>
      <c r="E14" s="23">
        <v>100</v>
      </c>
      <c r="F14" s="23">
        <v>300</v>
      </c>
      <c r="G14" s="23">
        <v>500</v>
      </c>
      <c r="H14" s="23">
        <v>200</v>
      </c>
      <c r="I14" s="23">
        <v>300</v>
      </c>
      <c r="J14" s="23">
        <v>800</v>
      </c>
      <c r="K14" s="23">
        <v>500</v>
      </c>
      <c r="L14" s="23">
        <v>8000</v>
      </c>
      <c r="M14" s="23">
        <v>700</v>
      </c>
      <c r="N14" s="23">
        <v>300</v>
      </c>
      <c r="O14" s="23">
        <v>700</v>
      </c>
      <c r="P14" s="27">
        <f t="shared" si="0"/>
        <v>12600</v>
      </c>
      <c r="Q14" s="35">
        <f t="shared" si="1"/>
        <v>0.0906474820143885</v>
      </c>
      <c r="R14" s="17"/>
    </row>
    <row r="15" customHeight="1" spans="2:18">
      <c r="B15" s="17"/>
      <c r="C15" s="20" t="s">
        <v>26</v>
      </c>
      <c r="D15" s="21">
        <v>800</v>
      </c>
      <c r="E15" s="21">
        <v>600</v>
      </c>
      <c r="F15" s="21">
        <v>300</v>
      </c>
      <c r="G15" s="21">
        <v>500</v>
      </c>
      <c r="H15" s="21">
        <v>600</v>
      </c>
      <c r="I15" s="21">
        <v>600</v>
      </c>
      <c r="J15" s="21">
        <v>700</v>
      </c>
      <c r="K15" s="21">
        <v>200</v>
      </c>
      <c r="L15" s="21">
        <v>300</v>
      </c>
      <c r="M15" s="21">
        <v>100</v>
      </c>
      <c r="N15" s="21">
        <v>200</v>
      </c>
      <c r="O15" s="21">
        <v>9000</v>
      </c>
      <c r="P15" s="26">
        <f t="shared" si="0"/>
        <v>13900</v>
      </c>
      <c r="Q15" s="33">
        <f t="shared" si="1"/>
        <v>0.1</v>
      </c>
      <c r="R15" s="17"/>
    </row>
    <row r="16" customHeight="1" spans="2:18">
      <c r="B16" s="17"/>
      <c r="C16" s="18" t="s">
        <v>27</v>
      </c>
      <c r="D16" s="24">
        <f>SUM(D7:D15)</f>
        <v>77400</v>
      </c>
      <c r="E16" s="24">
        <f t="shared" ref="E16:P16" si="2">SUM(E7:E15)</f>
        <v>3800</v>
      </c>
      <c r="F16" s="24">
        <f t="shared" si="2"/>
        <v>4800</v>
      </c>
      <c r="G16" s="24">
        <f t="shared" si="2"/>
        <v>3800</v>
      </c>
      <c r="H16" s="24">
        <f t="shared" si="2"/>
        <v>4400</v>
      </c>
      <c r="I16" s="24">
        <f t="shared" si="2"/>
        <v>4100</v>
      </c>
      <c r="J16" s="24">
        <f t="shared" si="2"/>
        <v>3600</v>
      </c>
      <c r="K16" s="24">
        <f t="shared" si="2"/>
        <v>3900</v>
      </c>
      <c r="L16" s="24">
        <f t="shared" si="2"/>
        <v>11600</v>
      </c>
      <c r="M16" s="24">
        <f t="shared" si="2"/>
        <v>4300</v>
      </c>
      <c r="N16" s="24">
        <f t="shared" si="2"/>
        <v>4300</v>
      </c>
      <c r="O16" s="24">
        <f t="shared" si="2"/>
        <v>13000</v>
      </c>
      <c r="P16" s="24">
        <f t="shared" si="2"/>
        <v>139000</v>
      </c>
      <c r="Q16" s="36">
        <f t="shared" si="1"/>
        <v>1</v>
      </c>
      <c r="R16" s="17"/>
    </row>
    <row r="17" customHeight="1" spans="2:18">
      <c r="B17" s="17"/>
      <c r="C17" s="25"/>
      <c r="D17" s="25"/>
      <c r="E17" s="25"/>
      <c r="F17" s="25"/>
      <c r="G17" s="25"/>
      <c r="H17" s="25"/>
      <c r="I17" s="25"/>
      <c r="J17" s="25"/>
      <c r="K17" s="25"/>
      <c r="L17" s="17"/>
      <c r="M17" s="17"/>
      <c r="N17" s="17"/>
      <c r="O17" s="17"/>
      <c r="P17" s="17"/>
      <c r="Q17" s="17"/>
      <c r="R17" s="17"/>
    </row>
    <row r="18" ht="9" customHeight="1"/>
    <row r="20" customHeight="1" spans="17:18">
      <c r="Q20" s="9" t="s">
        <v>28</v>
      </c>
      <c r="R20" s="9">
        <f>SUM(D16:F16)</f>
        <v>86000</v>
      </c>
    </row>
    <row r="21" customHeight="1" spans="17:18">
      <c r="Q21" s="9" t="s">
        <v>29</v>
      </c>
      <c r="R21" s="9">
        <f>SUM(G16:I16)</f>
        <v>12300</v>
      </c>
    </row>
    <row r="22" customHeight="1" spans="17:18">
      <c r="Q22" s="9" t="s">
        <v>30</v>
      </c>
      <c r="R22" s="9">
        <f>SUM(J16:L16)</f>
        <v>19100</v>
      </c>
    </row>
    <row r="23" customHeight="1" spans="17:18">
      <c r="Q23" s="9" t="s">
        <v>31</v>
      </c>
      <c r="R23" s="9">
        <f>SUM(M16:O16)</f>
        <v>21600</v>
      </c>
    </row>
    <row r="25" ht="13.05" customHeight="1"/>
    <row r="26" ht="28.05" customHeight="1"/>
    <row r="27" ht="18" customHeight="1"/>
  </sheetData>
  <mergeCells count="1">
    <mergeCell ref="B2:V2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"/>
  <sheetViews>
    <sheetView showGridLines="0" zoomScale="90" zoomScaleNormal="90" workbookViewId="0">
      <selection activeCell="O35" sqref="O35"/>
    </sheetView>
  </sheetViews>
  <sheetFormatPr defaultColWidth="7.36363636363636" defaultRowHeight="21.9" customHeight="1" outlineLevelCol="1"/>
  <cols>
    <col min="1" max="1" width="2.63636363636364" style="5" customWidth="1"/>
    <col min="2" max="2" width="3.63636363636364" style="5" customWidth="1"/>
    <col min="3" max="3" width="6.81818181818182" style="4" customWidth="1"/>
    <col min="4" max="8" width="18.5454545454545" style="4" customWidth="1"/>
    <col min="9" max="9" width="7.36363636363636" style="4"/>
    <col min="10" max="16384" width="7.36363636363636" style="6"/>
  </cols>
  <sheetData>
    <row r="1" s="4" customFormat="1" customHeight="1" spans="1:2">
      <c r="A1" s="5"/>
      <c r="B1" s="5"/>
    </row>
  </sheetData>
  <sheetProtection selectLockedCells="1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H4" sqref="H4"/>
    </sheetView>
  </sheetViews>
  <sheetFormatPr defaultColWidth="8.45454545454546" defaultRowHeight="25.05" customHeight="1"/>
  <cols>
    <col min="1" max="16381" width="8.45454545454546" style="3" customWidth="1"/>
    <col min="16382" max="16384" width="8.45454545454546" style="3"/>
  </cols>
  <sheetData/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A10000"/>
  <sheetViews>
    <sheetView showGridLines="0" showRowColHeaders="0" workbookViewId="0">
      <selection activeCell="A1" sqref="A1"/>
    </sheetView>
  </sheetViews>
  <sheetFormatPr defaultColWidth="8.18181818181818" defaultRowHeight="30" customHeight="1"/>
  <cols>
    <col min="1" max="1" width="8.18181818181818" style="1"/>
    <col min="2" max="2" width="9.72727272727273" style="1" customWidth="1"/>
    <col min="3" max="3" width="16.9090909090909" style="1" customWidth="1"/>
    <col min="4" max="5" width="8.18181818181818" style="1"/>
    <col min="6" max="16382" width="8.18181818181818" style="1" customWidth="1"/>
    <col min="16383" max="16384" width="8.18181818181818" style="1"/>
  </cols>
  <sheetData>
    <row r="1" customHeight="1" spans="1:10">
      <c r="A1" s="2"/>
      <c r="B1" s="2"/>
      <c r="C1" s="2"/>
      <c r="D1" s="2"/>
      <c r="E1" s="2"/>
      <c r="J1" s="2"/>
    </row>
    <row r="10000" customHeight="1" spans="27:27">
      <c r="AA10000" s="1" t="str">
        <f>_xlfn.DISPIMG("ID_6C7E305D970740BFB0BD4804F0B5C804",1)</f>
        <v>=DISPIMG("ID_6C7E305D970740BFB0BD4804F0B5C804",1)</v>
      </c>
    </row>
  </sheetData>
  <sheetProtection password="B2A0" sheet="1" selectLockedCells="1" objects="1"/>
  <pageMargins left="0.75" right="0.75" top="1" bottom="1" header="0.511805555555556" footer="0.511805555555556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数据分析看板</vt:lpstr>
      <vt:lpstr>使用说明</vt:lpstr>
      <vt:lpstr>辅助</vt:lpstr>
      <vt:lpstr>稻壳琪一独家首发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QiYi_TBG</dc:creator>
  <cp:lastModifiedBy>陈东捷</cp:lastModifiedBy>
  <dcterms:created xsi:type="dcterms:W3CDTF">2021-09-03T07:53:00Z</dcterms:created>
  <dcterms:modified xsi:type="dcterms:W3CDTF">2023-03-09T16:55:47Z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8A1E7A59EA764BB3B9DD9DC0BD190DD9</vt:lpwstr>
  </property>
  <property fmtid="{D5CDD505-2E9C-101B-9397-08002B2CF9AE}" pid="3" name="KSOProductBuildVer">
    <vt:lpwstr>2052-11.1.0.12970</vt:lpwstr>
  </property>
  <property fmtid="{D5CDD505-2E9C-101B-9397-08002B2CF9AE}" pid="4" name="SpecialAttribute">
    <vt:lpwstr>exclusivecopyright208634701QiyiDocerWPS</vt:lpwstr>
  </property>
  <property fmtid="{D5CDD505-2E9C-101B-9397-08002B2CF9AE}" pid="5" name="commondata">
    <vt:lpwstr>eyJoZGlkIjoiOGIyZDQyNmE3ZWZkY2FmMzE3YmE0NjI1OWEyYmEwMjUifQ==</vt:lpwstr>
  </property>
  <property fmtid="{D5CDD505-2E9C-101B-9397-08002B2CF9AE}" pid="6" name="KSOTemplateUUID">
    <vt:lpwstr>v1.0_mb_n0RFK2vfByyxNUS3HqxAVw==</vt:lpwstr>
  </property>
</Properties>
</file>