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3336" yWindow="1140" windowWidth="8448" windowHeight="4212"/>
  </bookViews>
  <sheets>
    <sheet name="员工个人工资查询表" sheetId="1" r:id="rId1"/>
    <sheet name="Sheet2" sheetId="2" r:id="rId2"/>
    <sheet name="Sheet3" sheetId="3" r:id="rId3"/>
  </sheets>
  <externalReferences>
    <externalReference r:id="rId4"/>
  </externalReferences>
  <calcPr calcId="124519"/>
</workbook>
</file>

<file path=xl/calcChain.xml><?xml version="1.0" encoding="utf-8"?>
<calcChain xmlns="http://schemas.openxmlformats.org/spreadsheetml/2006/main">
  <c r="E8" i="1"/>
  <c r="C8"/>
  <c r="E7"/>
  <c r="C7"/>
  <c r="E6"/>
  <c r="C6"/>
  <c r="E5"/>
  <c r="C5"/>
  <c r="E4"/>
</calcChain>
</file>

<file path=xl/sharedStrings.xml><?xml version="1.0" encoding="utf-8"?>
<sst xmlns="http://schemas.openxmlformats.org/spreadsheetml/2006/main" count="13" uniqueCount="13">
  <si>
    <t>工资月份</t>
    <phoneticPr fontId="1" type="noConversion"/>
  </si>
  <si>
    <t>员工个人工资查询表</t>
    <phoneticPr fontId="1" type="noConversion"/>
  </si>
  <si>
    <t>编号</t>
    <phoneticPr fontId="1" type="noConversion"/>
  </si>
  <si>
    <t>性别</t>
    <phoneticPr fontId="1" type="noConversion"/>
  </si>
  <si>
    <t>应发工资</t>
    <phoneticPr fontId="1" type="noConversion"/>
  </si>
  <si>
    <t>奖金</t>
    <phoneticPr fontId="1" type="noConversion"/>
  </si>
  <si>
    <t>应扣所得税</t>
    <phoneticPr fontId="1" type="noConversion"/>
  </si>
  <si>
    <t>姓名</t>
    <phoneticPr fontId="1" type="noConversion"/>
  </si>
  <si>
    <t>部门</t>
    <phoneticPr fontId="1" type="noConversion"/>
  </si>
  <si>
    <t>工龄工资</t>
    <phoneticPr fontId="1" type="noConversion"/>
  </si>
  <si>
    <t>应扣劳保费</t>
    <phoneticPr fontId="1" type="noConversion"/>
  </si>
  <si>
    <t>实发工资</t>
    <phoneticPr fontId="1" type="noConversion"/>
  </si>
  <si>
    <t>发放时间</t>
    <phoneticPr fontId="1" type="noConversion"/>
  </si>
</sst>
</file>

<file path=xl/styles.xml><?xml version="1.0" encoding="utf-8"?>
<styleSheet xmlns="http://schemas.openxmlformats.org/spreadsheetml/2006/main">
  <fonts count="5">
    <font>
      <sz val="12"/>
      <name val="宋体"/>
      <charset val="134"/>
    </font>
    <font>
      <sz val="9"/>
      <name val="宋体"/>
      <charset val="134"/>
    </font>
    <font>
      <sz val="12"/>
      <name val="楷体_GB2312"/>
      <family val="3"/>
      <charset val="134"/>
    </font>
    <font>
      <b/>
      <sz val="12"/>
      <name val="楷体_GB2312"/>
      <family val="3"/>
      <charset val="134"/>
    </font>
    <font>
      <b/>
      <sz val="16"/>
      <name val="楷体_GB2312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3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ordExcel&#34892;&#25919;&#19982;&#25991;&#31192;&#21150;&#20844;&#33539;&#20363;&#24212;&#29992;\WordExcel&#34892;&#25919;&#19982;&#25991;&#31192;&#21150;&#20844;&#33539;&#20363;&#24212;&#29992;\&#28304;&#25991;&#20214;\&#31532;16&#31456;\&#21592;&#24037;&#24037;&#36164;&#34920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员工工资表"/>
      <sheetName val="Sheet2"/>
      <sheetName val="Sheet3"/>
    </sheetNames>
    <sheetDataSet>
      <sheetData sheetId="0">
        <row r="4">
          <cell r="A4">
            <v>1</v>
          </cell>
          <cell r="B4" t="str">
            <v>张烨</v>
          </cell>
          <cell r="C4" t="str">
            <v>男</v>
          </cell>
          <cell r="D4" t="str">
            <v>市场部</v>
          </cell>
          <cell r="E4">
            <v>37438</v>
          </cell>
          <cell r="F4">
            <v>1933.3333333333333</v>
          </cell>
          <cell r="G4">
            <v>210</v>
          </cell>
          <cell r="H4">
            <v>300</v>
          </cell>
          <cell r="I4">
            <v>200</v>
          </cell>
          <cell r="J4">
            <v>39.3333333333333</v>
          </cell>
          <cell r="K4">
            <v>2203.9999999999995</v>
          </cell>
          <cell r="L4" t="str">
            <v>2323562636223645891</v>
          </cell>
        </row>
        <row r="5">
          <cell r="A5">
            <v>2</v>
          </cell>
          <cell r="B5" t="str">
            <v>吴畏</v>
          </cell>
          <cell r="C5" t="str">
            <v>男</v>
          </cell>
          <cell r="D5" t="str">
            <v>行政部</v>
          </cell>
          <cell r="E5">
            <v>37452</v>
          </cell>
          <cell r="F5">
            <v>1800</v>
          </cell>
          <cell r="G5">
            <v>210</v>
          </cell>
          <cell r="H5">
            <v>100</v>
          </cell>
          <cell r="I5">
            <v>180</v>
          </cell>
          <cell r="J5">
            <v>16.5</v>
          </cell>
          <cell r="K5">
            <v>1913.5</v>
          </cell>
          <cell r="L5" t="str">
            <v>2323562636223645892</v>
          </cell>
        </row>
        <row r="6">
          <cell r="A6">
            <v>3</v>
          </cell>
          <cell r="B6" t="str">
            <v>李佳</v>
          </cell>
          <cell r="C6" t="str">
            <v>女</v>
          </cell>
          <cell r="D6" t="str">
            <v>办公室</v>
          </cell>
          <cell r="E6">
            <v>38047</v>
          </cell>
          <cell r="F6">
            <v>1594</v>
          </cell>
          <cell r="G6">
            <v>140</v>
          </cell>
          <cell r="H6">
            <v>100</v>
          </cell>
          <cell r="I6">
            <v>160</v>
          </cell>
          <cell r="J6">
            <v>3.7</v>
          </cell>
          <cell r="K6">
            <v>1670.3</v>
          </cell>
          <cell r="L6" t="str">
            <v>2323562636223645893</v>
          </cell>
        </row>
        <row r="7">
          <cell r="A7">
            <v>4</v>
          </cell>
          <cell r="B7" t="str">
            <v>王凯</v>
          </cell>
          <cell r="C7" t="str">
            <v>男</v>
          </cell>
          <cell r="D7" t="str">
            <v>策划部</v>
          </cell>
          <cell r="E7">
            <v>37052</v>
          </cell>
          <cell r="F7">
            <v>1800</v>
          </cell>
          <cell r="G7">
            <v>280</v>
          </cell>
          <cell r="H7">
            <v>100</v>
          </cell>
          <cell r="I7">
            <v>180</v>
          </cell>
          <cell r="J7">
            <v>20</v>
          </cell>
          <cell r="K7">
            <v>1980</v>
          </cell>
          <cell r="L7" t="str">
            <v>2323562636223645894</v>
          </cell>
        </row>
        <row r="8">
          <cell r="A8">
            <v>5</v>
          </cell>
          <cell r="B8" t="str">
            <v>刘恺</v>
          </cell>
          <cell r="C8" t="str">
            <v>男</v>
          </cell>
          <cell r="D8" t="str">
            <v>市场部</v>
          </cell>
          <cell r="E8">
            <v>36581</v>
          </cell>
          <cell r="F8">
            <v>1993.3333333333333</v>
          </cell>
          <cell r="G8">
            <v>420</v>
          </cell>
          <cell r="H8">
            <v>300</v>
          </cell>
          <cell r="I8">
            <v>200</v>
          </cell>
          <cell r="J8">
            <v>66.333333333333314</v>
          </cell>
          <cell r="K8">
            <v>2446.9999999999995</v>
          </cell>
          <cell r="L8" t="str">
            <v>2323562636223645895</v>
          </cell>
        </row>
        <row r="9">
          <cell r="A9">
            <v>6</v>
          </cell>
          <cell r="B9" t="str">
            <v>蔡卓</v>
          </cell>
          <cell r="C9" t="str">
            <v>女</v>
          </cell>
          <cell r="D9" t="str">
            <v>办公室</v>
          </cell>
          <cell r="E9">
            <v>38047</v>
          </cell>
          <cell r="F9">
            <v>1600</v>
          </cell>
          <cell r="G9">
            <v>140</v>
          </cell>
          <cell r="H9">
            <v>100</v>
          </cell>
          <cell r="I9">
            <v>160</v>
          </cell>
          <cell r="J9">
            <v>4</v>
          </cell>
          <cell r="K9">
            <v>1676</v>
          </cell>
          <cell r="L9" t="str">
            <v>2323562636223645896</v>
          </cell>
        </row>
        <row r="10">
          <cell r="A10">
            <v>7</v>
          </cell>
          <cell r="B10" t="str">
            <v>曾蒙</v>
          </cell>
          <cell r="C10" t="str">
            <v>男</v>
          </cell>
          <cell r="D10" t="str">
            <v>市场部</v>
          </cell>
          <cell r="E10">
            <v>36656</v>
          </cell>
          <cell r="F10">
            <v>2000</v>
          </cell>
          <cell r="G10">
            <v>350</v>
          </cell>
          <cell r="H10">
            <v>300</v>
          </cell>
          <cell r="I10">
            <v>200</v>
          </cell>
          <cell r="J10">
            <v>60</v>
          </cell>
          <cell r="K10">
            <v>2390</v>
          </cell>
          <cell r="L10" t="str">
            <v>2323562636223645897</v>
          </cell>
        </row>
        <row r="11">
          <cell r="A11">
            <v>8</v>
          </cell>
          <cell r="B11" t="str">
            <v>郑文</v>
          </cell>
          <cell r="C11" t="str">
            <v>女</v>
          </cell>
          <cell r="D11" t="str">
            <v>服务部</v>
          </cell>
          <cell r="E11">
            <v>37781</v>
          </cell>
          <cell r="F11">
            <v>1700</v>
          </cell>
          <cell r="G11">
            <v>140</v>
          </cell>
          <cell r="H11">
            <v>220</v>
          </cell>
          <cell r="I11">
            <v>170</v>
          </cell>
          <cell r="J11">
            <v>14.5</v>
          </cell>
          <cell r="K11">
            <v>1875.5</v>
          </cell>
          <cell r="L11" t="str">
            <v>2323562636223645898</v>
          </cell>
        </row>
        <row r="12">
          <cell r="A12">
            <v>9</v>
          </cell>
          <cell r="B12" t="str">
            <v>黄采</v>
          </cell>
          <cell r="C12" t="str">
            <v>男</v>
          </cell>
          <cell r="D12" t="str">
            <v>行政部</v>
          </cell>
          <cell r="E12">
            <v>36395</v>
          </cell>
          <cell r="F12">
            <v>1800</v>
          </cell>
          <cell r="G12">
            <v>420</v>
          </cell>
          <cell r="H12">
            <v>100</v>
          </cell>
          <cell r="I12">
            <v>180</v>
          </cell>
          <cell r="J12">
            <v>29</v>
          </cell>
          <cell r="K12">
            <v>2111</v>
          </cell>
          <cell r="L12" t="str">
            <v>2323562636223645899</v>
          </cell>
        </row>
        <row r="13">
          <cell r="A13">
            <v>10</v>
          </cell>
          <cell r="B13" t="str">
            <v>王柳</v>
          </cell>
          <cell r="C13" t="str">
            <v>女</v>
          </cell>
          <cell r="D13" t="str">
            <v>人资部</v>
          </cell>
          <cell r="E13">
            <v>37449</v>
          </cell>
          <cell r="F13">
            <v>1868.3333333333333</v>
          </cell>
          <cell r="G13">
            <v>210</v>
          </cell>
          <cell r="H13">
            <v>100</v>
          </cell>
          <cell r="I13">
            <v>190</v>
          </cell>
          <cell r="J13">
            <v>19.416666666666654</v>
          </cell>
          <cell r="K13">
            <v>1968.9166666666663</v>
          </cell>
          <cell r="L13" t="str">
            <v>2323562636223645890</v>
          </cell>
        </row>
        <row r="14">
          <cell r="A14">
            <v>11</v>
          </cell>
          <cell r="B14" t="str">
            <v>章冬</v>
          </cell>
          <cell r="C14" t="str">
            <v>男</v>
          </cell>
          <cell r="D14" t="str">
            <v>人资部</v>
          </cell>
          <cell r="E14">
            <v>37909</v>
          </cell>
          <cell r="F14">
            <v>1900</v>
          </cell>
          <cell r="G14">
            <v>140</v>
          </cell>
          <cell r="H14">
            <v>100</v>
          </cell>
          <cell r="I14">
            <v>190</v>
          </cell>
          <cell r="J14">
            <v>17.5</v>
          </cell>
          <cell r="K14">
            <v>1932.5</v>
          </cell>
          <cell r="L14" t="str">
            <v>2323562636223645991</v>
          </cell>
        </row>
        <row r="15">
          <cell r="A15">
            <v>12</v>
          </cell>
          <cell r="B15" t="str">
            <v>孙蕊</v>
          </cell>
          <cell r="C15" t="str">
            <v>女</v>
          </cell>
          <cell r="D15" t="str">
            <v>服务部</v>
          </cell>
          <cell r="E15">
            <v>37713</v>
          </cell>
          <cell r="F15">
            <v>1700</v>
          </cell>
          <cell r="G15">
            <v>140</v>
          </cell>
          <cell r="H15">
            <v>220</v>
          </cell>
          <cell r="I15">
            <v>170</v>
          </cell>
          <cell r="J15">
            <v>14.5</v>
          </cell>
          <cell r="K15">
            <v>1875.5</v>
          </cell>
          <cell r="L15" t="str">
            <v>2323562636223645992</v>
          </cell>
        </row>
        <row r="16">
          <cell r="A16">
            <v>13</v>
          </cell>
          <cell r="B16" t="str">
            <v>柳风</v>
          </cell>
          <cell r="C16" t="str">
            <v>男</v>
          </cell>
          <cell r="D16" t="str">
            <v>市场部</v>
          </cell>
          <cell r="E16">
            <v>37045</v>
          </cell>
          <cell r="F16">
            <v>2000</v>
          </cell>
          <cell r="G16">
            <v>280</v>
          </cell>
          <cell r="H16">
            <v>300</v>
          </cell>
          <cell r="I16">
            <v>200</v>
          </cell>
          <cell r="J16">
            <v>53</v>
          </cell>
          <cell r="K16">
            <v>2327</v>
          </cell>
          <cell r="L16" t="str">
            <v>2323562636223645993</v>
          </cell>
        </row>
        <row r="17">
          <cell r="A17">
            <v>14</v>
          </cell>
          <cell r="B17" t="str">
            <v>李东</v>
          </cell>
          <cell r="C17" t="str">
            <v>男</v>
          </cell>
          <cell r="D17" t="str">
            <v>行政部</v>
          </cell>
          <cell r="E17">
            <v>37742</v>
          </cell>
          <cell r="F17">
            <v>1800</v>
          </cell>
          <cell r="G17">
            <v>140</v>
          </cell>
          <cell r="H17">
            <v>100</v>
          </cell>
          <cell r="I17">
            <v>180</v>
          </cell>
          <cell r="J17">
            <v>13</v>
          </cell>
          <cell r="K17">
            <v>1847</v>
          </cell>
          <cell r="L17" t="str">
            <v>2323562636223645994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G9"/>
  <sheetViews>
    <sheetView tabSelected="1" workbookViewId="0">
      <selection activeCell="D7" sqref="D7"/>
    </sheetView>
  </sheetViews>
  <sheetFormatPr defaultColWidth="9" defaultRowHeight="15.6"/>
  <cols>
    <col min="1" max="1" width="3.8984375" style="1" customWidth="1"/>
    <col min="2" max="2" width="13.8984375" style="1" bestFit="1" customWidth="1"/>
    <col min="3" max="3" width="13.59765625" style="1" customWidth="1"/>
    <col min="4" max="4" width="15" style="1" bestFit="1" customWidth="1"/>
    <col min="5" max="5" width="13.59765625" style="1" customWidth="1"/>
    <col min="6" max="6" width="11.59765625" style="1" bestFit="1" customWidth="1"/>
    <col min="7" max="16384" width="9" style="1"/>
  </cols>
  <sheetData>
    <row r="1" spans="2:7" ht="16.2" thickBot="1"/>
    <row r="2" spans="2:7" ht="22.5" customHeight="1" thickTop="1">
      <c r="B2" s="11" t="s">
        <v>1</v>
      </c>
      <c r="C2" s="12"/>
      <c r="D2" s="12"/>
      <c r="E2" s="13"/>
      <c r="F2" s="2"/>
      <c r="G2" s="2"/>
    </row>
    <row r="3" spans="2:7" ht="17.25" customHeight="1">
      <c r="B3" s="3" t="s">
        <v>0</v>
      </c>
      <c r="C3" s="4"/>
      <c r="D3" s="5" t="s">
        <v>12</v>
      </c>
      <c r="E3" s="6"/>
    </row>
    <row r="4" spans="2:7" ht="17.25" customHeight="1">
      <c r="B4" s="3" t="s">
        <v>2</v>
      </c>
      <c r="C4" s="4"/>
      <c r="D4" s="5" t="s">
        <v>7</v>
      </c>
      <c r="E4" s="6" t="str">
        <f>INDEX([1]员工工资表!$A$4:$L$17,A4,2)</f>
        <v>张烨</v>
      </c>
    </row>
    <row r="5" spans="2:7" ht="17.25" customHeight="1">
      <c r="B5" s="3" t="s">
        <v>3</v>
      </c>
      <c r="C5" s="4" t="str">
        <f>INDEX([1]员工工资表!$A$4:$L$17,A4,3)</f>
        <v>男</v>
      </c>
      <c r="D5" s="5" t="s">
        <v>8</v>
      </c>
      <c r="E5" s="6" t="str">
        <f>INDEX([1]员工工资表!$A$4:$L$17,A4,4)</f>
        <v>行政部</v>
      </c>
    </row>
    <row r="6" spans="2:7" ht="17.25" customHeight="1">
      <c r="B6" s="3" t="s">
        <v>4</v>
      </c>
      <c r="C6" s="4">
        <f>INDEX([1]员工工资表!$A$4:$L$17,A4,6)</f>
        <v>1594</v>
      </c>
      <c r="D6" s="5" t="s">
        <v>9</v>
      </c>
      <c r="E6" s="6">
        <f>INDEX([1]员工工资表!$A$4:$L$17,A4,7)</f>
        <v>140</v>
      </c>
    </row>
    <row r="7" spans="2:7" ht="17.25" customHeight="1">
      <c r="B7" s="3" t="s">
        <v>5</v>
      </c>
      <c r="C7" s="4">
        <f>INDEX([1]员工工资表!$A$4:$L$17,A4,8)</f>
        <v>100</v>
      </c>
      <c r="D7" s="5" t="s">
        <v>10</v>
      </c>
      <c r="E7" s="6">
        <f>INDEX([1]员工工资表!$A$4:$L$17,A4,9)</f>
        <v>180</v>
      </c>
    </row>
    <row r="8" spans="2:7" ht="17.25" customHeight="1" thickBot="1">
      <c r="B8" s="7" t="s">
        <v>6</v>
      </c>
      <c r="C8" s="8">
        <f>INDEX([1]员工工资表!$A$4:$L$17,A4,10)</f>
        <v>66.333333333333314</v>
      </c>
      <c r="D8" s="9" t="s">
        <v>11</v>
      </c>
      <c r="E8" s="10">
        <f>INDEX([1]员工工资表!$A$4:$L$17,A4,11)</f>
        <v>2446.9999999999995</v>
      </c>
    </row>
    <row r="9" spans="2:7" ht="16.2" thickTop="1"/>
  </sheetData>
  <mergeCells count="1">
    <mergeCell ref="B2:E2"/>
  </mergeCells>
  <phoneticPr fontId="1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.6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.6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员工个人工资查询表</vt:lpstr>
      <vt:lpstr>Sheet2</vt:lpstr>
      <vt:lpstr>Sheet3</vt:lpstr>
    </vt:vector>
  </TitlesOfParts>
  <Company>shenlong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cyd</dc:creator>
  <cp:lastModifiedBy>syq</cp:lastModifiedBy>
  <dcterms:created xsi:type="dcterms:W3CDTF">2006-03-02T06:12:14Z</dcterms:created>
  <dcterms:modified xsi:type="dcterms:W3CDTF">2008-01-19T00:21:32Z</dcterms:modified>
</cp:coreProperties>
</file>