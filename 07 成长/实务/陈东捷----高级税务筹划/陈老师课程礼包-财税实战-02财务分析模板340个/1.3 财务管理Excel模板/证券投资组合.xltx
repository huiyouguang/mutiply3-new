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60" yWindow="36" windowWidth="5232" windowHeight="4176"/>
  </bookViews>
  <sheets>
    <sheet name="证券投资组合分析" sheetId="1" r:id="rId1"/>
  </sheets>
  <definedNames>
    <definedName name="solver_adj" localSheetId="0" hidden="1">证券投资组合分析!$D$8:$D$11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证券投资组合分析!$D$12</definedName>
    <definedName name="solver_lhs2" localSheetId="0" hidden="1">证券投资组合分析!$D$14</definedName>
    <definedName name="solver_lhs3" localSheetId="0" hidden="1">证券投资组合分析!$D$8:$D$11</definedName>
    <definedName name="solver_lin" localSheetId="0" hidden="1">2</definedName>
    <definedName name="solver_neg" localSheetId="0" hidden="1">2</definedName>
    <definedName name="solver_num" localSheetId="0" hidden="1">3</definedName>
    <definedName name="solver_nwt" localSheetId="0" hidden="1">1</definedName>
    <definedName name="solver_opt" localSheetId="0" hidden="1">证券投资组合分析!$B$14</definedName>
    <definedName name="solver_pre" localSheetId="0" hidden="1">0.000001</definedName>
    <definedName name="solver_rel1" localSheetId="0" hidden="1">2</definedName>
    <definedName name="solver_rel2" localSheetId="0" hidden="1">1</definedName>
    <definedName name="solver_rel3" localSheetId="0" hidden="1">3</definedName>
    <definedName name="solver_rhs1" localSheetId="0" hidden="1">100%</definedName>
    <definedName name="solver_rhs2" localSheetId="0" hidden="1">15%</definedName>
    <definedName name="solver_rhs3" localSheetId="0" hidden="1">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24519"/>
</workbook>
</file>

<file path=xl/calcChain.xml><?xml version="1.0" encoding="utf-8"?>
<calcChain xmlns="http://schemas.openxmlformats.org/spreadsheetml/2006/main">
  <c r="E8" i="1"/>
  <c r="E9"/>
  <c r="E10"/>
  <c r="E11"/>
  <c r="E12"/>
  <c r="F8"/>
  <c r="F9"/>
  <c r="F10"/>
  <c r="F11"/>
  <c r="F12"/>
  <c r="D14"/>
  <c r="B14"/>
  <c r="D12"/>
</calcChain>
</file>

<file path=xl/sharedStrings.xml><?xml version="1.0" encoding="utf-8"?>
<sst xmlns="http://schemas.openxmlformats.org/spreadsheetml/2006/main" count="18" uniqueCount="18">
  <si>
    <t>原始数据</t>
    <phoneticPr fontId="2" type="noConversion"/>
  </si>
  <si>
    <t>无风险利率</t>
    <phoneticPr fontId="2" type="noConversion"/>
  </si>
  <si>
    <t>市场总风险率</t>
    <phoneticPr fontId="2" type="noConversion"/>
  </si>
  <si>
    <t>市场总收益率</t>
    <phoneticPr fontId="2" type="noConversion"/>
  </si>
  <si>
    <t>组合分析</t>
    <phoneticPr fontId="2" type="noConversion"/>
  </si>
  <si>
    <t>每股风险率</t>
    <phoneticPr fontId="2" type="noConversion"/>
  </si>
  <si>
    <t>加权β</t>
    <phoneticPr fontId="2" type="noConversion"/>
  </si>
  <si>
    <t>加权每股风险率</t>
    <phoneticPr fontId="2" type="noConversion"/>
  </si>
  <si>
    <t>合计</t>
    <phoneticPr fontId="2" type="noConversion"/>
  </si>
  <si>
    <t>总收益率</t>
    <phoneticPr fontId="2" type="noConversion"/>
  </si>
  <si>
    <t>总风险率</t>
    <phoneticPr fontId="2" type="noConversion"/>
  </si>
  <si>
    <t>证券投资组合分析</t>
    <phoneticPr fontId="2" type="noConversion"/>
  </si>
  <si>
    <t>市场指数</t>
    <phoneticPr fontId="2" type="noConversion"/>
  </si>
  <si>
    <t>权值</t>
    <phoneticPr fontId="2" type="noConversion"/>
  </si>
  <si>
    <t>股票甲</t>
    <phoneticPr fontId="2" type="noConversion"/>
  </si>
  <si>
    <t>股票乙</t>
    <phoneticPr fontId="2" type="noConversion"/>
  </si>
  <si>
    <t>股票丙</t>
    <phoneticPr fontId="2" type="noConversion"/>
  </si>
  <si>
    <t>股票丁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</si>
</sst>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_ "/>
  </numFmts>
  <fonts count="7">
    <font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12"/>
      <color indexed="10"/>
      <name val="宋体"/>
      <charset val="134"/>
    </font>
    <font>
      <sz val="12"/>
      <name val="宋体"/>
      <charset val="134"/>
    </font>
    <font>
      <b/>
      <sz val="14"/>
      <color theme="8" tint="-0.499984740745262"/>
      <name val="楷体_GB2312"/>
      <family val="3"/>
      <charset val="134"/>
    </font>
    <font>
      <b/>
      <sz val="12"/>
      <color theme="8" tint="-0.249977111117893"/>
      <name val="楷体_GB2312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6" fontId="1" fillId="2" borderId="1" xfId="0" applyNumberFormat="1" applyFont="1" applyFill="1" applyBorder="1" applyAlignment="1">
      <alignment horizontal="center" vertical="center"/>
    </xf>
    <xf numFmtId="177" fontId="1" fillId="2" borderId="1" xfId="0" applyNumberFormat="1" applyFont="1" applyFill="1" applyBorder="1" applyAlignment="1">
      <alignment horizontal="center" vertical="center"/>
    </xf>
    <xf numFmtId="10" fontId="3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4"/>
  <sheetViews>
    <sheetView tabSelected="1" workbookViewId="0">
      <selection activeCell="C8" sqref="C8"/>
    </sheetView>
  </sheetViews>
  <sheetFormatPr defaultRowHeight="15.6"/>
  <cols>
    <col min="1" max="1" width="12.59765625" style="3" customWidth="1"/>
    <col min="2" max="2" width="11.5" style="3" customWidth="1"/>
    <col min="3" max="3" width="12.69921875" style="3" customWidth="1"/>
    <col min="4" max="4" width="12.5" style="3" customWidth="1"/>
    <col min="5" max="5" width="12" style="3" customWidth="1"/>
    <col min="6" max="6" width="14.3984375" style="3" customWidth="1"/>
    <col min="7" max="16384" width="8.796875" style="3"/>
  </cols>
  <sheetData>
    <row r="1" spans="1:6" ht="17.399999999999999">
      <c r="A1" s="14" t="s">
        <v>11</v>
      </c>
      <c r="B1" s="14"/>
      <c r="C1" s="14"/>
      <c r="D1" s="14"/>
      <c r="E1" s="14"/>
      <c r="F1" s="14"/>
    </row>
    <row r="2" spans="1:6" ht="19.5" customHeight="1">
      <c r="A2" s="15" t="s">
        <v>0</v>
      </c>
      <c r="B2" s="15"/>
      <c r="C2" s="15"/>
      <c r="D2" s="15"/>
      <c r="E2" s="15"/>
      <c r="F2" s="15"/>
    </row>
    <row r="3" spans="1:6">
      <c r="A3" s="1"/>
      <c r="B3" s="1" t="s">
        <v>1</v>
      </c>
      <c r="C3" s="2" t="s">
        <v>3</v>
      </c>
      <c r="D3" s="1" t="s">
        <v>2</v>
      </c>
      <c r="E3" s="1"/>
      <c r="F3" s="1"/>
    </row>
    <row r="4" spans="1:6">
      <c r="A4" s="1"/>
      <c r="B4" s="2">
        <v>5.1999999999999998E-2</v>
      </c>
      <c r="C4" s="4">
        <v>0.125</v>
      </c>
      <c r="D4" s="4">
        <v>3.5999999999999997E-2</v>
      </c>
      <c r="E4" s="1"/>
      <c r="F4" s="1"/>
    </row>
    <row r="5" spans="1:6" ht="10.5" customHeight="1">
      <c r="A5" s="11"/>
      <c r="B5" s="12"/>
      <c r="C5" s="12"/>
      <c r="D5" s="12"/>
      <c r="E5" s="12"/>
      <c r="F5" s="13"/>
    </row>
    <row r="6" spans="1:6" ht="18.75" customHeight="1">
      <c r="A6" s="15" t="s">
        <v>4</v>
      </c>
      <c r="B6" s="15"/>
      <c r="C6" s="15"/>
      <c r="D6" s="15"/>
      <c r="E6" s="15"/>
      <c r="F6" s="15"/>
    </row>
    <row r="7" spans="1:6">
      <c r="A7" s="1"/>
      <c r="B7" s="1" t="s">
        <v>12</v>
      </c>
      <c r="C7" s="1" t="s">
        <v>5</v>
      </c>
      <c r="D7" s="1" t="s">
        <v>13</v>
      </c>
      <c r="E7" s="1" t="s">
        <v>6</v>
      </c>
      <c r="F7" s="1" t="s">
        <v>7</v>
      </c>
    </row>
    <row r="8" spans="1:6">
      <c r="A8" s="1" t="s">
        <v>14</v>
      </c>
      <c r="B8" s="1">
        <v>0.67</v>
      </c>
      <c r="C8" s="1">
        <v>0.55000000000000004</v>
      </c>
      <c r="D8" s="2">
        <v>2.6503870171775249E-2</v>
      </c>
      <c r="E8" s="5">
        <f>B8*D8</f>
        <v>1.7757593015089418E-2</v>
      </c>
      <c r="F8" s="2">
        <f>D8^2*C8</f>
        <v>3.8635032374527482E-4</v>
      </c>
    </row>
    <row r="9" spans="1:6">
      <c r="A9" s="1" t="s">
        <v>15</v>
      </c>
      <c r="B9" s="1">
        <v>1.5</v>
      </c>
      <c r="C9" s="1">
        <v>0.1</v>
      </c>
      <c r="D9" s="2">
        <v>0.5938074155087899</v>
      </c>
      <c r="E9" s="5">
        <f>B9*D9</f>
        <v>0.8907111232631848</v>
      </c>
      <c r="F9" s="2">
        <f>D9^2*C9</f>
        <v>3.5260724671322873E-2</v>
      </c>
    </row>
    <row r="10" spans="1:6">
      <c r="A10" s="1" t="s">
        <v>16</v>
      </c>
      <c r="B10" s="1">
        <v>0.93</v>
      </c>
      <c r="C10" s="1">
        <v>0.15</v>
      </c>
      <c r="D10" s="2">
        <v>0.19055311140843939</v>
      </c>
      <c r="E10" s="5">
        <f>B10*D10</f>
        <v>0.17721439360984864</v>
      </c>
      <c r="F10" s="2">
        <f>D10^2*C10</f>
        <v>5.4465732401155669E-3</v>
      </c>
    </row>
    <row r="11" spans="1:6">
      <c r="A11" s="1" t="s">
        <v>17</v>
      </c>
      <c r="B11" s="1">
        <v>2.5</v>
      </c>
      <c r="C11" s="1">
        <v>0.6</v>
      </c>
      <c r="D11" s="2">
        <v>0.18913560291099563</v>
      </c>
      <c r="E11" s="5">
        <f>B11*D11</f>
        <v>0.47283900727748907</v>
      </c>
      <c r="F11" s="2">
        <f>D11^2*C11</f>
        <v>2.1463365773103489E-2</v>
      </c>
    </row>
    <row r="12" spans="1:6">
      <c r="A12" s="1" t="s">
        <v>8</v>
      </c>
      <c r="B12" s="1"/>
      <c r="C12" s="1"/>
      <c r="D12" s="2">
        <f>SUM(D8:D11)</f>
        <v>1.0000000000000002</v>
      </c>
      <c r="E12" s="5">
        <f>SUM(E8:E11)</f>
        <v>1.5585221171656118</v>
      </c>
      <c r="F12" s="2">
        <f>SUM(F8:F11)</f>
        <v>6.2557014008287198E-2</v>
      </c>
    </row>
    <row r="13" spans="1:6" ht="10.5" customHeight="1">
      <c r="A13" s="8"/>
      <c r="B13" s="9"/>
      <c r="C13" s="9"/>
      <c r="D13" s="9"/>
      <c r="E13" s="9"/>
      <c r="F13" s="10"/>
    </row>
    <row r="14" spans="1:6">
      <c r="A14" s="1" t="s">
        <v>9</v>
      </c>
      <c r="B14" s="6">
        <f>B4+(C4-B4)*E12</f>
        <v>0.16577211455308968</v>
      </c>
      <c r="C14" s="7" t="s">
        <v>10</v>
      </c>
      <c r="D14" s="6">
        <f>D4*E12^2+F12</f>
        <v>0.1500006968372849</v>
      </c>
      <c r="E14" s="7"/>
      <c r="F14" s="7"/>
    </row>
  </sheetData>
  <mergeCells count="5">
    <mergeCell ref="A1:F1"/>
    <mergeCell ref="A2:F2"/>
    <mergeCell ref="A6:F6"/>
    <mergeCell ref="A13:F13"/>
    <mergeCell ref="A5:F5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证券投资组合分析</vt:lpstr>
    </vt:vector>
  </TitlesOfParts>
  <Company>shenlongruanjian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xinquanhua</dc:creator>
  <cp:lastModifiedBy>syq</cp:lastModifiedBy>
  <dcterms:created xsi:type="dcterms:W3CDTF">2006-03-03T05:25:21Z</dcterms:created>
  <dcterms:modified xsi:type="dcterms:W3CDTF">2008-01-19T00:42:54Z</dcterms:modified>
</cp:coreProperties>
</file>