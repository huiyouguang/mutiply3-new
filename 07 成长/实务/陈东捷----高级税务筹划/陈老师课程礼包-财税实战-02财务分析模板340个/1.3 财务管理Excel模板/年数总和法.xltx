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80" yWindow="432" windowWidth="12384" windowHeight="5340"/>
  </bookViews>
  <sheets>
    <sheet name="年数总和函数" sheetId="1" r:id="rId1"/>
  </sheets>
  <calcPr calcId="124519"/>
</workbook>
</file>

<file path=xl/calcChain.xml><?xml version="1.0" encoding="utf-8"?>
<calcChain xmlns="http://schemas.openxmlformats.org/spreadsheetml/2006/main">
  <c r="L4" i="1"/>
  <c r="L5"/>
  <c r="L6"/>
  <c r="L7"/>
  <c r="L8"/>
  <c r="L9"/>
  <c r="L10"/>
  <c r="L11"/>
  <c r="L12"/>
  <c r="L3"/>
  <c r="F3"/>
  <c r="F4"/>
  <c r="F5"/>
  <c r="F6"/>
  <c r="F7"/>
  <c r="F8"/>
  <c r="F9"/>
  <c r="F10"/>
  <c r="F11"/>
  <c r="F12"/>
  <c r="J3"/>
  <c r="K3"/>
  <c r="J4"/>
  <c r="K4"/>
  <c r="J5"/>
  <c r="K5"/>
  <c r="J6"/>
  <c r="K6"/>
  <c r="J7"/>
  <c r="K7"/>
  <c r="J8"/>
  <c r="K8"/>
  <c r="J9"/>
  <c r="K9"/>
  <c r="J10"/>
  <c r="K10"/>
  <c r="J11"/>
  <c r="K11"/>
  <c r="J12"/>
  <c r="K12"/>
</calcChain>
</file>

<file path=xl/sharedStrings.xml><?xml version="1.0" encoding="utf-8"?>
<sst xmlns="http://schemas.openxmlformats.org/spreadsheetml/2006/main" count="33" uniqueCount="32">
  <si>
    <t>厂房</t>
    <phoneticPr fontId="1" type="noConversion"/>
  </si>
  <si>
    <t>转混结构</t>
    <phoneticPr fontId="1" type="noConversion"/>
  </si>
  <si>
    <t>吊车</t>
    <phoneticPr fontId="1" type="noConversion"/>
  </si>
  <si>
    <t>QY128</t>
    <phoneticPr fontId="1" type="noConversion"/>
  </si>
  <si>
    <t>轿车</t>
    <phoneticPr fontId="1" type="noConversion"/>
  </si>
  <si>
    <t>别克GL8</t>
    <phoneticPr fontId="1" type="noConversion"/>
  </si>
  <si>
    <t>电脑</t>
    <phoneticPr fontId="1" type="noConversion"/>
  </si>
  <si>
    <t>G880</t>
  </si>
  <si>
    <t>离心泵</t>
    <phoneticPr fontId="1" type="noConversion"/>
  </si>
  <si>
    <t>F46</t>
  </si>
  <si>
    <t>切割机</t>
    <phoneticPr fontId="1" type="noConversion"/>
  </si>
  <si>
    <t>HGR-TD3015</t>
  </si>
  <si>
    <t>空调</t>
    <phoneticPr fontId="1" type="noConversion"/>
  </si>
  <si>
    <t>MRV</t>
  </si>
  <si>
    <t>笔记本电脑</t>
    <phoneticPr fontId="1" type="noConversion"/>
  </si>
  <si>
    <t>A4530D-DR</t>
    <phoneticPr fontId="1" type="noConversion"/>
  </si>
  <si>
    <t>1021C-A</t>
    <phoneticPr fontId="1" type="noConversion"/>
  </si>
  <si>
    <t>制冷机</t>
    <phoneticPr fontId="1" type="noConversion"/>
  </si>
  <si>
    <t>YKEB</t>
    <phoneticPr fontId="1" type="noConversion"/>
  </si>
  <si>
    <t>固定资产年数总和法</t>
    <phoneticPr fontId="1" type="noConversion"/>
  </si>
  <si>
    <t>卡片编号</t>
    <phoneticPr fontId="1" type="noConversion"/>
  </si>
  <si>
    <t>设备名称</t>
    <phoneticPr fontId="1" type="noConversion"/>
  </si>
  <si>
    <t>型号</t>
    <phoneticPr fontId="1" type="noConversion"/>
  </si>
  <si>
    <t>原值</t>
    <phoneticPr fontId="1" type="noConversion"/>
  </si>
  <si>
    <t>残值率</t>
    <phoneticPr fontId="1" type="noConversion"/>
  </si>
  <si>
    <t>净残值</t>
    <phoneticPr fontId="1" type="noConversion"/>
  </si>
  <si>
    <t>启用时间</t>
    <phoneticPr fontId="1" type="noConversion"/>
  </si>
  <si>
    <t>当前时间</t>
    <phoneticPr fontId="1" type="noConversion"/>
  </si>
  <si>
    <t>使用年限</t>
    <phoneticPr fontId="1" type="noConversion"/>
  </si>
  <si>
    <t>已提折旧月数</t>
    <phoneticPr fontId="1" type="noConversion"/>
  </si>
  <si>
    <t>已使用年数</t>
    <phoneticPr fontId="1" type="noConversion"/>
  </si>
  <si>
    <t>本年折旧额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</si>
</sst>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0000"/>
    <numFmt numFmtId="177" formatCode="0_ "/>
    <numFmt numFmtId="178" formatCode="yy/m/d;@"/>
    <numFmt numFmtId="179" formatCode="0.00_ "/>
  </numFmts>
  <fonts count="8">
    <font>
      <sz val="12"/>
      <name val="宋体"/>
      <charset val="134"/>
    </font>
    <font>
      <sz val="9"/>
      <name val="宋体"/>
      <charset val="134"/>
    </font>
    <font>
      <sz val="14"/>
      <name val="楷体_GB2312"/>
      <family val="3"/>
      <charset val="134"/>
    </font>
    <font>
      <sz val="10"/>
      <name val="宋体"/>
      <charset val="134"/>
    </font>
    <font>
      <sz val="10"/>
      <name val="Arial"/>
      <family val="2"/>
    </font>
    <font>
      <sz val="10"/>
      <name val="Times New Roman"/>
      <family val="1"/>
    </font>
    <font>
      <b/>
      <sz val="14"/>
      <color theme="8" tint="-0.499984740745262"/>
      <name val="楷体_GB2312"/>
      <family val="3"/>
      <charset val="134"/>
    </font>
    <font>
      <b/>
      <sz val="11"/>
      <color theme="8" tint="-0.249977111117893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2" borderId="0" xfId="0" applyFont="1" applyFill="1" applyAlignment="1">
      <alignment vertical="center"/>
    </xf>
    <xf numFmtId="0" fontId="0" fillId="2" borderId="0" xfId="0" applyFill="1">
      <alignment vertical="center"/>
    </xf>
    <xf numFmtId="176" fontId="3" fillId="2" borderId="14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77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78" fontId="3" fillId="2" borderId="1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179" fontId="3" fillId="2" borderId="3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76" fontId="3" fillId="2" borderId="15" xfId="0" applyNumberFormat="1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178" fontId="3" fillId="2" borderId="7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179" fontId="3" fillId="2" borderId="9" xfId="0" applyNumberFormat="1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2" borderId="12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M13"/>
  <sheetViews>
    <sheetView tabSelected="1" workbookViewId="0">
      <selection activeCell="E7" sqref="E7"/>
    </sheetView>
  </sheetViews>
  <sheetFormatPr defaultRowHeight="15.6"/>
  <cols>
    <col min="1" max="1" width="9.09765625" style="2" customWidth="1"/>
    <col min="2" max="2" width="11.59765625" style="2" customWidth="1"/>
    <col min="3" max="3" width="10.69921875" style="2" customWidth="1"/>
    <col min="4" max="4" width="8" style="2" customWidth="1"/>
    <col min="5" max="5" width="6.3984375" style="2" customWidth="1"/>
    <col min="6" max="8" width="8.796875" style="2"/>
    <col min="9" max="9" width="10.59765625" style="2" customWidth="1"/>
    <col min="10" max="10" width="13.8984375" style="2" customWidth="1"/>
    <col min="11" max="11" width="13.09765625" style="2" customWidth="1"/>
    <col min="12" max="12" width="11.19921875" style="2" customWidth="1"/>
    <col min="13" max="16384" width="8.796875" style="2"/>
  </cols>
  <sheetData>
    <row r="1" spans="1:13" ht="27" customHeight="1" thickBot="1">
      <c r="A1" s="21" t="s">
        <v>19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1"/>
    </row>
    <row r="2" spans="1:13" ht="29.4" customHeight="1" thickTop="1">
      <c r="A2" s="22" t="s">
        <v>20</v>
      </c>
      <c r="B2" s="23" t="s">
        <v>21</v>
      </c>
      <c r="C2" s="23" t="s">
        <v>22</v>
      </c>
      <c r="D2" s="23" t="s">
        <v>23</v>
      </c>
      <c r="E2" s="24" t="s">
        <v>24</v>
      </c>
      <c r="F2" s="23" t="s">
        <v>25</v>
      </c>
      <c r="G2" s="23" t="s">
        <v>26</v>
      </c>
      <c r="H2" s="23" t="s">
        <v>27</v>
      </c>
      <c r="I2" s="24" t="s">
        <v>28</v>
      </c>
      <c r="J2" s="24" t="s">
        <v>29</v>
      </c>
      <c r="K2" s="24" t="s">
        <v>30</v>
      </c>
      <c r="L2" s="25" t="s">
        <v>31</v>
      </c>
    </row>
    <row r="3" spans="1:13">
      <c r="A3" s="3">
        <v>1</v>
      </c>
      <c r="B3" s="4" t="s">
        <v>0</v>
      </c>
      <c r="C3" s="4" t="s">
        <v>1</v>
      </c>
      <c r="D3" s="5">
        <v>100000</v>
      </c>
      <c r="E3" s="6">
        <v>5.0000000000000001E-3</v>
      </c>
      <c r="F3" s="6">
        <f>D3*E3</f>
        <v>500</v>
      </c>
      <c r="G3" s="7">
        <v>36526</v>
      </c>
      <c r="H3" s="7">
        <v>38717</v>
      </c>
      <c r="I3" s="8">
        <v>20</v>
      </c>
      <c r="J3" s="6">
        <f>INT(DAYS360(G3,H3)/30)</f>
        <v>72</v>
      </c>
      <c r="K3" s="6">
        <f>INT(J3/12)+1</f>
        <v>7</v>
      </c>
      <c r="L3" s="9">
        <f>SYD(D3,F3,I3,K3)</f>
        <v>6633.333333333333</v>
      </c>
    </row>
    <row r="4" spans="1:13">
      <c r="A4" s="3">
        <v>2</v>
      </c>
      <c r="B4" s="10" t="s">
        <v>2</v>
      </c>
      <c r="C4" s="4" t="s">
        <v>3</v>
      </c>
      <c r="D4" s="6">
        <v>50000</v>
      </c>
      <c r="E4" s="6">
        <v>5.0000000000000001E-3</v>
      </c>
      <c r="F4" s="6">
        <f t="shared" ref="F4:F11" si="0">D4*E4</f>
        <v>250</v>
      </c>
      <c r="G4" s="7">
        <v>36803</v>
      </c>
      <c r="H4" s="7">
        <v>38717</v>
      </c>
      <c r="I4" s="8">
        <v>15</v>
      </c>
      <c r="J4" s="6">
        <f t="shared" ref="J4:J12" si="1">INT(DAYS360(G4,H4)/30)</f>
        <v>62</v>
      </c>
      <c r="K4" s="6">
        <f t="shared" ref="K4:K12" si="2">INT(J4/12)+1</f>
        <v>6</v>
      </c>
      <c r="L4" s="9">
        <f t="shared" ref="L4:L12" si="3">SYD(D4,F4,I4,K4)</f>
        <v>4145.833333333333</v>
      </c>
    </row>
    <row r="5" spans="1:13">
      <c r="A5" s="3">
        <v>3</v>
      </c>
      <c r="B5" s="10" t="s">
        <v>4</v>
      </c>
      <c r="C5" s="4" t="s">
        <v>5</v>
      </c>
      <c r="D5" s="6">
        <v>200000</v>
      </c>
      <c r="E5" s="6">
        <v>5.0000000000000001E-3</v>
      </c>
      <c r="F5" s="6">
        <f t="shared" si="0"/>
        <v>1000</v>
      </c>
      <c r="G5" s="7">
        <v>37021</v>
      </c>
      <c r="H5" s="7">
        <v>38717</v>
      </c>
      <c r="I5" s="8">
        <v>10</v>
      </c>
      <c r="J5" s="6">
        <f t="shared" si="1"/>
        <v>55</v>
      </c>
      <c r="K5" s="6">
        <f t="shared" si="2"/>
        <v>5</v>
      </c>
      <c r="L5" s="9">
        <f t="shared" si="3"/>
        <v>21709.090909090908</v>
      </c>
    </row>
    <row r="6" spans="1:13">
      <c r="A6" s="3">
        <v>4</v>
      </c>
      <c r="B6" s="10" t="s">
        <v>6</v>
      </c>
      <c r="C6" s="11" t="s">
        <v>7</v>
      </c>
      <c r="D6" s="6">
        <v>5000</v>
      </c>
      <c r="E6" s="6">
        <v>5.0000000000000001E-3</v>
      </c>
      <c r="F6" s="6">
        <f t="shared" si="0"/>
        <v>25</v>
      </c>
      <c r="G6" s="7">
        <v>37023</v>
      </c>
      <c r="H6" s="7">
        <v>38717</v>
      </c>
      <c r="I6" s="8">
        <v>8</v>
      </c>
      <c r="J6" s="6">
        <f t="shared" si="1"/>
        <v>55</v>
      </c>
      <c r="K6" s="6">
        <f t="shared" si="2"/>
        <v>5</v>
      </c>
      <c r="L6" s="9">
        <f t="shared" si="3"/>
        <v>552.77777777777783</v>
      </c>
    </row>
    <row r="7" spans="1:13">
      <c r="A7" s="3">
        <v>5</v>
      </c>
      <c r="B7" s="10" t="s">
        <v>8</v>
      </c>
      <c r="C7" s="11" t="s">
        <v>9</v>
      </c>
      <c r="D7" s="6">
        <v>8500</v>
      </c>
      <c r="E7" s="6">
        <v>5.0000000000000001E-3</v>
      </c>
      <c r="F7" s="6">
        <f t="shared" si="0"/>
        <v>42.5</v>
      </c>
      <c r="G7" s="7">
        <v>37347</v>
      </c>
      <c r="H7" s="7">
        <v>38717</v>
      </c>
      <c r="I7" s="8">
        <v>10</v>
      </c>
      <c r="J7" s="6">
        <f t="shared" si="1"/>
        <v>45</v>
      </c>
      <c r="K7" s="6">
        <f t="shared" si="2"/>
        <v>4</v>
      </c>
      <c r="L7" s="9">
        <f t="shared" si="3"/>
        <v>1076.409090909091</v>
      </c>
    </row>
    <row r="8" spans="1:13">
      <c r="A8" s="3">
        <v>6</v>
      </c>
      <c r="B8" s="10" t="s">
        <v>10</v>
      </c>
      <c r="C8" s="11" t="s">
        <v>11</v>
      </c>
      <c r="D8" s="6">
        <v>12000</v>
      </c>
      <c r="E8" s="6">
        <v>5.0000000000000001E-3</v>
      </c>
      <c r="F8" s="6">
        <f t="shared" si="0"/>
        <v>60</v>
      </c>
      <c r="G8" s="7">
        <v>37534</v>
      </c>
      <c r="H8" s="7">
        <v>38717</v>
      </c>
      <c r="I8" s="8">
        <v>10</v>
      </c>
      <c r="J8" s="6">
        <f t="shared" si="1"/>
        <v>38</v>
      </c>
      <c r="K8" s="6">
        <f t="shared" si="2"/>
        <v>4</v>
      </c>
      <c r="L8" s="9">
        <f t="shared" si="3"/>
        <v>1519.6363636363637</v>
      </c>
    </row>
    <row r="9" spans="1:13">
      <c r="A9" s="3">
        <v>7</v>
      </c>
      <c r="B9" s="10" t="s">
        <v>12</v>
      </c>
      <c r="C9" s="11" t="s">
        <v>13</v>
      </c>
      <c r="D9" s="6">
        <v>3600</v>
      </c>
      <c r="E9" s="6">
        <v>5.0000000000000001E-3</v>
      </c>
      <c r="F9" s="6">
        <f t="shared" si="0"/>
        <v>18</v>
      </c>
      <c r="G9" s="7">
        <v>37478</v>
      </c>
      <c r="H9" s="7">
        <v>38717</v>
      </c>
      <c r="I9" s="8">
        <v>5</v>
      </c>
      <c r="J9" s="6">
        <f t="shared" si="1"/>
        <v>40</v>
      </c>
      <c r="K9" s="6">
        <f t="shared" si="2"/>
        <v>4</v>
      </c>
      <c r="L9" s="9">
        <f t="shared" si="3"/>
        <v>477.6</v>
      </c>
    </row>
    <row r="10" spans="1:13">
      <c r="A10" s="3">
        <v>8</v>
      </c>
      <c r="B10" s="10" t="s">
        <v>14</v>
      </c>
      <c r="C10" s="12" t="s">
        <v>15</v>
      </c>
      <c r="D10" s="6">
        <v>4580</v>
      </c>
      <c r="E10" s="6">
        <v>5.0000000000000001E-3</v>
      </c>
      <c r="F10" s="6">
        <f t="shared" si="0"/>
        <v>22.900000000000002</v>
      </c>
      <c r="G10" s="7">
        <v>37622</v>
      </c>
      <c r="H10" s="7">
        <v>38717</v>
      </c>
      <c r="I10" s="8">
        <v>5</v>
      </c>
      <c r="J10" s="6">
        <f t="shared" si="1"/>
        <v>36</v>
      </c>
      <c r="K10" s="6">
        <f t="shared" si="2"/>
        <v>4</v>
      </c>
      <c r="L10" s="9">
        <f t="shared" si="3"/>
        <v>607.61333333333334</v>
      </c>
    </row>
    <row r="11" spans="1:13">
      <c r="A11" s="3">
        <v>9</v>
      </c>
      <c r="B11" s="10" t="s">
        <v>6</v>
      </c>
      <c r="C11" s="12" t="s">
        <v>16</v>
      </c>
      <c r="D11" s="6">
        <v>6000</v>
      </c>
      <c r="E11" s="6">
        <v>5.0000000000000001E-3</v>
      </c>
      <c r="F11" s="6">
        <f t="shared" si="0"/>
        <v>30</v>
      </c>
      <c r="G11" s="7">
        <v>37695</v>
      </c>
      <c r="H11" s="7">
        <v>38717</v>
      </c>
      <c r="I11" s="13">
        <v>8</v>
      </c>
      <c r="J11" s="6">
        <f t="shared" si="1"/>
        <v>33</v>
      </c>
      <c r="K11" s="6">
        <f t="shared" si="2"/>
        <v>3</v>
      </c>
      <c r="L11" s="9">
        <f t="shared" si="3"/>
        <v>995</v>
      </c>
    </row>
    <row r="12" spans="1:13" ht="16.2" thickBot="1">
      <c r="A12" s="14">
        <v>10</v>
      </c>
      <c r="B12" s="15" t="s">
        <v>17</v>
      </c>
      <c r="C12" s="16" t="s">
        <v>18</v>
      </c>
      <c r="D12" s="17">
        <v>18500</v>
      </c>
      <c r="E12" s="17">
        <v>5.0000000000000001E-3</v>
      </c>
      <c r="F12" s="17">
        <f>D12*E12</f>
        <v>92.5</v>
      </c>
      <c r="G12" s="18">
        <v>38322</v>
      </c>
      <c r="H12" s="18">
        <v>38717</v>
      </c>
      <c r="I12" s="19">
        <v>10</v>
      </c>
      <c r="J12" s="17">
        <f t="shared" si="1"/>
        <v>13</v>
      </c>
      <c r="K12" s="17">
        <f t="shared" si="2"/>
        <v>2</v>
      </c>
      <c r="L12" s="20">
        <f t="shared" si="3"/>
        <v>3012.1363636363635</v>
      </c>
    </row>
    <row r="13" spans="1:13" ht="16.2" thickTop="1"/>
  </sheetData>
  <mergeCells count="1">
    <mergeCell ref="A1:L1"/>
  </mergeCells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年数总和函数</vt:lpstr>
    </vt:vector>
  </TitlesOfParts>
  <Company>gw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gy</dc:creator>
  <cp:lastModifiedBy>syq</cp:lastModifiedBy>
  <dcterms:created xsi:type="dcterms:W3CDTF">2006-02-06T08:05:24Z</dcterms:created>
  <dcterms:modified xsi:type="dcterms:W3CDTF">2008-01-19T00:35:45Z</dcterms:modified>
</cp:coreProperties>
</file>