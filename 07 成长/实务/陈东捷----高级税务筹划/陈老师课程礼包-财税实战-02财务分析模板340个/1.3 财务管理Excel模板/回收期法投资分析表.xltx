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268" yWindow="456" windowWidth="9012" windowHeight="5160" firstSheet="3" activeTab="3"/>
  </bookViews>
  <sheets>
    <sheet name="净现值法投资分析表" sheetId="1" r:id="rId1"/>
    <sheet name="内部报酬率法投资分析表" sheetId="2" r:id="rId2"/>
    <sheet name="现值指数法投资分析表" sheetId="3" r:id="rId3"/>
    <sheet name="回收期法投资分析表" sheetId="4" r:id="rId4"/>
  </sheets>
  <calcPr calcId="124519"/>
</workbook>
</file>

<file path=xl/calcChain.xml><?xml version="1.0" encoding="utf-8"?>
<calcChain xmlns="http://schemas.openxmlformats.org/spreadsheetml/2006/main">
  <c r="B10" i="4"/>
  <c r="C10"/>
  <c r="D10"/>
  <c r="E10"/>
  <c r="C10" i="3"/>
  <c r="D10"/>
  <c r="E10"/>
  <c r="B10"/>
  <c r="C10" i="2"/>
  <c r="D10"/>
  <c r="E10"/>
  <c r="B10"/>
  <c r="C10" i="1"/>
  <c r="D10"/>
  <c r="E10"/>
  <c r="B10"/>
</calcChain>
</file>

<file path=xl/sharedStrings.xml><?xml version="1.0" encoding="utf-8"?>
<sst xmlns="http://schemas.openxmlformats.org/spreadsheetml/2006/main" count="72" uniqueCount="27">
  <si>
    <t>单位</t>
    <phoneticPr fontId="2" type="noConversion"/>
  </si>
  <si>
    <t>万元</t>
    <phoneticPr fontId="2" type="noConversion"/>
  </si>
  <si>
    <t>贴现率</t>
    <phoneticPr fontId="2" type="noConversion"/>
  </si>
  <si>
    <t>方案</t>
    <phoneticPr fontId="2" type="noConversion"/>
  </si>
  <si>
    <t xml:space="preserve">方案A </t>
    <phoneticPr fontId="2" type="noConversion"/>
  </si>
  <si>
    <t>方案B</t>
    <phoneticPr fontId="2" type="noConversion"/>
  </si>
  <si>
    <t>方案C</t>
    <phoneticPr fontId="2" type="noConversion"/>
  </si>
  <si>
    <t>方案D</t>
    <phoneticPr fontId="2" type="noConversion"/>
  </si>
  <si>
    <t>选择方案</t>
    <phoneticPr fontId="2" type="noConversion"/>
  </si>
  <si>
    <t>一年前的初期投资</t>
    <phoneticPr fontId="2" type="noConversion"/>
  </si>
  <si>
    <t>第一年的收益</t>
    <phoneticPr fontId="2" type="noConversion"/>
  </si>
  <si>
    <t>第二年的收益</t>
    <phoneticPr fontId="2" type="noConversion"/>
  </si>
  <si>
    <t>第三年的收益</t>
    <phoneticPr fontId="2" type="noConversion"/>
  </si>
  <si>
    <t>第四年的收益</t>
    <phoneticPr fontId="2" type="noConversion"/>
  </si>
  <si>
    <t>第五年的收益</t>
    <phoneticPr fontId="2" type="noConversion"/>
  </si>
  <si>
    <t>净现值NPV</t>
    <phoneticPr fontId="2" type="noConversion"/>
  </si>
  <si>
    <t>净现值法投资分析表</t>
    <phoneticPr fontId="2" type="noConversion"/>
  </si>
  <si>
    <t>方案A</t>
  </si>
  <si>
    <t>内部报酬率法投资分析表</t>
    <phoneticPr fontId="2" type="noConversion"/>
  </si>
  <si>
    <t>内部报酬率IRR</t>
    <phoneticPr fontId="2" type="noConversion"/>
  </si>
  <si>
    <t>现值指数法投资分析表</t>
    <phoneticPr fontId="2" type="noConversion"/>
  </si>
  <si>
    <t>现值指数</t>
    <phoneticPr fontId="2" type="noConversion"/>
  </si>
  <si>
    <t>回收期法投资分析表</t>
    <phoneticPr fontId="2" type="noConversion"/>
  </si>
  <si>
    <t>回收期</t>
    <phoneticPr fontId="2" type="noConversion"/>
  </si>
  <si>
    <t>方案D</t>
  </si>
  <si>
    <t>方案A</t>
    <phoneticPr fontId="2" type="noConversion"/>
  </si>
  <si>
    <t>一年前初期投资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</si>
</sst>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.00_ "/>
    <numFmt numFmtId="177" formatCode="#,##0.00_ ;[Red]\-#,##0.00\ "/>
  </numFmts>
  <fonts count="5">
    <font>
      <sz val="12"/>
      <name val="宋体"/>
      <charset val="134"/>
    </font>
    <font>
      <sz val="18"/>
      <name val="隶书"/>
      <family val="3"/>
      <charset val="134"/>
    </font>
    <font>
      <sz val="9"/>
      <name val="宋体"/>
      <charset val="134"/>
    </font>
    <font>
      <sz val="12"/>
      <name val="隶书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3" fillId="3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3" borderId="2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176" fontId="3" fillId="3" borderId="7" xfId="0" applyNumberFormat="1" applyFont="1" applyFill="1" applyBorder="1" applyAlignment="1">
      <alignment horizontal="center" vertical="center"/>
    </xf>
    <xf numFmtId="10" fontId="3" fillId="3" borderId="7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4" borderId="0" xfId="0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9" fontId="3" fillId="4" borderId="2" xfId="0" applyNumberFormat="1" applyFont="1" applyFill="1" applyBorder="1" applyAlignment="1">
      <alignment horizontal="center" vertical="center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2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76" fontId="3" fillId="4" borderId="7" xfId="0" applyNumberFormat="1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1"/>
  <sheetViews>
    <sheetView workbookViewId="0">
      <selection activeCell="B10" sqref="B10"/>
    </sheetView>
  </sheetViews>
  <sheetFormatPr defaultRowHeight="15.6"/>
  <cols>
    <col min="1" max="1" width="18.3984375" bestFit="1" customWidth="1"/>
    <col min="2" max="5" width="11.59765625" bestFit="1" customWidth="1"/>
  </cols>
  <sheetData>
    <row r="1" spans="1:6" ht="28.5" customHeight="1" thickTop="1">
      <c r="A1" s="23" t="s">
        <v>16</v>
      </c>
      <c r="B1" s="24"/>
      <c r="C1" s="24"/>
      <c r="D1" s="24"/>
      <c r="E1" s="24"/>
      <c r="F1" s="25"/>
    </row>
    <row r="2" spans="1:6" ht="18.75" customHeight="1">
      <c r="A2" s="1" t="s">
        <v>0</v>
      </c>
      <c r="B2" s="2" t="s">
        <v>1</v>
      </c>
      <c r="C2" s="26" t="s">
        <v>2</v>
      </c>
      <c r="D2" s="26"/>
      <c r="E2" s="4">
        <v>0.1</v>
      </c>
      <c r="F2" s="5"/>
    </row>
    <row r="3" spans="1:6" ht="18.75" customHeight="1">
      <c r="A3" s="1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6" t="s">
        <v>8</v>
      </c>
    </row>
    <row r="4" spans="1:6" ht="18.75" customHeight="1">
      <c r="A4" s="1" t="s">
        <v>9</v>
      </c>
      <c r="B4" s="2">
        <v>-20000</v>
      </c>
      <c r="C4" s="2">
        <v>-20000</v>
      </c>
      <c r="D4" s="2">
        <v>-20000</v>
      </c>
      <c r="E4" s="2">
        <v>-20000</v>
      </c>
      <c r="F4" s="27"/>
    </row>
    <row r="5" spans="1:6" ht="18.75" customHeight="1">
      <c r="A5" s="1" t="s">
        <v>10</v>
      </c>
      <c r="B5" s="2">
        <v>5600</v>
      </c>
      <c r="C5" s="2">
        <v>6000</v>
      </c>
      <c r="D5" s="2">
        <v>5900</v>
      </c>
      <c r="E5" s="2">
        <v>6200</v>
      </c>
      <c r="F5" s="28"/>
    </row>
    <row r="6" spans="1:6" ht="18.75" customHeight="1">
      <c r="A6" s="1" t="s">
        <v>11</v>
      </c>
      <c r="B6" s="2">
        <v>6000</v>
      </c>
      <c r="C6" s="2">
        <v>6200</v>
      </c>
      <c r="D6" s="2">
        <v>6350</v>
      </c>
      <c r="E6" s="2">
        <v>6380</v>
      </c>
      <c r="F6" s="28"/>
    </row>
    <row r="7" spans="1:6" ht="18.75" customHeight="1">
      <c r="A7" s="1" t="s">
        <v>12</v>
      </c>
      <c r="B7" s="2">
        <v>7500</v>
      </c>
      <c r="C7" s="2">
        <v>6800</v>
      </c>
      <c r="D7" s="2">
        <v>6200</v>
      </c>
      <c r="E7" s="2">
        <v>6850</v>
      </c>
      <c r="F7" s="28"/>
    </row>
    <row r="8" spans="1:6" ht="18.75" customHeight="1">
      <c r="A8" s="1" t="s">
        <v>13</v>
      </c>
      <c r="B8" s="2">
        <v>7900</v>
      </c>
      <c r="C8" s="2">
        <v>7200</v>
      </c>
      <c r="D8" s="2">
        <v>6700</v>
      </c>
      <c r="E8" s="2">
        <v>7200</v>
      </c>
      <c r="F8" s="28"/>
    </row>
    <row r="9" spans="1:6" ht="18.75" customHeight="1">
      <c r="A9" s="1" t="s">
        <v>14</v>
      </c>
      <c r="B9" s="7">
        <v>8300</v>
      </c>
      <c r="C9" s="2">
        <v>7900</v>
      </c>
      <c r="D9" s="2">
        <v>7000</v>
      </c>
      <c r="E9" s="2">
        <v>7500</v>
      </c>
      <c r="F9" s="29"/>
    </row>
    <row r="10" spans="1:6" ht="18.75" customHeight="1" thickBot="1">
      <c r="A10" s="8" t="s">
        <v>15</v>
      </c>
      <c r="B10" s="10">
        <f>NPV($E$2,B4:B9)</f>
        <v>5667.1827839967036</v>
      </c>
      <c r="C10" s="10">
        <f>NPV($E$2,C4:C9)</f>
        <v>5009.480339655247</v>
      </c>
      <c r="D10" s="10">
        <f>NPV($E$2,D4:D9)</f>
        <v>3811.2376598942901</v>
      </c>
      <c r="E10" s="10">
        <f>NPV($E$2,E4:E9)</f>
        <v>5118.3673607626206</v>
      </c>
      <c r="F10" s="9" t="s">
        <v>17</v>
      </c>
    </row>
    <row r="11" spans="1:6" ht="16.2" thickTop="1"/>
  </sheetData>
  <mergeCells count="3">
    <mergeCell ref="A1:F1"/>
    <mergeCell ref="C2:D2"/>
    <mergeCell ref="F4:F9"/>
  </mergeCells>
  <phoneticPr fontId="2" type="noConversion"/>
  <pageMargins left="0.75" right="0.75" top="1" bottom="1" header="0.5" footer="0.5"/>
  <pageSetup paperSize="8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1"/>
  <sheetViews>
    <sheetView workbookViewId="0">
      <selection activeCell="B10" sqref="B10"/>
    </sheetView>
  </sheetViews>
  <sheetFormatPr defaultRowHeight="15.6"/>
  <cols>
    <col min="1" max="1" width="18.3984375" bestFit="1" customWidth="1"/>
  </cols>
  <sheetData>
    <row r="1" spans="1:6" ht="24.75" customHeight="1" thickTop="1">
      <c r="A1" s="23" t="s">
        <v>18</v>
      </c>
      <c r="B1" s="24"/>
      <c r="C1" s="24"/>
      <c r="D1" s="24"/>
      <c r="E1" s="24"/>
      <c r="F1" s="25"/>
    </row>
    <row r="2" spans="1:6" ht="19.5" customHeight="1">
      <c r="A2" s="1" t="s">
        <v>0</v>
      </c>
      <c r="B2" s="2" t="s">
        <v>1</v>
      </c>
      <c r="C2" s="26" t="s">
        <v>2</v>
      </c>
      <c r="D2" s="26"/>
      <c r="E2" s="4">
        <v>0.1</v>
      </c>
      <c r="F2" s="5"/>
    </row>
    <row r="3" spans="1:6" ht="19.5" customHeight="1">
      <c r="A3" s="1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6" t="s">
        <v>8</v>
      </c>
    </row>
    <row r="4" spans="1:6" ht="19.5" customHeight="1">
      <c r="A4" s="1" t="s">
        <v>9</v>
      </c>
      <c r="B4" s="2">
        <v>-20000</v>
      </c>
      <c r="C4" s="2">
        <v>-20000</v>
      </c>
      <c r="D4" s="2">
        <v>-20000</v>
      </c>
      <c r="E4" s="2">
        <v>-20000</v>
      </c>
      <c r="F4" s="27"/>
    </row>
    <row r="5" spans="1:6" ht="19.5" customHeight="1">
      <c r="A5" s="1" t="s">
        <v>10</v>
      </c>
      <c r="B5" s="2">
        <v>5600</v>
      </c>
      <c r="C5" s="2">
        <v>6000</v>
      </c>
      <c r="D5" s="2">
        <v>5900</v>
      </c>
      <c r="E5" s="2">
        <v>6200</v>
      </c>
      <c r="F5" s="28"/>
    </row>
    <row r="6" spans="1:6" ht="19.5" customHeight="1">
      <c r="A6" s="1" t="s">
        <v>11</v>
      </c>
      <c r="B6" s="2">
        <v>6000</v>
      </c>
      <c r="C6" s="2">
        <v>6200</v>
      </c>
      <c r="D6" s="2">
        <v>6350</v>
      </c>
      <c r="E6" s="2">
        <v>6380</v>
      </c>
      <c r="F6" s="28"/>
    </row>
    <row r="7" spans="1:6" ht="19.5" customHeight="1">
      <c r="A7" s="1" t="s">
        <v>12</v>
      </c>
      <c r="B7" s="2">
        <v>7500</v>
      </c>
      <c r="C7" s="2">
        <v>6800</v>
      </c>
      <c r="D7" s="2">
        <v>6200</v>
      </c>
      <c r="E7" s="2">
        <v>6850</v>
      </c>
      <c r="F7" s="28"/>
    </row>
    <row r="8" spans="1:6" ht="19.5" customHeight="1">
      <c r="A8" s="1" t="s">
        <v>13</v>
      </c>
      <c r="B8" s="2">
        <v>7900</v>
      </c>
      <c r="C8" s="2">
        <v>7200</v>
      </c>
      <c r="D8" s="2">
        <v>6700</v>
      </c>
      <c r="E8" s="2">
        <v>7200</v>
      </c>
      <c r="F8" s="28"/>
    </row>
    <row r="9" spans="1:6" ht="19.5" customHeight="1">
      <c r="A9" s="1" t="s">
        <v>14</v>
      </c>
      <c r="B9" s="7">
        <v>8300</v>
      </c>
      <c r="C9" s="2">
        <v>7900</v>
      </c>
      <c r="D9" s="2">
        <v>7000</v>
      </c>
      <c r="E9" s="2">
        <v>7500</v>
      </c>
      <c r="F9" s="29"/>
    </row>
    <row r="10" spans="1:6" ht="19.5" customHeight="1" thickBot="1">
      <c r="A10" s="8" t="s">
        <v>19</v>
      </c>
      <c r="B10" s="11">
        <f>IRR(B4:B9)</f>
        <v>0.20669059876817847</v>
      </c>
      <c r="C10" s="11">
        <f>IRR(C4:C9)</f>
        <v>0.19757096300158911</v>
      </c>
      <c r="D10" s="11">
        <f>IRR(D4:D9)</f>
        <v>0.17676584933908662</v>
      </c>
      <c r="E10" s="11">
        <f>IRR(E4:E9)</f>
        <v>0.20104386421702061</v>
      </c>
      <c r="F10" s="9" t="s">
        <v>17</v>
      </c>
    </row>
    <row r="11" spans="1:6" ht="16.2" thickTop="1"/>
  </sheetData>
  <mergeCells count="3">
    <mergeCell ref="A1:F1"/>
    <mergeCell ref="C2:D2"/>
    <mergeCell ref="F4:F9"/>
  </mergeCells>
  <phoneticPr fontId="2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12"/>
  <sheetViews>
    <sheetView workbookViewId="0">
      <selection activeCell="F25" sqref="F25"/>
    </sheetView>
  </sheetViews>
  <sheetFormatPr defaultRowHeight="15.6"/>
  <cols>
    <col min="1" max="1" width="18.3984375" bestFit="1" customWidth="1"/>
    <col min="2" max="2" width="12.69921875" bestFit="1" customWidth="1"/>
  </cols>
  <sheetData>
    <row r="1" spans="1:6" ht="25.5" customHeight="1" thickTop="1">
      <c r="A1" s="23" t="s">
        <v>20</v>
      </c>
      <c r="B1" s="24"/>
      <c r="C1" s="24"/>
      <c r="D1" s="24"/>
      <c r="E1" s="24"/>
      <c r="F1" s="25"/>
    </row>
    <row r="2" spans="1:6" ht="19.5" customHeight="1">
      <c r="A2" s="1" t="s">
        <v>0</v>
      </c>
      <c r="B2" s="2" t="s">
        <v>1</v>
      </c>
      <c r="C2" s="26" t="s">
        <v>2</v>
      </c>
      <c r="D2" s="26"/>
      <c r="E2" s="4">
        <v>0.1</v>
      </c>
      <c r="F2" s="5"/>
    </row>
    <row r="3" spans="1:6" ht="19.5" customHeight="1">
      <c r="A3" s="1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6" t="s">
        <v>8</v>
      </c>
    </row>
    <row r="4" spans="1:6" ht="19.5" customHeight="1">
      <c r="A4" s="1" t="s">
        <v>9</v>
      </c>
      <c r="B4" s="2">
        <v>-20000</v>
      </c>
      <c r="C4" s="2">
        <v>-20000</v>
      </c>
      <c r="D4" s="2">
        <v>-20000</v>
      </c>
      <c r="E4" s="2">
        <v>-20000</v>
      </c>
      <c r="F4" s="27"/>
    </row>
    <row r="5" spans="1:6" ht="19.5" customHeight="1">
      <c r="A5" s="1" t="s">
        <v>10</v>
      </c>
      <c r="B5" s="2">
        <v>5600</v>
      </c>
      <c r="C5" s="2">
        <v>6000</v>
      </c>
      <c r="D5" s="2">
        <v>5900</v>
      </c>
      <c r="E5" s="2">
        <v>6200</v>
      </c>
      <c r="F5" s="28"/>
    </row>
    <row r="6" spans="1:6" ht="19.5" customHeight="1">
      <c r="A6" s="1" t="s">
        <v>11</v>
      </c>
      <c r="B6" s="2">
        <v>6000</v>
      </c>
      <c r="C6" s="2">
        <v>6200</v>
      </c>
      <c r="D6" s="2">
        <v>6350</v>
      </c>
      <c r="E6" s="2">
        <v>6380</v>
      </c>
      <c r="F6" s="28"/>
    </row>
    <row r="7" spans="1:6" ht="19.5" customHeight="1">
      <c r="A7" s="1" t="s">
        <v>12</v>
      </c>
      <c r="B7" s="2">
        <v>7500</v>
      </c>
      <c r="C7" s="2">
        <v>6800</v>
      </c>
      <c r="D7" s="2">
        <v>6200</v>
      </c>
      <c r="E7" s="2">
        <v>6850</v>
      </c>
      <c r="F7" s="28"/>
    </row>
    <row r="8" spans="1:6" ht="19.5" customHeight="1">
      <c r="A8" s="1" t="s">
        <v>13</v>
      </c>
      <c r="B8" s="2">
        <v>7900</v>
      </c>
      <c r="C8" s="2">
        <v>7200</v>
      </c>
      <c r="D8" s="2">
        <v>6700</v>
      </c>
      <c r="E8" s="2">
        <v>7200</v>
      </c>
      <c r="F8" s="28"/>
    </row>
    <row r="9" spans="1:6" ht="19.5" customHeight="1">
      <c r="A9" s="1" t="s">
        <v>14</v>
      </c>
      <c r="B9" s="7">
        <v>8300</v>
      </c>
      <c r="C9" s="2">
        <v>7900</v>
      </c>
      <c r="D9" s="2">
        <v>7000</v>
      </c>
      <c r="E9" s="2">
        <v>7500</v>
      </c>
      <c r="F9" s="29"/>
    </row>
    <row r="10" spans="1:6" ht="19.5" customHeight="1" thickBot="1">
      <c r="A10" s="8" t="s">
        <v>21</v>
      </c>
      <c r="B10" s="11">
        <f>NPV($E$2,B5:B9)/-B4</f>
        <v>1.3116950531198188</v>
      </c>
      <c r="C10" s="11">
        <f>NPV($E$2,C5:C9)/-C4</f>
        <v>1.2755214186810389</v>
      </c>
      <c r="D10" s="11">
        <f>NPV($E$2,D5:D9)/-D4</f>
        <v>1.209618071294186</v>
      </c>
      <c r="E10" s="11">
        <f>NPV($E$2,E5:E9)/-E4</f>
        <v>1.2815102048419442</v>
      </c>
      <c r="F10" s="9" t="s">
        <v>25</v>
      </c>
    </row>
    <row r="11" spans="1:6" ht="16.2" thickTop="1"/>
    <row r="12" spans="1:6">
      <c r="B12" s="12"/>
      <c r="C12" s="12"/>
      <c r="D12" s="12"/>
      <c r="E12" s="12"/>
    </row>
  </sheetData>
  <mergeCells count="3">
    <mergeCell ref="A1:F1"/>
    <mergeCell ref="C2:D2"/>
    <mergeCell ref="F4:F9"/>
  </mergeCells>
  <phoneticPr fontId="2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1"/>
  <sheetViews>
    <sheetView tabSelected="1" workbookViewId="0">
      <selection activeCell="C5" sqref="C5"/>
    </sheetView>
  </sheetViews>
  <sheetFormatPr defaultRowHeight="15.6"/>
  <cols>
    <col min="1" max="1" width="18.3984375" style="13" bestFit="1" customWidth="1"/>
    <col min="2" max="6" width="9.69921875" style="13" customWidth="1"/>
    <col min="7" max="16384" width="8.796875" style="13"/>
  </cols>
  <sheetData>
    <row r="1" spans="1:6" ht="25.5" customHeight="1" thickTop="1">
      <c r="A1" s="30" t="s">
        <v>22</v>
      </c>
      <c r="B1" s="31"/>
      <c r="C1" s="31"/>
      <c r="D1" s="31"/>
      <c r="E1" s="31"/>
      <c r="F1" s="32"/>
    </row>
    <row r="2" spans="1:6" ht="19.5" customHeight="1">
      <c r="A2" s="14" t="s">
        <v>0</v>
      </c>
      <c r="B2" s="15" t="s">
        <v>1</v>
      </c>
      <c r="C2" s="33" t="s">
        <v>2</v>
      </c>
      <c r="D2" s="33"/>
      <c r="E2" s="16">
        <v>0.1</v>
      </c>
      <c r="F2" s="17"/>
    </row>
    <row r="3" spans="1:6" ht="19.5" customHeight="1">
      <c r="A3" s="14" t="s">
        <v>3</v>
      </c>
      <c r="B3" s="15" t="s">
        <v>4</v>
      </c>
      <c r="C3" s="15" t="s">
        <v>5</v>
      </c>
      <c r="D3" s="15" t="s">
        <v>6</v>
      </c>
      <c r="E3" s="15" t="s">
        <v>7</v>
      </c>
      <c r="F3" s="18" t="s">
        <v>8</v>
      </c>
    </row>
    <row r="4" spans="1:6" ht="19.5" customHeight="1">
      <c r="A4" s="14" t="s">
        <v>26</v>
      </c>
      <c r="B4" s="15">
        <v>-20000</v>
      </c>
      <c r="C4" s="15">
        <v>-20000</v>
      </c>
      <c r="D4" s="15">
        <v>-20000</v>
      </c>
      <c r="E4" s="15">
        <v>-20000</v>
      </c>
      <c r="F4" s="34"/>
    </row>
    <row r="5" spans="1:6" ht="19.5" customHeight="1">
      <c r="A5" s="14" t="s">
        <v>10</v>
      </c>
      <c r="B5" s="15">
        <v>5600</v>
      </c>
      <c r="C5" s="15">
        <v>6000</v>
      </c>
      <c r="D5" s="15">
        <v>5900</v>
      </c>
      <c r="E5" s="15">
        <v>6200</v>
      </c>
      <c r="F5" s="35"/>
    </row>
    <row r="6" spans="1:6" ht="19.5" customHeight="1">
      <c r="A6" s="14" t="s">
        <v>11</v>
      </c>
      <c r="B6" s="15">
        <v>6000</v>
      </c>
      <c r="C6" s="15">
        <v>6200</v>
      </c>
      <c r="D6" s="15">
        <v>6350</v>
      </c>
      <c r="E6" s="15">
        <v>6380</v>
      </c>
      <c r="F6" s="35"/>
    </row>
    <row r="7" spans="1:6" ht="19.5" customHeight="1">
      <c r="A7" s="14" t="s">
        <v>12</v>
      </c>
      <c r="B7" s="15">
        <v>7500</v>
      </c>
      <c r="C7" s="15">
        <v>6800</v>
      </c>
      <c r="D7" s="15">
        <v>6200</v>
      </c>
      <c r="E7" s="15">
        <v>6850</v>
      </c>
      <c r="F7" s="35"/>
    </row>
    <row r="8" spans="1:6" ht="19.5" customHeight="1">
      <c r="A8" s="14" t="s">
        <v>13</v>
      </c>
      <c r="B8" s="15">
        <v>7900</v>
      </c>
      <c r="C8" s="15">
        <v>7200</v>
      </c>
      <c r="D8" s="15">
        <v>6700</v>
      </c>
      <c r="E8" s="15">
        <v>7200</v>
      </c>
      <c r="F8" s="35"/>
    </row>
    <row r="9" spans="1:6" ht="19.5" customHeight="1">
      <c r="A9" s="14" t="s">
        <v>14</v>
      </c>
      <c r="B9" s="19">
        <v>8300</v>
      </c>
      <c r="C9" s="15">
        <v>7900</v>
      </c>
      <c r="D9" s="15">
        <v>7000</v>
      </c>
      <c r="E9" s="15">
        <v>7500</v>
      </c>
      <c r="F9" s="36"/>
    </row>
    <row r="10" spans="1:6" ht="19.5" customHeight="1" thickBot="1">
      <c r="A10" s="20" t="s">
        <v>23</v>
      </c>
      <c r="B10" s="21">
        <f>IF(B4+B5&gt;0,-B4/B5,IF(B4+B5+B6&gt;0,1+(-B5-B6)/B7,IF(B4+B5+B6+B7&gt;0,2+(-B4-B5-B6)/B7,IF(B4+B5+B6+B7+B8&gt;0,3+(-B4-B5-B6-B7)/B8,4+(-B4-B5-B6-B7-B8)/B9))))</f>
        <v>3.1139240506329116</v>
      </c>
      <c r="C10" s="21">
        <f>IF(C4+C5&gt;0,-C4/C5,IF(C4+C5+C6&gt;0,1+(-C5-C6)/C7,IF(C4+C5+C6+C7&gt;0,2+(-C4-C5-C6)/C7,IF(C4+C5+C6+C7+C8&gt;0,3+(-C4-C5-C6-C7)/C8,4+(-C4-C5-C6-C7-C8)/C9))))</f>
        <v>3.1388888888888888</v>
      </c>
      <c r="D10" s="21">
        <f>IF(D4+D5&gt;0,-D4/D5,IF(D4+D5+D6&gt;0,1+(-D5-D6)/D7,IF(D4+D5+D6+D7&gt;0,2+(-D4-D5-D6)/D7,IF(D4+D5+D6+D7+D8&gt;0,3+(-D4-D5-D6-D7)/D8,4+(-D4-D5-D6-D7-D8)/D9))))</f>
        <v>3.2313432835820897</v>
      </c>
      <c r="E10" s="21">
        <f>IF(E4+E5&gt;0,-E4/E5,IF(E4+E5+E6&gt;0,1+(-E5-E6)/E7,IF(E4+E5+E6+E7&gt;0,2+(-E4-E5-E6)/E7,IF(E4+E5+E6+E7+E8&gt;0,3+(-E4-E5-E6-E7)/E8,4+(-E4-E5-E6-E7-E8)/E9))))</f>
        <v>3.0791666666666666</v>
      </c>
      <c r="F10" s="22" t="s">
        <v>24</v>
      </c>
    </row>
    <row r="11" spans="1:6" ht="16.2" thickTop="1"/>
  </sheetData>
  <mergeCells count="3">
    <mergeCell ref="A1:F1"/>
    <mergeCell ref="C2:D2"/>
    <mergeCell ref="F4:F9"/>
  </mergeCells>
  <phoneticPr fontId="2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净现值法投资分析表</vt:lpstr>
      <vt:lpstr>内部报酬率法投资分析表</vt:lpstr>
      <vt:lpstr>现值指数法投资分析表</vt:lpstr>
      <vt:lpstr>回收期法投资分析表</vt:lpstr>
    </vt:vector>
  </TitlesOfParts>
  <Company>shenlong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cyd</dc:creator>
  <cp:lastModifiedBy>syq</cp:lastModifiedBy>
  <dcterms:created xsi:type="dcterms:W3CDTF">2005-11-10T04:58:23Z</dcterms:created>
  <dcterms:modified xsi:type="dcterms:W3CDTF">2008-01-18T23:55:23Z</dcterms:modified>
</cp:coreProperties>
</file>