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672" yWindow="96" windowWidth="9612" windowHeight="7836" activeTab="1"/>
  </bookViews>
  <sheets>
    <sheet name="利润表" sheetId="2" r:id="rId1"/>
    <sheet name="汇总表" sheetId="1" r:id="rId2"/>
  </sheets>
  <calcPr calcId="124519"/>
</workbook>
</file>

<file path=xl/calcChain.xml><?xml version="1.0" encoding="utf-8"?>
<calcChain xmlns="http://schemas.openxmlformats.org/spreadsheetml/2006/main">
  <c r="E6" i="2"/>
  <c r="E8"/>
  <c r="E9"/>
  <c r="E13"/>
  <c r="E14"/>
  <c r="E15"/>
  <c r="E16"/>
  <c r="E17"/>
  <c r="E19"/>
  <c r="I7" i="1"/>
  <c r="I15"/>
  <c r="I19"/>
  <c r="I22"/>
  <c r="I24"/>
  <c r="I26"/>
  <c r="I30"/>
  <c r="D4" i="2" s="1"/>
  <c r="I33" i="1"/>
  <c r="I35"/>
  <c r="I37"/>
  <c r="I40"/>
  <c r="H7"/>
  <c r="H15"/>
  <c r="H19"/>
  <c r="H22"/>
  <c r="H24"/>
  <c r="H26"/>
  <c r="H30"/>
  <c r="H33"/>
  <c r="D5" i="2" s="1"/>
  <c r="E5" s="1"/>
  <c r="H35" i="1"/>
  <c r="H37"/>
  <c r="H40"/>
  <c r="I39"/>
  <c r="H39"/>
  <c r="D10" i="2" s="1"/>
  <c r="E10" s="1"/>
  <c r="D11" l="1"/>
  <c r="E11" s="1"/>
  <c r="D7"/>
  <c r="E4"/>
  <c r="E7" l="1"/>
  <c r="D12"/>
  <c r="E12" l="1"/>
  <c r="D18"/>
  <c r="E18" l="1"/>
  <c r="D20"/>
  <c r="E20" s="1"/>
</calcChain>
</file>

<file path=xl/comments1.xml><?xml version="1.0" encoding="utf-8"?>
<comments xmlns="http://schemas.openxmlformats.org/spreadsheetml/2006/main">
  <authors>
    <author>gagi</author>
  </authors>
  <commentList>
    <comment ref="G23" authorId="0">
      <text>
        <r>
          <rPr>
            <b/>
            <sz val="9"/>
            <color indexed="81"/>
            <rFont val="宋体"/>
            <charset val="134"/>
          </rPr>
          <t>办公用品主要包括电脑、打印机、复印机以及联式打印纸</t>
        </r>
        <r>
          <rPr>
            <sz val="9"/>
            <color indexed="81"/>
            <rFont val="宋体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<sst xmlns="http://schemas.openxmlformats.org/spreadsheetml/2006/main" count="89" uniqueCount="73">
  <si>
    <t>单位：元</t>
  </si>
  <si>
    <t>一、主营业务收入</t>
  </si>
  <si>
    <t>减：管理费用</t>
  </si>
  <si>
    <t>减：营业外支出</t>
  </si>
  <si>
    <t>加：以前年度损益调整</t>
  </si>
  <si>
    <t>减：所得税</t>
  </si>
  <si>
    <t>单位负责人：</t>
  </si>
  <si>
    <t>项目</t>
    <phoneticPr fontId="1" type="noConversion"/>
  </si>
  <si>
    <t>行次</t>
    <phoneticPr fontId="1" type="noConversion"/>
  </si>
  <si>
    <t>本月数</t>
    <phoneticPr fontId="1" type="noConversion"/>
  </si>
  <si>
    <t>本年累计数</t>
    <phoneticPr fontId="1" type="noConversion"/>
  </si>
  <si>
    <t>损益表</t>
    <phoneticPr fontId="1" type="noConversion"/>
  </si>
  <si>
    <t xml:space="preserve">    主营业务税金及附加</t>
    <phoneticPr fontId="1" type="noConversion"/>
  </si>
  <si>
    <t>二、主营业务利润（亏损以“-”填列）</t>
    <phoneticPr fontId="1" type="noConversion"/>
  </si>
  <si>
    <t xml:space="preserve">编制单位：XX公司        </t>
    <phoneticPr fontId="1" type="noConversion"/>
  </si>
  <si>
    <t xml:space="preserve">     单位：元</t>
    <phoneticPr fontId="1" type="noConversion"/>
  </si>
  <si>
    <t>减：主营业务成本</t>
    <phoneticPr fontId="1" type="noConversion"/>
  </si>
  <si>
    <t>加：其他业务利润（亏损以“-”填列）</t>
    <phoneticPr fontId="1" type="noConversion"/>
  </si>
  <si>
    <t xml:space="preserve">    财务费用</t>
    <phoneticPr fontId="1" type="noConversion"/>
  </si>
  <si>
    <t xml:space="preserve">    营业费用</t>
    <phoneticPr fontId="1" type="noConversion"/>
  </si>
  <si>
    <t>三、营业利润（亏损以“-”填列）</t>
    <phoneticPr fontId="1" type="noConversion"/>
  </si>
  <si>
    <t>加：投资收益（亏损以“-”填列）</t>
    <phoneticPr fontId="1" type="noConversion"/>
  </si>
  <si>
    <t xml:space="preserve">    补贴收入</t>
    <phoneticPr fontId="1" type="noConversion"/>
  </si>
  <si>
    <t xml:space="preserve">    营业外收入</t>
    <phoneticPr fontId="1" type="noConversion"/>
  </si>
  <si>
    <t>四、利润总额（亏损以“-”填列）</t>
    <phoneticPr fontId="1" type="noConversion"/>
  </si>
  <si>
    <t>五、净利润（亏损以“-”填列）</t>
    <phoneticPr fontId="1" type="noConversion"/>
  </si>
  <si>
    <t>财务负责人：</t>
    <phoneticPr fontId="1" type="noConversion"/>
  </si>
  <si>
    <t>制表人：</t>
    <phoneticPr fontId="1" type="noConversion"/>
  </si>
  <si>
    <t>现金</t>
  </si>
  <si>
    <t>提备用金</t>
    <phoneticPr fontId="1" type="noConversion"/>
  </si>
  <si>
    <t>1110 汇总</t>
  </si>
  <si>
    <t>银行存款</t>
  </si>
  <si>
    <t>银行存款</t>
    <phoneticPr fontId="1" type="noConversion"/>
  </si>
  <si>
    <t>收回货款</t>
    <phoneticPr fontId="1" type="noConversion"/>
  </si>
  <si>
    <t>销售收入</t>
    <phoneticPr fontId="1" type="noConversion"/>
  </si>
  <si>
    <t>1120 汇总</t>
  </si>
  <si>
    <t>应收账款</t>
    <phoneticPr fontId="1" type="noConversion"/>
  </si>
  <si>
    <t>应收账款</t>
  </si>
  <si>
    <t>销售</t>
    <phoneticPr fontId="1" type="noConversion"/>
  </si>
  <si>
    <t>1150 汇总</t>
  </si>
  <si>
    <t>存货</t>
    <phoneticPr fontId="1" type="noConversion"/>
  </si>
  <si>
    <t>1170 汇总</t>
  </si>
  <si>
    <t>办公设备</t>
    <phoneticPr fontId="1" type="noConversion"/>
  </si>
  <si>
    <t>购买办公用品</t>
    <phoneticPr fontId="1" type="noConversion"/>
  </si>
  <si>
    <t>1440 汇总</t>
  </si>
  <si>
    <t>低值易耗品</t>
  </si>
  <si>
    <t>购买低值易耗品</t>
    <phoneticPr fontId="1" type="noConversion"/>
  </si>
  <si>
    <t>1457 汇总</t>
  </si>
  <si>
    <t>营业收入</t>
    <phoneticPr fontId="1" type="noConversion"/>
  </si>
  <si>
    <t>4100 汇总</t>
  </si>
  <si>
    <t>销货成本</t>
    <phoneticPr fontId="1" type="noConversion"/>
  </si>
  <si>
    <t>结转成本</t>
    <phoneticPr fontId="1" type="noConversion"/>
  </si>
  <si>
    <t>5110 汇总</t>
  </si>
  <si>
    <t>运费</t>
    <phoneticPr fontId="1" type="noConversion"/>
  </si>
  <si>
    <t>运输费用</t>
    <phoneticPr fontId="1" type="noConversion"/>
  </si>
  <si>
    <t>6150 汇总</t>
  </si>
  <si>
    <t>修理费</t>
    <phoneticPr fontId="1" type="noConversion"/>
  </si>
  <si>
    <t>修理费用</t>
    <phoneticPr fontId="1" type="noConversion"/>
  </si>
  <si>
    <t>6170 汇总</t>
  </si>
  <si>
    <t>利息费用</t>
    <phoneticPr fontId="1" type="noConversion"/>
  </si>
  <si>
    <t>财务费用</t>
    <phoneticPr fontId="1" type="noConversion"/>
  </si>
  <si>
    <t>7210 汇总</t>
  </si>
  <si>
    <t>总计</t>
  </si>
  <si>
    <t>日记账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</si>
  <si>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</si>
  <si>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</si>
  <si>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</si>
  <si>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凭证号码</t>
    <phoneticPr fontId="1" type="noConversion"/>
  </si>
  <si>
    <t>科目代码</t>
    <phoneticPr fontId="1" type="noConversion"/>
  </si>
  <si>
    <t>科目名称</t>
    <phoneticPr fontId="1" type="noConversion"/>
  </si>
  <si>
    <t>摘要</t>
    <phoneticPr fontId="1" type="noConversion"/>
  </si>
  <si>
    <t>借方金额</t>
    <phoneticPr fontId="1" type="noConversion"/>
  </si>
  <si>
    <t>贷方金额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</si>
</sst>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8">
    <font>
      <sz val="12"/>
      <name val="宋体"/>
      <charset val="134"/>
    </font>
    <font>
      <sz val="9"/>
      <name val="宋体"/>
      <charset val="134"/>
    </font>
    <font>
      <sz val="11"/>
      <name val="宋体"/>
      <charset val="134"/>
    </font>
    <font>
      <b/>
      <sz val="11"/>
      <name val="宋体"/>
      <charset val="134"/>
    </font>
    <font>
      <b/>
      <sz val="9"/>
      <color indexed="81"/>
      <name val="宋体"/>
      <charset val="134"/>
    </font>
    <font>
      <sz val="9"/>
      <color indexed="81"/>
      <name val="宋体"/>
      <charset val="134"/>
    </font>
    <font>
      <b/>
      <sz val="12"/>
      <color theme="8" tint="-0.249977111117893"/>
      <name val="宋体"/>
      <family val="3"/>
      <charset val="134"/>
    </font>
    <font>
      <b/>
      <sz val="16"/>
      <color theme="8" tint="-0.499984740745262"/>
      <name val="楷体_GB2312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76" fontId="2" fillId="2" borderId="5" xfId="0" applyNumberFormat="1" applyFont="1" applyFill="1" applyBorder="1" applyAlignment="1">
      <alignment horizontal="center"/>
    </xf>
    <xf numFmtId="176" fontId="2" fillId="2" borderId="6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3" fillId="2" borderId="5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76" fontId="2" fillId="2" borderId="5" xfId="0" applyNumberFormat="1" applyFont="1" applyFill="1" applyBorder="1" applyAlignment="1">
      <alignment horizontal="center" vertical="center"/>
    </xf>
    <xf numFmtId="176" fontId="2" fillId="2" borderId="6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57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6" fillId="2" borderId="0" xfId="0" applyFont="1" applyFill="1">
      <alignment vertical="center"/>
    </xf>
    <xf numFmtId="0" fontId="7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21"/>
  <sheetViews>
    <sheetView workbookViewId="0">
      <selection activeCell="C4" sqref="C4"/>
    </sheetView>
  </sheetViews>
  <sheetFormatPr defaultColWidth="19.69921875" defaultRowHeight="15.6"/>
  <cols>
    <col min="1" max="1" width="21.19921875" style="1" customWidth="1"/>
    <col min="2" max="2" width="13.19921875" style="1" customWidth="1"/>
    <col min="3" max="3" width="10.5" style="1" customWidth="1"/>
    <col min="4" max="4" width="13.19921875" style="1" customWidth="1"/>
    <col min="5" max="5" width="14.3984375" style="1" customWidth="1"/>
    <col min="6" max="16384" width="19.69921875" style="1"/>
  </cols>
  <sheetData>
    <row r="1" spans="1:15" ht="25.2" customHeight="1">
      <c r="A1" s="24" t="s">
        <v>11</v>
      </c>
      <c r="B1" s="24"/>
      <c r="C1" s="24"/>
      <c r="D1" s="24"/>
      <c r="E1" s="24"/>
    </row>
    <row r="2" spans="1:15" ht="16.2" thickBot="1">
      <c r="A2" s="1" t="s">
        <v>14</v>
      </c>
      <c r="B2" s="15">
        <v>38718</v>
      </c>
      <c r="C2" s="16"/>
      <c r="D2" s="16" t="s">
        <v>15</v>
      </c>
      <c r="E2" s="16"/>
      <c r="O2" s="1" t="s">
        <v>0</v>
      </c>
    </row>
    <row r="3" spans="1:15" ht="16.2" thickTop="1">
      <c r="A3" s="2" t="s">
        <v>7</v>
      </c>
      <c r="B3" s="3"/>
      <c r="C3" s="3" t="s">
        <v>8</v>
      </c>
      <c r="D3" s="3" t="s">
        <v>9</v>
      </c>
      <c r="E3" s="4" t="s">
        <v>10</v>
      </c>
    </row>
    <row r="4" spans="1:15">
      <c r="A4" s="17" t="s">
        <v>1</v>
      </c>
      <c r="B4" s="18"/>
      <c r="C4" s="6">
        <v>1</v>
      </c>
      <c r="D4" s="6">
        <f>汇总表!I30</f>
        <v>19200</v>
      </c>
      <c r="E4" s="14">
        <f>D4</f>
        <v>19200</v>
      </c>
    </row>
    <row r="5" spans="1:15">
      <c r="A5" s="17" t="s">
        <v>16</v>
      </c>
      <c r="B5" s="18"/>
      <c r="C5" s="6">
        <v>2</v>
      </c>
      <c r="D5" s="6">
        <f>汇总表!H33</f>
        <v>11000</v>
      </c>
      <c r="E5" s="14">
        <f t="shared" ref="E5:E20" si="0">D5</f>
        <v>11000</v>
      </c>
    </row>
    <row r="6" spans="1:15">
      <c r="A6" s="17" t="s">
        <v>12</v>
      </c>
      <c r="B6" s="18"/>
      <c r="C6" s="6">
        <v>4</v>
      </c>
      <c r="D6" s="6"/>
      <c r="E6" s="14">
        <f t="shared" si="0"/>
        <v>0</v>
      </c>
    </row>
    <row r="7" spans="1:15">
      <c r="A7" s="17" t="s">
        <v>13</v>
      </c>
      <c r="B7" s="18"/>
      <c r="C7" s="6">
        <v>5</v>
      </c>
      <c r="D7" s="6">
        <f>D4-D5-D6</f>
        <v>8200</v>
      </c>
      <c r="E7" s="14">
        <f t="shared" si="0"/>
        <v>8200</v>
      </c>
    </row>
    <row r="8" spans="1:15">
      <c r="A8" s="17" t="s">
        <v>17</v>
      </c>
      <c r="B8" s="18"/>
      <c r="C8" s="6">
        <v>6</v>
      </c>
      <c r="D8" s="6"/>
      <c r="E8" s="14">
        <f t="shared" si="0"/>
        <v>0</v>
      </c>
    </row>
    <row r="9" spans="1:15">
      <c r="A9" s="17" t="s">
        <v>2</v>
      </c>
      <c r="B9" s="18"/>
      <c r="C9" s="6">
        <v>7</v>
      </c>
      <c r="D9" s="6"/>
      <c r="E9" s="14">
        <f t="shared" si="0"/>
        <v>0</v>
      </c>
    </row>
    <row r="10" spans="1:15">
      <c r="A10" s="17" t="s">
        <v>18</v>
      </c>
      <c r="B10" s="18"/>
      <c r="C10" s="6">
        <v>8</v>
      </c>
      <c r="D10" s="6">
        <f>汇总表!H39</f>
        <v>20</v>
      </c>
      <c r="E10" s="14">
        <f t="shared" si="0"/>
        <v>20</v>
      </c>
    </row>
    <row r="11" spans="1:15">
      <c r="A11" s="17" t="s">
        <v>19</v>
      </c>
      <c r="B11" s="18"/>
      <c r="C11" s="6">
        <v>3</v>
      </c>
      <c r="D11" s="6">
        <f>汇总表!H35+汇总表!H37</f>
        <v>700</v>
      </c>
      <c r="E11" s="14">
        <f t="shared" si="0"/>
        <v>700</v>
      </c>
    </row>
    <row r="12" spans="1:15">
      <c r="A12" s="17" t="s">
        <v>20</v>
      </c>
      <c r="B12" s="18"/>
      <c r="C12" s="6">
        <v>9</v>
      </c>
      <c r="D12" s="6">
        <f>D7+D8-D9-D10-D11</f>
        <v>7480</v>
      </c>
      <c r="E12" s="14">
        <f t="shared" si="0"/>
        <v>7480</v>
      </c>
    </row>
    <row r="13" spans="1:15">
      <c r="A13" s="17" t="s">
        <v>21</v>
      </c>
      <c r="B13" s="18"/>
      <c r="C13" s="6">
        <v>10</v>
      </c>
      <c r="D13" s="6"/>
      <c r="E13" s="14">
        <f t="shared" si="0"/>
        <v>0</v>
      </c>
    </row>
    <row r="14" spans="1:15">
      <c r="A14" s="17" t="s">
        <v>22</v>
      </c>
      <c r="B14" s="18"/>
      <c r="C14" s="6">
        <v>11</v>
      </c>
      <c r="D14" s="6"/>
      <c r="E14" s="14">
        <f t="shared" si="0"/>
        <v>0</v>
      </c>
    </row>
    <row r="15" spans="1:15">
      <c r="A15" s="17" t="s">
        <v>23</v>
      </c>
      <c r="B15" s="18"/>
      <c r="C15" s="6">
        <v>12</v>
      </c>
      <c r="D15" s="6"/>
      <c r="E15" s="14">
        <f t="shared" si="0"/>
        <v>0</v>
      </c>
    </row>
    <row r="16" spans="1:15">
      <c r="A16" s="17" t="s">
        <v>3</v>
      </c>
      <c r="B16" s="18"/>
      <c r="C16" s="6">
        <v>13</v>
      </c>
      <c r="D16" s="6"/>
      <c r="E16" s="14">
        <f t="shared" si="0"/>
        <v>0</v>
      </c>
    </row>
    <row r="17" spans="1:5">
      <c r="A17" s="17" t="s">
        <v>4</v>
      </c>
      <c r="B17" s="18"/>
      <c r="C17" s="6">
        <v>14</v>
      </c>
      <c r="D17" s="6"/>
      <c r="E17" s="14">
        <f t="shared" si="0"/>
        <v>0</v>
      </c>
    </row>
    <row r="18" spans="1:5">
      <c r="A18" s="17" t="s">
        <v>24</v>
      </c>
      <c r="B18" s="18"/>
      <c r="C18" s="6">
        <v>15</v>
      </c>
      <c r="D18" s="6">
        <f>D12+D13+D14+D15-D16+D17</f>
        <v>7480</v>
      </c>
      <c r="E18" s="14">
        <f t="shared" si="0"/>
        <v>7480</v>
      </c>
    </row>
    <row r="19" spans="1:5">
      <c r="A19" s="17" t="s">
        <v>5</v>
      </c>
      <c r="B19" s="18"/>
      <c r="C19" s="6">
        <v>16</v>
      </c>
      <c r="D19" s="6"/>
      <c r="E19" s="14">
        <f t="shared" si="0"/>
        <v>0</v>
      </c>
    </row>
    <row r="20" spans="1:5" ht="16.2" thickBot="1">
      <c r="A20" s="19" t="s">
        <v>25</v>
      </c>
      <c r="B20" s="20"/>
      <c r="C20" s="21">
        <v>17</v>
      </c>
      <c r="D20" s="21">
        <f>D18-D19</f>
        <v>7480</v>
      </c>
      <c r="E20" s="22">
        <f t="shared" si="0"/>
        <v>7480</v>
      </c>
    </row>
    <row r="21" spans="1:5" ht="16.2" thickTop="1">
      <c r="A21" s="23" t="s">
        <v>6</v>
      </c>
      <c r="B21" s="23" t="s">
        <v>26</v>
      </c>
      <c r="D21" s="23" t="s">
        <v>27</v>
      </c>
    </row>
  </sheetData>
  <mergeCells count="20">
    <mergeCell ref="A17:B17"/>
    <mergeCell ref="A18:B18"/>
    <mergeCell ref="A19:B19"/>
    <mergeCell ref="A20:B20"/>
    <mergeCell ref="A13:B13"/>
    <mergeCell ref="A14:B14"/>
    <mergeCell ref="A15:B15"/>
    <mergeCell ref="A16:B16"/>
    <mergeCell ref="A10:B10"/>
    <mergeCell ref="A11:B11"/>
    <mergeCell ref="A12:B12"/>
    <mergeCell ref="A5:B5"/>
    <mergeCell ref="A6:B6"/>
    <mergeCell ref="A7:B7"/>
    <mergeCell ref="A8:B8"/>
    <mergeCell ref="A1:E1"/>
    <mergeCell ref="B2:C2"/>
    <mergeCell ref="D2:E2"/>
    <mergeCell ref="A4:B4"/>
    <mergeCell ref="A9:B9"/>
  </mergeCells>
  <phoneticPr fontId="1" type="noConversion"/>
  <pageMargins left="0.75" right="0.75" top="1" bottom="1" header="0.5" footer="0.5"/>
  <pageSetup paperSize="8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I40"/>
  <sheetViews>
    <sheetView tabSelected="1" workbookViewId="0">
      <selection activeCell="D4" sqref="D4"/>
    </sheetView>
  </sheetViews>
  <sheetFormatPr defaultRowHeight="15.6" outlineLevelRow="2"/>
  <cols>
    <col min="1" max="1" width="6.5" style="1" customWidth="1"/>
    <col min="2" max="3" width="5.19921875" style="1" customWidth="1"/>
    <col min="4" max="4" width="9.19921875" style="1" customWidth="1"/>
    <col min="5" max="5" width="8.796875" style="1"/>
    <col min="6" max="6" width="15.8984375" style="1" customWidth="1"/>
    <col min="7" max="7" width="13.19921875" style="1" customWidth="1"/>
    <col min="8" max="8" width="11.59765625" style="1" customWidth="1"/>
    <col min="9" max="9" width="10.69921875" style="1" customWidth="1"/>
    <col min="10" max="16384" width="8.796875" style="1"/>
  </cols>
  <sheetData>
    <row r="1" spans="1:9" ht="27.6" customHeight="1" thickBot="1">
      <c r="A1" s="24" t="s">
        <v>63</v>
      </c>
      <c r="B1" s="24"/>
      <c r="C1" s="24"/>
      <c r="D1" s="24"/>
      <c r="E1" s="24"/>
      <c r="F1" s="24"/>
      <c r="G1" s="24"/>
      <c r="H1" s="24"/>
      <c r="I1" s="24"/>
    </row>
    <row r="2" spans="1:9" ht="18.600000000000001" customHeight="1" thickTop="1">
      <c r="A2" s="25" t="s">
        <v>64</v>
      </c>
      <c r="B2" s="26" t="s">
        <v>65</v>
      </c>
      <c r="C2" s="26" t="s">
        <v>66</v>
      </c>
      <c r="D2" s="26" t="s">
        <v>67</v>
      </c>
      <c r="E2" s="26" t="s">
        <v>68</v>
      </c>
      <c r="F2" s="26" t="s">
        <v>69</v>
      </c>
      <c r="G2" s="26" t="s">
        <v>70</v>
      </c>
      <c r="H2" s="26" t="s">
        <v>71</v>
      </c>
      <c r="I2" s="27" t="s">
        <v>72</v>
      </c>
    </row>
    <row r="3" spans="1:9" outlineLevel="2">
      <c r="A3" s="5">
        <v>2006</v>
      </c>
      <c r="B3" s="6">
        <v>1</v>
      </c>
      <c r="C3" s="6">
        <v>1</v>
      </c>
      <c r="D3" s="6">
        <v>1</v>
      </c>
      <c r="E3" s="6">
        <v>1110</v>
      </c>
      <c r="F3" s="6" t="s">
        <v>28</v>
      </c>
      <c r="G3" s="6" t="s">
        <v>29</v>
      </c>
      <c r="H3" s="7">
        <v>5000</v>
      </c>
      <c r="I3" s="8"/>
    </row>
    <row r="4" spans="1:9" outlineLevel="2">
      <c r="A4" s="9"/>
      <c r="B4" s="6"/>
      <c r="C4" s="6"/>
      <c r="D4" s="6"/>
      <c r="E4" s="6">
        <v>1110</v>
      </c>
      <c r="F4" s="6" t="s">
        <v>28</v>
      </c>
      <c r="G4" s="6"/>
      <c r="H4" s="7"/>
      <c r="I4" s="8">
        <v>2000</v>
      </c>
    </row>
    <row r="5" spans="1:9" outlineLevel="2">
      <c r="A5" s="9"/>
      <c r="B5" s="6"/>
      <c r="C5" s="6"/>
      <c r="D5" s="6"/>
      <c r="E5" s="6">
        <v>1110</v>
      </c>
      <c r="F5" s="6" t="s">
        <v>28</v>
      </c>
      <c r="G5" s="6"/>
      <c r="H5" s="7"/>
      <c r="I5" s="8">
        <v>200</v>
      </c>
    </row>
    <row r="6" spans="1:9" outlineLevel="2">
      <c r="A6" s="9"/>
      <c r="B6" s="6"/>
      <c r="C6" s="6"/>
      <c r="D6" s="6"/>
      <c r="E6" s="6">
        <v>1110</v>
      </c>
      <c r="F6" s="6" t="s">
        <v>28</v>
      </c>
      <c r="G6" s="6"/>
      <c r="H6" s="7"/>
      <c r="I6" s="8">
        <v>500</v>
      </c>
    </row>
    <row r="7" spans="1:9" outlineLevel="1">
      <c r="A7" s="9"/>
      <c r="B7" s="6"/>
      <c r="C7" s="6"/>
      <c r="D7" s="6"/>
      <c r="E7" s="10" t="s">
        <v>30</v>
      </c>
      <c r="F7" s="6"/>
      <c r="G7" s="6"/>
      <c r="H7" s="7">
        <f>SUBTOTAL(9,H3:H6)</f>
        <v>5000</v>
      </c>
      <c r="I7" s="8">
        <f>SUBTOTAL(9,I3:I6)</f>
        <v>2700</v>
      </c>
    </row>
    <row r="8" spans="1:9" outlineLevel="2">
      <c r="A8" s="9"/>
      <c r="B8" s="6"/>
      <c r="C8" s="6"/>
      <c r="D8" s="6"/>
      <c r="E8" s="6">
        <v>1120</v>
      </c>
      <c r="F8" s="6" t="s">
        <v>31</v>
      </c>
      <c r="G8" s="6"/>
      <c r="H8" s="7"/>
      <c r="I8" s="8">
        <v>5000</v>
      </c>
    </row>
    <row r="9" spans="1:9" outlineLevel="2">
      <c r="A9" s="9">
        <v>2006</v>
      </c>
      <c r="B9" s="6">
        <v>1</v>
      </c>
      <c r="C9" s="6">
        <v>5</v>
      </c>
      <c r="D9" s="6">
        <v>2</v>
      </c>
      <c r="E9" s="6">
        <v>1120</v>
      </c>
      <c r="F9" s="6" t="s">
        <v>32</v>
      </c>
      <c r="G9" s="6" t="s">
        <v>33</v>
      </c>
      <c r="H9" s="7">
        <v>2000</v>
      </c>
      <c r="I9" s="8"/>
    </row>
    <row r="10" spans="1:9" outlineLevel="2">
      <c r="A10" s="9">
        <v>2006</v>
      </c>
      <c r="B10" s="6">
        <v>1</v>
      </c>
      <c r="C10" s="6">
        <v>8</v>
      </c>
      <c r="D10" s="6">
        <v>3</v>
      </c>
      <c r="E10" s="6">
        <v>1120</v>
      </c>
      <c r="F10" s="6" t="s">
        <v>31</v>
      </c>
      <c r="G10" s="6" t="s">
        <v>34</v>
      </c>
      <c r="H10" s="7">
        <v>8000</v>
      </c>
      <c r="I10" s="8"/>
    </row>
    <row r="11" spans="1:9" outlineLevel="2">
      <c r="A11" s="9"/>
      <c r="B11" s="6"/>
      <c r="C11" s="6"/>
      <c r="D11" s="6"/>
      <c r="E11" s="6">
        <v>1120</v>
      </c>
      <c r="F11" s="6" t="s">
        <v>31</v>
      </c>
      <c r="G11" s="6"/>
      <c r="H11" s="7"/>
      <c r="I11" s="8">
        <v>10000</v>
      </c>
    </row>
    <row r="12" spans="1:9" outlineLevel="2">
      <c r="A12" s="9"/>
      <c r="B12" s="6"/>
      <c r="C12" s="6"/>
      <c r="D12" s="6"/>
      <c r="E12" s="6">
        <v>1120</v>
      </c>
      <c r="F12" s="6" t="s">
        <v>31</v>
      </c>
      <c r="G12" s="6"/>
      <c r="H12" s="7"/>
      <c r="I12" s="8">
        <v>20</v>
      </c>
    </row>
    <row r="13" spans="1:9" outlineLevel="2">
      <c r="A13" s="9">
        <v>2006</v>
      </c>
      <c r="B13" s="6">
        <v>1</v>
      </c>
      <c r="C13" s="6">
        <v>28</v>
      </c>
      <c r="D13" s="6">
        <v>11</v>
      </c>
      <c r="E13" s="6">
        <v>1120</v>
      </c>
      <c r="F13" s="6" t="s">
        <v>31</v>
      </c>
      <c r="G13" s="6" t="s">
        <v>33</v>
      </c>
      <c r="H13" s="7">
        <v>5000</v>
      </c>
      <c r="I13" s="8"/>
    </row>
    <row r="14" spans="1:9" outlineLevel="2">
      <c r="A14" s="9">
        <v>2006</v>
      </c>
      <c r="B14" s="6">
        <v>1</v>
      </c>
      <c r="C14" s="6">
        <v>29</v>
      </c>
      <c r="D14" s="6">
        <v>12</v>
      </c>
      <c r="E14" s="6">
        <v>1120</v>
      </c>
      <c r="F14" s="6" t="s">
        <v>31</v>
      </c>
      <c r="G14" s="6" t="s">
        <v>34</v>
      </c>
      <c r="H14" s="7">
        <v>6200</v>
      </c>
      <c r="I14" s="8"/>
    </row>
    <row r="15" spans="1:9" outlineLevel="1">
      <c r="A15" s="9"/>
      <c r="B15" s="6"/>
      <c r="C15" s="6"/>
      <c r="D15" s="6"/>
      <c r="E15" s="11" t="s">
        <v>35</v>
      </c>
      <c r="F15" s="6"/>
      <c r="G15" s="6"/>
      <c r="H15" s="7">
        <f>SUBTOTAL(9,H8:H14)</f>
        <v>21200</v>
      </c>
      <c r="I15" s="8">
        <f>SUBTOTAL(9,I8:I14)</f>
        <v>15020</v>
      </c>
    </row>
    <row r="16" spans="1:9" outlineLevel="2">
      <c r="A16" s="9"/>
      <c r="B16" s="6"/>
      <c r="C16" s="6"/>
      <c r="D16" s="6"/>
      <c r="E16" s="6">
        <v>1150</v>
      </c>
      <c r="F16" s="6" t="s">
        <v>36</v>
      </c>
      <c r="G16" s="6"/>
      <c r="H16" s="12"/>
      <c r="I16" s="13">
        <v>2000</v>
      </c>
    </row>
    <row r="17" spans="1:9" outlineLevel="2">
      <c r="A17" s="9">
        <v>2006</v>
      </c>
      <c r="B17" s="6">
        <v>1</v>
      </c>
      <c r="C17" s="6">
        <v>12</v>
      </c>
      <c r="D17" s="6">
        <v>5</v>
      </c>
      <c r="E17" s="6">
        <v>1150</v>
      </c>
      <c r="F17" s="6" t="s">
        <v>37</v>
      </c>
      <c r="G17" s="6" t="s">
        <v>38</v>
      </c>
      <c r="H17" s="7">
        <v>5000</v>
      </c>
      <c r="I17" s="8"/>
    </row>
    <row r="18" spans="1:9" outlineLevel="2">
      <c r="A18" s="9"/>
      <c r="B18" s="6"/>
      <c r="C18" s="6"/>
      <c r="D18" s="6"/>
      <c r="E18" s="6">
        <v>1150</v>
      </c>
      <c r="F18" s="6" t="s">
        <v>37</v>
      </c>
      <c r="G18" s="6"/>
      <c r="H18" s="7"/>
      <c r="I18" s="8">
        <v>5000</v>
      </c>
    </row>
    <row r="19" spans="1:9" outlineLevel="1">
      <c r="A19" s="9"/>
      <c r="B19" s="6"/>
      <c r="C19" s="6"/>
      <c r="D19" s="6"/>
      <c r="E19" s="11" t="s">
        <v>39</v>
      </c>
      <c r="F19" s="6"/>
      <c r="G19" s="6"/>
      <c r="H19" s="7">
        <f>SUBTOTAL(9,H16:H18)</f>
        <v>5000</v>
      </c>
      <c r="I19" s="8">
        <f>SUBTOTAL(9,I16:I18)</f>
        <v>7000</v>
      </c>
    </row>
    <row r="20" spans="1:9" outlineLevel="2">
      <c r="A20" s="9"/>
      <c r="B20" s="6"/>
      <c r="C20" s="6"/>
      <c r="D20" s="6"/>
      <c r="E20" s="6">
        <v>1170</v>
      </c>
      <c r="F20" s="6" t="s">
        <v>40</v>
      </c>
      <c r="G20" s="6"/>
      <c r="H20" s="7"/>
      <c r="I20" s="8">
        <v>6000</v>
      </c>
    </row>
    <row r="21" spans="1:9" outlineLevel="2">
      <c r="A21" s="9"/>
      <c r="B21" s="6"/>
      <c r="C21" s="6"/>
      <c r="D21" s="6"/>
      <c r="E21" s="6">
        <v>1170</v>
      </c>
      <c r="F21" s="6" t="s">
        <v>40</v>
      </c>
      <c r="G21" s="6"/>
      <c r="H21" s="7"/>
      <c r="I21" s="8">
        <v>5000</v>
      </c>
    </row>
    <row r="22" spans="1:9" outlineLevel="1">
      <c r="A22" s="9"/>
      <c r="B22" s="6"/>
      <c r="C22" s="6"/>
      <c r="D22" s="6"/>
      <c r="E22" s="11" t="s">
        <v>41</v>
      </c>
      <c r="F22" s="6"/>
      <c r="G22" s="6"/>
      <c r="H22" s="7">
        <f>SUBTOTAL(9,H20:H21)</f>
        <v>0</v>
      </c>
      <c r="I22" s="8">
        <f>SUBTOTAL(9,I20:I21)</f>
        <v>11000</v>
      </c>
    </row>
    <row r="23" spans="1:9" outlineLevel="1">
      <c r="A23" s="5">
        <v>2006</v>
      </c>
      <c r="B23" s="6">
        <v>1</v>
      </c>
      <c r="C23" s="6">
        <v>15</v>
      </c>
      <c r="D23" s="6">
        <v>6</v>
      </c>
      <c r="E23" s="6">
        <v>1440</v>
      </c>
      <c r="F23" s="6" t="s">
        <v>42</v>
      </c>
      <c r="G23" s="6" t="s">
        <v>43</v>
      </c>
      <c r="H23" s="7">
        <v>10000</v>
      </c>
      <c r="I23" s="8"/>
    </row>
    <row r="24" spans="1:9" outlineLevel="1">
      <c r="A24" s="5"/>
      <c r="B24" s="6"/>
      <c r="C24" s="6"/>
      <c r="D24" s="6"/>
      <c r="E24" s="11" t="s">
        <v>44</v>
      </c>
      <c r="F24" s="6"/>
      <c r="G24" s="6"/>
      <c r="H24" s="7">
        <f>SUBTOTAL(9,H23:H23)</f>
        <v>10000</v>
      </c>
      <c r="I24" s="8">
        <f>SUBTOTAL(9,I23:I23)</f>
        <v>0</v>
      </c>
    </row>
    <row r="25" spans="1:9" outlineLevel="1">
      <c r="A25" s="9">
        <v>2006</v>
      </c>
      <c r="B25" s="6">
        <v>1</v>
      </c>
      <c r="C25" s="6">
        <v>18</v>
      </c>
      <c r="D25" s="6">
        <v>7</v>
      </c>
      <c r="E25" s="6">
        <v>1457</v>
      </c>
      <c r="F25" s="6" t="s">
        <v>45</v>
      </c>
      <c r="G25" s="6" t="s">
        <v>46</v>
      </c>
      <c r="H25" s="7">
        <v>2000</v>
      </c>
      <c r="I25" s="8"/>
    </row>
    <row r="26" spans="1:9" outlineLevel="1">
      <c r="A26" s="9"/>
      <c r="B26" s="6"/>
      <c r="C26" s="6"/>
      <c r="D26" s="6"/>
      <c r="E26" s="11" t="s">
        <v>47</v>
      </c>
      <c r="F26" s="6"/>
      <c r="G26" s="6"/>
      <c r="H26" s="7">
        <f>SUBTOTAL(9,H25:H25)</f>
        <v>2000</v>
      </c>
      <c r="I26" s="8">
        <f>SUBTOTAL(9,I25:I25)</f>
        <v>0</v>
      </c>
    </row>
    <row r="27" spans="1:9" outlineLevel="2">
      <c r="A27" s="9"/>
      <c r="B27" s="6"/>
      <c r="C27" s="6"/>
      <c r="D27" s="6"/>
      <c r="E27" s="6">
        <v>4100</v>
      </c>
      <c r="F27" s="6" t="s">
        <v>48</v>
      </c>
      <c r="G27" s="6"/>
      <c r="H27" s="7"/>
      <c r="I27" s="8">
        <v>8000</v>
      </c>
    </row>
    <row r="28" spans="1:9" outlineLevel="2">
      <c r="A28" s="9"/>
      <c r="B28" s="6"/>
      <c r="C28" s="6"/>
      <c r="D28" s="6"/>
      <c r="E28" s="6">
        <v>4100</v>
      </c>
      <c r="F28" s="6" t="s">
        <v>48</v>
      </c>
      <c r="G28" s="6"/>
      <c r="H28" s="7"/>
      <c r="I28" s="8">
        <v>5000</v>
      </c>
    </row>
    <row r="29" spans="1:9" outlineLevel="2">
      <c r="A29" s="9"/>
      <c r="B29" s="6"/>
      <c r="C29" s="6"/>
      <c r="D29" s="6"/>
      <c r="E29" s="6">
        <v>4100</v>
      </c>
      <c r="F29" s="6" t="s">
        <v>48</v>
      </c>
      <c r="G29" s="6"/>
      <c r="H29" s="7"/>
      <c r="I29" s="8">
        <v>6200</v>
      </c>
    </row>
    <row r="30" spans="1:9" outlineLevel="1">
      <c r="A30" s="9"/>
      <c r="B30" s="6"/>
      <c r="C30" s="6"/>
      <c r="D30" s="6"/>
      <c r="E30" s="11" t="s">
        <v>49</v>
      </c>
      <c r="F30" s="6"/>
      <c r="G30" s="6"/>
      <c r="H30" s="7">
        <f>SUBTOTAL(9,H27:H29)</f>
        <v>0</v>
      </c>
      <c r="I30" s="8">
        <f>SUBTOTAL(9,I27:I29)</f>
        <v>19200</v>
      </c>
    </row>
    <row r="31" spans="1:9" outlineLevel="2">
      <c r="A31" s="9">
        <v>2006</v>
      </c>
      <c r="B31" s="6">
        <v>1</v>
      </c>
      <c r="C31" s="6">
        <v>10</v>
      </c>
      <c r="D31" s="6">
        <v>4</v>
      </c>
      <c r="E31" s="6">
        <v>5110</v>
      </c>
      <c r="F31" s="6" t="s">
        <v>50</v>
      </c>
      <c r="G31" s="6" t="s">
        <v>51</v>
      </c>
      <c r="H31" s="7">
        <v>6000</v>
      </c>
      <c r="I31" s="8"/>
    </row>
    <row r="32" spans="1:9" outlineLevel="2">
      <c r="A32" s="9">
        <v>2006</v>
      </c>
      <c r="B32" s="6">
        <v>1</v>
      </c>
      <c r="C32" s="6">
        <v>31</v>
      </c>
      <c r="D32" s="6">
        <v>13</v>
      </c>
      <c r="E32" s="6">
        <v>5110</v>
      </c>
      <c r="F32" s="6" t="s">
        <v>50</v>
      </c>
      <c r="G32" s="6" t="s">
        <v>51</v>
      </c>
      <c r="H32" s="7">
        <v>5000</v>
      </c>
      <c r="I32" s="8"/>
    </row>
    <row r="33" spans="1:9" outlineLevel="1">
      <c r="A33" s="9"/>
      <c r="B33" s="6"/>
      <c r="C33" s="6"/>
      <c r="D33" s="6"/>
      <c r="E33" s="11" t="s">
        <v>52</v>
      </c>
      <c r="F33" s="6"/>
      <c r="G33" s="6"/>
      <c r="H33" s="7">
        <f>SUBTOTAL(9,H31:H32)</f>
        <v>11000</v>
      </c>
      <c r="I33" s="8">
        <f>SUBTOTAL(9,I31:I32)</f>
        <v>0</v>
      </c>
    </row>
    <row r="34" spans="1:9" outlineLevel="1">
      <c r="A34" s="9">
        <v>2006</v>
      </c>
      <c r="B34" s="6">
        <v>1</v>
      </c>
      <c r="C34" s="6">
        <v>20</v>
      </c>
      <c r="D34" s="6">
        <v>8</v>
      </c>
      <c r="E34" s="6">
        <v>6150</v>
      </c>
      <c r="F34" s="6" t="s">
        <v>53</v>
      </c>
      <c r="G34" s="6" t="s">
        <v>54</v>
      </c>
      <c r="H34" s="7">
        <v>200</v>
      </c>
      <c r="I34" s="8"/>
    </row>
    <row r="35" spans="1:9" outlineLevel="1">
      <c r="A35" s="9"/>
      <c r="B35" s="6"/>
      <c r="C35" s="6"/>
      <c r="D35" s="6"/>
      <c r="E35" s="11" t="s">
        <v>55</v>
      </c>
      <c r="F35" s="6"/>
      <c r="G35" s="6"/>
      <c r="H35" s="7">
        <f>SUBTOTAL(9,H34:H34)</f>
        <v>200</v>
      </c>
      <c r="I35" s="8">
        <f>SUBTOTAL(9,I34:I34)</f>
        <v>0</v>
      </c>
    </row>
    <row r="36" spans="1:9" outlineLevel="1">
      <c r="A36" s="9">
        <v>2006</v>
      </c>
      <c r="B36" s="6">
        <v>1</v>
      </c>
      <c r="C36" s="6">
        <v>21</v>
      </c>
      <c r="D36" s="6">
        <v>9</v>
      </c>
      <c r="E36" s="6">
        <v>6170</v>
      </c>
      <c r="F36" s="6" t="s">
        <v>56</v>
      </c>
      <c r="G36" s="6" t="s">
        <v>57</v>
      </c>
      <c r="H36" s="7">
        <v>500</v>
      </c>
      <c r="I36" s="8"/>
    </row>
    <row r="37" spans="1:9" outlineLevel="1">
      <c r="A37" s="9"/>
      <c r="B37" s="6"/>
      <c r="C37" s="6"/>
      <c r="D37" s="6"/>
      <c r="E37" s="11" t="s">
        <v>58</v>
      </c>
      <c r="F37" s="6"/>
      <c r="G37" s="6"/>
      <c r="H37" s="7">
        <f>SUBTOTAL(9,H36:H36)</f>
        <v>500</v>
      </c>
      <c r="I37" s="8">
        <f>SUBTOTAL(9,I36:I36)</f>
        <v>0</v>
      </c>
    </row>
    <row r="38" spans="1:9" outlineLevel="1">
      <c r="A38" s="9">
        <v>2006</v>
      </c>
      <c r="B38" s="6">
        <v>1</v>
      </c>
      <c r="C38" s="6">
        <v>25</v>
      </c>
      <c r="D38" s="6">
        <v>10</v>
      </c>
      <c r="E38" s="6">
        <v>7210</v>
      </c>
      <c r="F38" s="6" t="s">
        <v>59</v>
      </c>
      <c r="G38" s="6" t="s">
        <v>60</v>
      </c>
      <c r="H38" s="7">
        <v>20</v>
      </c>
      <c r="I38" s="8"/>
    </row>
    <row r="39" spans="1:9" outlineLevel="1">
      <c r="A39" s="9"/>
      <c r="B39" s="6"/>
      <c r="C39" s="6"/>
      <c r="D39" s="6"/>
      <c r="E39" s="11" t="s">
        <v>61</v>
      </c>
      <c r="F39" s="6"/>
      <c r="G39" s="6"/>
      <c r="H39" s="7">
        <f>SUBTOTAL(9,H38:H38)</f>
        <v>20</v>
      </c>
      <c r="I39" s="8">
        <f>SUBTOTAL(9,I38:I38)</f>
        <v>0</v>
      </c>
    </row>
    <row r="40" spans="1:9">
      <c r="A40" s="9"/>
      <c r="B40" s="6"/>
      <c r="C40" s="6"/>
      <c r="D40" s="6"/>
      <c r="E40" s="11" t="s">
        <v>62</v>
      </c>
      <c r="F40" s="6"/>
      <c r="G40" s="6"/>
      <c r="H40" s="7">
        <f>SUBTOTAL(9,H3:H38)</f>
        <v>54920</v>
      </c>
      <c r="I40" s="8">
        <f>SUBTOTAL(9,I3:I38)</f>
        <v>54920</v>
      </c>
    </row>
  </sheetData>
  <mergeCells count="1">
    <mergeCell ref="A1:I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利润表</vt:lpstr>
      <vt:lpstr>汇总表</vt:lpstr>
    </vt:vector>
  </TitlesOfParts>
  <Company>gw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</dc:creator>
  <cp:lastModifiedBy>syq</cp:lastModifiedBy>
  <dcterms:created xsi:type="dcterms:W3CDTF">2006-03-07T23:47:08Z</dcterms:created>
  <dcterms:modified xsi:type="dcterms:W3CDTF">2008-01-19T00:34:42Z</dcterms:modified>
</cp:coreProperties>
</file>