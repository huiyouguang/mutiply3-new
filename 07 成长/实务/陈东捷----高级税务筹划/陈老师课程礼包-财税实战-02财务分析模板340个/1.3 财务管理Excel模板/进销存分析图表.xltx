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Default Extension="jpeg" ContentType="image/jpeg"/>
  <Override PartName="/xl/charts/chart2.xml" ContentType="application/vnd.openxmlformats-officedocument.drawingml.chart+xml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2.xml" ContentType="application/vnd.openxmlformats-officedocument.spreadsheetml.pivotCacheDefinition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calcChain.xml" ContentType="application/vnd.openxmlformats-officedocument.spreadsheetml.calcChain+xml"/>
  <Override PartName="/xl/chartsheets/sheet2.xml" ContentType="application/vnd.openxmlformats-officedocument.spreadsheetml.chartsheet+xml"/>
  <Override PartName="/xl/sharedStrings.xml" ContentType="application/vnd.openxmlformats-officedocument.spreadsheetml.sharedStrings+xml"/>
  <Override PartName="/xl/chartsheets/sheet1.xml" ContentType="application/vnd.openxmlformats-officedocument.spreadsheetml.chartsheet+xml"/>
  <Override PartName="/xl/pivotCache/pivotCacheRecords1.xml" ContentType="application/vnd.openxmlformats-officedocument.spreadsheetml.pivotCacheRecords+xml"/>
  <Override PartName="/xl/pivotCache/pivotCacheRecords2.xml" ContentType="application/vnd.openxmlformats-officedocument.spreadsheetml.pivotCacheRecord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refreshAllConnections="1" defaultThemeVersion="124226"/>
  <bookViews>
    <workbookView xWindow="240" yWindow="72" windowWidth="12384" windowHeight="5568" firstSheet="5" activeTab="7"/>
  </bookViews>
  <sheets>
    <sheet name="采购数量透视表" sheetId="6" r:id="rId1"/>
    <sheet name="采购数据" sheetId="1" r:id="rId2"/>
    <sheet name="销售数量透视表" sheetId="10" r:id="rId3"/>
    <sheet name="销售数据" sheetId="2" r:id="rId4"/>
    <sheet name="应收账款账期金额分析图" sheetId="12" r:id="rId5"/>
    <sheet name="应收账款账期比例分析图" sheetId="14" r:id="rId6"/>
    <sheet name="应收账款数据" sheetId="3" r:id="rId7"/>
    <sheet name="应付账款数据" sheetId="15" r:id="rId8"/>
  </sheets>
  <calcPr calcId="124519"/>
  <pivotCaches>
    <pivotCache cacheId="5" r:id="rId9"/>
    <pivotCache cacheId="7" r:id="rId10"/>
  </pivotCaches>
</workbook>
</file>

<file path=xl/calcChain.xml><?xml version="1.0" encoding="utf-8"?>
<calcChain xmlns="http://schemas.openxmlformats.org/spreadsheetml/2006/main">
  <c r="G3" i="2"/>
  <c r="G4"/>
  <c r="G5"/>
  <c r="G6"/>
  <c r="G7"/>
  <c r="G8"/>
  <c r="G9"/>
  <c r="G10"/>
</calcChain>
</file>

<file path=xl/sharedStrings.xml><?xml version="1.0" encoding="utf-8"?>
<sst xmlns="http://schemas.openxmlformats.org/spreadsheetml/2006/main" count="184" uniqueCount="73">
  <si>
    <t>总计</t>
  </si>
  <si>
    <t>ABC</t>
  </si>
  <si>
    <t>包</t>
  </si>
  <si>
    <t>采购记录单</t>
    <phoneticPr fontId="1" type="noConversion"/>
  </si>
  <si>
    <t>序号</t>
    <phoneticPr fontId="1" type="noConversion"/>
  </si>
  <si>
    <t>原料名称</t>
    <phoneticPr fontId="1" type="noConversion"/>
  </si>
  <si>
    <t>规格型号</t>
    <phoneticPr fontId="1" type="noConversion"/>
  </si>
  <si>
    <t>采购数量</t>
    <phoneticPr fontId="1" type="noConversion"/>
  </si>
  <si>
    <t>单位</t>
    <phoneticPr fontId="1" type="noConversion"/>
  </si>
  <si>
    <t>单价</t>
    <phoneticPr fontId="1" type="noConversion"/>
  </si>
  <si>
    <t>金额</t>
    <phoneticPr fontId="1" type="noConversion"/>
  </si>
  <si>
    <t>定购日期</t>
    <phoneticPr fontId="1" type="noConversion"/>
  </si>
  <si>
    <t>交货日期</t>
    <phoneticPr fontId="1" type="noConversion"/>
  </si>
  <si>
    <t>交货数量</t>
    <phoneticPr fontId="1" type="noConversion"/>
  </si>
  <si>
    <t>供应商</t>
    <phoneticPr fontId="1" type="noConversion"/>
  </si>
  <si>
    <t>A公司</t>
    <phoneticPr fontId="1" type="noConversion"/>
  </si>
  <si>
    <t>B公司</t>
    <phoneticPr fontId="1" type="noConversion"/>
  </si>
  <si>
    <t>C公司</t>
    <phoneticPr fontId="1" type="noConversion"/>
  </si>
  <si>
    <t>D公司</t>
    <phoneticPr fontId="1" type="noConversion"/>
  </si>
  <si>
    <t>E公司</t>
    <phoneticPr fontId="1" type="noConversion"/>
  </si>
  <si>
    <t>F公司</t>
    <phoneticPr fontId="1" type="noConversion"/>
  </si>
  <si>
    <t>G公司</t>
    <phoneticPr fontId="1" type="noConversion"/>
  </si>
  <si>
    <t>H公司</t>
    <phoneticPr fontId="1" type="noConversion"/>
  </si>
  <si>
    <t>求和项:值</t>
  </si>
  <si>
    <t>列</t>
  </si>
  <si>
    <t>行</t>
  </si>
  <si>
    <t>采购数量</t>
  </si>
  <si>
    <t>页1</t>
  </si>
  <si>
    <t>(全部)</t>
  </si>
  <si>
    <t>销售记录单</t>
    <phoneticPr fontId="1" type="noConversion"/>
  </si>
  <si>
    <t>销售日期</t>
    <phoneticPr fontId="1" type="noConversion"/>
  </si>
  <si>
    <t>原料名称</t>
    <phoneticPr fontId="1" type="noConversion"/>
  </si>
  <si>
    <t>规格型号</t>
    <phoneticPr fontId="1" type="noConversion"/>
  </si>
  <si>
    <t>单位</t>
    <phoneticPr fontId="1" type="noConversion"/>
  </si>
  <si>
    <t>销售数量</t>
    <phoneticPr fontId="1" type="noConversion"/>
  </si>
  <si>
    <t>单价</t>
    <phoneticPr fontId="1" type="noConversion"/>
  </si>
  <si>
    <t>金额</t>
    <phoneticPr fontId="1" type="noConversion"/>
  </si>
  <si>
    <t>ABC</t>
    <phoneticPr fontId="1" type="noConversion"/>
  </si>
  <si>
    <t>包</t>
    <phoneticPr fontId="1" type="noConversion"/>
  </si>
  <si>
    <t>原料名称</t>
  </si>
  <si>
    <t>销售日期</t>
  </si>
  <si>
    <t>数据</t>
  </si>
  <si>
    <t>求和项:销售数量</t>
  </si>
  <si>
    <t>求和项:金额</t>
  </si>
  <si>
    <t>求和项:销售数量汇总</t>
  </si>
  <si>
    <t>求和项:金额汇总</t>
  </si>
  <si>
    <t>锦耀公司</t>
  </si>
  <si>
    <t/>
  </si>
  <si>
    <t>利昌公司</t>
  </si>
  <si>
    <t>神龙企业</t>
  </si>
  <si>
    <t>大信公司</t>
  </si>
  <si>
    <t>康达公司</t>
  </si>
  <si>
    <t>应收账款分析</t>
    <phoneticPr fontId="1" type="noConversion"/>
  </si>
  <si>
    <t>客户名称</t>
    <phoneticPr fontId="1" type="noConversion"/>
  </si>
  <si>
    <t>账款到期日</t>
    <phoneticPr fontId="1" type="noConversion"/>
  </si>
  <si>
    <t>当前日期</t>
    <phoneticPr fontId="1" type="noConversion"/>
  </si>
  <si>
    <t>应收金额</t>
    <phoneticPr fontId="1" type="noConversion"/>
  </si>
  <si>
    <t>账期分析</t>
    <phoneticPr fontId="1" type="noConversion"/>
  </si>
  <si>
    <t>0～10天</t>
    <phoneticPr fontId="1" type="noConversion"/>
  </si>
  <si>
    <t>11-25天</t>
    <phoneticPr fontId="1" type="noConversion"/>
  </si>
  <si>
    <t>26～45天</t>
    <phoneticPr fontId="1" type="noConversion"/>
  </si>
  <si>
    <t>46-80天</t>
    <phoneticPr fontId="1" type="noConversion"/>
  </si>
  <si>
    <t>80天以上</t>
    <phoneticPr fontId="1" type="noConversion"/>
  </si>
  <si>
    <t>应收金额合计：</t>
    <phoneticPr fontId="1" type="noConversion"/>
  </si>
  <si>
    <t>应收金额比例：</t>
    <phoneticPr fontId="1" type="noConversion"/>
  </si>
  <si>
    <t>ABC公司</t>
  </si>
  <si>
    <t>顺达公司</t>
  </si>
  <si>
    <t>应付账款分析</t>
    <phoneticPr fontId="1" type="noConversion"/>
  </si>
  <si>
    <t>应付金额</t>
    <phoneticPr fontId="1" type="noConversion"/>
  </si>
  <si>
    <t>11～25天</t>
    <phoneticPr fontId="1" type="noConversion"/>
  </si>
  <si>
    <t>46～80天</t>
    <phoneticPr fontId="1" type="noConversion"/>
  </si>
  <si>
    <t>应付金额合计：</t>
    <phoneticPr fontId="1" type="noConversion"/>
  </si>
  <si>
    <t>应付金额比例：</t>
    <phoneticPr fontId="1" type="noConversion"/>
  </si>
</sst>
</file>

<file path=xl/styles.xml><?xml version="1.0" encoding="utf-8"?>
<styleSheet xmlns="http://schemas.openxmlformats.org/spreadsheetml/2006/main">
  <numFmts count="3">
    <numFmt numFmtId="5" formatCode="&quot;￥&quot;#,##0;&quot;￥&quot;\-#,##0"/>
    <numFmt numFmtId="176" formatCode="00"/>
    <numFmt numFmtId="177" formatCode="0.00_);[Red]\(0.00\)"/>
  </numFmts>
  <fonts count="6">
    <font>
      <sz val="12"/>
      <name val="宋体"/>
      <charset val="134"/>
    </font>
    <font>
      <sz val="9"/>
      <name val="宋体"/>
      <charset val="134"/>
    </font>
    <font>
      <sz val="14"/>
      <name val="楷体_GB2312"/>
      <family val="3"/>
      <charset val="134"/>
    </font>
    <font>
      <sz val="12"/>
      <color indexed="8"/>
      <name val="宋体"/>
      <charset val="134"/>
    </font>
    <font>
      <sz val="11"/>
      <name val="宋体"/>
      <charset val="134"/>
    </font>
    <font>
      <sz val="16"/>
      <name val="楷体_GB2312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</fills>
  <borders count="29">
    <border>
      <left/>
      <right/>
      <top/>
      <bottom/>
      <diagonal/>
    </border>
    <border>
      <left style="double">
        <color indexed="64"/>
      </left>
      <right style="dashed">
        <color indexed="64"/>
      </right>
      <top style="double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ouble">
        <color indexed="64"/>
      </top>
      <bottom style="dashed">
        <color indexed="64"/>
      </bottom>
      <diagonal/>
    </border>
    <border>
      <left style="dashed">
        <color indexed="64"/>
      </left>
      <right style="double">
        <color indexed="64"/>
      </right>
      <top style="double">
        <color indexed="64"/>
      </top>
      <bottom style="dashed">
        <color indexed="64"/>
      </bottom>
      <diagonal/>
    </border>
    <border>
      <left style="double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ouble">
        <color indexed="64"/>
      </right>
      <top style="dashed">
        <color indexed="64"/>
      </top>
      <bottom style="dashed">
        <color indexed="64"/>
      </bottom>
      <diagonal/>
    </border>
    <border>
      <left style="double">
        <color indexed="64"/>
      </left>
      <right style="dashed">
        <color indexed="64"/>
      </right>
      <top style="dashed">
        <color indexed="64"/>
      </top>
      <bottom style="double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ouble">
        <color indexed="64"/>
      </bottom>
      <diagonal/>
    </border>
    <border>
      <left style="dashed">
        <color indexed="64"/>
      </left>
      <right style="double">
        <color indexed="64"/>
      </right>
      <top style="dashed">
        <color indexed="64"/>
      </top>
      <bottom style="double">
        <color indexed="64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65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8"/>
      </left>
      <right style="thin">
        <color indexed="8"/>
      </right>
      <top style="thin">
        <color indexed="65"/>
      </top>
      <bottom/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ouble">
        <color indexed="64"/>
      </left>
      <right/>
      <top style="dashed">
        <color indexed="64"/>
      </top>
      <bottom style="double">
        <color indexed="64"/>
      </bottom>
      <diagonal/>
    </border>
    <border>
      <left/>
      <right/>
      <top style="dashed">
        <color indexed="64"/>
      </top>
      <bottom style="double">
        <color indexed="64"/>
      </bottom>
      <diagonal/>
    </border>
    <border>
      <left/>
      <right style="dashed">
        <color indexed="64"/>
      </right>
      <top style="dashed">
        <color indexed="64"/>
      </top>
      <bottom style="double">
        <color indexed="64"/>
      </bottom>
      <diagonal/>
    </border>
    <border>
      <left style="dashed">
        <color indexed="64"/>
      </left>
      <right style="dashed">
        <color indexed="64"/>
      </right>
      <top style="double">
        <color indexed="64"/>
      </top>
      <bottom/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</borders>
  <cellStyleXfs count="1">
    <xf numFmtId="0" fontId="0" fillId="0" borderId="0">
      <alignment vertical="center"/>
    </xf>
  </cellStyleXfs>
  <cellXfs count="90">
    <xf numFmtId="0" fontId="0" fillId="0" borderId="0" xfId="0">
      <alignment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176" fontId="4" fillId="0" borderId="5" xfId="0" applyNumberFormat="1" applyFont="1" applyBorder="1" applyAlignment="1">
      <alignment horizontal="center" vertical="center"/>
    </xf>
    <xf numFmtId="177" fontId="4" fillId="0" borderId="5" xfId="0" applyNumberFormat="1" applyFont="1" applyBorder="1" applyAlignment="1">
      <alignment horizontal="center" vertical="center"/>
    </xf>
    <xf numFmtId="14" fontId="4" fillId="0" borderId="5" xfId="0" applyNumberFormat="1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176" fontId="4" fillId="0" borderId="8" xfId="0" applyNumberFormat="1" applyFont="1" applyBorder="1" applyAlignment="1">
      <alignment horizontal="center" vertical="center"/>
    </xf>
    <xf numFmtId="177" fontId="4" fillId="0" borderId="8" xfId="0" applyNumberFormat="1" applyFont="1" applyBorder="1" applyAlignment="1">
      <alignment horizontal="center" vertical="center"/>
    </xf>
    <xf numFmtId="14" fontId="4" fillId="0" borderId="8" xfId="0" applyNumberFormat="1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0" fillId="0" borderId="10" xfId="0" pivotButton="1" applyBorder="1">
      <alignment vertical="center"/>
    </xf>
    <xf numFmtId="0" fontId="0" fillId="0" borderId="11" xfId="0" applyBorder="1">
      <alignment vertical="center"/>
    </xf>
    <xf numFmtId="0" fontId="0" fillId="0" borderId="10" xfId="0" applyBorder="1">
      <alignment vertical="center"/>
    </xf>
    <xf numFmtId="0" fontId="0" fillId="0" borderId="12" xfId="0" applyBorder="1">
      <alignment vertical="center"/>
    </xf>
    <xf numFmtId="0" fontId="0" fillId="0" borderId="10" xfId="0" applyNumberFormat="1" applyBorder="1">
      <alignment vertical="center"/>
    </xf>
    <xf numFmtId="0" fontId="0" fillId="0" borderId="12" xfId="0" applyNumberFormat="1" applyBorder="1">
      <alignment vertical="center"/>
    </xf>
    <xf numFmtId="0" fontId="0" fillId="0" borderId="13" xfId="0" applyBorder="1">
      <alignment vertical="center"/>
    </xf>
    <xf numFmtId="0" fontId="0" fillId="0" borderId="13" xfId="0" applyNumberFormat="1" applyBorder="1">
      <alignment vertical="center"/>
    </xf>
    <xf numFmtId="0" fontId="0" fillId="0" borderId="14" xfId="0" applyNumberFormat="1" applyBorder="1">
      <alignment vertical="center"/>
    </xf>
    <xf numFmtId="0" fontId="0" fillId="0" borderId="15" xfId="0" applyBorder="1">
      <alignment vertical="center"/>
    </xf>
    <xf numFmtId="0" fontId="0" fillId="0" borderId="15" xfId="0" applyNumberFormat="1" applyBorder="1">
      <alignment vertical="center"/>
    </xf>
    <xf numFmtId="0" fontId="0" fillId="0" borderId="16" xfId="0" applyNumberFormat="1" applyBorder="1">
      <alignment vertical="center"/>
    </xf>
    <xf numFmtId="0" fontId="0" fillId="0" borderId="16" xfId="0" pivotButton="1" applyBorder="1">
      <alignment vertical="center"/>
    </xf>
    <xf numFmtId="0" fontId="0" fillId="0" borderId="16" xfId="0" applyBorder="1">
      <alignment vertical="center"/>
    </xf>
    <xf numFmtId="14" fontId="4" fillId="0" borderId="4" xfId="0" applyNumberFormat="1" applyFont="1" applyBorder="1" applyAlignment="1">
      <alignment horizontal="center" vertical="center"/>
    </xf>
    <xf numFmtId="177" fontId="4" fillId="0" borderId="6" xfId="0" applyNumberFormat="1" applyFont="1" applyBorder="1" applyAlignment="1">
      <alignment horizontal="center" vertical="center"/>
    </xf>
    <xf numFmtId="14" fontId="4" fillId="0" borderId="7" xfId="0" applyNumberFormat="1" applyFont="1" applyBorder="1" applyAlignment="1">
      <alignment horizontal="center" vertical="center"/>
    </xf>
    <xf numFmtId="177" fontId="4" fillId="0" borderId="9" xfId="0" applyNumberFormat="1" applyFont="1" applyBorder="1" applyAlignment="1">
      <alignment horizontal="center" vertical="center"/>
    </xf>
    <xf numFmtId="0" fontId="0" fillId="0" borderId="17" xfId="0" applyBorder="1">
      <alignment vertical="center"/>
    </xf>
    <xf numFmtId="14" fontId="0" fillId="0" borderId="10" xfId="0" applyNumberFormat="1" applyBorder="1">
      <alignment vertical="center"/>
    </xf>
    <xf numFmtId="14" fontId="0" fillId="0" borderId="13" xfId="0" applyNumberFormat="1" applyBorder="1">
      <alignment vertical="center"/>
    </xf>
    <xf numFmtId="0" fontId="0" fillId="0" borderId="18" xfId="0" applyBorder="1">
      <alignment vertical="center"/>
    </xf>
    <xf numFmtId="14" fontId="0" fillId="0" borderId="15" xfId="0" applyNumberFormat="1" applyBorder="1">
      <alignment vertical="center"/>
    </xf>
    <xf numFmtId="0" fontId="0" fillId="0" borderId="17" xfId="0" pivotButton="1" applyBorder="1">
      <alignment vertical="center"/>
    </xf>
    <xf numFmtId="0" fontId="0" fillId="0" borderId="19" xfId="0" applyBorder="1">
      <alignment vertical="center"/>
    </xf>
    <xf numFmtId="0" fontId="0" fillId="2" borderId="5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5" fontId="4" fillId="0" borderId="5" xfId="0" applyNumberFormat="1" applyFont="1" applyBorder="1" applyAlignment="1">
      <alignment horizontal="center" vertical="center"/>
    </xf>
    <xf numFmtId="5" fontId="4" fillId="0" borderId="6" xfId="0" applyNumberFormat="1" applyFont="1" applyBorder="1" applyAlignment="1">
      <alignment horizontal="center" vertical="center"/>
    </xf>
    <xf numFmtId="5" fontId="4" fillId="2" borderId="5" xfId="0" applyNumberFormat="1" applyFont="1" applyFill="1" applyBorder="1" applyAlignment="1">
      <alignment horizontal="center" vertical="center"/>
    </xf>
    <xf numFmtId="5" fontId="4" fillId="2" borderId="6" xfId="0" applyNumberFormat="1" applyFont="1" applyFill="1" applyBorder="1" applyAlignment="1">
      <alignment horizontal="center" vertical="center"/>
    </xf>
    <xf numFmtId="0" fontId="0" fillId="2" borderId="8" xfId="0" applyFill="1" applyBorder="1">
      <alignment vertical="center"/>
    </xf>
    <xf numFmtId="10" fontId="4" fillId="2" borderId="8" xfId="0" applyNumberFormat="1" applyFont="1" applyFill="1" applyBorder="1" applyAlignment="1">
      <alignment horizontal="center" vertical="center"/>
    </xf>
    <xf numFmtId="10" fontId="4" fillId="2" borderId="9" xfId="0" applyNumberFormat="1" applyFont="1" applyFill="1" applyBorder="1" applyAlignment="1">
      <alignment horizontal="center" vertical="center"/>
    </xf>
    <xf numFmtId="0" fontId="0" fillId="3" borderId="0" xfId="0" applyFill="1">
      <alignment vertical="center"/>
    </xf>
    <xf numFmtId="0" fontId="0" fillId="3" borderId="5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14" fontId="4" fillId="3" borderId="5" xfId="0" applyNumberFormat="1" applyFont="1" applyFill="1" applyBorder="1" applyAlignment="1">
      <alignment horizontal="center" vertical="center"/>
    </xf>
    <xf numFmtId="5" fontId="4" fillId="3" borderId="5" xfId="0" applyNumberFormat="1" applyFont="1" applyFill="1" applyBorder="1" applyAlignment="1">
      <alignment horizontal="center" vertical="center"/>
    </xf>
    <xf numFmtId="5" fontId="4" fillId="3" borderId="6" xfId="0" applyNumberFormat="1" applyFont="1" applyFill="1" applyBorder="1" applyAlignment="1">
      <alignment horizontal="center" vertical="center"/>
    </xf>
    <xf numFmtId="0" fontId="0" fillId="3" borderId="8" xfId="0" applyFill="1" applyBorder="1">
      <alignment vertical="center"/>
    </xf>
    <xf numFmtId="10" fontId="4" fillId="3" borderId="8" xfId="0" applyNumberFormat="1" applyFont="1" applyFill="1" applyBorder="1" applyAlignment="1">
      <alignment horizontal="center" vertical="center"/>
    </xf>
    <xf numFmtId="10" fontId="4" fillId="3" borderId="9" xfId="0" applyNumberFormat="1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0" fillId="2" borderId="21" xfId="0" applyFill="1" applyBorder="1" applyAlignment="1">
      <alignment horizontal="center" vertical="center"/>
    </xf>
    <xf numFmtId="0" fontId="0" fillId="2" borderId="22" xfId="0" applyFill="1" applyBorder="1" applyAlignment="1">
      <alignment horizontal="center" vertical="center"/>
    </xf>
    <xf numFmtId="0" fontId="0" fillId="2" borderId="23" xfId="0" applyFill="1" applyBorder="1" applyAlignment="1">
      <alignment horizontal="center" vertical="center"/>
    </xf>
    <xf numFmtId="0" fontId="0" fillId="2" borderId="24" xfId="0" applyFill="1" applyBorder="1" applyAlignment="1">
      <alignment horizontal="center" vertical="center"/>
    </xf>
    <xf numFmtId="0" fontId="0" fillId="2" borderId="25" xfId="0" applyFill="1" applyBorder="1" applyAlignment="1">
      <alignment horizontal="center" vertical="center"/>
    </xf>
    <xf numFmtId="0" fontId="0" fillId="2" borderId="26" xfId="0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27" xfId="0" applyFill="1" applyBorder="1" applyAlignment="1">
      <alignment horizontal="center" vertical="center"/>
    </xf>
    <xf numFmtId="0" fontId="0" fillId="2" borderId="28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3" borderId="21" xfId="0" applyFill="1" applyBorder="1" applyAlignment="1">
      <alignment horizontal="center" vertical="center"/>
    </xf>
    <xf numFmtId="0" fontId="0" fillId="3" borderId="22" xfId="0" applyFill="1" applyBorder="1" applyAlignment="1">
      <alignment horizontal="center" vertical="center"/>
    </xf>
    <xf numFmtId="0" fontId="0" fillId="3" borderId="23" xfId="0" applyFill="1" applyBorder="1" applyAlignment="1">
      <alignment horizontal="center" vertical="center"/>
    </xf>
    <xf numFmtId="0" fontId="0" fillId="3" borderId="24" xfId="0" applyFill="1" applyBorder="1" applyAlignment="1">
      <alignment horizontal="center" vertical="center"/>
    </xf>
    <xf numFmtId="0" fontId="0" fillId="3" borderId="25" xfId="0" applyFill="1" applyBorder="1" applyAlignment="1">
      <alignment horizontal="center" vertical="center"/>
    </xf>
    <xf numFmtId="0" fontId="0" fillId="3" borderId="26" xfId="0" applyFill="1" applyBorder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3" borderId="27" xfId="0" applyFill="1" applyBorder="1" applyAlignment="1">
      <alignment horizontal="center" vertical="center"/>
    </xf>
    <xf numFmtId="0" fontId="0" fillId="3" borderId="28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6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5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2.xml"/><Relationship Id="rId11" Type="http://schemas.openxmlformats.org/officeDocument/2006/relationships/theme" Target="theme/theme1.xml"/><Relationship Id="rId5" Type="http://schemas.openxmlformats.org/officeDocument/2006/relationships/chartsheet" Target="chartsheets/sheet1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chart>
    <c:title>
      <c:tx>
        <c:rich>
          <a:bodyPr/>
          <a:lstStyle/>
          <a:p>
            <a:pPr>
              <a:defRPr sz="1775" b="0" i="0" u="none" strike="noStrike" baseline="0">
                <a:solidFill>
                  <a:srgbClr val="000000"/>
                </a:solidFill>
                <a:latin typeface="宋体"/>
                <a:ea typeface="宋体"/>
                <a:cs typeface="宋体"/>
              </a:defRPr>
            </a:pPr>
            <a:r>
              <a:rPr altLang="en-US"/>
              <a:t>应收账款账期金额分析图</a:t>
            </a:r>
          </a:p>
        </c:rich>
      </c:tx>
      <c:layout>
        <c:manualLayout>
          <c:xMode val="edge"/>
          <c:yMode val="edge"/>
          <c:x val="0.40525433202906647"/>
          <c:y val="2.0034843205574922E-2"/>
        </c:manualLayout>
      </c:layout>
      <c:spPr>
        <a:noFill/>
        <a:ln w="25400">
          <a:noFill/>
        </a:ln>
      </c:spPr>
    </c:title>
    <c:view3D>
      <c:hPercent val="58"/>
      <c:depthPercent val="100"/>
      <c:rAngAx val="1"/>
    </c:view3D>
    <c:floor>
      <c:spPr>
        <a:solidFill>
          <a:srgbClr val="C0C0C0"/>
        </a:solidFill>
        <a:ln w="3175">
          <a:solidFill>
            <a:srgbClr val="000000"/>
          </a:solidFill>
          <a:prstDash val="solid"/>
        </a:ln>
      </c:spPr>
    </c:floor>
    <c:sideWall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sideWall>
    <c:backWall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backWall>
    <c:plotArea>
      <c:layout>
        <c:manualLayout>
          <c:layoutTarget val="inner"/>
          <c:xMode val="edge"/>
          <c:yMode val="edge"/>
          <c:x val="0.11067635550586918"/>
          <c:y val="8.9721254355400709E-2"/>
          <c:w val="0.88317495807713797"/>
          <c:h val="0.80313588850174233"/>
        </c:manualLayout>
      </c:layout>
      <c:bar3DChart>
        <c:barDir val="col"/>
        <c:grouping val="clustered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775" b="0" i="0" u="none" strike="noStrike" baseline="0">
                    <a:solidFill>
                      <a:srgbClr val="000000"/>
                    </a:solidFill>
                    <a:latin typeface="宋体"/>
                    <a:ea typeface="宋体"/>
                    <a:cs typeface="宋体"/>
                  </a:defRPr>
                </a:pPr>
                <a:endParaRPr lang="zh-CN"/>
              </a:p>
            </c:txPr>
            <c:showVal val="1"/>
          </c:dLbls>
          <c:cat>
            <c:strRef>
              <c:f>应收账款数据!$E$3:$I$3</c:f>
              <c:strCache>
                <c:ptCount val="5"/>
                <c:pt idx="0">
                  <c:v>0～10天</c:v>
                </c:pt>
                <c:pt idx="1">
                  <c:v>11-25天</c:v>
                </c:pt>
                <c:pt idx="2">
                  <c:v>26～45天</c:v>
                </c:pt>
                <c:pt idx="3">
                  <c:v>46-80天</c:v>
                </c:pt>
                <c:pt idx="4">
                  <c:v>80天以上</c:v>
                </c:pt>
              </c:strCache>
            </c:strRef>
          </c:cat>
          <c:val>
            <c:numRef>
              <c:f>应收账款数据!$E$12:$I$12</c:f>
              <c:numCache>
                <c:formatCode>"￥"#,##0;"￥"\-#,##0</c:formatCode>
                <c:ptCount val="5"/>
                <c:pt idx="0">
                  <c:v>87000</c:v>
                </c:pt>
                <c:pt idx="1">
                  <c:v>0</c:v>
                </c:pt>
                <c:pt idx="2">
                  <c:v>43000</c:v>
                </c:pt>
                <c:pt idx="3">
                  <c:v>15000</c:v>
                </c:pt>
                <c:pt idx="4">
                  <c:v>50000</c:v>
                </c:pt>
              </c:numCache>
            </c:numRef>
          </c:val>
        </c:ser>
        <c:dLbls>
          <c:showVal val="1"/>
        </c:dLbls>
        <c:shape val="cylinder"/>
        <c:axId val="136337664"/>
        <c:axId val="136348032"/>
        <c:axId val="0"/>
      </c:bar3DChart>
      <c:catAx>
        <c:axId val="13633766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1775" b="0" i="0" u="none" strike="noStrike" baseline="0">
                    <a:solidFill>
                      <a:srgbClr val="000000"/>
                    </a:solidFill>
                    <a:latin typeface="宋体"/>
                    <a:ea typeface="宋体"/>
                    <a:cs typeface="宋体"/>
                  </a:defRPr>
                </a:pPr>
                <a:r>
                  <a:rPr altLang="en-US"/>
                  <a:t>到期天数</a:t>
                </a:r>
              </a:p>
            </c:rich>
          </c:tx>
          <c:layout>
            <c:manualLayout>
              <c:xMode val="edge"/>
              <c:yMode val="edge"/>
              <c:x val="0.48910005589714928"/>
              <c:y val="0.93728222996515675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ajorTickMark val="in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75" b="0" i="0" u="none" strike="noStrike" baseline="0">
                <a:solidFill>
                  <a:srgbClr val="000000"/>
                </a:solidFill>
                <a:latin typeface="宋体"/>
                <a:ea typeface="宋体"/>
                <a:cs typeface="宋体"/>
              </a:defRPr>
            </a:pPr>
            <a:endParaRPr lang="zh-CN"/>
          </a:p>
        </c:txPr>
        <c:crossAx val="136348032"/>
        <c:crosses val="autoZero"/>
        <c:auto val="1"/>
        <c:lblAlgn val="ctr"/>
        <c:lblOffset val="100"/>
        <c:tickLblSkip val="1"/>
        <c:tickMarkSkip val="1"/>
      </c:catAx>
      <c:valAx>
        <c:axId val="136348032"/>
        <c:scaling>
          <c:orientation val="minMax"/>
        </c:scaling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wordArtVertRtl"/>
              <a:lstStyle/>
              <a:p>
                <a:pPr algn="ctr">
                  <a:defRPr sz="1775" b="0" i="0" u="none" strike="noStrike" baseline="0">
                    <a:solidFill>
                      <a:srgbClr val="000000"/>
                    </a:solidFill>
                    <a:latin typeface="宋体"/>
                    <a:ea typeface="宋体"/>
                    <a:cs typeface="宋体"/>
                  </a:defRPr>
                </a:pPr>
                <a:r>
                  <a:rPr altLang="en-US"/>
                  <a:t>应收金额</a:t>
                </a:r>
              </a:p>
            </c:rich>
          </c:tx>
          <c:layout>
            <c:manualLayout>
              <c:xMode val="edge"/>
              <c:yMode val="edge"/>
              <c:x val="6.1486864169927324E-3"/>
              <c:y val="0.45644599303135891"/>
            </c:manualLayout>
          </c:layout>
          <c:spPr>
            <a:noFill/>
            <a:ln w="25400">
              <a:noFill/>
            </a:ln>
          </c:spPr>
        </c:title>
        <c:numFmt formatCode="&quot;￥&quot;#,##0;&quot;￥&quot;\-#,##0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75" b="0" i="0" u="none" strike="noStrike" baseline="0">
                <a:solidFill>
                  <a:srgbClr val="000000"/>
                </a:solidFill>
                <a:latin typeface="宋体"/>
                <a:ea typeface="宋体"/>
                <a:cs typeface="宋体"/>
              </a:defRPr>
            </a:pPr>
            <a:endParaRPr lang="zh-CN"/>
          </a:p>
        </c:txPr>
        <c:crossAx val="13633766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</c:chart>
  <c:spPr>
    <a:noFill/>
    <a:ln w="9525">
      <a:noFill/>
    </a:ln>
  </c:spPr>
  <c:txPr>
    <a:bodyPr/>
    <a:lstStyle/>
    <a:p>
      <a:pPr>
        <a:defRPr sz="1775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chart>
    <c:title>
      <c:tx>
        <c:rich>
          <a:bodyPr/>
          <a:lstStyle/>
          <a:p>
            <a:pPr>
              <a:defRPr sz="1775" b="0" i="0" u="none" strike="noStrike" baseline="0">
                <a:solidFill>
                  <a:srgbClr val="000000"/>
                </a:solidFill>
                <a:latin typeface="宋体"/>
                <a:ea typeface="宋体"/>
                <a:cs typeface="宋体"/>
              </a:defRPr>
            </a:pPr>
            <a:r>
              <a:rPr lang="zh-CN" altLang="en-US"/>
              <a:t>应收账款账期比例分析图</a:t>
            </a:r>
          </a:p>
        </c:rich>
      </c:tx>
      <c:layout>
        <c:manualLayout>
          <c:xMode val="edge"/>
          <c:yMode val="edge"/>
          <c:x val="0.40134153158188934"/>
          <c:y val="0.15069686411149832"/>
        </c:manualLayout>
      </c:layout>
      <c:spPr>
        <a:noFill/>
        <a:ln w="25400">
          <a:noFill/>
        </a:ln>
      </c:spPr>
    </c:title>
    <c:view3D>
      <c:perspective val="0"/>
    </c:view3D>
    <c:plotArea>
      <c:layout>
        <c:manualLayout>
          <c:layoutTarget val="inner"/>
          <c:xMode val="edge"/>
          <c:yMode val="edge"/>
          <c:x val="0.15707098937954164"/>
          <c:y val="0.32665505226480845"/>
          <c:w val="0.68585802124091655"/>
          <c:h val="0.42421602787456464"/>
        </c:manualLayout>
      </c:layout>
      <c:pie3DChart>
        <c:varyColors val="1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explosion val="25"/>
          <c:dPt>
            <c:idx val="1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2"/>
            <c:spPr>
              <a:solidFill>
                <a:srgbClr val="FFFFCC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3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4"/>
            <c:spPr>
              <a:solidFill>
                <a:srgbClr val="660066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Lbls>
            <c:numFmt formatCode="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775" b="0" i="0" u="none" strike="noStrike" baseline="0">
                    <a:solidFill>
                      <a:srgbClr val="000000"/>
                    </a:solidFill>
                    <a:latin typeface="宋体"/>
                    <a:ea typeface="宋体"/>
                    <a:cs typeface="宋体"/>
                  </a:defRPr>
                </a:pPr>
                <a:endParaRPr lang="zh-CN"/>
              </a:p>
            </c:txPr>
            <c:showCatName val="1"/>
            <c:showPercent val="1"/>
            <c:showLeaderLines val="1"/>
          </c:dLbls>
          <c:cat>
            <c:strRef>
              <c:f>应收账款数据!$E$3:$I$3</c:f>
              <c:strCache>
                <c:ptCount val="5"/>
                <c:pt idx="0">
                  <c:v>0～10天</c:v>
                </c:pt>
                <c:pt idx="1">
                  <c:v>11-25天</c:v>
                </c:pt>
                <c:pt idx="2">
                  <c:v>26～45天</c:v>
                </c:pt>
                <c:pt idx="3">
                  <c:v>46-80天</c:v>
                </c:pt>
                <c:pt idx="4">
                  <c:v>80天以上</c:v>
                </c:pt>
              </c:strCache>
            </c:strRef>
          </c:cat>
          <c:val>
            <c:numRef>
              <c:f>应收账款数据!$E$13:$I$13</c:f>
              <c:numCache>
                <c:formatCode>0.00%</c:formatCode>
                <c:ptCount val="5"/>
                <c:pt idx="0">
                  <c:v>0.44615384615384618</c:v>
                </c:pt>
                <c:pt idx="1">
                  <c:v>0</c:v>
                </c:pt>
                <c:pt idx="2">
                  <c:v>0.22051282051282051</c:v>
                </c:pt>
                <c:pt idx="3">
                  <c:v>7.6923076923076927E-2</c:v>
                </c:pt>
                <c:pt idx="4">
                  <c:v>0.25641025641025639</c:v>
                </c:pt>
              </c:numCache>
            </c:numRef>
          </c:val>
        </c:ser>
        <c:dLbls>
          <c:showCatName val="1"/>
          <c:showPercent val="1"/>
        </c:dLbls>
      </c:pie3DChart>
      <c:spPr>
        <a:noFill/>
        <a:ln w="25400">
          <a:noFill/>
        </a:ln>
      </c:spPr>
    </c:plotArea>
    <c:plotVisOnly val="1"/>
    <c:dispBlanksAs val="zero"/>
  </c:chart>
  <c:spPr>
    <a:noFill/>
    <a:ln w="9525">
      <a:noFill/>
    </a:ln>
  </c:spPr>
  <c:txPr>
    <a:bodyPr/>
    <a:lstStyle/>
    <a:p>
      <a:pPr>
        <a:defRPr sz="1775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85" workbookViewId="0"/>
  </sheetViews>
  <pageMargins left="0.75" right="0.75" top="1" bottom="1" header="0.5" footer="0.5"/>
  <headerFooter alignWithMargins="0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/>
  <sheetViews>
    <sheetView zoomScale="85" workbookViewId="0"/>
  </sheetViews>
  <pageMargins left="0.75" right="0.75" top="1" bottom="1" header="0.5" footer="0.5"/>
  <headerFooter alignWithMargins="0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62</xdr:row>
      <xdr:rowOff>38100</xdr:rowOff>
    </xdr:from>
    <xdr:to>
      <xdr:col>10</xdr:col>
      <xdr:colOff>53340</xdr:colOff>
      <xdr:row>73</xdr:row>
      <xdr:rowOff>38100</xdr:rowOff>
    </xdr:to>
    <xdr:pic>
      <xdr:nvPicPr>
        <xdr:cNvPr id="4097" name="Picture 1" descr="5-125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5775960" y="12451080"/>
          <a:ext cx="2065020" cy="217932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13632180" cy="8747760"/>
    <xdr:graphicFrame macro="">
      <xdr:nvGraphicFramePr>
        <xdr:cNvPr id="2" name="图表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26895" y="35858"/>
    <xdr:ext cx="13632180" cy="8747760"/>
    <xdr:graphicFrame macro="">
      <xdr:nvGraphicFramePr>
        <xdr:cNvPr id="2" name="图表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syq" refreshedDate="39466.353196875003" createdVersion="3" refreshedVersion="3" recordCount="8">
  <cacheSource type="worksheet">
    <worksheetSource ref="A2:G10" sheet="销售数据"/>
  </cacheSource>
  <cacheFields count="7">
    <cacheField name="销售日期" numFmtId="14">
      <sharedItems containsSemiMixedTypes="0" containsNonDate="0" containsDate="1" containsString="0" minDate="2006-02-28T00:00:00" maxDate="2006-03-17T00:00:00" count="8">
        <d v="2006-02-28T00:00:00"/>
        <d v="2006-03-10T00:00:00"/>
        <d v="2006-03-08T00:00:00"/>
        <d v="2006-03-02T00:00:00"/>
        <d v="2006-03-14T00:00:00"/>
        <d v="2006-03-11T00:00:00"/>
        <d v="2006-03-03T00:00:00"/>
        <d v="2006-03-16T00:00:00"/>
      </sharedItems>
    </cacheField>
    <cacheField name="原料名称" numFmtId="0">
      <sharedItems count="1">
        <s v="ABC"/>
      </sharedItems>
    </cacheField>
    <cacheField name="规格型号" numFmtId="176">
      <sharedItems containsSemiMixedTypes="0" containsString="0" containsNumber="1" containsInteger="1" minValue="1" maxValue="6"/>
    </cacheField>
    <cacheField name="单位" numFmtId="176">
      <sharedItems/>
    </cacheField>
    <cacheField name="销售数量" numFmtId="176">
      <sharedItems containsSemiMixedTypes="0" containsString="0" containsNumber="1" containsInteger="1" minValue="8" maxValue="50"/>
    </cacheField>
    <cacheField name="单价" numFmtId="177">
      <sharedItems containsSemiMixedTypes="0" containsString="0" containsNumber="1" containsInteger="1" minValue="60" maxValue="85"/>
    </cacheField>
    <cacheField name="金额" numFmtId="177">
      <sharedItems containsSemiMixedTypes="0" containsString="0" containsNumber="1" containsInteger="1" minValue="560" maxValue="3750"/>
    </cacheField>
  </cacheFields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syq" refreshedDate="39466.353198379627" createdVersion="3" refreshedVersion="3" recordCount="8">
  <cacheSource type="consolidation">
    <consolidation>
      <pages count="1">
        <page count="1">
          <pageItem name="项1"/>
        </page>
      </pages>
      <rangeSets count="1">
        <rangeSet i1="0" ref="C2:D10" sheet="采购数据"/>
      </rangeSets>
    </consolidation>
  </cacheSource>
  <cacheFields count="4">
    <cacheField name="行" numFmtId="0">
      <sharedItems containsSemiMixedTypes="0" containsString="0" containsNumber="1" containsInteger="1" minValue="1" maxValue="8" count="8">
        <n v="1"/>
        <n v="2"/>
        <n v="3"/>
        <n v="4"/>
        <n v="5"/>
        <n v="6"/>
        <n v="7"/>
        <n v="8"/>
      </sharedItems>
    </cacheField>
    <cacheField name="列" numFmtId="0">
      <sharedItems count="1">
        <s v="采购数量"/>
      </sharedItems>
    </cacheField>
    <cacheField name="值" numFmtId="0">
      <sharedItems containsSemiMixedTypes="0" containsString="0" containsNumber="1" containsInteger="1" minValue="24" maxValue="72" count="8">
        <n v="24"/>
        <n v="60"/>
        <n v="36"/>
        <n v="54"/>
        <n v="42"/>
        <n v="33"/>
        <n v="72"/>
        <n v="43"/>
      </sharedItems>
    </cacheField>
    <cacheField name="页1" numFmtId="0">
      <sharedItems count="1">
        <s v="项1"/>
      </sharedItems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">
  <r>
    <x v="0"/>
    <x v="0"/>
    <n v="1"/>
    <s v="包"/>
    <n v="10"/>
    <n v="70"/>
    <n v="700"/>
  </r>
  <r>
    <x v="1"/>
    <x v="0"/>
    <n v="1"/>
    <s v="包"/>
    <n v="8"/>
    <n v="70"/>
    <n v="560"/>
  </r>
  <r>
    <x v="2"/>
    <x v="0"/>
    <n v="2"/>
    <s v="包"/>
    <n v="50"/>
    <n v="75"/>
    <n v="3750"/>
  </r>
  <r>
    <x v="3"/>
    <x v="0"/>
    <n v="3"/>
    <s v="包"/>
    <n v="18"/>
    <n v="63"/>
    <n v="1134"/>
  </r>
  <r>
    <x v="4"/>
    <x v="0"/>
    <n v="3"/>
    <s v="包"/>
    <n v="12"/>
    <n v="63"/>
    <n v="756"/>
  </r>
  <r>
    <x v="5"/>
    <x v="0"/>
    <n v="4"/>
    <s v="包"/>
    <n v="20"/>
    <n v="60"/>
    <n v="1200"/>
  </r>
  <r>
    <x v="6"/>
    <x v="0"/>
    <n v="5"/>
    <s v="包"/>
    <n v="39"/>
    <n v="60"/>
    <n v="2340"/>
  </r>
  <r>
    <x v="7"/>
    <x v="0"/>
    <n v="6"/>
    <s v="包"/>
    <n v="20"/>
    <n v="85"/>
    <n v="170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8">
  <r>
    <x v="0"/>
    <x v="0"/>
    <x v="0"/>
    <x v="0"/>
  </r>
  <r>
    <x v="1"/>
    <x v="0"/>
    <x v="1"/>
    <x v="0"/>
  </r>
  <r>
    <x v="2"/>
    <x v="0"/>
    <x v="2"/>
    <x v="0"/>
  </r>
  <r>
    <x v="3"/>
    <x v="0"/>
    <x v="3"/>
    <x v="0"/>
  </r>
  <r>
    <x v="4"/>
    <x v="0"/>
    <x v="4"/>
    <x v="0"/>
  </r>
  <r>
    <x v="5"/>
    <x v="0"/>
    <x v="5"/>
    <x v="0"/>
  </r>
  <r>
    <x v="6"/>
    <x v="0"/>
    <x v="6"/>
    <x v="0"/>
  </r>
  <r>
    <x v="7"/>
    <x v="0"/>
    <x v="7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数据透视表3" cacheId="7" dataOnRows="1" applyNumberFormats="0" applyBorderFormats="0" applyFontFormats="0" applyPatternFormats="0" applyAlignmentFormats="0" applyWidthHeightFormats="1" dataCaption="数据" updatedVersion="3" minRefreshableVersion="3" showMemberPropertyTips="0" useAutoFormatting="1" itemPrintTitles="1" createdVersion="3" indent="0" compact="0" compactData="0" gridDropZones="1">
  <location ref="A3:C13" firstHeaderRow="1" firstDataRow="2" firstDataCol="1" rowPageCount="1" colPageCount="1"/>
  <pivotFields count="4">
    <pivotField axis="axisRow" compact="0" outline="0" subtotalTop="0" showAll="0" includeNewItemsInFilter="1">
      <items count="9">
        <item x="0"/>
        <item x="1"/>
        <item x="2"/>
        <item x="3"/>
        <item x="4"/>
        <item x="5"/>
        <item x="6"/>
        <item x="7"/>
        <item t="default"/>
      </items>
    </pivotField>
    <pivotField axis="axisCol" compact="0" outline="0" subtotalTop="0" showAll="0" includeNewItemsInFilter="1">
      <items count="2">
        <item x="0"/>
        <item t="default"/>
      </items>
    </pivotField>
    <pivotField dataField="1" compact="0" outline="0" subtotalTop="0" showAll="0" includeNewItemsInFilter="1"/>
    <pivotField axis="axisPage" compact="0" outline="0" subtotalTop="0" showAll="0" includeNewItemsInFilter="1">
      <items count="2">
        <item x="0"/>
        <item t="default"/>
      </items>
    </pivotField>
  </pivotFields>
  <rowFields count="1">
    <field x="0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1"/>
  </colFields>
  <colItems count="2">
    <i>
      <x/>
    </i>
    <i t="grand">
      <x/>
    </i>
  </colItems>
  <pageFields count="1">
    <pageField fld="3" hier="0"/>
  </pageFields>
  <dataFields count="1">
    <dataField name="求和项:值" fld="2" baseField="0" baseItem="0"/>
  </dataFields>
  <pivotTableStyleInfo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数据透视表3" cacheId="5" dataPosition="0" applyNumberFormats="0" applyBorderFormats="0" applyFontFormats="0" applyPatternFormats="0" applyAlignmentFormats="0" applyWidthHeightFormats="1" dataCaption="数据" updatedVersion="3" minRefreshableVersion="3" showMemberPropertyTips="0" useAutoFormatting="1" itemPrintTitles="1" createdVersion="3" indent="0" compact="0" compactData="0" gridDropZones="1">
  <location ref="A3:E14" firstHeaderRow="1" firstDataRow="3" firstDataCol="1"/>
  <pivotFields count="7">
    <pivotField axis="axisRow" compact="0" numFmtId="14" outline="0" subtotalTop="0" showAll="0" includeNewItemsInFilter="1">
      <items count="9">
        <item x="0"/>
        <item x="3"/>
        <item x="6"/>
        <item x="2"/>
        <item x="1"/>
        <item x="5"/>
        <item x="4"/>
        <item x="7"/>
        <item t="default"/>
      </items>
    </pivotField>
    <pivotField axis="axisCol" compact="0" outline="0" subtotalTop="0" showAll="0" includeNewItemsInFilter="1">
      <items count="2">
        <item x="0"/>
        <item t="default"/>
      </items>
    </pivotField>
    <pivotField compact="0" numFmtId="176" outline="0" subtotalTop="0" showAll="0" includeNewItemsInFilter="1"/>
    <pivotField compact="0" outline="0" subtotalTop="0" showAll="0" includeNewItemsInFilter="1"/>
    <pivotField dataField="1" compact="0" numFmtId="176" outline="0" subtotalTop="0" showAll="0" includeNewItemsInFilter="1"/>
    <pivotField compact="0" numFmtId="177" outline="0" subtotalTop="0" showAll="0" includeNewItemsInFilter="1"/>
    <pivotField dataField="1" compact="0" numFmtId="177" outline="0" subtotalTop="0" showAll="0" includeNewItemsInFilter="1"/>
  </pivotFields>
  <rowFields count="1">
    <field x="0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2">
    <field x="-2"/>
    <field x="1"/>
  </colFields>
  <colItems count="4">
    <i>
      <x/>
      <x/>
    </i>
    <i i="1">
      <x v="1"/>
      <x/>
    </i>
    <i t="grand">
      <x/>
    </i>
    <i t="grand" i="1">
      <x/>
    </i>
  </colItems>
  <dataFields count="2">
    <dataField name="求和项:销售数量" fld="4" baseField="0" baseItem="0"/>
    <dataField name="求和项:金额" fld="6" baseField="0" baseItem="0"/>
  </dataFields>
  <pivotTableStyleInfo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C13"/>
  <sheetViews>
    <sheetView topLeftCell="A4" workbookViewId="0">
      <selection activeCell="F19" sqref="F19"/>
    </sheetView>
  </sheetViews>
  <sheetFormatPr defaultRowHeight="15.6"/>
  <cols>
    <col min="1" max="1" width="10.3984375" bestFit="1" customWidth="1"/>
    <col min="2" max="2" width="9.3984375" bestFit="1" customWidth="1"/>
    <col min="3" max="3" width="5.3984375" bestFit="1" customWidth="1"/>
  </cols>
  <sheetData>
    <row r="1" spans="1:3">
      <c r="A1" s="28" t="s">
        <v>27</v>
      </c>
      <c r="B1" s="29" t="s">
        <v>28</v>
      </c>
    </row>
    <row r="3" spans="1:3">
      <c r="A3" s="16" t="s">
        <v>23</v>
      </c>
      <c r="B3" s="16" t="s">
        <v>24</v>
      </c>
      <c r="C3" s="17"/>
    </row>
    <row r="4" spans="1:3">
      <c r="A4" s="16" t="s">
        <v>25</v>
      </c>
      <c r="B4" s="18" t="s">
        <v>26</v>
      </c>
      <c r="C4" s="19" t="s">
        <v>0</v>
      </c>
    </row>
    <row r="5" spans="1:3">
      <c r="A5" s="18">
        <v>1</v>
      </c>
      <c r="B5" s="20">
        <v>24</v>
      </c>
      <c r="C5" s="21">
        <v>24</v>
      </c>
    </row>
    <row r="6" spans="1:3">
      <c r="A6" s="22">
        <v>2</v>
      </c>
      <c r="B6" s="23">
        <v>60</v>
      </c>
      <c r="C6" s="24">
        <v>60</v>
      </c>
    </row>
    <row r="7" spans="1:3">
      <c r="A7" s="22">
        <v>3</v>
      </c>
      <c r="B7" s="23">
        <v>36</v>
      </c>
      <c r="C7" s="24">
        <v>36</v>
      </c>
    </row>
    <row r="8" spans="1:3">
      <c r="A8" s="22">
        <v>4</v>
      </c>
      <c r="B8" s="23">
        <v>54</v>
      </c>
      <c r="C8" s="24">
        <v>54</v>
      </c>
    </row>
    <row r="9" spans="1:3">
      <c r="A9" s="22">
        <v>5</v>
      </c>
      <c r="B9" s="23">
        <v>42</v>
      </c>
      <c r="C9" s="24">
        <v>42</v>
      </c>
    </row>
    <row r="10" spans="1:3">
      <c r="A10" s="22">
        <v>6</v>
      </c>
      <c r="B10" s="23">
        <v>33</v>
      </c>
      <c r="C10" s="24">
        <v>33</v>
      </c>
    </row>
    <row r="11" spans="1:3">
      <c r="A11" s="22">
        <v>7</v>
      </c>
      <c r="B11" s="23">
        <v>72</v>
      </c>
      <c r="C11" s="24">
        <v>72</v>
      </c>
    </row>
    <row r="12" spans="1:3">
      <c r="A12" s="22">
        <v>8</v>
      </c>
      <c r="B12" s="23">
        <v>43</v>
      </c>
      <c r="C12" s="24">
        <v>43</v>
      </c>
    </row>
    <row r="13" spans="1:3">
      <c r="A13" s="25" t="s">
        <v>0</v>
      </c>
      <c r="B13" s="26">
        <v>364</v>
      </c>
      <c r="C13" s="27">
        <v>364</v>
      </c>
    </row>
  </sheetData>
  <phoneticPr fontId="1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dimension ref="A1:K11"/>
  <sheetViews>
    <sheetView workbookViewId="0">
      <selection activeCell="I21" sqref="I21"/>
    </sheetView>
  </sheetViews>
  <sheetFormatPr defaultRowHeight="15.6"/>
  <sheetData>
    <row r="1" spans="1:11" ht="18" thickBot="1">
      <c r="A1" s="60" t="s">
        <v>3</v>
      </c>
      <c r="B1" s="60"/>
      <c r="C1" s="60"/>
      <c r="D1" s="60"/>
      <c r="E1" s="60"/>
      <c r="F1" s="60"/>
      <c r="G1" s="60"/>
      <c r="H1" s="60"/>
      <c r="I1" s="60"/>
      <c r="J1" s="60"/>
      <c r="K1" s="60"/>
    </row>
    <row r="2" spans="1:11" ht="16.2" thickTop="1">
      <c r="A2" s="1" t="s">
        <v>4</v>
      </c>
      <c r="B2" s="2" t="s">
        <v>5</v>
      </c>
      <c r="C2" s="2" t="s">
        <v>6</v>
      </c>
      <c r="D2" s="2" t="s">
        <v>7</v>
      </c>
      <c r="E2" s="2" t="s">
        <v>8</v>
      </c>
      <c r="F2" s="2" t="s">
        <v>9</v>
      </c>
      <c r="G2" s="2" t="s">
        <v>10</v>
      </c>
      <c r="H2" s="2" t="s">
        <v>11</v>
      </c>
      <c r="I2" s="2" t="s">
        <v>12</v>
      </c>
      <c r="J2" s="2" t="s">
        <v>13</v>
      </c>
      <c r="K2" s="3" t="s">
        <v>14</v>
      </c>
    </row>
    <row r="3" spans="1:11">
      <c r="A3" s="4">
        <v>1</v>
      </c>
      <c r="B3" s="5" t="s">
        <v>1</v>
      </c>
      <c r="C3" s="6">
        <v>1</v>
      </c>
      <c r="D3" s="6">
        <v>24</v>
      </c>
      <c r="E3" s="6" t="s">
        <v>2</v>
      </c>
      <c r="F3" s="7">
        <v>62</v>
      </c>
      <c r="G3" s="7">
        <v>1488</v>
      </c>
      <c r="H3" s="8">
        <v>38768</v>
      </c>
      <c r="I3" s="8">
        <v>38773</v>
      </c>
      <c r="J3" s="6">
        <v>24</v>
      </c>
      <c r="K3" s="9" t="s">
        <v>15</v>
      </c>
    </row>
    <row r="4" spans="1:11">
      <c r="A4" s="4">
        <v>2</v>
      </c>
      <c r="B4" s="5" t="s">
        <v>1</v>
      </c>
      <c r="C4" s="6">
        <v>2</v>
      </c>
      <c r="D4" s="6">
        <v>60</v>
      </c>
      <c r="E4" s="6" t="s">
        <v>2</v>
      </c>
      <c r="F4" s="7">
        <v>65</v>
      </c>
      <c r="G4" s="7">
        <v>3900</v>
      </c>
      <c r="H4" s="8">
        <v>38768</v>
      </c>
      <c r="I4" s="8">
        <v>38773</v>
      </c>
      <c r="J4" s="6">
        <v>60</v>
      </c>
      <c r="K4" s="9" t="s">
        <v>16</v>
      </c>
    </row>
    <row r="5" spans="1:11">
      <c r="A5" s="4">
        <v>3</v>
      </c>
      <c r="B5" s="5" t="s">
        <v>1</v>
      </c>
      <c r="C5" s="6">
        <v>3</v>
      </c>
      <c r="D5" s="6">
        <v>36</v>
      </c>
      <c r="E5" s="6" t="s">
        <v>2</v>
      </c>
      <c r="F5" s="7">
        <v>58</v>
      </c>
      <c r="G5" s="7">
        <v>2088</v>
      </c>
      <c r="H5" s="8">
        <v>38768</v>
      </c>
      <c r="I5" s="8">
        <v>38773</v>
      </c>
      <c r="J5" s="6">
        <v>36</v>
      </c>
      <c r="K5" s="9" t="s">
        <v>17</v>
      </c>
    </row>
    <row r="6" spans="1:11">
      <c r="A6" s="4">
        <v>4</v>
      </c>
      <c r="B6" s="5" t="s">
        <v>1</v>
      </c>
      <c r="C6" s="6">
        <v>4</v>
      </c>
      <c r="D6" s="6">
        <v>54</v>
      </c>
      <c r="E6" s="6" t="s">
        <v>2</v>
      </c>
      <c r="F6" s="7">
        <v>56</v>
      </c>
      <c r="G6" s="7">
        <v>3024</v>
      </c>
      <c r="H6" s="8">
        <v>38768</v>
      </c>
      <c r="I6" s="8">
        <v>38773</v>
      </c>
      <c r="J6" s="6">
        <v>54</v>
      </c>
      <c r="K6" s="9" t="s">
        <v>18</v>
      </c>
    </row>
    <row r="7" spans="1:11">
      <c r="A7" s="4">
        <v>5</v>
      </c>
      <c r="B7" s="5" t="s">
        <v>1</v>
      </c>
      <c r="C7" s="6">
        <v>5</v>
      </c>
      <c r="D7" s="6">
        <v>42</v>
      </c>
      <c r="E7" s="6" t="s">
        <v>2</v>
      </c>
      <c r="F7" s="7">
        <v>45</v>
      </c>
      <c r="G7" s="7">
        <v>1890</v>
      </c>
      <c r="H7" s="8">
        <v>38768</v>
      </c>
      <c r="I7" s="8">
        <v>38773</v>
      </c>
      <c r="J7" s="6">
        <v>42</v>
      </c>
      <c r="K7" s="9" t="s">
        <v>19</v>
      </c>
    </row>
    <row r="8" spans="1:11">
      <c r="A8" s="4">
        <v>6</v>
      </c>
      <c r="B8" s="5" t="s">
        <v>1</v>
      </c>
      <c r="C8" s="6">
        <v>6</v>
      </c>
      <c r="D8" s="6">
        <v>33</v>
      </c>
      <c r="E8" s="6" t="s">
        <v>2</v>
      </c>
      <c r="F8" s="7">
        <v>80</v>
      </c>
      <c r="G8" s="7">
        <v>2640</v>
      </c>
      <c r="H8" s="8">
        <v>38768</v>
      </c>
      <c r="I8" s="8">
        <v>38773</v>
      </c>
      <c r="J8" s="6">
        <v>33</v>
      </c>
      <c r="K8" s="9" t="s">
        <v>20</v>
      </c>
    </row>
    <row r="9" spans="1:11">
      <c r="A9" s="4">
        <v>7</v>
      </c>
      <c r="B9" s="5" t="s">
        <v>1</v>
      </c>
      <c r="C9" s="6">
        <v>7</v>
      </c>
      <c r="D9" s="6">
        <v>72</v>
      </c>
      <c r="E9" s="6" t="s">
        <v>2</v>
      </c>
      <c r="F9" s="7">
        <v>60</v>
      </c>
      <c r="G9" s="7">
        <v>4320</v>
      </c>
      <c r="H9" s="8">
        <v>38768</v>
      </c>
      <c r="I9" s="8">
        <v>38773</v>
      </c>
      <c r="J9" s="6">
        <v>72</v>
      </c>
      <c r="K9" s="9" t="s">
        <v>21</v>
      </c>
    </row>
    <row r="10" spans="1:11" ht="16.2" thickBot="1">
      <c r="A10" s="10">
        <v>8</v>
      </c>
      <c r="B10" s="11" t="s">
        <v>1</v>
      </c>
      <c r="C10" s="12">
        <v>8</v>
      </c>
      <c r="D10" s="12">
        <v>43</v>
      </c>
      <c r="E10" s="12" t="s">
        <v>2</v>
      </c>
      <c r="F10" s="13">
        <v>71</v>
      </c>
      <c r="G10" s="13">
        <v>3053</v>
      </c>
      <c r="H10" s="14">
        <v>38768</v>
      </c>
      <c r="I10" s="14">
        <v>38773</v>
      </c>
      <c r="J10" s="12">
        <v>43</v>
      </c>
      <c r="K10" s="15" t="s">
        <v>22</v>
      </c>
    </row>
    <row r="11" spans="1:11" ht="16.2" thickTop="1"/>
  </sheetData>
  <mergeCells count="1">
    <mergeCell ref="A1:K1"/>
  </mergeCells>
  <phoneticPr fontId="1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dimension ref="A3:E14"/>
  <sheetViews>
    <sheetView topLeftCell="A2" workbookViewId="0">
      <selection activeCell="I24" sqref="I24"/>
    </sheetView>
  </sheetViews>
  <sheetFormatPr defaultRowHeight="15.6"/>
  <cols>
    <col min="1" max="1" width="11.3984375" customWidth="1"/>
    <col min="2" max="3" width="17" bestFit="1" customWidth="1"/>
    <col min="4" max="4" width="21.296875" bestFit="1" customWidth="1"/>
    <col min="5" max="5" width="17" bestFit="1" customWidth="1"/>
  </cols>
  <sheetData>
    <row r="3" spans="1:5">
      <c r="A3" s="18"/>
      <c r="B3" s="16" t="s">
        <v>41</v>
      </c>
      <c r="C3" s="39" t="s">
        <v>39</v>
      </c>
      <c r="D3" s="34"/>
      <c r="E3" s="17"/>
    </row>
    <row r="4" spans="1:5">
      <c r="A4" s="37"/>
      <c r="B4" s="18" t="s">
        <v>42</v>
      </c>
      <c r="C4" s="18" t="s">
        <v>43</v>
      </c>
      <c r="D4" s="18" t="s">
        <v>44</v>
      </c>
      <c r="E4" s="19" t="s">
        <v>45</v>
      </c>
    </row>
    <row r="5" spans="1:5">
      <c r="A5" s="16" t="s">
        <v>40</v>
      </c>
      <c r="B5" s="18" t="s">
        <v>1</v>
      </c>
      <c r="C5" s="18" t="s">
        <v>1</v>
      </c>
      <c r="D5" s="37"/>
      <c r="E5" s="40"/>
    </row>
    <row r="6" spans="1:5">
      <c r="A6" s="35">
        <v>38776</v>
      </c>
      <c r="B6" s="20">
        <v>10</v>
      </c>
      <c r="C6" s="20">
        <v>700</v>
      </c>
      <c r="D6" s="20">
        <v>10</v>
      </c>
      <c r="E6" s="21">
        <v>700</v>
      </c>
    </row>
    <row r="7" spans="1:5">
      <c r="A7" s="36">
        <v>38778</v>
      </c>
      <c r="B7" s="23">
        <v>18</v>
      </c>
      <c r="C7" s="23">
        <v>1134</v>
      </c>
      <c r="D7" s="23">
        <v>18</v>
      </c>
      <c r="E7" s="24">
        <v>1134</v>
      </c>
    </row>
    <row r="8" spans="1:5">
      <c r="A8" s="36">
        <v>38779</v>
      </c>
      <c r="B8" s="23">
        <v>39</v>
      </c>
      <c r="C8" s="23">
        <v>2340</v>
      </c>
      <c r="D8" s="23">
        <v>39</v>
      </c>
      <c r="E8" s="24">
        <v>2340</v>
      </c>
    </row>
    <row r="9" spans="1:5">
      <c r="A9" s="36">
        <v>38784</v>
      </c>
      <c r="B9" s="23">
        <v>50</v>
      </c>
      <c r="C9" s="23">
        <v>3750</v>
      </c>
      <c r="D9" s="23">
        <v>50</v>
      </c>
      <c r="E9" s="24">
        <v>3750</v>
      </c>
    </row>
    <row r="10" spans="1:5">
      <c r="A10" s="36">
        <v>38786</v>
      </c>
      <c r="B10" s="23">
        <v>8</v>
      </c>
      <c r="C10" s="23">
        <v>560</v>
      </c>
      <c r="D10" s="23">
        <v>8</v>
      </c>
      <c r="E10" s="24">
        <v>560</v>
      </c>
    </row>
    <row r="11" spans="1:5">
      <c r="A11" s="36">
        <v>38787</v>
      </c>
      <c r="B11" s="23">
        <v>20</v>
      </c>
      <c r="C11" s="23">
        <v>1200</v>
      </c>
      <c r="D11" s="23">
        <v>20</v>
      </c>
      <c r="E11" s="24">
        <v>1200</v>
      </c>
    </row>
    <row r="12" spans="1:5">
      <c r="A12" s="36">
        <v>38790</v>
      </c>
      <c r="B12" s="23">
        <v>12</v>
      </c>
      <c r="C12" s="23">
        <v>756</v>
      </c>
      <c r="D12" s="23">
        <v>12</v>
      </c>
      <c r="E12" s="24">
        <v>756</v>
      </c>
    </row>
    <row r="13" spans="1:5">
      <c r="A13" s="36">
        <v>38792</v>
      </c>
      <c r="B13" s="23">
        <v>20</v>
      </c>
      <c r="C13" s="23">
        <v>1700</v>
      </c>
      <c r="D13" s="23">
        <v>20</v>
      </c>
      <c r="E13" s="24">
        <v>1700</v>
      </c>
    </row>
    <row r="14" spans="1:5">
      <c r="A14" s="38" t="s">
        <v>0</v>
      </c>
      <c r="B14" s="26">
        <v>177</v>
      </c>
      <c r="C14" s="26">
        <v>12140</v>
      </c>
      <c r="D14" s="26">
        <v>177</v>
      </c>
      <c r="E14" s="27">
        <v>12140</v>
      </c>
    </row>
  </sheetData>
  <phoneticPr fontId="1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dimension ref="A1:G11"/>
  <sheetViews>
    <sheetView workbookViewId="0">
      <selection activeCell="H10" sqref="H10"/>
    </sheetView>
  </sheetViews>
  <sheetFormatPr defaultRowHeight="15.6"/>
  <cols>
    <col min="1" max="1" width="13.69921875" customWidth="1"/>
    <col min="2" max="3" width="10.19921875" customWidth="1"/>
    <col min="4" max="4" width="9.69921875" customWidth="1"/>
    <col min="5" max="5" width="10.19921875" customWidth="1"/>
    <col min="6" max="6" width="10.09765625" customWidth="1"/>
    <col min="7" max="7" width="11.69921875" customWidth="1"/>
  </cols>
  <sheetData>
    <row r="1" spans="1:7" ht="24" customHeight="1" thickBot="1">
      <c r="A1" s="61" t="s">
        <v>29</v>
      </c>
      <c r="B1" s="61"/>
      <c r="C1" s="61"/>
      <c r="D1" s="61"/>
      <c r="E1" s="61"/>
      <c r="F1" s="61"/>
      <c r="G1" s="61"/>
    </row>
    <row r="2" spans="1:7" ht="16.2" thickTop="1">
      <c r="A2" s="1" t="s">
        <v>30</v>
      </c>
      <c r="B2" s="2" t="s">
        <v>31</v>
      </c>
      <c r="C2" s="2" t="s">
        <v>32</v>
      </c>
      <c r="D2" s="2" t="s">
        <v>33</v>
      </c>
      <c r="E2" s="2" t="s">
        <v>34</v>
      </c>
      <c r="F2" s="2" t="s">
        <v>35</v>
      </c>
      <c r="G2" s="3" t="s">
        <v>36</v>
      </c>
    </row>
    <row r="3" spans="1:7">
      <c r="A3" s="30">
        <v>38776</v>
      </c>
      <c r="B3" s="5" t="s">
        <v>37</v>
      </c>
      <c r="C3" s="6">
        <v>1</v>
      </c>
      <c r="D3" s="6" t="s">
        <v>38</v>
      </c>
      <c r="E3" s="6">
        <v>10</v>
      </c>
      <c r="F3" s="7">
        <v>70</v>
      </c>
      <c r="G3" s="31">
        <f t="shared" ref="G3:G10" si="0">E3*F3</f>
        <v>700</v>
      </c>
    </row>
    <row r="4" spans="1:7">
      <c r="A4" s="30">
        <v>38786</v>
      </c>
      <c r="B4" s="5" t="s">
        <v>37</v>
      </c>
      <c r="C4" s="6">
        <v>1</v>
      </c>
      <c r="D4" s="6" t="s">
        <v>38</v>
      </c>
      <c r="E4" s="6">
        <v>8</v>
      </c>
      <c r="F4" s="7">
        <v>70</v>
      </c>
      <c r="G4" s="31">
        <f t="shared" si="0"/>
        <v>560</v>
      </c>
    </row>
    <row r="5" spans="1:7">
      <c r="A5" s="30">
        <v>38784</v>
      </c>
      <c r="B5" s="5" t="s">
        <v>37</v>
      </c>
      <c r="C5" s="6">
        <v>2</v>
      </c>
      <c r="D5" s="6" t="s">
        <v>38</v>
      </c>
      <c r="E5" s="6">
        <v>50</v>
      </c>
      <c r="F5" s="7">
        <v>75</v>
      </c>
      <c r="G5" s="31">
        <f t="shared" si="0"/>
        <v>3750</v>
      </c>
    </row>
    <row r="6" spans="1:7">
      <c r="A6" s="30">
        <v>38778</v>
      </c>
      <c r="B6" s="5" t="s">
        <v>37</v>
      </c>
      <c r="C6" s="6">
        <v>3</v>
      </c>
      <c r="D6" s="6" t="s">
        <v>38</v>
      </c>
      <c r="E6" s="6">
        <v>18</v>
      </c>
      <c r="F6" s="7">
        <v>63</v>
      </c>
      <c r="G6" s="31">
        <f t="shared" si="0"/>
        <v>1134</v>
      </c>
    </row>
    <row r="7" spans="1:7">
      <c r="A7" s="30">
        <v>38790</v>
      </c>
      <c r="B7" s="5" t="s">
        <v>37</v>
      </c>
      <c r="C7" s="6">
        <v>3</v>
      </c>
      <c r="D7" s="6" t="s">
        <v>38</v>
      </c>
      <c r="E7" s="6">
        <v>12</v>
      </c>
      <c r="F7" s="7">
        <v>63</v>
      </c>
      <c r="G7" s="31">
        <f t="shared" si="0"/>
        <v>756</v>
      </c>
    </row>
    <row r="8" spans="1:7">
      <c r="A8" s="30">
        <v>38787</v>
      </c>
      <c r="B8" s="5" t="s">
        <v>37</v>
      </c>
      <c r="C8" s="6">
        <v>4</v>
      </c>
      <c r="D8" s="6" t="s">
        <v>38</v>
      </c>
      <c r="E8" s="6">
        <v>20</v>
      </c>
      <c r="F8" s="7">
        <v>60</v>
      </c>
      <c r="G8" s="31">
        <f t="shared" si="0"/>
        <v>1200</v>
      </c>
    </row>
    <row r="9" spans="1:7">
      <c r="A9" s="30">
        <v>38779</v>
      </c>
      <c r="B9" s="5" t="s">
        <v>37</v>
      </c>
      <c r="C9" s="6">
        <v>5</v>
      </c>
      <c r="D9" s="6" t="s">
        <v>38</v>
      </c>
      <c r="E9" s="6">
        <v>39</v>
      </c>
      <c r="F9" s="7">
        <v>60</v>
      </c>
      <c r="G9" s="31">
        <f t="shared" si="0"/>
        <v>2340</v>
      </c>
    </row>
    <row r="10" spans="1:7" ht="16.2" thickBot="1">
      <c r="A10" s="32">
        <v>38792</v>
      </c>
      <c r="B10" s="11" t="s">
        <v>37</v>
      </c>
      <c r="C10" s="12">
        <v>6</v>
      </c>
      <c r="D10" s="12" t="s">
        <v>38</v>
      </c>
      <c r="E10" s="12">
        <v>20</v>
      </c>
      <c r="F10" s="13">
        <v>85</v>
      </c>
      <c r="G10" s="33">
        <f t="shared" si="0"/>
        <v>1700</v>
      </c>
    </row>
    <row r="11" spans="1:7" ht="16.2" thickTop="1"/>
  </sheetData>
  <mergeCells count="1">
    <mergeCell ref="A1:G1"/>
  </mergeCells>
  <phoneticPr fontId="1" type="noConversion"/>
  <pageMargins left="0.75" right="0.75" top="1" bottom="1" header="0.5" footer="0.5"/>
  <headerFooter alignWithMargins="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dimension ref="A1:I14"/>
  <sheetViews>
    <sheetView workbookViewId="0">
      <selection activeCell="I9" sqref="I9:I11"/>
    </sheetView>
  </sheetViews>
  <sheetFormatPr defaultRowHeight="15.6"/>
  <cols>
    <col min="1" max="1" width="9.69921875" customWidth="1"/>
    <col min="2" max="2" width="12.19921875" customWidth="1"/>
    <col min="3" max="3" width="12.69921875" customWidth="1"/>
    <col min="4" max="4" width="11" customWidth="1"/>
    <col min="5" max="5" width="10.3984375" customWidth="1"/>
    <col min="6" max="6" width="10.19921875" customWidth="1"/>
    <col min="7" max="8" width="10.09765625" customWidth="1"/>
    <col min="9" max="9" width="10" customWidth="1"/>
  </cols>
  <sheetData>
    <row r="1" spans="1:9" ht="24" customHeight="1" thickBot="1">
      <c r="A1" s="68" t="s">
        <v>52</v>
      </c>
      <c r="B1" s="68"/>
      <c r="C1" s="68"/>
      <c r="D1" s="68"/>
      <c r="E1" s="68"/>
      <c r="F1" s="68"/>
      <c r="G1" s="68"/>
      <c r="H1" s="68"/>
      <c r="I1" s="68"/>
    </row>
    <row r="2" spans="1:9" ht="16.2" thickTop="1">
      <c r="A2" s="69" t="s">
        <v>53</v>
      </c>
      <c r="B2" s="71" t="s">
        <v>54</v>
      </c>
      <c r="C2" s="71" t="s">
        <v>55</v>
      </c>
      <c r="D2" s="73" t="s">
        <v>56</v>
      </c>
      <c r="E2" s="71" t="s">
        <v>57</v>
      </c>
      <c r="F2" s="71"/>
      <c r="G2" s="71"/>
      <c r="H2" s="71"/>
      <c r="I2" s="75"/>
    </row>
    <row r="3" spans="1:9">
      <c r="A3" s="70"/>
      <c r="B3" s="72"/>
      <c r="C3" s="72"/>
      <c r="D3" s="74"/>
      <c r="E3" s="41" t="s">
        <v>58</v>
      </c>
      <c r="F3" s="41" t="s">
        <v>59</v>
      </c>
      <c r="G3" s="41" t="s">
        <v>60</v>
      </c>
      <c r="H3" s="41" t="s">
        <v>61</v>
      </c>
      <c r="I3" s="42" t="s">
        <v>62</v>
      </c>
    </row>
    <row r="4" spans="1:9">
      <c r="A4" s="4" t="s">
        <v>46</v>
      </c>
      <c r="B4" s="8">
        <v>38786</v>
      </c>
      <c r="C4" s="8">
        <v>38778.619567361115</v>
      </c>
      <c r="D4" s="43">
        <v>10000</v>
      </c>
      <c r="E4" s="43">
        <v>10000</v>
      </c>
      <c r="F4" s="43" t="s">
        <v>47</v>
      </c>
      <c r="G4" s="43" t="s">
        <v>47</v>
      </c>
      <c r="H4" s="43" t="s">
        <v>47</v>
      </c>
      <c r="I4" s="44" t="s">
        <v>47</v>
      </c>
    </row>
    <row r="5" spans="1:9">
      <c r="A5" s="4" t="s">
        <v>48</v>
      </c>
      <c r="B5" s="8">
        <v>38822</v>
      </c>
      <c r="C5" s="8">
        <v>38778.619567361115</v>
      </c>
      <c r="D5" s="43">
        <v>25000</v>
      </c>
      <c r="E5" s="43" t="s">
        <v>47</v>
      </c>
      <c r="F5" s="43" t="s">
        <v>47</v>
      </c>
      <c r="G5" s="43">
        <v>25000</v>
      </c>
      <c r="H5" s="43" t="s">
        <v>47</v>
      </c>
      <c r="I5" s="44" t="s">
        <v>47</v>
      </c>
    </row>
    <row r="6" spans="1:9">
      <c r="A6" s="4" t="s">
        <v>49</v>
      </c>
      <c r="B6" s="8">
        <v>38776</v>
      </c>
      <c r="C6" s="8">
        <v>38778.619567361115</v>
      </c>
      <c r="D6" s="43">
        <v>35000</v>
      </c>
      <c r="E6" s="43">
        <v>35000</v>
      </c>
      <c r="F6" s="43" t="s">
        <v>47</v>
      </c>
      <c r="G6" s="43" t="s">
        <v>47</v>
      </c>
      <c r="H6" s="43" t="s">
        <v>47</v>
      </c>
      <c r="I6" s="44" t="s">
        <v>47</v>
      </c>
    </row>
    <row r="7" spans="1:9">
      <c r="A7" s="4" t="s">
        <v>50</v>
      </c>
      <c r="B7" s="8">
        <v>38777</v>
      </c>
      <c r="C7" s="8">
        <v>38778.619567361115</v>
      </c>
      <c r="D7" s="43">
        <v>42000</v>
      </c>
      <c r="E7" s="43">
        <v>42000</v>
      </c>
      <c r="F7" s="43" t="s">
        <v>47</v>
      </c>
      <c r="G7" s="43" t="s">
        <v>47</v>
      </c>
      <c r="H7" s="43" t="s">
        <v>47</v>
      </c>
      <c r="I7" s="44" t="s">
        <v>47</v>
      </c>
    </row>
    <row r="8" spans="1:9">
      <c r="A8" s="4" t="s">
        <v>51</v>
      </c>
      <c r="B8" s="8">
        <v>38847</v>
      </c>
      <c r="C8" s="8">
        <v>38778.619567361115</v>
      </c>
      <c r="D8" s="43">
        <v>15000</v>
      </c>
      <c r="E8" s="43" t="s">
        <v>47</v>
      </c>
      <c r="F8" s="43" t="s">
        <v>47</v>
      </c>
      <c r="G8" s="43" t="s">
        <v>47</v>
      </c>
      <c r="H8" s="43">
        <v>15000</v>
      </c>
      <c r="I8" s="44" t="s">
        <v>47</v>
      </c>
    </row>
    <row r="9" spans="1:9">
      <c r="A9" s="4" t="s">
        <v>50</v>
      </c>
      <c r="B9" s="8">
        <v>38812</v>
      </c>
      <c r="C9" s="8">
        <v>38778.619567361115</v>
      </c>
      <c r="D9" s="43">
        <v>18000</v>
      </c>
      <c r="E9" s="43" t="s">
        <v>47</v>
      </c>
      <c r="F9" s="43" t="s">
        <v>47</v>
      </c>
      <c r="G9" s="43">
        <v>18000</v>
      </c>
      <c r="H9" s="43" t="s">
        <v>47</v>
      </c>
      <c r="I9" s="44" t="s">
        <v>47</v>
      </c>
    </row>
    <row r="10" spans="1:9">
      <c r="A10" s="4" t="s">
        <v>46</v>
      </c>
      <c r="B10" s="8">
        <v>38959</v>
      </c>
      <c r="C10" s="8">
        <v>38778.619567361115</v>
      </c>
      <c r="D10" s="43">
        <v>38000</v>
      </c>
      <c r="E10" s="43" t="s">
        <v>47</v>
      </c>
      <c r="F10" s="43" t="s">
        <v>47</v>
      </c>
      <c r="G10" s="43" t="s">
        <v>47</v>
      </c>
      <c r="H10" s="43" t="s">
        <v>47</v>
      </c>
      <c r="I10" s="44">
        <v>38000</v>
      </c>
    </row>
    <row r="11" spans="1:9">
      <c r="A11" s="4" t="s">
        <v>49</v>
      </c>
      <c r="B11" s="8">
        <v>38929</v>
      </c>
      <c r="C11" s="8">
        <v>38778.619567361115</v>
      </c>
      <c r="D11" s="43">
        <v>12000</v>
      </c>
      <c r="E11" s="43" t="s">
        <v>47</v>
      </c>
      <c r="F11" s="43" t="s">
        <v>47</v>
      </c>
      <c r="G11" s="43" t="s">
        <v>47</v>
      </c>
      <c r="H11" s="43" t="s">
        <v>47</v>
      </c>
      <c r="I11" s="44">
        <v>12000</v>
      </c>
    </row>
    <row r="12" spans="1:9">
      <c r="A12" s="62" t="s">
        <v>63</v>
      </c>
      <c r="B12" s="63"/>
      <c r="C12" s="64"/>
      <c r="D12" s="45">
        <v>195000</v>
      </c>
      <c r="E12" s="45">
        <v>87000</v>
      </c>
      <c r="F12" s="45">
        <v>0</v>
      </c>
      <c r="G12" s="45">
        <v>43000</v>
      </c>
      <c r="H12" s="45">
        <v>15000</v>
      </c>
      <c r="I12" s="46">
        <v>50000</v>
      </c>
    </row>
    <row r="13" spans="1:9" ht="16.2" thickBot="1">
      <c r="A13" s="65" t="s">
        <v>64</v>
      </c>
      <c r="B13" s="66"/>
      <c r="C13" s="67"/>
      <c r="D13" s="47"/>
      <c r="E13" s="48">
        <v>0.44615384615384618</v>
      </c>
      <c r="F13" s="48">
        <v>0</v>
      </c>
      <c r="G13" s="48">
        <v>0.22051282051282051</v>
      </c>
      <c r="H13" s="48">
        <v>7.6923076923076927E-2</v>
      </c>
      <c r="I13" s="49">
        <v>0.25641025641025639</v>
      </c>
    </row>
    <row r="14" spans="1:9" ht="16.2" thickTop="1"/>
  </sheetData>
  <mergeCells count="8">
    <mergeCell ref="A12:C12"/>
    <mergeCell ref="A13:C13"/>
    <mergeCell ref="A1:I1"/>
    <mergeCell ref="A2:A3"/>
    <mergeCell ref="B2:B3"/>
    <mergeCell ref="C2:C3"/>
    <mergeCell ref="D2:D3"/>
    <mergeCell ref="E2:I2"/>
  </mergeCells>
  <phoneticPr fontId="1" type="noConversion"/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>
  <dimension ref="A1:I14"/>
  <sheetViews>
    <sheetView tabSelected="1" workbookViewId="0">
      <selection activeCell="C10" sqref="C10"/>
    </sheetView>
  </sheetViews>
  <sheetFormatPr defaultRowHeight="15.6"/>
  <cols>
    <col min="1" max="1" width="11.5" style="50" customWidth="1"/>
    <col min="2" max="2" width="12.19921875" style="50" customWidth="1"/>
    <col min="3" max="3" width="12.69921875" style="50" customWidth="1"/>
    <col min="4" max="4" width="11" style="50" customWidth="1"/>
    <col min="5" max="5" width="10.3984375" style="50" customWidth="1"/>
    <col min="6" max="6" width="10.19921875" style="50" customWidth="1"/>
    <col min="7" max="8" width="10.09765625" style="50" customWidth="1"/>
    <col min="9" max="9" width="10" style="50" customWidth="1"/>
    <col min="10" max="16384" width="8.796875" style="50"/>
  </cols>
  <sheetData>
    <row r="1" spans="1:9" ht="24" customHeight="1" thickBot="1">
      <c r="A1" s="82" t="s">
        <v>67</v>
      </c>
      <c r="B1" s="82"/>
      <c r="C1" s="82"/>
      <c r="D1" s="82"/>
      <c r="E1" s="82"/>
      <c r="F1" s="82"/>
      <c r="G1" s="82"/>
      <c r="H1" s="82"/>
      <c r="I1" s="82"/>
    </row>
    <row r="2" spans="1:9" ht="16.2" thickTop="1">
      <c r="A2" s="83" t="s">
        <v>53</v>
      </c>
      <c r="B2" s="85" t="s">
        <v>54</v>
      </c>
      <c r="C2" s="85" t="s">
        <v>55</v>
      </c>
      <c r="D2" s="87" t="s">
        <v>68</v>
      </c>
      <c r="E2" s="85" t="s">
        <v>57</v>
      </c>
      <c r="F2" s="85"/>
      <c r="G2" s="85"/>
      <c r="H2" s="85"/>
      <c r="I2" s="89"/>
    </row>
    <row r="3" spans="1:9">
      <c r="A3" s="84"/>
      <c r="B3" s="86"/>
      <c r="C3" s="86"/>
      <c r="D3" s="88"/>
      <c r="E3" s="51" t="s">
        <v>58</v>
      </c>
      <c r="F3" s="51" t="s">
        <v>69</v>
      </c>
      <c r="G3" s="51" t="s">
        <v>60</v>
      </c>
      <c r="H3" s="51" t="s">
        <v>70</v>
      </c>
      <c r="I3" s="52" t="s">
        <v>62</v>
      </c>
    </row>
    <row r="4" spans="1:9">
      <c r="A4" s="53" t="s">
        <v>48</v>
      </c>
      <c r="B4" s="54">
        <v>38786</v>
      </c>
      <c r="C4" s="54">
        <v>38779.345696759257</v>
      </c>
      <c r="D4" s="55">
        <v>20000</v>
      </c>
      <c r="E4" s="55">
        <v>20000</v>
      </c>
      <c r="F4" s="55" t="s">
        <v>47</v>
      </c>
      <c r="G4" s="55" t="s">
        <v>47</v>
      </c>
      <c r="H4" s="55" t="s">
        <v>47</v>
      </c>
      <c r="I4" s="56" t="s">
        <v>47</v>
      </c>
    </row>
    <row r="5" spans="1:9">
      <c r="A5" s="53" t="s">
        <v>49</v>
      </c>
      <c r="B5" s="54">
        <v>38822</v>
      </c>
      <c r="C5" s="54">
        <v>38779.345696759257</v>
      </c>
      <c r="D5" s="55">
        <v>18000</v>
      </c>
      <c r="E5" s="55" t="s">
        <v>47</v>
      </c>
      <c r="F5" s="55" t="s">
        <v>47</v>
      </c>
      <c r="G5" s="55">
        <v>18000</v>
      </c>
      <c r="H5" s="55" t="s">
        <v>47</v>
      </c>
      <c r="I5" s="56" t="s">
        <v>47</v>
      </c>
    </row>
    <row r="6" spans="1:9">
      <c r="A6" s="53" t="s">
        <v>65</v>
      </c>
      <c r="B6" s="54">
        <v>38776</v>
      </c>
      <c r="C6" s="54">
        <v>38779.345696759257</v>
      </c>
      <c r="D6" s="55">
        <v>150000</v>
      </c>
      <c r="E6" s="55">
        <v>150000</v>
      </c>
      <c r="F6" s="55" t="s">
        <v>47</v>
      </c>
      <c r="G6" s="55" t="s">
        <v>47</v>
      </c>
      <c r="H6" s="55" t="s">
        <v>47</v>
      </c>
      <c r="I6" s="56" t="s">
        <v>47</v>
      </c>
    </row>
    <row r="7" spans="1:9">
      <c r="A7" s="53" t="s">
        <v>50</v>
      </c>
      <c r="B7" s="54">
        <v>38777</v>
      </c>
      <c r="C7" s="54">
        <v>38779.345696759257</v>
      </c>
      <c r="D7" s="55">
        <v>30000</v>
      </c>
      <c r="E7" s="55">
        <v>30000</v>
      </c>
      <c r="F7" s="55" t="s">
        <v>47</v>
      </c>
      <c r="G7" s="55" t="s">
        <v>47</v>
      </c>
      <c r="H7" s="55" t="s">
        <v>47</v>
      </c>
      <c r="I7" s="56" t="s">
        <v>47</v>
      </c>
    </row>
    <row r="8" spans="1:9">
      <c r="A8" s="53" t="s">
        <v>51</v>
      </c>
      <c r="B8" s="54">
        <v>38847</v>
      </c>
      <c r="C8" s="54">
        <v>38779.345696759257</v>
      </c>
      <c r="D8" s="55">
        <v>5000</v>
      </c>
      <c r="E8" s="55" t="s">
        <v>47</v>
      </c>
      <c r="F8" s="55" t="s">
        <v>47</v>
      </c>
      <c r="G8" s="55" t="s">
        <v>47</v>
      </c>
      <c r="H8" s="55">
        <v>5000</v>
      </c>
      <c r="I8" s="56" t="s">
        <v>47</v>
      </c>
    </row>
    <row r="9" spans="1:9">
      <c r="A9" s="53" t="s">
        <v>66</v>
      </c>
      <c r="B9" s="54">
        <v>38812</v>
      </c>
      <c r="C9" s="54">
        <v>38779.345696759257</v>
      </c>
      <c r="D9" s="55">
        <v>8900</v>
      </c>
      <c r="E9" s="55" t="s">
        <v>47</v>
      </c>
      <c r="F9" s="55" t="s">
        <v>47</v>
      </c>
      <c r="G9" s="55">
        <v>8900</v>
      </c>
      <c r="H9" s="55" t="s">
        <v>47</v>
      </c>
      <c r="I9" s="56" t="s">
        <v>47</v>
      </c>
    </row>
    <row r="10" spans="1:9">
      <c r="A10" s="53" t="s">
        <v>50</v>
      </c>
      <c r="B10" s="54">
        <v>38959</v>
      </c>
      <c r="C10" s="54">
        <v>38779.345696759257</v>
      </c>
      <c r="D10" s="55">
        <v>90000</v>
      </c>
      <c r="E10" s="55" t="s">
        <v>47</v>
      </c>
      <c r="F10" s="55" t="s">
        <v>47</v>
      </c>
      <c r="G10" s="55" t="s">
        <v>47</v>
      </c>
      <c r="H10" s="55" t="s">
        <v>47</v>
      </c>
      <c r="I10" s="56">
        <v>90000</v>
      </c>
    </row>
    <row r="11" spans="1:9">
      <c r="A11" s="53" t="s">
        <v>46</v>
      </c>
      <c r="B11" s="54">
        <v>38929</v>
      </c>
      <c r="C11" s="54">
        <v>38779.345696759257</v>
      </c>
      <c r="D11" s="55">
        <v>45000</v>
      </c>
      <c r="E11" s="55" t="s">
        <v>47</v>
      </c>
      <c r="F11" s="55" t="s">
        <v>47</v>
      </c>
      <c r="G11" s="55" t="s">
        <v>47</v>
      </c>
      <c r="H11" s="55" t="s">
        <v>47</v>
      </c>
      <c r="I11" s="56">
        <v>45000</v>
      </c>
    </row>
    <row r="12" spans="1:9">
      <c r="A12" s="76" t="s">
        <v>71</v>
      </c>
      <c r="B12" s="77"/>
      <c r="C12" s="78"/>
      <c r="D12" s="55">
        <v>366900</v>
      </c>
      <c r="E12" s="55">
        <v>200000</v>
      </c>
      <c r="F12" s="55">
        <v>0</v>
      </c>
      <c r="G12" s="55">
        <v>26900</v>
      </c>
      <c r="H12" s="55">
        <v>5000</v>
      </c>
      <c r="I12" s="56">
        <v>135000</v>
      </c>
    </row>
    <row r="13" spans="1:9" ht="16.2" thickBot="1">
      <c r="A13" s="79" t="s">
        <v>72</v>
      </c>
      <c r="B13" s="80"/>
      <c r="C13" s="81"/>
      <c r="D13" s="57"/>
      <c r="E13" s="58">
        <v>0.54510765876260558</v>
      </c>
      <c r="F13" s="58">
        <v>0</v>
      </c>
      <c r="G13" s="58">
        <v>7.3316980103570462E-2</v>
      </c>
      <c r="H13" s="58">
        <v>1.362769146906514E-2</v>
      </c>
      <c r="I13" s="59">
        <v>0.36794766966475878</v>
      </c>
    </row>
    <row r="14" spans="1:9" ht="16.2" thickTop="1"/>
  </sheetData>
  <mergeCells count="8">
    <mergeCell ref="A12:C12"/>
    <mergeCell ref="A13:C13"/>
    <mergeCell ref="A1:I1"/>
    <mergeCell ref="A2:A3"/>
    <mergeCell ref="B2:B3"/>
    <mergeCell ref="C2:C3"/>
    <mergeCell ref="D2:D3"/>
    <mergeCell ref="E2:I2"/>
  </mergeCells>
  <phoneticPr fontId="1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图表</vt:lpstr>
      </vt:variant>
      <vt:variant>
        <vt:i4>2</vt:i4>
      </vt:variant>
    </vt:vector>
  </HeadingPairs>
  <TitlesOfParts>
    <vt:vector size="8" baseType="lpstr">
      <vt:lpstr>采购数量透视表</vt:lpstr>
      <vt:lpstr>采购数据</vt:lpstr>
      <vt:lpstr>销售数量透视表</vt:lpstr>
      <vt:lpstr>销售数据</vt:lpstr>
      <vt:lpstr>应收账款数据</vt:lpstr>
      <vt:lpstr>应付账款数据</vt:lpstr>
      <vt:lpstr>应收账款账期金额分析图</vt:lpstr>
      <vt:lpstr>应收账款账期比例分析图</vt:lpstr>
    </vt:vector>
  </TitlesOfParts>
  <Company>gw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gy</dc:creator>
  <cp:lastModifiedBy>syq</cp:lastModifiedBy>
  <dcterms:created xsi:type="dcterms:W3CDTF">2006-02-23T01:10:10Z</dcterms:created>
  <dcterms:modified xsi:type="dcterms:W3CDTF">2008-01-19T00:29:47Z</dcterms:modified>
</cp:coreProperties>
</file>