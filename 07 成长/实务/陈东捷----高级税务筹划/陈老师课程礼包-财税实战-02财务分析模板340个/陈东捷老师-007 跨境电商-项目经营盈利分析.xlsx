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微软用户</author>
  </authors>
  <commentList>
    <comment ref="H4" authorId="0">
      <text>
        <r>
          <rPr>
            <sz val="9"/>
            <rFont val="宋体"/>
            <charset val="134"/>
          </rPr>
          <t xml:space="preserve">财务分析：
网店启动及装修准备期
</t>
        </r>
      </text>
    </comment>
    <comment ref="C6" authorId="0">
      <text>
        <r>
          <rPr>
            <sz val="9"/>
            <rFont val="宋体"/>
            <charset val="134"/>
          </rPr>
          <t xml:space="preserve">财务分析：
税率13%
</t>
        </r>
      </text>
    </comment>
    <comment ref="C24" authorId="0">
      <text>
        <r>
          <rPr>
            <sz val="9"/>
            <rFont val="宋体"/>
            <charset val="134"/>
          </rPr>
          <t xml:space="preserve">财务分析:
一次性支付（其他应收款）可退回。
</t>
        </r>
      </text>
    </comment>
    <comment ref="C25" authorId="0">
      <text>
        <r>
          <rPr>
            <sz val="9"/>
            <rFont val="宋体"/>
            <charset val="134"/>
          </rPr>
          <t>财务分析:
一次性支付</t>
        </r>
      </text>
    </comment>
    <comment ref="O34" authorId="0">
      <text>
        <r>
          <rPr>
            <sz val="9"/>
            <rFont val="宋体"/>
            <charset val="134"/>
          </rPr>
          <t xml:space="preserve">财务分析：
年底年终奖
</t>
        </r>
      </text>
    </comment>
  </commentList>
</comments>
</file>

<file path=xl/sharedStrings.xml><?xml version="1.0" encoding="utf-8"?>
<sst xmlns="http://schemas.openxmlformats.org/spreadsheetml/2006/main" count="109" uniqueCount="100">
  <si>
    <t>2023年度电商项目经营预算分析表</t>
  </si>
  <si>
    <t>科目</t>
  </si>
  <si>
    <t>公式</t>
  </si>
  <si>
    <t>2023年1月-2023年12月总合计</t>
  </si>
  <si>
    <t>收入</t>
  </si>
  <si>
    <t>含税销售额</t>
  </si>
  <si>
    <t>A</t>
  </si>
  <si>
    <t>未税销售额</t>
  </si>
  <si>
    <t>A1</t>
  </si>
  <si>
    <t>A/1.13</t>
  </si>
  <si>
    <t>含税成本</t>
  </si>
  <si>
    <t>A2</t>
  </si>
  <si>
    <t>A*(1-B)</t>
  </si>
  <si>
    <t>未税成本</t>
  </si>
  <si>
    <t>A3</t>
  </si>
  <si>
    <t>A2/1.13</t>
  </si>
  <si>
    <t>毛利率</t>
  </si>
  <si>
    <t>B</t>
  </si>
  <si>
    <t>含税毛利额</t>
  </si>
  <si>
    <t>B1</t>
  </si>
  <si>
    <t>A*B</t>
  </si>
  <si>
    <t>未税毛利额</t>
  </si>
  <si>
    <t>B2</t>
  </si>
  <si>
    <t>B1/1.13</t>
  </si>
  <si>
    <t>费用</t>
  </si>
  <si>
    <t>平台费用率</t>
  </si>
  <si>
    <t>C</t>
  </si>
  <si>
    <t>D/A</t>
  </si>
  <si>
    <t>保证金率(只支付第一年）</t>
  </si>
  <si>
    <t>C1</t>
  </si>
  <si>
    <t>平台使用年费率</t>
  </si>
  <si>
    <t>C2</t>
  </si>
  <si>
    <t>平台佣金扣点率</t>
  </si>
  <si>
    <t>C3</t>
  </si>
  <si>
    <t>D3/A</t>
  </si>
  <si>
    <t>推广费率</t>
  </si>
  <si>
    <t>E1</t>
  </si>
  <si>
    <t>E2+E3</t>
  </si>
  <si>
    <t>淘内推广费率</t>
  </si>
  <si>
    <t>E2</t>
  </si>
  <si>
    <t>F2/A</t>
  </si>
  <si>
    <t>淘外推广费率</t>
  </si>
  <si>
    <t>E3</t>
  </si>
  <si>
    <t>物流仓储费用率</t>
  </si>
  <si>
    <t>物流损耗费率</t>
  </si>
  <si>
    <t>E4</t>
  </si>
  <si>
    <t>E5+E6</t>
  </si>
  <si>
    <t>物流费率</t>
  </si>
  <si>
    <t>E5</t>
  </si>
  <si>
    <t>损耗费率</t>
  </si>
  <si>
    <t>E6</t>
  </si>
  <si>
    <t>仓储费率</t>
  </si>
  <si>
    <t>管理费用率</t>
  </si>
  <si>
    <t>平台费用额</t>
  </si>
  <si>
    <t>D</t>
  </si>
  <si>
    <t>D1+D2+D3+D4</t>
  </si>
  <si>
    <t>保证金(只支付第一年）</t>
  </si>
  <si>
    <t>D1</t>
  </si>
  <si>
    <t>C1*A</t>
  </si>
  <si>
    <t>平台使用年费</t>
  </si>
  <si>
    <t>D2</t>
  </si>
  <si>
    <t>C2*A</t>
  </si>
  <si>
    <t>平台佣金扣点</t>
  </si>
  <si>
    <t>D3</t>
  </si>
  <si>
    <t>推广费</t>
  </si>
  <si>
    <t>F1</t>
  </si>
  <si>
    <t>F2+F3</t>
  </si>
  <si>
    <t>淘内推广费</t>
  </si>
  <si>
    <t>F2</t>
  </si>
  <si>
    <t>淘外推广费</t>
  </si>
  <si>
    <t>F3</t>
  </si>
  <si>
    <t>E3/A</t>
  </si>
  <si>
    <t>物流仓储费用</t>
  </si>
  <si>
    <t>物流损耗费</t>
  </si>
  <si>
    <t>F4</t>
  </si>
  <si>
    <t>F5+F6</t>
  </si>
  <si>
    <t>物流费</t>
  </si>
  <si>
    <t>F5</t>
  </si>
  <si>
    <t>E5*A</t>
  </si>
  <si>
    <t>损耗费</t>
  </si>
  <si>
    <t>F6</t>
  </si>
  <si>
    <t>E6*A</t>
  </si>
  <si>
    <t>仓储费</t>
  </si>
  <si>
    <t>管理费用</t>
  </si>
  <si>
    <t>总费用率</t>
  </si>
  <si>
    <t>费用总额</t>
  </si>
  <si>
    <t>利润</t>
  </si>
  <si>
    <t>净毛利率（不含后台成本）</t>
  </si>
  <si>
    <t>G</t>
  </si>
  <si>
    <t>H/A</t>
  </si>
  <si>
    <t>含税净毛利额</t>
  </si>
  <si>
    <t>H</t>
  </si>
  <si>
    <t>B1-D-F</t>
  </si>
  <si>
    <t>不含税净毛利额</t>
  </si>
  <si>
    <t>I</t>
  </si>
  <si>
    <t>H/1.13</t>
  </si>
  <si>
    <t>注：</t>
  </si>
  <si>
    <t xml:space="preserve">   1、从xx年x月起开始进入盈亏平衡，前期现金流出x元，因此所需现金资本设定为x万元。</t>
  </si>
  <si>
    <t xml:space="preserve">   2、2000万的销售额按年周转率8次计算，货物资本设定为250万。</t>
  </si>
  <si>
    <t xml:space="preserve">      两者合并总投入最大资金规模设定为400万。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</si>
</sst>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 "/>
    <numFmt numFmtId="177" formatCode="#,##0.000_ "/>
    <numFmt numFmtId="178" formatCode="0.0%"/>
    <numFmt numFmtId="179" formatCode="#,##0.00_ "/>
  </numFmts>
  <fonts count="27">
    <font>
      <sz val="12"/>
      <name val="宋体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11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57" fontId="4" fillId="2" borderId="2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 textRotation="255"/>
    </xf>
    <xf numFmtId="0" fontId="5" fillId="2" borderId="4" xfId="0" applyNumberFormat="1" applyFont="1" applyFill="1" applyBorder="1" applyAlignment="1">
      <alignment horizontal="left" vertical="center"/>
    </xf>
    <xf numFmtId="0" fontId="5" fillId="2" borderId="4" xfId="0" applyNumberFormat="1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vertical="center"/>
    </xf>
    <xf numFmtId="178" fontId="5" fillId="2" borderId="4" xfId="11" applyNumberFormat="1" applyFont="1" applyFill="1" applyBorder="1" applyAlignment="1">
      <alignment vertical="center"/>
    </xf>
    <xf numFmtId="0" fontId="5" fillId="2" borderId="4" xfId="0" applyNumberFormat="1" applyFont="1" applyFill="1" applyBorder="1" applyAlignment="1">
      <alignment vertical="center"/>
    </xf>
    <xf numFmtId="179" fontId="5" fillId="2" borderId="4" xfId="0" applyNumberFormat="1" applyFont="1" applyFill="1" applyBorder="1" applyAlignment="1">
      <alignment horizontal="left" vertical="center"/>
    </xf>
    <xf numFmtId="179" fontId="5" fillId="2" borderId="4" xfId="0" applyNumberFormat="1" applyFont="1" applyFill="1" applyBorder="1" applyAlignment="1">
      <alignment horizontal="center" vertical="center"/>
    </xf>
    <xf numFmtId="179" fontId="5" fillId="2" borderId="4" xfId="0" applyNumberFormat="1" applyFont="1" applyFill="1" applyBorder="1" applyAlignment="1">
      <alignment vertical="center"/>
    </xf>
    <xf numFmtId="179" fontId="5" fillId="2" borderId="4" xfId="0" applyNumberFormat="1" applyFont="1" applyFill="1" applyBorder="1" applyAlignment="1">
      <alignment horizontal="center" vertical="center" wrapText="1"/>
    </xf>
    <xf numFmtId="176" fontId="5" fillId="2" borderId="4" xfId="11" applyNumberFormat="1" applyFont="1" applyFill="1" applyBorder="1" applyAlignment="1">
      <alignment vertical="center"/>
    </xf>
    <xf numFmtId="9" fontId="5" fillId="2" borderId="4" xfId="11" applyNumberFormat="1" applyFont="1" applyFill="1" applyBorder="1" applyAlignment="1">
      <alignment vertical="center"/>
    </xf>
    <xf numFmtId="0" fontId="5" fillId="2" borderId="5" xfId="0" applyNumberFormat="1" applyFont="1" applyFill="1" applyBorder="1" applyAlignment="1">
      <alignment horizontal="center" vertical="center" textRotation="255"/>
    </xf>
    <xf numFmtId="179" fontId="5" fillId="2" borderId="6" xfId="0" applyNumberFormat="1" applyFont="1" applyFill="1" applyBorder="1" applyAlignment="1">
      <alignment horizontal="center" vertical="center"/>
    </xf>
    <xf numFmtId="179" fontId="5" fillId="2" borderId="6" xfId="0" applyNumberFormat="1" applyFont="1" applyFill="1" applyBorder="1" applyAlignment="1">
      <alignment horizontal="left" vertical="center"/>
    </xf>
    <xf numFmtId="176" fontId="5" fillId="2" borderId="6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11" applyNumberFormat="1" applyFont="1" applyFill="1" applyBorder="1" applyAlignment="1">
      <alignment horizontal="right" vertical="center"/>
    </xf>
    <xf numFmtId="176" fontId="5" fillId="2" borderId="4" xfId="11" applyNumberFormat="1" applyFont="1" applyFill="1" applyBorder="1" applyAlignment="1">
      <alignment horizontal="right" vertical="center"/>
    </xf>
    <xf numFmtId="176" fontId="5" fillId="2" borderId="6" xfId="0" applyNumberFormat="1" applyFont="1" applyFill="1" applyBorder="1" applyAlignment="1">
      <alignment horizontal="right" vertical="center"/>
    </xf>
    <xf numFmtId="177" fontId="5" fillId="2" borderId="0" xfId="0" applyNumberFormat="1" applyFont="1" applyFill="1" applyBorder="1" applyAlignment="1">
      <alignment vertical="center"/>
    </xf>
    <xf numFmtId="10" fontId="2" fillId="2" borderId="0" xfId="11" applyNumberFormat="1" applyFont="1" applyFill="1" applyBorder="1" applyAlignment="1">
      <alignment vertical="center"/>
    </xf>
    <xf numFmtId="176" fontId="4" fillId="2" borderId="7" xfId="0" applyNumberFormat="1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right" vertical="center"/>
    </xf>
    <xf numFmtId="178" fontId="5" fillId="2" borderId="8" xfId="11" applyNumberFormat="1" applyFont="1" applyFill="1" applyBorder="1" applyAlignment="1">
      <alignment horizontal="right" vertical="center"/>
    </xf>
    <xf numFmtId="178" fontId="5" fillId="2" borderId="8" xfId="11" applyNumberFormat="1" applyFont="1" applyFill="1" applyBorder="1" applyAlignment="1">
      <alignment vertical="center"/>
    </xf>
    <xf numFmtId="9" fontId="5" fillId="2" borderId="8" xfId="11" applyNumberFormat="1" applyFont="1" applyFill="1" applyBorder="1" applyAlignment="1">
      <alignment vertical="center"/>
    </xf>
    <xf numFmtId="176" fontId="5" fillId="2" borderId="8" xfId="0" applyNumberFormat="1" applyFont="1" applyFill="1" applyBorder="1" applyAlignment="1">
      <alignment vertical="center"/>
    </xf>
    <xf numFmtId="176" fontId="5" fillId="2" borderId="9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5"/>
  <sheetViews>
    <sheetView tabSelected="1" zoomScale="70" zoomScaleNormal="70" workbookViewId="0">
      <selection activeCell="K16" sqref="K16"/>
    </sheetView>
  </sheetViews>
  <sheetFormatPr defaultColWidth="8" defaultRowHeight="16.5" customHeight="1"/>
  <cols>
    <col min="1" max="1" width="9" style="2" customWidth="1"/>
    <col min="2" max="2" width="6.91666666666667" style="3" customWidth="1"/>
    <col min="3" max="3" width="2.66666666666667" style="3" customWidth="1"/>
    <col min="4" max="4" width="2.5" style="3" customWidth="1"/>
    <col min="5" max="5" width="20.8833333333333" style="3" customWidth="1"/>
    <col min="6" max="6" width="7.35" style="4" customWidth="1"/>
    <col min="7" max="7" width="15.45" style="3" customWidth="1"/>
    <col min="8" max="9" width="12.1666666666667" style="3" customWidth="1"/>
    <col min="10" max="13" width="12.1666666666667" style="5" customWidth="1"/>
    <col min="14" max="14" width="23.5833333333333" style="5" hidden="1" customWidth="1"/>
    <col min="15" max="17" width="12.1666666666667" style="5" customWidth="1"/>
    <col min="18" max="20" width="14.0833333333333" style="5" customWidth="1"/>
    <col min="21" max="21" width="31.8333333333333" style="5" customWidth="1"/>
    <col min="22" max="22" width="9.58333333333333" style="3" customWidth="1"/>
    <col min="23" max="16384" width="8" style="3"/>
  </cols>
  <sheetData>
    <row r="1" s="1" customFormat="1" customHeight="1" spans="1:256">
      <c r="A1" s="2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="1" customFormat="1" ht="23.25" customHeight="1" spans="1:256">
      <c r="A2" s="2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="1" customFormat="1" ht="29" customHeight="1" spans="1:256">
      <c r="A3" s="2"/>
      <c r="B3" s="8" t="s">
        <v>1</v>
      </c>
      <c r="C3" s="9"/>
      <c r="D3" s="9"/>
      <c r="E3" s="9"/>
      <c r="F3" s="9"/>
      <c r="G3" s="9" t="s">
        <v>2</v>
      </c>
      <c r="H3" s="10">
        <v>44927</v>
      </c>
      <c r="I3" s="10">
        <v>44958</v>
      </c>
      <c r="J3" s="10">
        <v>44986</v>
      </c>
      <c r="K3" s="10">
        <v>45017</v>
      </c>
      <c r="L3" s="10">
        <v>45047</v>
      </c>
      <c r="M3" s="10">
        <v>45078</v>
      </c>
      <c r="N3" s="10">
        <v>41610</v>
      </c>
      <c r="O3" s="10">
        <v>45108</v>
      </c>
      <c r="P3" s="10">
        <v>45139</v>
      </c>
      <c r="Q3" s="10">
        <v>45170</v>
      </c>
      <c r="R3" s="10">
        <v>45200</v>
      </c>
      <c r="S3" s="10">
        <v>45231</v>
      </c>
      <c r="T3" s="10">
        <v>45261</v>
      </c>
      <c r="U3" s="35" t="s">
        <v>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ht="19" customHeight="1" spans="1:21">
      <c r="A4" s="3"/>
      <c r="B4" s="11" t="s">
        <v>4</v>
      </c>
      <c r="C4" s="12" t="s">
        <v>5</v>
      </c>
      <c r="D4" s="12"/>
      <c r="E4" s="12"/>
      <c r="F4" s="13" t="s">
        <v>6</v>
      </c>
      <c r="G4" s="12" t="s">
        <v>6</v>
      </c>
      <c r="H4" s="14">
        <v>1000</v>
      </c>
      <c r="I4" s="14">
        <v>1001</v>
      </c>
      <c r="J4" s="14">
        <v>1002</v>
      </c>
      <c r="K4" s="14">
        <v>1003</v>
      </c>
      <c r="L4" s="14">
        <v>1004</v>
      </c>
      <c r="M4" s="14">
        <v>1005</v>
      </c>
      <c r="N4" s="14">
        <v>1006</v>
      </c>
      <c r="O4" s="14">
        <v>1007</v>
      </c>
      <c r="P4" s="14">
        <v>1008</v>
      </c>
      <c r="Q4" s="14">
        <v>1009</v>
      </c>
      <c r="R4" s="14">
        <v>1010</v>
      </c>
      <c r="S4" s="14">
        <v>1011</v>
      </c>
      <c r="T4" s="14">
        <v>1012</v>
      </c>
      <c r="U4" s="36">
        <f>SUM(N4:T4)</f>
        <v>7063</v>
      </c>
    </row>
    <row r="5" s="1" customFormat="1" ht="19" customHeight="1" spans="1:256">
      <c r="A5" s="2"/>
      <c r="B5" s="11"/>
      <c r="C5" s="13" t="s">
        <v>7</v>
      </c>
      <c r="D5" s="13"/>
      <c r="E5" s="13"/>
      <c r="F5" s="13" t="s">
        <v>8</v>
      </c>
      <c r="G5" s="12" t="s">
        <v>9</v>
      </c>
      <c r="H5" s="14">
        <f t="shared" ref="H5:M5" si="0">H4/1.13</f>
        <v>884.955752212389</v>
      </c>
      <c r="I5" s="14">
        <f t="shared" si="0"/>
        <v>885.840707964602</v>
      </c>
      <c r="J5" s="14">
        <f t="shared" si="0"/>
        <v>886.725663716814</v>
      </c>
      <c r="K5" s="14">
        <f t="shared" si="0"/>
        <v>887.610619469027</v>
      </c>
      <c r="L5" s="14">
        <f t="shared" si="0"/>
        <v>888.495575221239</v>
      </c>
      <c r="M5" s="14">
        <f t="shared" si="0"/>
        <v>889.380530973451</v>
      </c>
      <c r="N5" s="29">
        <f>SUM(H5:M5)</f>
        <v>5323.00884955752</v>
      </c>
      <c r="O5" s="14">
        <f t="shared" ref="O5:T5" si="1">O4/1.13</f>
        <v>891.150442477876</v>
      </c>
      <c r="P5" s="14">
        <f t="shared" si="1"/>
        <v>892.035398230089</v>
      </c>
      <c r="Q5" s="14">
        <f t="shared" si="1"/>
        <v>892.920353982301</v>
      </c>
      <c r="R5" s="14">
        <f t="shared" si="1"/>
        <v>893.805309734513</v>
      </c>
      <c r="S5" s="14">
        <f t="shared" si="1"/>
        <v>894.690265486726</v>
      </c>
      <c r="T5" s="14">
        <f t="shared" si="1"/>
        <v>895.575221238938</v>
      </c>
      <c r="U5" s="36">
        <f>SUM(N5:T5)</f>
        <v>10683.185840708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="1" customFormat="1" ht="19" customHeight="1" spans="1:256">
      <c r="A6" s="2"/>
      <c r="B6" s="11"/>
      <c r="C6" s="13" t="s">
        <v>10</v>
      </c>
      <c r="D6" s="13"/>
      <c r="E6" s="13"/>
      <c r="F6" s="13" t="s">
        <v>11</v>
      </c>
      <c r="G6" s="12" t="s">
        <v>12</v>
      </c>
      <c r="H6" s="14">
        <f t="shared" ref="H6:M6" si="2">H4*(1-H8)</f>
        <v>900</v>
      </c>
      <c r="I6" s="14">
        <f t="shared" si="2"/>
        <v>900.9</v>
      </c>
      <c r="J6" s="14">
        <f t="shared" si="2"/>
        <v>651.3</v>
      </c>
      <c r="K6" s="14">
        <f t="shared" si="2"/>
        <v>601.8</v>
      </c>
      <c r="L6" s="14">
        <f t="shared" si="2"/>
        <v>602.4</v>
      </c>
      <c r="M6" s="14">
        <f t="shared" si="2"/>
        <v>552.75</v>
      </c>
      <c r="N6" s="29">
        <f>SUM(H6:M6)</f>
        <v>4209.15</v>
      </c>
      <c r="O6" s="14">
        <f t="shared" ref="O6:T6" si="3">O4*(1-O8)</f>
        <v>503.5</v>
      </c>
      <c r="P6" s="14">
        <f t="shared" si="3"/>
        <v>403.2</v>
      </c>
      <c r="Q6" s="14">
        <f t="shared" si="3"/>
        <v>302.7</v>
      </c>
      <c r="R6" s="14">
        <f t="shared" si="3"/>
        <v>303</v>
      </c>
      <c r="S6" s="14">
        <f t="shared" si="3"/>
        <v>505.5</v>
      </c>
      <c r="T6" s="14">
        <f t="shared" si="3"/>
        <v>303.6</v>
      </c>
      <c r="U6" s="36">
        <f>SUM(N6:T6)</f>
        <v>6530.65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="1" customFormat="1" ht="19" customHeight="1" spans="1:256">
      <c r="A7" s="2"/>
      <c r="B7" s="11"/>
      <c r="C7" s="13" t="s">
        <v>13</v>
      </c>
      <c r="D7" s="13"/>
      <c r="E7" s="13"/>
      <c r="F7" s="13" t="s">
        <v>14</v>
      </c>
      <c r="G7" s="12" t="s">
        <v>15</v>
      </c>
      <c r="H7" s="14">
        <f t="shared" ref="H7:M7" si="4">H6/1.13</f>
        <v>796.460176991151</v>
      </c>
      <c r="I7" s="14">
        <f t="shared" si="4"/>
        <v>797.256637168142</v>
      </c>
      <c r="J7" s="14">
        <f t="shared" si="4"/>
        <v>576.371681415929</v>
      </c>
      <c r="K7" s="14">
        <f t="shared" si="4"/>
        <v>532.566371681416</v>
      </c>
      <c r="L7" s="14">
        <f t="shared" si="4"/>
        <v>533.097345132743</v>
      </c>
      <c r="M7" s="14">
        <f t="shared" si="4"/>
        <v>489.159292035398</v>
      </c>
      <c r="N7" s="29">
        <f>SUM(H7:M7)</f>
        <v>3724.91150442478</v>
      </c>
      <c r="O7" s="14">
        <f t="shared" ref="O7:T7" si="5">O6/1.13</f>
        <v>445.575221238938</v>
      </c>
      <c r="P7" s="14">
        <f t="shared" si="5"/>
        <v>356.814159292035</v>
      </c>
      <c r="Q7" s="14">
        <f t="shared" si="5"/>
        <v>267.87610619469</v>
      </c>
      <c r="R7" s="14">
        <f t="shared" si="5"/>
        <v>268.141592920354</v>
      </c>
      <c r="S7" s="14">
        <f t="shared" si="5"/>
        <v>447.345132743363</v>
      </c>
      <c r="T7" s="14">
        <f t="shared" si="5"/>
        <v>268.672566371681</v>
      </c>
      <c r="U7" s="36">
        <f>SUM(N7:T7)</f>
        <v>5779.33628318584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ht="19" customHeight="1" spans="1:21">
      <c r="A8" s="3"/>
      <c r="B8" s="11"/>
      <c r="C8" s="12" t="s">
        <v>16</v>
      </c>
      <c r="D8" s="12"/>
      <c r="E8" s="12"/>
      <c r="F8" s="13" t="s">
        <v>17</v>
      </c>
      <c r="G8" s="12" t="s">
        <v>17</v>
      </c>
      <c r="H8" s="15">
        <v>0.1</v>
      </c>
      <c r="I8" s="15">
        <v>0.1</v>
      </c>
      <c r="J8" s="15">
        <v>0.35</v>
      </c>
      <c r="K8" s="15">
        <v>0.4</v>
      </c>
      <c r="L8" s="15">
        <v>0.4</v>
      </c>
      <c r="M8" s="15">
        <v>0.45</v>
      </c>
      <c r="N8" s="30">
        <f>1-N6/N4</f>
        <v>-3.18404572564612</v>
      </c>
      <c r="O8" s="15">
        <v>0.5</v>
      </c>
      <c r="P8" s="15">
        <v>0.6</v>
      </c>
      <c r="Q8" s="15">
        <v>0.7</v>
      </c>
      <c r="R8" s="15">
        <v>0.7</v>
      </c>
      <c r="S8" s="15">
        <v>0.5</v>
      </c>
      <c r="T8" s="15">
        <v>0.7</v>
      </c>
      <c r="U8" s="37">
        <f>1-U6/U4</f>
        <v>0.0753716551040635</v>
      </c>
    </row>
    <row r="9" s="1" customFormat="1" ht="19" customHeight="1" spans="1:256">
      <c r="A9" s="2"/>
      <c r="B9" s="11"/>
      <c r="C9" s="13" t="s">
        <v>18</v>
      </c>
      <c r="D9" s="13"/>
      <c r="E9" s="13"/>
      <c r="F9" s="13" t="s">
        <v>19</v>
      </c>
      <c r="G9" s="12" t="s">
        <v>20</v>
      </c>
      <c r="H9" s="14">
        <f t="shared" ref="H9:M9" si="6">H4*H8</f>
        <v>100</v>
      </c>
      <c r="I9" s="14">
        <f t="shared" si="6"/>
        <v>100.1</v>
      </c>
      <c r="J9" s="14">
        <f t="shared" si="6"/>
        <v>350.7</v>
      </c>
      <c r="K9" s="14">
        <f t="shared" si="6"/>
        <v>401.2</v>
      </c>
      <c r="L9" s="14">
        <f t="shared" si="6"/>
        <v>401.6</v>
      </c>
      <c r="M9" s="14">
        <f t="shared" si="6"/>
        <v>452.25</v>
      </c>
      <c r="N9" s="29">
        <f>SUM(H9:M9)</f>
        <v>1805.85</v>
      </c>
      <c r="O9" s="14">
        <f t="shared" ref="O9:T9" si="7">O4*O8</f>
        <v>503.5</v>
      </c>
      <c r="P9" s="14">
        <f t="shared" si="7"/>
        <v>604.8</v>
      </c>
      <c r="Q9" s="14">
        <f t="shared" si="7"/>
        <v>706.3</v>
      </c>
      <c r="R9" s="14">
        <f t="shared" si="7"/>
        <v>707</v>
      </c>
      <c r="S9" s="14">
        <f t="shared" si="7"/>
        <v>505.5</v>
      </c>
      <c r="T9" s="14">
        <f t="shared" si="7"/>
        <v>708.4</v>
      </c>
      <c r="U9" s="36">
        <f>SUM(N9:T9)</f>
        <v>5541.35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="1" customFormat="1" ht="19" customHeight="1" spans="1:256">
      <c r="A10" s="2"/>
      <c r="B10" s="11"/>
      <c r="C10" s="13" t="s">
        <v>21</v>
      </c>
      <c r="D10" s="13"/>
      <c r="E10" s="13"/>
      <c r="F10" s="13" t="s">
        <v>22</v>
      </c>
      <c r="G10" s="12" t="s">
        <v>23</v>
      </c>
      <c r="H10" s="14">
        <f t="shared" ref="H10:M10" si="8">H9/1.13</f>
        <v>88.495575221239</v>
      </c>
      <c r="I10" s="14">
        <f t="shared" si="8"/>
        <v>88.5840707964602</v>
      </c>
      <c r="J10" s="14">
        <f t="shared" si="8"/>
        <v>310.353982300885</v>
      </c>
      <c r="K10" s="14">
        <f t="shared" si="8"/>
        <v>355.044247787611</v>
      </c>
      <c r="L10" s="14">
        <f t="shared" si="8"/>
        <v>355.398230088496</v>
      </c>
      <c r="M10" s="14">
        <f t="shared" si="8"/>
        <v>400.221238938053</v>
      </c>
      <c r="N10" s="29">
        <f>SUM(H10:M10)</f>
        <v>1598.09734513274</v>
      </c>
      <c r="O10" s="14">
        <f t="shared" ref="O10:T10" si="9">O9/1.13</f>
        <v>445.575221238938</v>
      </c>
      <c r="P10" s="14">
        <f t="shared" si="9"/>
        <v>535.221238938053</v>
      </c>
      <c r="Q10" s="14">
        <f t="shared" si="9"/>
        <v>625.044247787611</v>
      </c>
      <c r="R10" s="14">
        <f t="shared" si="9"/>
        <v>625.663716814159</v>
      </c>
      <c r="S10" s="14">
        <f t="shared" si="9"/>
        <v>447.345132743363</v>
      </c>
      <c r="T10" s="14">
        <f t="shared" si="9"/>
        <v>626.902654867257</v>
      </c>
      <c r="U10" s="36">
        <f>SUM(N10:T10)</f>
        <v>4903.84955752212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ht="19" customHeight="1" spans="1:21">
      <c r="A11" s="3"/>
      <c r="B11" s="11" t="s">
        <v>24</v>
      </c>
      <c r="C11" s="12" t="s">
        <v>25</v>
      </c>
      <c r="D11" s="12"/>
      <c r="E11" s="12"/>
      <c r="F11" s="13" t="s">
        <v>26</v>
      </c>
      <c r="G11" s="12" t="s">
        <v>27</v>
      </c>
      <c r="H11" s="15">
        <v>0</v>
      </c>
      <c r="I11" s="15">
        <f t="shared" ref="I11:U11" si="10">I23/I4</f>
        <v>0.05</v>
      </c>
      <c r="J11" s="15">
        <f t="shared" si="10"/>
        <v>0.05</v>
      </c>
      <c r="K11" s="15">
        <f t="shared" si="10"/>
        <v>0.05</v>
      </c>
      <c r="L11" s="15">
        <f t="shared" si="10"/>
        <v>0.05</v>
      </c>
      <c r="M11" s="15">
        <f t="shared" si="10"/>
        <v>0.05</v>
      </c>
      <c r="N11" s="30">
        <f t="shared" si="10"/>
        <v>109.39393638171</v>
      </c>
      <c r="O11" s="15">
        <f t="shared" si="10"/>
        <v>0.05</v>
      </c>
      <c r="P11" s="15">
        <f t="shared" si="10"/>
        <v>0.05</v>
      </c>
      <c r="Q11" s="15">
        <f t="shared" si="10"/>
        <v>0.05</v>
      </c>
      <c r="R11" s="15">
        <f t="shared" si="10"/>
        <v>0.05</v>
      </c>
      <c r="S11" s="15">
        <f t="shared" si="10"/>
        <v>0.05</v>
      </c>
      <c r="T11" s="15">
        <f t="shared" si="10"/>
        <v>0.05</v>
      </c>
      <c r="U11" s="37">
        <f t="shared" si="10"/>
        <v>15.6241186464675</v>
      </c>
    </row>
    <row r="12" s="1" customFormat="1" ht="19" customHeight="1" spans="1:256">
      <c r="A12" s="2"/>
      <c r="B12" s="11"/>
      <c r="C12" s="13" t="s">
        <v>28</v>
      </c>
      <c r="D12" s="13"/>
      <c r="E12" s="13"/>
      <c r="F12" s="13" t="s">
        <v>29</v>
      </c>
      <c r="G12" s="16" t="s">
        <v>29</v>
      </c>
      <c r="H12" s="15">
        <v>0</v>
      </c>
      <c r="I12" s="15">
        <f t="shared" ref="I12:U12" si="11">I24/I4</f>
        <v>0</v>
      </c>
      <c r="J12" s="15">
        <f t="shared" si="11"/>
        <v>0</v>
      </c>
      <c r="K12" s="15">
        <f t="shared" si="11"/>
        <v>0</v>
      </c>
      <c r="L12" s="15">
        <f t="shared" si="11"/>
        <v>0</v>
      </c>
      <c r="M12" s="15">
        <f t="shared" si="11"/>
        <v>0</v>
      </c>
      <c r="N12" s="30">
        <f t="shared" si="11"/>
        <v>49.7017892644135</v>
      </c>
      <c r="O12" s="15">
        <f t="shared" si="11"/>
        <v>0</v>
      </c>
      <c r="P12" s="15">
        <f t="shared" si="11"/>
        <v>0</v>
      </c>
      <c r="Q12" s="15">
        <f t="shared" si="11"/>
        <v>0</v>
      </c>
      <c r="R12" s="15">
        <f t="shared" si="11"/>
        <v>0</v>
      </c>
      <c r="S12" s="15">
        <f t="shared" si="11"/>
        <v>0</v>
      </c>
      <c r="T12" s="15">
        <f t="shared" si="11"/>
        <v>0</v>
      </c>
      <c r="U12" s="37">
        <f t="shared" si="11"/>
        <v>7.07914483930341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="1" customFormat="1" ht="19" customHeight="1" spans="1:256">
      <c r="A13" s="2"/>
      <c r="B13" s="11"/>
      <c r="C13" s="13" t="s">
        <v>30</v>
      </c>
      <c r="D13" s="13"/>
      <c r="E13" s="13"/>
      <c r="F13" s="13" t="s">
        <v>31</v>
      </c>
      <c r="G13" s="16" t="s">
        <v>31</v>
      </c>
      <c r="H13" s="15">
        <v>0</v>
      </c>
      <c r="I13" s="15">
        <f t="shared" ref="I13:U13" si="12">I25/I4</f>
        <v>0</v>
      </c>
      <c r="J13" s="15">
        <f t="shared" si="12"/>
        <v>0</v>
      </c>
      <c r="K13" s="15">
        <f t="shared" si="12"/>
        <v>0</v>
      </c>
      <c r="L13" s="15">
        <f t="shared" si="12"/>
        <v>0</v>
      </c>
      <c r="M13" s="15">
        <f t="shared" si="12"/>
        <v>0</v>
      </c>
      <c r="N13" s="30">
        <f t="shared" si="12"/>
        <v>59.6421471172962</v>
      </c>
      <c r="O13" s="15">
        <f t="shared" si="12"/>
        <v>0</v>
      </c>
      <c r="P13" s="15">
        <f t="shared" si="12"/>
        <v>0</v>
      </c>
      <c r="Q13" s="15">
        <f t="shared" si="12"/>
        <v>0</v>
      </c>
      <c r="R13" s="15">
        <f t="shared" si="12"/>
        <v>0</v>
      </c>
      <c r="S13" s="15">
        <f t="shared" si="12"/>
        <v>0</v>
      </c>
      <c r="T13" s="15">
        <f t="shared" si="12"/>
        <v>0</v>
      </c>
      <c r="U13" s="37">
        <f t="shared" si="12"/>
        <v>8.4949738071641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="1" customFormat="1" ht="19" customHeight="1" spans="1:256">
      <c r="A14" s="2"/>
      <c r="B14" s="11"/>
      <c r="C14" s="13" t="s">
        <v>32</v>
      </c>
      <c r="D14" s="13"/>
      <c r="E14" s="13"/>
      <c r="F14" s="13" t="s">
        <v>33</v>
      </c>
      <c r="G14" s="16" t="s">
        <v>34</v>
      </c>
      <c r="H14" s="15">
        <v>0.05</v>
      </c>
      <c r="I14" s="15">
        <v>0.05</v>
      </c>
      <c r="J14" s="15">
        <v>0.05</v>
      </c>
      <c r="K14" s="15">
        <v>0.05</v>
      </c>
      <c r="L14" s="15">
        <v>0.05</v>
      </c>
      <c r="M14" s="15">
        <v>0.05</v>
      </c>
      <c r="N14" s="30">
        <v>0.05</v>
      </c>
      <c r="O14" s="15">
        <v>0.05</v>
      </c>
      <c r="P14" s="15">
        <v>0.05</v>
      </c>
      <c r="Q14" s="15">
        <v>0.05</v>
      </c>
      <c r="R14" s="15">
        <v>0.05</v>
      </c>
      <c r="S14" s="15">
        <v>0.05</v>
      </c>
      <c r="T14" s="15">
        <v>0.05</v>
      </c>
      <c r="U14" s="37">
        <v>0.05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="1" customFormat="1" ht="19" customHeight="1" spans="1:256">
      <c r="A15" s="2"/>
      <c r="B15" s="11"/>
      <c r="C15" s="17" t="s">
        <v>35</v>
      </c>
      <c r="D15" s="17"/>
      <c r="E15" s="17"/>
      <c r="F15" s="18" t="s">
        <v>36</v>
      </c>
      <c r="G15" s="17" t="s">
        <v>37</v>
      </c>
      <c r="H15" s="15">
        <f t="shared" ref="H15:M15" si="13">H16+H17</f>
        <v>0.06</v>
      </c>
      <c r="I15" s="15">
        <f t="shared" si="13"/>
        <v>20.04001998002</v>
      </c>
      <c r="J15" s="15">
        <f t="shared" si="13"/>
        <v>39.9801596806387</v>
      </c>
      <c r="K15" s="15">
        <f t="shared" si="13"/>
        <v>149.611345962114</v>
      </c>
      <c r="L15" s="15">
        <f t="shared" si="13"/>
        <v>249.063984063745</v>
      </c>
      <c r="M15" s="15">
        <f t="shared" si="13"/>
        <v>298.567462686567</v>
      </c>
      <c r="N15" s="30">
        <f>N27/N4</f>
        <v>755.825944333996</v>
      </c>
      <c r="O15" s="15">
        <f t="shared" ref="O15:T15" si="14">O16+O17</f>
        <v>397.279463753724</v>
      </c>
      <c r="P15" s="15">
        <f t="shared" si="14"/>
        <v>297.679047619048</v>
      </c>
      <c r="Q15" s="15">
        <f t="shared" si="14"/>
        <v>515.421744301288</v>
      </c>
      <c r="R15" s="15">
        <f t="shared" si="14"/>
        <v>544.614455445545</v>
      </c>
      <c r="S15" s="15">
        <f t="shared" si="14"/>
        <v>563.85821958457</v>
      </c>
      <c r="T15" s="15">
        <f t="shared" si="14"/>
        <v>494.131146245059</v>
      </c>
      <c r="U15" s="37">
        <f>U27/U4</f>
        <v>509.800979753646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="1" customFormat="1" ht="19" customHeight="1" spans="1:256">
      <c r="A16" s="2"/>
      <c r="B16" s="11"/>
      <c r="C16" s="18" t="s">
        <v>38</v>
      </c>
      <c r="D16" s="18"/>
      <c r="E16" s="18"/>
      <c r="F16" s="18" t="s">
        <v>39</v>
      </c>
      <c r="G16" s="19" t="s">
        <v>40</v>
      </c>
      <c r="H16" s="15">
        <v>0</v>
      </c>
      <c r="I16" s="15">
        <f t="shared" ref="I16:U16" si="15">I28/I4</f>
        <v>19.98001998002</v>
      </c>
      <c r="J16" s="15">
        <f t="shared" si="15"/>
        <v>39.9201596806387</v>
      </c>
      <c r="K16" s="15">
        <f t="shared" si="15"/>
        <v>149.551345962114</v>
      </c>
      <c r="L16" s="15">
        <f t="shared" si="15"/>
        <v>249.003984063745</v>
      </c>
      <c r="M16" s="15">
        <f t="shared" si="15"/>
        <v>298.507462686567</v>
      </c>
      <c r="N16" s="30">
        <f t="shared" si="15"/>
        <v>755.467196819086</v>
      </c>
      <c r="O16" s="15">
        <f t="shared" si="15"/>
        <v>397.219463753724</v>
      </c>
      <c r="P16" s="15">
        <f t="shared" si="15"/>
        <v>297.619047619048</v>
      </c>
      <c r="Q16" s="15">
        <f t="shared" si="15"/>
        <v>515.361744301288</v>
      </c>
      <c r="R16" s="15">
        <f t="shared" si="15"/>
        <v>544.554455445545</v>
      </c>
      <c r="S16" s="15">
        <f t="shared" si="15"/>
        <v>563.79821958457</v>
      </c>
      <c r="T16" s="15">
        <f t="shared" si="15"/>
        <v>494.071146245059</v>
      </c>
      <c r="U16" s="37">
        <f t="shared" si="15"/>
        <v>509.698428429846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="1" customFormat="1" ht="19" customHeight="1" spans="1:256">
      <c r="A17" s="2"/>
      <c r="B17" s="11"/>
      <c r="C17" s="18" t="s">
        <v>41</v>
      </c>
      <c r="D17" s="18"/>
      <c r="E17" s="18"/>
      <c r="F17" s="18" t="s">
        <v>42</v>
      </c>
      <c r="G17" s="19" t="s">
        <v>42</v>
      </c>
      <c r="H17" s="15">
        <v>0.06</v>
      </c>
      <c r="I17" s="15">
        <v>0.06</v>
      </c>
      <c r="J17" s="15">
        <v>0.06</v>
      </c>
      <c r="K17" s="15">
        <v>0.06</v>
      </c>
      <c r="L17" s="15">
        <v>0.06</v>
      </c>
      <c r="M17" s="15">
        <v>0.06</v>
      </c>
      <c r="N17" s="30">
        <v>0.06</v>
      </c>
      <c r="O17" s="15">
        <v>0.06</v>
      </c>
      <c r="P17" s="15">
        <v>0.06</v>
      </c>
      <c r="Q17" s="15">
        <v>0.06</v>
      </c>
      <c r="R17" s="15">
        <v>0.06</v>
      </c>
      <c r="S17" s="15">
        <v>0.06</v>
      </c>
      <c r="T17" s="15">
        <v>0.06</v>
      </c>
      <c r="U17" s="37">
        <v>0.06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="1" customFormat="1" ht="19" customHeight="1" spans="1:256">
      <c r="A18" s="2"/>
      <c r="B18" s="11"/>
      <c r="C18" s="20" t="s">
        <v>43</v>
      </c>
      <c r="D18" s="20"/>
      <c r="E18" s="19" t="s">
        <v>44</v>
      </c>
      <c r="F18" s="18" t="s">
        <v>45</v>
      </c>
      <c r="G18" s="17" t="s">
        <v>46</v>
      </c>
      <c r="H18" s="15">
        <f t="shared" ref="H18:M18" si="16">H19+H20</f>
        <v>0.06</v>
      </c>
      <c r="I18" s="15">
        <f t="shared" si="16"/>
        <v>0.06</v>
      </c>
      <c r="J18" s="15">
        <f t="shared" si="16"/>
        <v>0.06</v>
      </c>
      <c r="K18" s="15">
        <f t="shared" si="16"/>
        <v>0.06</v>
      </c>
      <c r="L18" s="15">
        <f t="shared" si="16"/>
        <v>0.06</v>
      </c>
      <c r="M18" s="15">
        <f t="shared" si="16"/>
        <v>0.06</v>
      </c>
      <c r="N18" s="30">
        <f>N30/N4</f>
        <v>0.358747514910537</v>
      </c>
      <c r="O18" s="15">
        <f t="shared" ref="O18:T18" si="17">O19+O20</f>
        <v>0.06</v>
      </c>
      <c r="P18" s="15">
        <f t="shared" si="17"/>
        <v>0.06</v>
      </c>
      <c r="Q18" s="15">
        <f t="shared" si="17"/>
        <v>0.06</v>
      </c>
      <c r="R18" s="15">
        <f t="shared" si="17"/>
        <v>0.06</v>
      </c>
      <c r="S18" s="15">
        <f t="shared" si="17"/>
        <v>0.06</v>
      </c>
      <c r="T18" s="15">
        <f t="shared" si="17"/>
        <v>0.06</v>
      </c>
      <c r="U18" s="37">
        <f>U30/U4</f>
        <v>0.102551323800085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="1" customFormat="1" ht="19" customHeight="1" spans="1:256">
      <c r="A19" s="2"/>
      <c r="B19" s="11"/>
      <c r="C19" s="20"/>
      <c r="D19" s="20"/>
      <c r="E19" s="18" t="s">
        <v>47</v>
      </c>
      <c r="F19" s="18" t="s">
        <v>48</v>
      </c>
      <c r="G19" s="17" t="s">
        <v>48</v>
      </c>
      <c r="H19" s="15">
        <v>0.05</v>
      </c>
      <c r="I19" s="15">
        <v>0.05</v>
      </c>
      <c r="J19" s="15">
        <v>0.05</v>
      </c>
      <c r="K19" s="15">
        <v>0.05</v>
      </c>
      <c r="L19" s="15">
        <v>0.05</v>
      </c>
      <c r="M19" s="15">
        <v>0.05</v>
      </c>
      <c r="N19" s="30">
        <v>0.05</v>
      </c>
      <c r="O19" s="15">
        <v>0.05</v>
      </c>
      <c r="P19" s="15">
        <v>0.05</v>
      </c>
      <c r="Q19" s="15">
        <v>0.05</v>
      </c>
      <c r="R19" s="15">
        <v>0.05</v>
      </c>
      <c r="S19" s="15">
        <v>0.05</v>
      </c>
      <c r="T19" s="15">
        <v>0.05</v>
      </c>
      <c r="U19" s="37">
        <v>0.05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="1" customFormat="1" ht="19" customHeight="1" spans="1:256">
      <c r="A20" s="2"/>
      <c r="B20" s="11"/>
      <c r="C20" s="20"/>
      <c r="D20" s="20"/>
      <c r="E20" s="18" t="s">
        <v>49</v>
      </c>
      <c r="F20" s="18" t="s">
        <v>50</v>
      </c>
      <c r="G20" s="17" t="s">
        <v>50</v>
      </c>
      <c r="H20" s="15">
        <v>0.01</v>
      </c>
      <c r="I20" s="15">
        <v>0.01</v>
      </c>
      <c r="J20" s="15">
        <v>0.01</v>
      </c>
      <c r="K20" s="15">
        <v>0.01</v>
      </c>
      <c r="L20" s="15">
        <v>0.01</v>
      </c>
      <c r="M20" s="15">
        <v>0.01</v>
      </c>
      <c r="N20" s="30">
        <v>0.01</v>
      </c>
      <c r="O20" s="15">
        <v>0.01</v>
      </c>
      <c r="P20" s="15">
        <v>0.01</v>
      </c>
      <c r="Q20" s="15">
        <v>0.01</v>
      </c>
      <c r="R20" s="15">
        <v>0.01</v>
      </c>
      <c r="S20" s="15">
        <v>0.01</v>
      </c>
      <c r="T20" s="15">
        <v>0.01</v>
      </c>
      <c r="U20" s="37">
        <v>0.01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="1" customFormat="1" ht="19" customHeight="1" spans="1:256">
      <c r="A21" s="2"/>
      <c r="B21" s="11"/>
      <c r="C21" s="20"/>
      <c r="D21" s="20"/>
      <c r="E21" s="19" t="s">
        <v>51</v>
      </c>
      <c r="F21" s="18"/>
      <c r="G21" s="17"/>
      <c r="H21" s="15">
        <v>0.04</v>
      </c>
      <c r="I21" s="15">
        <v>0.04</v>
      </c>
      <c r="J21" s="15">
        <v>0.04</v>
      </c>
      <c r="K21" s="15">
        <v>0.04</v>
      </c>
      <c r="L21" s="15">
        <v>0.04</v>
      </c>
      <c r="M21" s="15">
        <v>0.04</v>
      </c>
      <c r="N21" s="30">
        <v>0.04</v>
      </c>
      <c r="O21" s="15">
        <v>0.04</v>
      </c>
      <c r="P21" s="15">
        <v>0.04</v>
      </c>
      <c r="Q21" s="15">
        <v>0.04</v>
      </c>
      <c r="R21" s="15">
        <v>0.04</v>
      </c>
      <c r="S21" s="15">
        <v>0.04</v>
      </c>
      <c r="T21" s="15">
        <v>0.04</v>
      </c>
      <c r="U21" s="37">
        <v>0.04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="1" customFormat="1" ht="19" customHeight="1" spans="1:256">
      <c r="A22" s="2"/>
      <c r="B22" s="11"/>
      <c r="C22" s="17" t="s">
        <v>52</v>
      </c>
      <c r="D22" s="17"/>
      <c r="E22" s="17"/>
      <c r="F22" s="18"/>
      <c r="G22" s="17"/>
      <c r="H22" s="15">
        <v>0</v>
      </c>
      <c r="I22" s="15">
        <f t="shared" ref="I22:U22" si="18">I34/I4</f>
        <v>99.9000999000999</v>
      </c>
      <c r="J22" s="15">
        <f t="shared" si="18"/>
        <v>99.8003992015968</v>
      </c>
      <c r="K22" s="15">
        <f t="shared" si="18"/>
        <v>99.7008973080758</v>
      </c>
      <c r="L22" s="15">
        <f t="shared" si="18"/>
        <v>99.601593625498</v>
      </c>
      <c r="M22" s="15">
        <f t="shared" si="18"/>
        <v>99.5024875621891</v>
      </c>
      <c r="N22" s="15">
        <f t="shared" si="18"/>
        <v>596.421471172962</v>
      </c>
      <c r="O22" s="15">
        <f t="shared" si="18"/>
        <v>248.262164846077</v>
      </c>
      <c r="P22" s="15">
        <f t="shared" si="18"/>
        <v>228.174603174603</v>
      </c>
      <c r="Q22" s="15">
        <f t="shared" si="18"/>
        <v>227.94846382557</v>
      </c>
      <c r="R22" s="15">
        <f t="shared" si="18"/>
        <v>227.722772277228</v>
      </c>
      <c r="S22" s="15">
        <f t="shared" si="18"/>
        <v>227.497527200791</v>
      </c>
      <c r="T22" s="15">
        <f t="shared" si="18"/>
        <v>227.272727272727</v>
      </c>
      <c r="U22" s="38">
        <f t="shared" si="18"/>
        <v>283.165793572136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="1" customFormat="1" ht="19" customHeight="1" spans="1:256">
      <c r="A23" s="2"/>
      <c r="B23" s="11"/>
      <c r="C23" s="12" t="s">
        <v>53</v>
      </c>
      <c r="D23" s="12"/>
      <c r="E23" s="12"/>
      <c r="F23" s="13" t="s">
        <v>54</v>
      </c>
      <c r="G23" s="12" t="s">
        <v>55</v>
      </c>
      <c r="H23" s="14">
        <f t="shared" ref="H23:U23" si="19">SUM(H24:H26)</f>
        <v>110050</v>
      </c>
      <c r="I23" s="14">
        <f t="shared" si="19"/>
        <v>50.05</v>
      </c>
      <c r="J23" s="14">
        <f t="shared" si="19"/>
        <v>50.1</v>
      </c>
      <c r="K23" s="14">
        <f t="shared" si="19"/>
        <v>50.15</v>
      </c>
      <c r="L23" s="14">
        <f t="shared" si="19"/>
        <v>50.2</v>
      </c>
      <c r="M23" s="14">
        <f t="shared" si="19"/>
        <v>50.25</v>
      </c>
      <c r="N23" s="29">
        <f t="shared" si="19"/>
        <v>110050.3</v>
      </c>
      <c r="O23" s="14">
        <f t="shared" si="19"/>
        <v>50.35</v>
      </c>
      <c r="P23" s="14">
        <f t="shared" si="19"/>
        <v>50.4</v>
      </c>
      <c r="Q23" s="14">
        <f t="shared" si="19"/>
        <v>50.45</v>
      </c>
      <c r="R23" s="14">
        <f t="shared" si="19"/>
        <v>50.5</v>
      </c>
      <c r="S23" s="14">
        <f t="shared" si="19"/>
        <v>50.55</v>
      </c>
      <c r="T23" s="14">
        <f t="shared" si="19"/>
        <v>50.6</v>
      </c>
      <c r="U23" s="36">
        <f t="shared" si="19"/>
        <v>110353.15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="1" customFormat="1" ht="19" customHeight="1" spans="1:256">
      <c r="A24" s="2"/>
      <c r="B24" s="11"/>
      <c r="C24" s="13" t="s">
        <v>56</v>
      </c>
      <c r="D24" s="13"/>
      <c r="E24" s="13"/>
      <c r="F24" s="13" t="s">
        <v>57</v>
      </c>
      <c r="G24" s="16" t="s">
        <v>58</v>
      </c>
      <c r="H24" s="14">
        <v>50000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29">
        <f t="shared" ref="N24:N32" si="20">SUM(H24:M24)</f>
        <v>50000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36">
        <f t="shared" ref="U24:U32" si="21">SUM(N24:T24)</f>
        <v>50000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="1" customFormat="1" ht="19" customHeight="1" spans="1:256">
      <c r="A25" s="2"/>
      <c r="B25" s="11"/>
      <c r="C25" s="13" t="s">
        <v>59</v>
      </c>
      <c r="D25" s="13"/>
      <c r="E25" s="13"/>
      <c r="F25" s="13" t="s">
        <v>60</v>
      </c>
      <c r="G25" s="16" t="s">
        <v>61</v>
      </c>
      <c r="H25" s="14">
        <v>60000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29">
        <f t="shared" si="20"/>
        <v>60000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36">
        <f t="shared" si="21"/>
        <v>60000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="1" customFormat="1" ht="19" customHeight="1" spans="1:256">
      <c r="A26" s="2"/>
      <c r="B26" s="11"/>
      <c r="C26" s="13" t="s">
        <v>62</v>
      </c>
      <c r="D26" s="13"/>
      <c r="E26" s="13"/>
      <c r="F26" s="13" t="s">
        <v>63</v>
      </c>
      <c r="G26" s="16" t="s">
        <v>63</v>
      </c>
      <c r="H26" s="14">
        <f t="shared" ref="H26:U26" si="22">H4*H14</f>
        <v>50</v>
      </c>
      <c r="I26" s="14">
        <f t="shared" si="22"/>
        <v>50.05</v>
      </c>
      <c r="J26" s="14">
        <f t="shared" si="22"/>
        <v>50.1</v>
      </c>
      <c r="K26" s="14">
        <f t="shared" si="22"/>
        <v>50.15</v>
      </c>
      <c r="L26" s="14">
        <f t="shared" si="22"/>
        <v>50.2</v>
      </c>
      <c r="M26" s="14">
        <f t="shared" si="22"/>
        <v>50.25</v>
      </c>
      <c r="N26" s="29">
        <f t="shared" si="22"/>
        <v>50.3</v>
      </c>
      <c r="O26" s="14">
        <f t="shared" si="22"/>
        <v>50.35</v>
      </c>
      <c r="P26" s="14">
        <f t="shared" si="22"/>
        <v>50.4</v>
      </c>
      <c r="Q26" s="14">
        <f t="shared" si="22"/>
        <v>50.45</v>
      </c>
      <c r="R26" s="14">
        <f t="shared" si="22"/>
        <v>50.5</v>
      </c>
      <c r="S26" s="14">
        <f t="shared" si="22"/>
        <v>50.55</v>
      </c>
      <c r="T26" s="14">
        <f t="shared" si="22"/>
        <v>50.6</v>
      </c>
      <c r="U26" s="36">
        <f t="shared" si="22"/>
        <v>353.15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s="1" customFormat="1" ht="19" customHeight="1" spans="1:256">
      <c r="A27" s="2"/>
      <c r="B27" s="11"/>
      <c r="C27" s="17" t="s">
        <v>64</v>
      </c>
      <c r="D27" s="17"/>
      <c r="E27" s="17"/>
      <c r="F27" s="18" t="s">
        <v>65</v>
      </c>
      <c r="G27" s="17" t="s">
        <v>66</v>
      </c>
      <c r="H27" s="14">
        <f t="shared" ref="H27:M27" si="23">H28+H29</f>
        <v>60</v>
      </c>
      <c r="I27" s="14">
        <f t="shared" si="23"/>
        <v>20060.06</v>
      </c>
      <c r="J27" s="14">
        <f t="shared" si="23"/>
        <v>40060.12</v>
      </c>
      <c r="K27" s="14">
        <f t="shared" si="23"/>
        <v>150060.18</v>
      </c>
      <c r="L27" s="14">
        <f t="shared" si="23"/>
        <v>250060.24</v>
      </c>
      <c r="M27" s="14">
        <f t="shared" si="23"/>
        <v>300060.3</v>
      </c>
      <c r="N27" s="29">
        <f t="shared" si="20"/>
        <v>760360.9</v>
      </c>
      <c r="O27" s="14">
        <f t="shared" ref="O27:T27" si="24">O28+O29</f>
        <v>400060.42</v>
      </c>
      <c r="P27" s="14">
        <f t="shared" si="24"/>
        <v>300060.48</v>
      </c>
      <c r="Q27" s="14">
        <f t="shared" si="24"/>
        <v>520060.54</v>
      </c>
      <c r="R27" s="14">
        <f t="shared" si="24"/>
        <v>550060.6</v>
      </c>
      <c r="S27" s="14">
        <f t="shared" si="24"/>
        <v>570060.66</v>
      </c>
      <c r="T27" s="14">
        <f t="shared" si="24"/>
        <v>500060.72</v>
      </c>
      <c r="U27" s="36">
        <f t="shared" si="21"/>
        <v>3600724.32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s="1" customFormat="1" ht="19" customHeight="1" spans="1:256">
      <c r="A28" s="2"/>
      <c r="B28" s="11"/>
      <c r="C28" s="18" t="s">
        <v>67</v>
      </c>
      <c r="D28" s="18"/>
      <c r="E28" s="18"/>
      <c r="F28" s="18" t="s">
        <v>68</v>
      </c>
      <c r="G28" s="19" t="s">
        <v>68</v>
      </c>
      <c r="H28" s="14">
        <v>0</v>
      </c>
      <c r="I28" s="14">
        <v>20000</v>
      </c>
      <c r="J28" s="14">
        <v>40000</v>
      </c>
      <c r="K28" s="14">
        <v>150000</v>
      </c>
      <c r="L28" s="14">
        <v>250000</v>
      </c>
      <c r="M28" s="14">
        <v>300000</v>
      </c>
      <c r="N28" s="29">
        <f t="shared" si="20"/>
        <v>760000</v>
      </c>
      <c r="O28" s="14">
        <v>400000</v>
      </c>
      <c r="P28" s="14">
        <v>300000</v>
      </c>
      <c r="Q28" s="14">
        <v>520000</v>
      </c>
      <c r="R28" s="14">
        <v>550000</v>
      </c>
      <c r="S28" s="14">
        <v>570000</v>
      </c>
      <c r="T28" s="14">
        <v>500000</v>
      </c>
      <c r="U28" s="36">
        <f t="shared" si="21"/>
        <v>3600000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="1" customFormat="1" ht="19" customHeight="1" spans="1:256">
      <c r="A29" s="2"/>
      <c r="B29" s="11"/>
      <c r="C29" s="18" t="s">
        <v>69</v>
      </c>
      <c r="D29" s="18"/>
      <c r="E29" s="18"/>
      <c r="F29" s="18" t="s">
        <v>70</v>
      </c>
      <c r="G29" s="19" t="s">
        <v>71</v>
      </c>
      <c r="H29" s="14">
        <f t="shared" ref="H29:M29" si="25">H17*H4</f>
        <v>60</v>
      </c>
      <c r="I29" s="14">
        <f t="shared" si="25"/>
        <v>60.06</v>
      </c>
      <c r="J29" s="14">
        <f t="shared" si="25"/>
        <v>60.12</v>
      </c>
      <c r="K29" s="14">
        <f t="shared" si="25"/>
        <v>60.18</v>
      </c>
      <c r="L29" s="14">
        <f t="shared" si="25"/>
        <v>60.24</v>
      </c>
      <c r="M29" s="14">
        <f t="shared" si="25"/>
        <v>60.3</v>
      </c>
      <c r="N29" s="29">
        <f t="shared" si="20"/>
        <v>360.9</v>
      </c>
      <c r="O29" s="14">
        <f t="shared" ref="O29:T29" si="26">O17*O4</f>
        <v>60.42</v>
      </c>
      <c r="P29" s="14">
        <f t="shared" si="26"/>
        <v>60.48</v>
      </c>
      <c r="Q29" s="14">
        <f t="shared" si="26"/>
        <v>60.54</v>
      </c>
      <c r="R29" s="14">
        <f t="shared" si="26"/>
        <v>60.6</v>
      </c>
      <c r="S29" s="14">
        <f t="shared" si="26"/>
        <v>60.66</v>
      </c>
      <c r="T29" s="14">
        <f t="shared" si="26"/>
        <v>60.72</v>
      </c>
      <c r="U29" s="36">
        <f t="shared" si="21"/>
        <v>724.32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r="30" s="1" customFormat="1" ht="19" customHeight="1" spans="1:256">
      <c r="A30" s="2"/>
      <c r="B30" s="11"/>
      <c r="C30" s="20" t="s">
        <v>72</v>
      </c>
      <c r="D30" s="20"/>
      <c r="E30" s="19" t="s">
        <v>73</v>
      </c>
      <c r="F30" s="18" t="s">
        <v>74</v>
      </c>
      <c r="G30" s="17" t="s">
        <v>75</v>
      </c>
      <c r="H30" s="14">
        <f t="shared" ref="H30:M30" si="27">H31+H32</f>
        <v>60</v>
      </c>
      <c r="I30" s="14">
        <f t="shared" si="27"/>
        <v>60.06</v>
      </c>
      <c r="J30" s="14">
        <f t="shared" si="27"/>
        <v>60.12</v>
      </c>
      <c r="K30" s="14">
        <f t="shared" si="27"/>
        <v>60.18</v>
      </c>
      <c r="L30" s="14">
        <f t="shared" si="27"/>
        <v>60.24</v>
      </c>
      <c r="M30" s="14">
        <f t="shared" si="27"/>
        <v>60.3</v>
      </c>
      <c r="N30" s="29">
        <f t="shared" si="20"/>
        <v>360.9</v>
      </c>
      <c r="O30" s="14">
        <f t="shared" ref="O30:T30" si="28">O31+O32</f>
        <v>60.42</v>
      </c>
      <c r="P30" s="14">
        <f t="shared" si="28"/>
        <v>60.48</v>
      </c>
      <c r="Q30" s="14">
        <f t="shared" si="28"/>
        <v>60.54</v>
      </c>
      <c r="R30" s="14">
        <f t="shared" si="28"/>
        <v>60.6</v>
      </c>
      <c r="S30" s="14">
        <f t="shared" si="28"/>
        <v>60.66</v>
      </c>
      <c r="T30" s="14">
        <f t="shared" si="28"/>
        <v>60.72</v>
      </c>
      <c r="U30" s="36">
        <f t="shared" si="21"/>
        <v>724.32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s="1" customFormat="1" ht="19" customHeight="1" spans="1:256">
      <c r="A31" s="2"/>
      <c r="B31" s="11"/>
      <c r="C31" s="20"/>
      <c r="D31" s="20"/>
      <c r="E31" s="18" t="s">
        <v>76</v>
      </c>
      <c r="F31" s="18" t="s">
        <v>77</v>
      </c>
      <c r="G31" s="17" t="s">
        <v>78</v>
      </c>
      <c r="H31" s="21">
        <f t="shared" ref="H31:M31" si="29">H19*H4</f>
        <v>50</v>
      </c>
      <c r="I31" s="21">
        <f t="shared" si="29"/>
        <v>50.05</v>
      </c>
      <c r="J31" s="21">
        <f t="shared" si="29"/>
        <v>50.1</v>
      </c>
      <c r="K31" s="21">
        <f t="shared" si="29"/>
        <v>50.15</v>
      </c>
      <c r="L31" s="21">
        <f t="shared" si="29"/>
        <v>50.2</v>
      </c>
      <c r="M31" s="21">
        <f t="shared" si="29"/>
        <v>50.25</v>
      </c>
      <c r="N31" s="31">
        <f t="shared" si="20"/>
        <v>300.75</v>
      </c>
      <c r="O31" s="21">
        <f t="shared" ref="O31:T31" si="30">O19*O4</f>
        <v>50.35</v>
      </c>
      <c r="P31" s="21">
        <f t="shared" si="30"/>
        <v>50.4</v>
      </c>
      <c r="Q31" s="21">
        <f t="shared" si="30"/>
        <v>50.45</v>
      </c>
      <c r="R31" s="21">
        <f t="shared" si="30"/>
        <v>50.5</v>
      </c>
      <c r="S31" s="21">
        <f t="shared" si="30"/>
        <v>50.55</v>
      </c>
      <c r="T31" s="21">
        <f t="shared" si="30"/>
        <v>50.6</v>
      </c>
      <c r="U31" s="36">
        <f t="shared" si="21"/>
        <v>603.6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s="1" customFormat="1" ht="19" customHeight="1" spans="1:256">
      <c r="A32" s="2"/>
      <c r="B32" s="11"/>
      <c r="C32" s="20"/>
      <c r="D32" s="20"/>
      <c r="E32" s="18" t="s">
        <v>79</v>
      </c>
      <c r="F32" s="18" t="s">
        <v>80</v>
      </c>
      <c r="G32" s="17" t="s">
        <v>81</v>
      </c>
      <c r="H32" s="14">
        <f t="shared" ref="H32:M32" si="31">H4*H20</f>
        <v>10</v>
      </c>
      <c r="I32" s="14">
        <f t="shared" si="31"/>
        <v>10.01</v>
      </c>
      <c r="J32" s="14">
        <f t="shared" si="31"/>
        <v>10.02</v>
      </c>
      <c r="K32" s="14">
        <f t="shared" si="31"/>
        <v>10.03</v>
      </c>
      <c r="L32" s="14">
        <f t="shared" si="31"/>
        <v>10.04</v>
      </c>
      <c r="M32" s="14">
        <f t="shared" si="31"/>
        <v>10.05</v>
      </c>
      <c r="N32" s="29">
        <f t="shared" si="20"/>
        <v>60.15</v>
      </c>
      <c r="O32" s="14">
        <f t="shared" ref="O32:T32" si="32">O4*O20</f>
        <v>10.07</v>
      </c>
      <c r="P32" s="14">
        <f t="shared" si="32"/>
        <v>10.08</v>
      </c>
      <c r="Q32" s="14">
        <f t="shared" si="32"/>
        <v>10.09</v>
      </c>
      <c r="R32" s="14">
        <f t="shared" si="32"/>
        <v>10.1</v>
      </c>
      <c r="S32" s="14">
        <f t="shared" si="32"/>
        <v>10.11</v>
      </c>
      <c r="T32" s="14">
        <f t="shared" si="32"/>
        <v>10.12</v>
      </c>
      <c r="U32" s="36">
        <f t="shared" si="21"/>
        <v>120.72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s="1" customFormat="1" ht="19" customHeight="1" spans="1:256">
      <c r="A33" s="2"/>
      <c r="B33" s="11"/>
      <c r="C33" s="20"/>
      <c r="D33" s="20"/>
      <c r="E33" s="19" t="s">
        <v>82</v>
      </c>
      <c r="F33" s="18"/>
      <c r="G33" s="17"/>
      <c r="H33" s="14">
        <f t="shared" ref="H33:U33" si="33">H21*H4</f>
        <v>40</v>
      </c>
      <c r="I33" s="14">
        <f t="shared" si="33"/>
        <v>40.04</v>
      </c>
      <c r="J33" s="14">
        <f t="shared" si="33"/>
        <v>40.08</v>
      </c>
      <c r="K33" s="14">
        <f t="shared" si="33"/>
        <v>40.12</v>
      </c>
      <c r="L33" s="14">
        <f t="shared" si="33"/>
        <v>40.16</v>
      </c>
      <c r="M33" s="14">
        <f t="shared" si="33"/>
        <v>40.2</v>
      </c>
      <c r="N33" s="29">
        <f t="shared" si="33"/>
        <v>40.24</v>
      </c>
      <c r="O33" s="14">
        <f t="shared" si="33"/>
        <v>40.28</v>
      </c>
      <c r="P33" s="14">
        <f t="shared" si="33"/>
        <v>40.32</v>
      </c>
      <c r="Q33" s="14">
        <f t="shared" si="33"/>
        <v>40.36</v>
      </c>
      <c r="R33" s="14">
        <f t="shared" si="33"/>
        <v>40.4</v>
      </c>
      <c r="S33" s="14">
        <f t="shared" si="33"/>
        <v>40.44</v>
      </c>
      <c r="T33" s="14">
        <f t="shared" si="33"/>
        <v>40.48</v>
      </c>
      <c r="U33" s="36">
        <f t="shared" si="33"/>
        <v>282.52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="1" customFormat="1" ht="19" customHeight="1" spans="1:256">
      <c r="A34" s="2"/>
      <c r="B34" s="11"/>
      <c r="C34" s="17" t="s">
        <v>83</v>
      </c>
      <c r="D34" s="17"/>
      <c r="E34" s="17"/>
      <c r="F34" s="18"/>
      <c r="G34" s="17"/>
      <c r="H34" s="14">
        <v>100000</v>
      </c>
      <c r="I34" s="14">
        <v>100000</v>
      </c>
      <c r="J34" s="14">
        <v>100000</v>
      </c>
      <c r="K34" s="14">
        <v>100000</v>
      </c>
      <c r="L34" s="14">
        <v>100000</v>
      </c>
      <c r="M34" s="14">
        <v>100000</v>
      </c>
      <c r="N34" s="14">
        <f>SUM(H34:M34)</f>
        <v>600000</v>
      </c>
      <c r="O34" s="14">
        <v>250000</v>
      </c>
      <c r="P34" s="14">
        <v>230000</v>
      </c>
      <c r="Q34" s="14">
        <v>230000</v>
      </c>
      <c r="R34" s="14">
        <v>230000</v>
      </c>
      <c r="S34" s="14">
        <v>230000</v>
      </c>
      <c r="T34" s="14">
        <v>230000</v>
      </c>
      <c r="U34" s="36">
        <f>SUM(N34:T34)</f>
        <v>2000000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s="1" customFormat="1" ht="19" customHeight="1" spans="1:256">
      <c r="A35" s="2"/>
      <c r="B35" s="11"/>
      <c r="C35" s="18" t="s">
        <v>84</v>
      </c>
      <c r="D35" s="18"/>
      <c r="E35" s="18"/>
      <c r="F35" s="18"/>
      <c r="G35" s="17"/>
      <c r="H35" s="22">
        <f>H36/H4</f>
        <v>210.21</v>
      </c>
      <c r="I35" s="22">
        <f t="shared" ref="I35:U35" si="34">I36/I4</f>
        <v>120.09011988012</v>
      </c>
      <c r="J35" s="22">
        <f t="shared" si="34"/>
        <v>139.930558882236</v>
      </c>
      <c r="K35" s="22">
        <f t="shared" si="34"/>
        <v>249.462243270189</v>
      </c>
      <c r="L35" s="22">
        <f t="shared" si="34"/>
        <v>348.815577689243</v>
      </c>
      <c r="M35" s="22">
        <f t="shared" si="34"/>
        <v>398.219950248756</v>
      </c>
      <c r="N35" s="22">
        <f t="shared" si="34"/>
        <v>1462.04009940358</v>
      </c>
      <c r="O35" s="22">
        <f t="shared" si="34"/>
        <v>645.691628599801</v>
      </c>
      <c r="P35" s="22">
        <f t="shared" si="34"/>
        <v>526.003650793651</v>
      </c>
      <c r="Q35" s="22">
        <f t="shared" si="34"/>
        <v>743.520208126858</v>
      </c>
      <c r="R35" s="22">
        <f t="shared" si="34"/>
        <v>772.487227722772</v>
      </c>
      <c r="S35" s="22">
        <f t="shared" si="34"/>
        <v>791.505746785361</v>
      </c>
      <c r="T35" s="22">
        <f t="shared" si="34"/>
        <v>721.553873517786</v>
      </c>
      <c r="U35" s="39">
        <f t="shared" si="34"/>
        <v>808.73344329605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s="1" customFormat="1" ht="19" customHeight="1" spans="1:256">
      <c r="A36" s="2"/>
      <c r="B36" s="11"/>
      <c r="C36" s="18" t="s">
        <v>85</v>
      </c>
      <c r="D36" s="18"/>
      <c r="E36" s="18"/>
      <c r="F36" s="18"/>
      <c r="G36" s="17"/>
      <c r="H36" s="14">
        <f t="shared" ref="H36:U36" si="35">H23+H27+H30+H33+H34</f>
        <v>210210</v>
      </c>
      <c r="I36" s="14">
        <f t="shared" si="35"/>
        <v>120210.21</v>
      </c>
      <c r="J36" s="14">
        <f t="shared" si="35"/>
        <v>140210.42</v>
      </c>
      <c r="K36" s="14">
        <f t="shared" si="35"/>
        <v>250210.63</v>
      </c>
      <c r="L36" s="14">
        <f t="shared" si="35"/>
        <v>350210.84</v>
      </c>
      <c r="M36" s="14">
        <f t="shared" si="35"/>
        <v>400211.05</v>
      </c>
      <c r="N36" s="14">
        <f t="shared" si="35"/>
        <v>1470812.34</v>
      </c>
      <c r="O36" s="14">
        <f t="shared" si="35"/>
        <v>650211.47</v>
      </c>
      <c r="P36" s="14">
        <f t="shared" si="35"/>
        <v>530211.68</v>
      </c>
      <c r="Q36" s="14">
        <f t="shared" si="35"/>
        <v>750211.89</v>
      </c>
      <c r="R36" s="14">
        <f t="shared" si="35"/>
        <v>780212.1</v>
      </c>
      <c r="S36" s="14">
        <f t="shared" si="35"/>
        <v>800212.31</v>
      </c>
      <c r="T36" s="14">
        <f t="shared" si="35"/>
        <v>730212.52</v>
      </c>
      <c r="U36" s="40">
        <f t="shared" si="35"/>
        <v>5712084.31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ht="19" customHeight="1" spans="1:21">
      <c r="A37" s="3"/>
      <c r="B37" s="11" t="s">
        <v>86</v>
      </c>
      <c r="C37" s="17" t="s">
        <v>87</v>
      </c>
      <c r="D37" s="17"/>
      <c r="E37" s="17"/>
      <c r="F37" s="18" t="s">
        <v>88</v>
      </c>
      <c r="G37" s="17" t="s">
        <v>89</v>
      </c>
      <c r="H37" s="15">
        <f>H38/H4</f>
        <v>-210.11</v>
      </c>
      <c r="I37" s="15">
        <f t="shared" ref="I37:U37" si="36">I38/I4</f>
        <v>-119.99011988012</v>
      </c>
      <c r="J37" s="15">
        <f t="shared" si="36"/>
        <v>-139.580558882236</v>
      </c>
      <c r="K37" s="15">
        <f t="shared" si="36"/>
        <v>-249.062243270189</v>
      </c>
      <c r="L37" s="15">
        <f t="shared" si="36"/>
        <v>-348.415577689243</v>
      </c>
      <c r="M37" s="15">
        <f t="shared" si="36"/>
        <v>-397.769950248756</v>
      </c>
      <c r="N37" s="30">
        <f t="shared" si="36"/>
        <v>-1460.24501988072</v>
      </c>
      <c r="O37" s="30">
        <f t="shared" si="36"/>
        <v>-645.191628599801</v>
      </c>
      <c r="P37" s="30">
        <f t="shared" si="36"/>
        <v>-525.403650793651</v>
      </c>
      <c r="Q37" s="30">
        <f t="shared" si="36"/>
        <v>-742.820208126858</v>
      </c>
      <c r="R37" s="30">
        <f t="shared" si="36"/>
        <v>-771.787227722772</v>
      </c>
      <c r="S37" s="30">
        <f t="shared" si="36"/>
        <v>-791.005746785361</v>
      </c>
      <c r="T37" s="30">
        <f t="shared" si="36"/>
        <v>-720.853873517786</v>
      </c>
      <c r="U37" s="37">
        <f t="shared" si="36"/>
        <v>-807.948882910944</v>
      </c>
    </row>
    <row r="38" ht="19" customHeight="1" spans="1:21">
      <c r="A38" s="3"/>
      <c r="B38" s="11"/>
      <c r="C38" s="18" t="s">
        <v>90</v>
      </c>
      <c r="D38" s="18"/>
      <c r="E38" s="18"/>
      <c r="F38" s="18" t="s">
        <v>91</v>
      </c>
      <c r="G38" s="17" t="s">
        <v>92</v>
      </c>
      <c r="H38" s="14">
        <f t="shared" ref="H38:U38" si="37">H9-H36</f>
        <v>-210110</v>
      </c>
      <c r="I38" s="14">
        <f t="shared" si="37"/>
        <v>-120110.11</v>
      </c>
      <c r="J38" s="14">
        <f t="shared" si="37"/>
        <v>-139859.72</v>
      </c>
      <c r="K38" s="14">
        <f t="shared" si="37"/>
        <v>-249809.43</v>
      </c>
      <c r="L38" s="14">
        <f t="shared" si="37"/>
        <v>-349809.24</v>
      </c>
      <c r="M38" s="14">
        <f t="shared" si="37"/>
        <v>-399758.8</v>
      </c>
      <c r="N38" s="14">
        <f t="shared" si="37"/>
        <v>-1469006.49</v>
      </c>
      <c r="O38" s="14">
        <f t="shared" si="37"/>
        <v>-649707.97</v>
      </c>
      <c r="P38" s="14">
        <f t="shared" si="37"/>
        <v>-529606.88</v>
      </c>
      <c r="Q38" s="14">
        <f t="shared" si="37"/>
        <v>-749505.59</v>
      </c>
      <c r="R38" s="14">
        <f t="shared" si="37"/>
        <v>-779505.1</v>
      </c>
      <c r="S38" s="14">
        <f t="shared" si="37"/>
        <v>-799706.81</v>
      </c>
      <c r="T38" s="14">
        <f t="shared" si="37"/>
        <v>-729504.12</v>
      </c>
      <c r="U38" s="40">
        <f t="shared" si="37"/>
        <v>-5706542.96</v>
      </c>
    </row>
    <row r="39" ht="19" customHeight="1" spans="1:21">
      <c r="A39" s="3"/>
      <c r="B39" s="23"/>
      <c r="C39" s="24" t="s">
        <v>93</v>
      </c>
      <c r="D39" s="24"/>
      <c r="E39" s="24"/>
      <c r="F39" s="24" t="s">
        <v>94</v>
      </c>
      <c r="G39" s="25" t="s">
        <v>95</v>
      </c>
      <c r="H39" s="26">
        <f t="shared" ref="H39:M39" si="38">H38/1.13</f>
        <v>-185938.053097345</v>
      </c>
      <c r="I39" s="26">
        <f t="shared" si="38"/>
        <v>-106292.132743363</v>
      </c>
      <c r="J39" s="26">
        <f t="shared" si="38"/>
        <v>-123769.663716814</v>
      </c>
      <c r="K39" s="26">
        <f t="shared" si="38"/>
        <v>-221070.292035398</v>
      </c>
      <c r="L39" s="26">
        <f t="shared" si="38"/>
        <v>-309565.699115044</v>
      </c>
      <c r="M39" s="26">
        <f t="shared" si="38"/>
        <v>-353768.849557522</v>
      </c>
      <c r="N39" s="32">
        <f>SUM(H39:M39)</f>
        <v>-1300404.69026549</v>
      </c>
      <c r="O39" s="26">
        <f t="shared" ref="O39:T39" si="39">O38/1.13</f>
        <v>-574962.805309735</v>
      </c>
      <c r="P39" s="26">
        <f t="shared" si="39"/>
        <v>-468678.654867257</v>
      </c>
      <c r="Q39" s="26">
        <f t="shared" si="39"/>
        <v>-663279.283185841</v>
      </c>
      <c r="R39" s="26">
        <f t="shared" si="39"/>
        <v>-689827.522123894</v>
      </c>
      <c r="S39" s="26">
        <f t="shared" si="39"/>
        <v>-707705.141592921</v>
      </c>
      <c r="T39" s="26">
        <f t="shared" si="39"/>
        <v>-645578.867256637</v>
      </c>
      <c r="U39" s="41">
        <f>SUM(N39:T39)</f>
        <v>-5050436.96460177</v>
      </c>
    </row>
    <row r="40" s="2" customFormat="1" customHeight="1" spans="2:256">
      <c r="B40" s="27"/>
      <c r="C40" s="27"/>
      <c r="D40" s="27"/>
      <c r="E40" s="27"/>
      <c r="F40" s="28"/>
      <c r="G40" s="27"/>
      <c r="H40" s="27"/>
      <c r="I40" s="27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r="41" ht="17.4" spans="1:21">
      <c r="A41" s="3"/>
      <c r="B41" s="27" t="s">
        <v>96</v>
      </c>
      <c r="C41" s="27"/>
      <c r="D41" s="27"/>
      <c r="E41" s="27"/>
      <c r="F41" s="28"/>
      <c r="G41" s="27"/>
      <c r="H41" s="27"/>
      <c r="I41" s="27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</row>
    <row r="42" ht="17.4" spans="1:21">
      <c r="A42" s="3"/>
      <c r="B42" s="27" t="s">
        <v>97</v>
      </c>
      <c r="C42" s="27"/>
      <c r="D42" s="27"/>
      <c r="E42" s="27"/>
      <c r="F42" s="28"/>
      <c r="G42" s="27"/>
      <c r="H42" s="27"/>
      <c r="I42" s="27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ht="17.4" spans="1:21">
      <c r="A43" s="3"/>
      <c r="B43" s="27" t="s">
        <v>98</v>
      </c>
      <c r="C43" s="27"/>
      <c r="D43" s="27"/>
      <c r="E43" s="27"/>
      <c r="F43" s="28"/>
      <c r="G43" s="27"/>
      <c r="H43" s="27"/>
      <c r="I43" s="27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</row>
    <row r="44" ht="17.4" spans="1:21">
      <c r="A44" s="3"/>
      <c r="B44" s="27" t="s">
        <v>99</v>
      </c>
      <c r="C44" s="27"/>
      <c r="D44" s="27"/>
      <c r="E44" s="27"/>
      <c r="F44" s="28"/>
      <c r="G44" s="27"/>
      <c r="H44" s="27"/>
      <c r="I44" s="27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</row>
    <row r="45" s="1" customFormat="1" ht="15.6" spans="1:256">
      <c r="A45" s="2"/>
      <c r="B45" s="3"/>
      <c r="C45" s="3"/>
      <c r="D45" s="3"/>
      <c r="E45" s="3"/>
      <c r="F45" s="4"/>
      <c r="G45" s="3"/>
      <c r="H45" s="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</sheetData>
  <mergeCells count="35">
    <mergeCell ref="B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22:E22"/>
    <mergeCell ref="C23:E23"/>
    <mergeCell ref="C24:E24"/>
    <mergeCell ref="C25:E25"/>
    <mergeCell ref="C26:E26"/>
    <mergeCell ref="C27:E27"/>
    <mergeCell ref="C28:E28"/>
    <mergeCell ref="C29:E29"/>
    <mergeCell ref="C34:E34"/>
    <mergeCell ref="C35:E35"/>
    <mergeCell ref="C36:E36"/>
    <mergeCell ref="C37:E37"/>
    <mergeCell ref="C38:E38"/>
    <mergeCell ref="C39:E39"/>
    <mergeCell ref="B4:B10"/>
    <mergeCell ref="B11:B36"/>
    <mergeCell ref="B37:B39"/>
    <mergeCell ref="B1:U2"/>
    <mergeCell ref="C18:D21"/>
    <mergeCell ref="C30:D33"/>
  </mergeCells>
  <pageMargins left="0.75" right="0.75" top="1" bottom="1" header="0.51" footer="0.51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3" sqref="B33"/>
    </sheetView>
  </sheetViews>
  <sheetFormatPr defaultColWidth="9" defaultRowHeight="15.6"/>
  <sheetData/>
  <pageMargins left="0.75" right="0.75" top="1" bottom="1" header="0.51" footer="0.51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" footer="0.5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lf</dc:creator>
  <cp:lastModifiedBy>陈东捷</cp:lastModifiedBy>
  <cp:revision>1</cp:revision>
  <dcterms:created xsi:type="dcterms:W3CDTF">2015-12-15T05:58:00Z</dcterms:created>
  <dcterms:modified xsi:type="dcterms:W3CDTF">2023-03-09T16:56:33Z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BB1151A8211945DBB70BD4FB1B734631</vt:lpwstr>
  </property>
</Properties>
</file>