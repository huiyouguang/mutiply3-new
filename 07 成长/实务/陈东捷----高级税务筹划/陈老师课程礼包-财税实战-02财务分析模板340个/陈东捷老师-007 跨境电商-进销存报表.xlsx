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24" tabRatio="655" activeTab="1"/>
  </bookViews>
  <sheets>
    <sheet name="基础资料" sheetId="11" r:id="rId1"/>
    <sheet name="本地仓-出入库明细" sheetId="2" r:id="rId2"/>
    <sheet name="本地仓" sheetId="3" r:id="rId3"/>
    <sheet name="物流信息跟踪" sheetId="7" r:id="rId4"/>
    <sheet name="在途仓" sheetId="6" r:id="rId5"/>
    <sheet name="FBA仓" sheetId="15" r:id="rId6"/>
    <sheet name="账单调整" sheetId="17" state="hidden" r:id="rId7"/>
    <sheet name="库存调整表US" sheetId="16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1" hidden="1">'本地仓-出入库明细'!$B$4:$L$33</definedName>
    <definedName name="_xlnm._FilterDatabase" localSheetId="3" hidden="1">物流信息跟踪!$A$5:$X$44</definedName>
    <definedName name="_xlnm._FilterDatabase" localSheetId="7" hidden="1">库存调整表US!$A$3:$P$26</definedName>
    <definedName name="_xlnm._FilterDatabase" localSheetId="5" hidden="1">FBA仓!#REF!</definedName>
    <definedName name="aa">[1]XL4Poppy!$C$39</definedName>
    <definedName name="ad" hidden="1">#REF!</definedName>
    <definedName name="ajhf" hidden="1">#REF!</definedName>
    <definedName name="dfsd" hidden="1">#REF!</definedName>
    <definedName name="dsds" hidden="1">#REF!,#REF!</definedName>
    <definedName name="fgf" hidden="1">#REF!</definedName>
    <definedName name="ghgh" hidden="1">#REF!,#REF!</definedName>
    <definedName name="hgf">'[2]#REF'!$A$2:$D$39</definedName>
    <definedName name="hgk" hidden="1">#REF!</definedName>
    <definedName name="hhgg">#REF!</definedName>
    <definedName name="mydata">OFFSET([3]平台数据汇总!$A$1,1,,COUNTA([3]平台数据汇总!$A:$A),COUNTA([3]平台数据汇总!$2:$2))</definedName>
    <definedName name="_xlnm.Print_Area" hidden="1">#REF!</definedName>
    <definedName name="Print_Area_MI">#REF!</definedName>
    <definedName name="sa" hidden="1">#REF!</definedName>
    <definedName name="sds" hidden="1">#REF!</definedName>
    <definedName name="sdshg" hidden="1">#REF!</definedName>
    <definedName name="Z_1169BA33_04B0_4E66_86F8_44F41C46A0E6_.wvu.PrintArea" hidden="1">#REF!</definedName>
    <definedName name="Z_1169BA33_04B0_4E66_86F8_44F41C46A0E6_.wvu.Rows" hidden="1">#REF!</definedName>
    <definedName name="Z_1439CFC5_6F55_4CB2_9A54_E02E417F709D_.wvu.Cols" hidden="1">#REF!,#REF!,#REF!</definedName>
    <definedName name="Z_1439CFC5_6F55_4CB2_9A54_E02E417F709D_.wvu.PrintArea" hidden="1">#REF!</definedName>
    <definedName name="Z_1439CFC5_6F55_4CB2_9A54_E02E417F709D_.wvu.Rows" hidden="1">#REF!</definedName>
    <definedName name="Z_309508A6_ECAE_4833_8B35_256D991B5337_.wvu.Cols" hidden="1">#REF!</definedName>
    <definedName name="Z_309508A6_ECAE_4833_8B35_256D991B5337_.wvu.PrintArea" hidden="1">#REF!</definedName>
    <definedName name="Z_309508A6_ECAE_4833_8B35_256D991B5337_.wvu.PrintTitles" hidden="1">#REF!</definedName>
    <definedName name="Z_309508A6_ECAE_4833_8B35_256D991B5337_.wvu.Rows" hidden="1">#REF!</definedName>
    <definedName name="Z_388D509F_C5DB_42BC_9E07_DEE0455E7F88_.wvu.Cols" hidden="1">#REF!,#REF!,#REF!</definedName>
    <definedName name="Z_388D509F_C5DB_42BC_9E07_DEE0455E7F88_.wvu.PrintArea" hidden="1">#REF!</definedName>
    <definedName name="Z_388D509F_C5DB_42BC_9E07_DEE0455E7F88_.wvu.Rows" hidden="1">#REF!</definedName>
    <definedName name="Z_4CF423B6_B5C5_441B_B3CC_F9E090226EA2_.wvu.PrintArea" hidden="1">#REF!</definedName>
    <definedName name="Z_4CF423B6_B5C5_441B_B3CC_F9E090226EA2_.wvu.Rows" hidden="1">#REF!</definedName>
    <definedName name="Z_580E9C95_D9F8_4765_9468_04676315F8B1_.wvu.Cols" hidden="1">#REF!,#REF!</definedName>
    <definedName name="Z_580E9C95_D9F8_4765_9468_04676315F8B1_.wvu.PrintArea" hidden="1">#REF!</definedName>
    <definedName name="Z_580E9C95_D9F8_4765_9468_04676315F8B1_.wvu.PrintTitles" hidden="1">#REF!</definedName>
    <definedName name="Z_580E9C95_D9F8_4765_9468_04676315F8B1_.wvu.Rows" hidden="1">#REF!</definedName>
    <definedName name="Z_6254003D_4DA4_4505_A3F8_379AC8230DD0_.wvu.PrintArea" hidden="1">#REF!</definedName>
    <definedName name="Z_6254003D_4DA4_4505_A3F8_379AC8230DD0_.wvu.Rows" hidden="1">#REF!</definedName>
    <definedName name="Z_682BD5EE_3537_424C_94DB_84C6E86946C4_.wvu.Cols" hidden="1">#REF!,#REF!,#REF!</definedName>
    <definedName name="Z_682BD5EE_3537_424C_94DB_84C6E86946C4_.wvu.PrintArea" hidden="1">#REF!</definedName>
    <definedName name="Z_682BD5EE_3537_424C_94DB_84C6E86946C4_.wvu.Rows" hidden="1">#REF!</definedName>
    <definedName name="Z_967439F2_5965_4CFF_A4EC_FCB2C2FA89C6_.wvu.PrintArea" hidden="1">#REF!</definedName>
    <definedName name="Z_967439F2_5965_4CFF_A4EC_FCB2C2FA89C6_.wvu.Rows" hidden="1">#REF!</definedName>
    <definedName name="Z_C28B0394_602C_4920_BBE9_3BB0D3C1F3E6_.wvu.Cols" hidden="1">#REF!</definedName>
    <definedName name="Z_C28B0394_602C_4920_BBE9_3BB0D3C1F3E6_.wvu.PrintArea" hidden="1">#REF!</definedName>
    <definedName name="Z_C28B0394_602C_4920_BBE9_3BB0D3C1F3E6_.wvu.Rows" hidden="1">#REF!</definedName>
    <definedName name="Z_F760991A_F0EF_42A0_AE41_BF771D256CCE_.wvu.Cols" hidden="1">#REF!,#REF!</definedName>
    <definedName name="Z_F760991A_F0EF_42A0_AE41_BF771D256CCE_.wvu.PrintArea" hidden="1">#REF!</definedName>
    <definedName name="Z_F760991A_F0EF_42A0_AE41_BF771D256CCE_.wvu.PrintTitles" hidden="1">#REF!</definedName>
    <definedName name="Z_F760991A_F0EF_42A0_AE41_BF771D256CCE_.wvu.Rows" hidden="1">#REF!</definedName>
    <definedName name="za" hidden="1">#REF!</definedName>
    <definedName name="大多数">[4]XL4Poppy!$A$15</definedName>
    <definedName name="飞过海">[5]XL4Poppy!$C$4</definedName>
    <definedName name="费用代码">#REF!</definedName>
    <definedName name="费用项目">#REF!</definedName>
    <definedName name="分析区域">[6]数据源!$B:$F</definedName>
    <definedName name="哈男" hidden="1">#REF!,#REF!</definedName>
    <definedName name="河南" hidden="1">#REF!</definedName>
    <definedName name="核按钮" hidden="1">#REF!</definedName>
    <definedName name="金额">[6]数据源!$F:$F</definedName>
    <definedName name="明细分类账">[7]明细分类账!$A$1:$Q$261</definedName>
    <definedName name="期初余额">[8]总账!$D$2:$D$25</definedName>
    <definedName name="期末余额">[8]总账!$G$2:$G$25</definedName>
    <definedName name="应收">#REF!</definedName>
    <definedName name="主数据">#REF!</definedName>
    <definedName name="主数据代码">#REF!</definedName>
    <definedName name="主数据项目">#REF!</definedName>
    <definedName name="总账科目">[8]总账!$A$2:$A$25</definedName>
    <definedName name="전">#REF!</definedName>
    <definedName name="주택사업본부">#REF!</definedName>
    <definedName name="철구사업본부">#REF!</definedName>
  </definedNames>
  <calcPr calcId="144525"/>
</workbook>
</file>

<file path=xl/comments1.xml><?xml version="1.0" encoding="utf-8"?>
<comments xmlns="http://schemas.openxmlformats.org/spreadsheetml/2006/main">
  <authors>
    <author>TANG</author>
  </authors>
  <commentList>
    <comment ref="B1" authorId="0">
      <text>
        <r>
          <rPr>
            <b/>
            <sz val="9"/>
            <rFont val="宋体"/>
            <charset val="134"/>
          </rPr>
          <t>TANG:</t>
        </r>
        <r>
          <rPr>
            <sz val="9"/>
            <rFont val="宋体"/>
            <charset val="134"/>
          </rPr>
          <t xml:space="preserve">
每月请更新</t>
        </r>
      </text>
    </comment>
  </commentList>
</comments>
</file>

<file path=xl/sharedStrings.xml><?xml version="1.0" encoding="utf-8"?>
<sst xmlns="http://schemas.openxmlformats.org/spreadsheetml/2006/main" count="616" uniqueCount="133">
  <si>
    <t>日期：</t>
  </si>
  <si>
    <t>平台sku</t>
  </si>
  <si>
    <t>规格型号</t>
  </si>
  <si>
    <t>亚马逊ASIN</t>
  </si>
  <si>
    <t>erp sku</t>
  </si>
  <si>
    <t>sku名称</t>
  </si>
  <si>
    <t>6B3008</t>
  </si>
  <si>
    <t>6B3009</t>
  </si>
  <si>
    <t>AHH-01-001</t>
  </si>
  <si>
    <t>AHJ01005</t>
  </si>
  <si>
    <t>AHJ01006</t>
  </si>
  <si>
    <t>AHJ01007</t>
  </si>
  <si>
    <t>AJH05</t>
  </si>
  <si>
    <t>TOP01</t>
  </si>
  <si>
    <t>TOP2001</t>
  </si>
  <si>
    <t>TOP2002</t>
  </si>
  <si>
    <t>TOP2003</t>
  </si>
  <si>
    <t>UINM01</t>
  </si>
  <si>
    <t>XXS6B001</t>
  </si>
  <si>
    <t>XXS6B002</t>
  </si>
  <si>
    <t>XXS6B003</t>
  </si>
  <si>
    <t>XXS6B004</t>
  </si>
  <si>
    <t>XXS6B005</t>
  </si>
  <si>
    <t>XXS6B006</t>
  </si>
  <si>
    <t>注：灰色部分为公式，不可填数字！</t>
  </si>
  <si>
    <t>本地仓出入库明细表</t>
  </si>
  <si>
    <t>日期</t>
  </si>
  <si>
    <t>sku</t>
  </si>
  <si>
    <t>名称</t>
  </si>
  <si>
    <t>摘要</t>
  </si>
  <si>
    <t>入库</t>
  </si>
  <si>
    <t>发出物流单号</t>
  </si>
  <si>
    <t>出库数量</t>
  </si>
  <si>
    <t>结存数量</t>
  </si>
  <si>
    <t>数量</t>
  </si>
  <si>
    <t>单价</t>
  </si>
  <si>
    <t>金额</t>
  </si>
  <si>
    <t>购入</t>
  </si>
  <si>
    <t>发出（发出到海外仓）</t>
  </si>
  <si>
    <t>A20210215001</t>
  </si>
  <si>
    <t>合计</t>
  </si>
  <si>
    <r>
      <rPr>
        <b/>
        <sz val="12"/>
        <rFont val="等线"/>
        <charset val="134"/>
      </rPr>
      <t>本地仓进销存报表</t>
    </r>
    <r>
      <rPr>
        <sz val="12"/>
        <rFont val="等线"/>
        <charset val="134"/>
      </rPr>
      <t xml:space="preserve">        单位：元</t>
    </r>
  </si>
  <si>
    <t>期初</t>
  </si>
  <si>
    <t>入库（供应商采购）</t>
  </si>
  <si>
    <t>出库（发出到海外仓）</t>
  </si>
  <si>
    <t>出库（退回给供应商）</t>
  </si>
  <si>
    <t>结存</t>
  </si>
  <si>
    <t>check(should be 0)</t>
  </si>
  <si>
    <t>在途仓物流信息更跟踪表</t>
  </si>
  <si>
    <t xml:space="preserve">注：灰色部分为公式，不可填数字！ </t>
  </si>
  <si>
    <t>发货日期</t>
  </si>
  <si>
    <t>shipment ID</t>
  </si>
  <si>
    <t>产品名称</t>
  </si>
  <si>
    <t>承运商</t>
  </si>
  <si>
    <t>运输方式</t>
  </si>
  <si>
    <t>目的地</t>
  </si>
  <si>
    <t>物流单号</t>
  </si>
  <si>
    <t>发往FBA</t>
  </si>
  <si>
    <t>FBA接收</t>
  </si>
  <si>
    <t>尚在途数量</t>
  </si>
  <si>
    <t>原因说明</t>
  </si>
  <si>
    <t>各sku总重量KG</t>
  </si>
  <si>
    <t>单个sku重量KG</t>
  </si>
  <si>
    <t>批次总运费</t>
  </si>
  <si>
    <t>各sku总头程</t>
  </si>
  <si>
    <t>单个sku头程</t>
  </si>
  <si>
    <t>实际签收数量</t>
  </si>
  <si>
    <t>签收时间</t>
  </si>
  <si>
    <t>月份</t>
  </si>
  <si>
    <t>接收数量合计</t>
  </si>
  <si>
    <t>check</t>
  </si>
  <si>
    <t>UPS</t>
  </si>
  <si>
    <t>海运</t>
  </si>
  <si>
    <t>美国</t>
  </si>
  <si>
    <t>A20210112001</t>
  </si>
  <si>
    <t>待查</t>
  </si>
  <si>
    <t>原因待查</t>
  </si>
  <si>
    <t>批次小计</t>
  </si>
  <si>
    <t>A20210120001</t>
  </si>
  <si>
    <t>1月合计</t>
  </si>
  <si>
    <t>2月份发出，本月尚在途</t>
  </si>
  <si>
    <t>2月合计</t>
  </si>
  <si>
    <r>
      <rPr>
        <b/>
        <sz val="12"/>
        <rFont val="等线"/>
        <charset val="134"/>
      </rPr>
      <t>在途仓进销存报表</t>
    </r>
    <r>
      <rPr>
        <sz val="12"/>
        <rFont val="等线"/>
        <charset val="134"/>
      </rPr>
      <t xml:space="preserve">        单位：元</t>
    </r>
  </si>
  <si>
    <t>入库（本地仓发出）</t>
  </si>
  <si>
    <t>出库（海外仓签收）</t>
  </si>
  <si>
    <t>结存（尚在途）</t>
  </si>
  <si>
    <t>采购单价</t>
  </si>
  <si>
    <t>头程单价</t>
  </si>
  <si>
    <t>采购金额</t>
  </si>
  <si>
    <t>头程金额</t>
  </si>
  <si>
    <t>FBA仓进销存及成本计算报表</t>
  </si>
  <si>
    <t>单位：RMB</t>
  </si>
  <si>
    <t>站点</t>
  </si>
  <si>
    <t>入库（在途仓接收）</t>
  </si>
  <si>
    <t>销售出库</t>
  </si>
  <si>
    <t>客户退货入库</t>
  </si>
  <si>
    <t>已移除</t>
  </si>
  <si>
    <t>盘库</t>
  </si>
  <si>
    <t>已找回</t>
  </si>
  <si>
    <t>已丢失</t>
  </si>
  <si>
    <t>已弃置</t>
  </si>
  <si>
    <t>已残损、其他</t>
  </si>
  <si>
    <t>数量小计</t>
  </si>
  <si>
    <t>库存调整表</t>
  </si>
  <si>
    <t>入成本</t>
  </si>
  <si>
    <t>营业外支出</t>
  </si>
  <si>
    <t>A004-US</t>
  </si>
  <si>
    <t>美国站小计</t>
  </si>
  <si>
    <t>上期预估金额</t>
  </si>
  <si>
    <t>实际账单金额</t>
  </si>
  <si>
    <t>账单调整</t>
  </si>
  <si>
    <t>期初库存</t>
  </si>
  <si>
    <t>期末库存</t>
  </si>
  <si>
    <t>已接收</t>
  </si>
  <si>
    <t>退回（客户）</t>
  </si>
  <si>
    <t>销售发货</t>
  </si>
  <si>
    <t>差异数量</t>
  </si>
  <si>
    <t>fnsku</t>
  </si>
  <si>
    <t>asin</t>
  </si>
  <si>
    <t>product-name</t>
  </si>
  <si>
    <t>condition</t>
  </si>
  <si>
    <t>beginning-quantity</t>
  </si>
  <si>
    <t>ending-quantity</t>
  </si>
  <si>
    <t>received</t>
  </si>
  <si>
    <t>returned</t>
  </si>
  <si>
    <t>found</t>
  </si>
  <si>
    <t>sold</t>
  </si>
  <si>
    <t>removed</t>
  </si>
  <si>
    <t>lost</t>
  </si>
  <si>
    <t>disposed</t>
  </si>
  <si>
    <t>other</t>
  </si>
  <si>
    <t>discrepant-quantity</t>
  </si>
  <si>
    <t>NewItem</t>
  </si>
</sst>
</file>

<file path=xl/styles.xml><?xml version="1.0" encoding="utf-8"?>
<styleSheet xmlns="http://schemas.openxmlformats.org/spreadsheetml/2006/main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.000_ ;_ * \-#,##0.000_ ;_ * &quot;-&quot;??.0_ ;_ @_ "/>
    <numFmt numFmtId="177" formatCode="[$-409]mmm\-yy;@"/>
    <numFmt numFmtId="178" formatCode="#,##0_ "/>
    <numFmt numFmtId="179" formatCode="_ * #,##0_ ;_ * \-#,##0_ ;_ * &quot;-&quot;??_ ;_ @_ "/>
    <numFmt numFmtId="180" formatCode="#,##0.00_ "/>
    <numFmt numFmtId="181" formatCode="_ * #,##0.00_ ;_ * \-#,##0.00_ ;_ * &quot;-&quot;??.00_ ;_ @_ "/>
    <numFmt numFmtId="182" formatCode="0.00_ "/>
  </numFmts>
  <fonts count="39">
    <font>
      <sz val="12"/>
      <name val="宋体"/>
      <charset val="134"/>
    </font>
    <font>
      <b/>
      <sz val="14"/>
      <color theme="1"/>
      <name val="等线"/>
      <charset val="134"/>
    </font>
    <font>
      <sz val="14"/>
      <color theme="1"/>
      <name val="等线"/>
      <charset val="134"/>
    </font>
    <font>
      <b/>
      <sz val="12"/>
      <name val="宋体"/>
      <charset val="134"/>
    </font>
    <font>
      <b/>
      <sz val="12"/>
      <name val="等线"/>
      <charset val="134"/>
    </font>
    <font>
      <sz val="11"/>
      <name val="等线"/>
      <charset val="134"/>
    </font>
    <font>
      <sz val="12"/>
      <name val="等线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9"/>
      <name val="等线"/>
      <charset val="134"/>
    </font>
    <font>
      <b/>
      <sz val="14"/>
      <name val="等线"/>
      <charset val="134"/>
    </font>
    <font>
      <sz val="11"/>
      <color rgb="FFFF0000"/>
      <name val="等线"/>
      <charset val="134"/>
    </font>
    <font>
      <b/>
      <sz val="11"/>
      <name val="等线"/>
      <charset val="134"/>
    </font>
    <font>
      <sz val="11"/>
      <color theme="1"/>
      <name val="等线"/>
      <charset val="134"/>
    </font>
    <font>
      <sz val="10"/>
      <name val="等线"/>
      <charset val="134"/>
    </font>
    <font>
      <sz val="12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Tahoma"/>
      <charset val="134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7F6B6"/>
        <bgColor indexed="64"/>
      </patternFill>
    </fill>
    <fill>
      <patternFill patternType="solid">
        <fgColor theme="5" tint="0.399884029663991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12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16" borderId="13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/>
    <xf numFmtId="0" fontId="28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30" fillId="20" borderId="16" applyNumberFormat="0" applyAlignment="0" applyProtection="0">
      <alignment vertical="center"/>
    </xf>
    <xf numFmtId="0" fontId="31" fillId="20" borderId="12" applyNumberFormat="0" applyAlignment="0" applyProtection="0">
      <alignment vertical="center"/>
    </xf>
    <xf numFmtId="0" fontId="32" fillId="21" borderId="17" applyNumberFormat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8" fillId="0" borderId="0">
      <alignment vertical="center"/>
    </xf>
  </cellStyleXfs>
  <cellXfs count="188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178" fontId="2" fillId="0" borderId="0" xfId="0" applyNumberFormat="1" applyFont="1" applyFill="1" applyAlignment="1">
      <alignment vertical="center"/>
    </xf>
    <xf numFmtId="178" fontId="2" fillId="3" borderId="0" xfId="0" applyNumberFormat="1" applyFont="1" applyFill="1" applyAlignment="1">
      <alignment vertical="center"/>
    </xf>
    <xf numFmtId="178" fontId="1" fillId="2" borderId="0" xfId="0" applyNumberFormat="1" applyFont="1" applyFill="1" applyAlignment="1">
      <alignment vertical="center"/>
    </xf>
    <xf numFmtId="178" fontId="1" fillId="2" borderId="0" xfId="0" applyNumberFormat="1" applyFont="1" applyFill="1" applyAlignment="1">
      <alignment horizontal="center" vertical="center"/>
    </xf>
    <xf numFmtId="178" fontId="1" fillId="0" borderId="0" xfId="0" applyNumberFormat="1" applyFont="1" applyFill="1" applyAlignment="1">
      <alignment vertical="center"/>
    </xf>
    <xf numFmtId="178" fontId="1" fillId="3" borderId="0" xfId="0" applyNumberFormat="1" applyFont="1" applyFill="1" applyAlignment="1">
      <alignment vertical="center"/>
    </xf>
    <xf numFmtId="178" fontId="1" fillId="3" borderId="0" xfId="0" applyNumberFormat="1" applyFont="1" applyFill="1" applyAlignment="1">
      <alignment horizontal="center" vertical="center"/>
    </xf>
    <xf numFmtId="0" fontId="3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43" fontId="5" fillId="0" borderId="1" xfId="8" applyFont="1" applyFill="1" applyBorder="1" applyAlignment="1">
      <alignment vertical="center"/>
    </xf>
    <xf numFmtId="0" fontId="6" fillId="0" borderId="1" xfId="0" applyFont="1" applyBorder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Fill="1" applyAlignment="1"/>
    <xf numFmtId="41" fontId="5" fillId="0" borderId="0" xfId="0" applyNumberFormat="1" applyFont="1" applyFill="1" applyAlignment="1">
      <alignment vertical="center"/>
    </xf>
    <xf numFmtId="0" fontId="5" fillId="0" borderId="0" xfId="0" applyFont="1" applyFill="1" applyAlignment="1">
      <alignment vertical="center"/>
    </xf>
    <xf numFmtId="43" fontId="5" fillId="0" borderId="0" xfId="0" applyNumberFormat="1" applyFont="1" applyFill="1" applyAlignment="1">
      <alignment vertical="center"/>
    </xf>
    <xf numFmtId="0" fontId="8" fillId="0" borderId="0" xfId="0" applyFont="1" applyFill="1" applyAlignment="1"/>
    <xf numFmtId="0" fontId="9" fillId="0" borderId="0" xfId="0" applyFont="1">
      <alignment vertical="center"/>
    </xf>
    <xf numFmtId="177" fontId="10" fillId="0" borderId="0" xfId="0" applyNumberFormat="1" applyFont="1" applyFill="1" applyAlignment="1">
      <alignment vertical="center"/>
    </xf>
    <xf numFmtId="0" fontId="11" fillId="0" borderId="0" xfId="0" applyFont="1" applyFill="1" applyAlignment="1">
      <alignment horizontal="center" vertical="center"/>
    </xf>
    <xf numFmtId="43" fontId="11" fillId="0" borderId="0" xfId="0" applyNumberFormat="1" applyFont="1" applyFill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13" fillId="4" borderId="2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43" fontId="5" fillId="4" borderId="1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178" fontId="5" fillId="0" borderId="1" xfId="0" applyNumberFormat="1" applyFont="1" applyFill="1" applyBorder="1" applyAlignment="1">
      <alignment vertical="center"/>
    </xf>
    <xf numFmtId="43" fontId="14" fillId="0" borderId="1" xfId="8" applyFont="1" applyFill="1" applyBorder="1" applyAlignment="1">
      <alignment vertical="center"/>
    </xf>
    <xf numFmtId="0" fontId="13" fillId="5" borderId="5" xfId="0" applyFont="1" applyFill="1" applyBorder="1" applyAlignment="1">
      <alignment horizontal="center" vertical="center" wrapText="1"/>
    </xf>
    <xf numFmtId="178" fontId="13" fillId="5" borderId="1" xfId="0" applyNumberFormat="1" applyFont="1" applyFill="1" applyBorder="1" applyAlignment="1">
      <alignment vertical="center"/>
    </xf>
    <xf numFmtId="0" fontId="13" fillId="5" borderId="1" xfId="0" applyFont="1" applyFill="1" applyBorder="1" applyAlignment="1">
      <alignment vertical="center"/>
    </xf>
    <xf numFmtId="179" fontId="13" fillId="5" borderId="1" xfId="0" applyNumberFormat="1" applyFont="1" applyFill="1" applyBorder="1" applyAlignment="1">
      <alignment vertical="center"/>
    </xf>
    <xf numFmtId="41" fontId="5" fillId="5" borderId="5" xfId="0" applyNumberFormat="1" applyFont="1" applyFill="1" applyBorder="1" applyAlignment="1">
      <alignment horizontal="left" vertical="center"/>
    </xf>
    <xf numFmtId="41" fontId="5" fillId="5" borderId="5" xfId="0" applyNumberFormat="1" applyFont="1" applyFill="1" applyBorder="1" applyAlignment="1">
      <alignment horizontal="center" vertical="center" wrapText="1"/>
    </xf>
    <xf numFmtId="41" fontId="5" fillId="5" borderId="1" xfId="0" applyNumberFormat="1" applyFont="1" applyFill="1" applyBorder="1" applyAlignment="1">
      <alignment vertical="center"/>
    </xf>
    <xf numFmtId="43" fontId="5" fillId="5" borderId="1" xfId="0" applyNumberFormat="1" applyFont="1" applyFill="1" applyBorder="1" applyAlignment="1">
      <alignment vertical="center"/>
    </xf>
    <xf numFmtId="178" fontId="5" fillId="0" borderId="0" xfId="0" applyNumberFormat="1" applyFont="1" applyFill="1" applyAlignment="1">
      <alignment vertical="center"/>
    </xf>
    <xf numFmtId="43" fontId="5" fillId="0" borderId="0" xfId="8" applyNumberFormat="1" applyFont="1">
      <alignment vertical="center"/>
    </xf>
    <xf numFmtId="0" fontId="13" fillId="0" borderId="0" xfId="0" applyFont="1" applyFill="1" applyAlignment="1">
      <alignment horizontal="left" vertical="center" indent="2"/>
    </xf>
    <xf numFmtId="0" fontId="13" fillId="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43" fontId="5" fillId="4" borderId="1" xfId="0" applyNumberFormat="1" applyFont="1" applyFill="1" applyBorder="1" applyAlignment="1">
      <alignment horizontal="center" vertical="center" wrapText="1"/>
    </xf>
    <xf numFmtId="178" fontId="14" fillId="6" borderId="1" xfId="8" applyNumberFormat="1" applyFont="1" applyFill="1" applyBorder="1" applyAlignment="1">
      <alignment vertical="center"/>
    </xf>
    <xf numFmtId="43" fontId="14" fillId="7" borderId="1" xfId="8" applyFont="1" applyFill="1" applyBorder="1" applyAlignment="1">
      <alignment vertical="center"/>
    </xf>
    <xf numFmtId="179" fontId="5" fillId="6" borderId="1" xfId="8" applyNumberFormat="1" applyFont="1" applyFill="1" applyBorder="1">
      <alignment vertical="center"/>
    </xf>
    <xf numFmtId="43" fontId="5" fillId="7" borderId="1" xfId="8" applyNumberFormat="1" applyFont="1" applyFill="1" applyBorder="1">
      <alignment vertical="center"/>
    </xf>
    <xf numFmtId="43" fontId="13" fillId="5" borderId="1" xfId="0" applyNumberFormat="1" applyFont="1" applyFill="1" applyBorder="1" applyAlignment="1">
      <alignment horizontal="center" vertical="center" wrapText="1"/>
    </xf>
    <xf numFmtId="41" fontId="5" fillId="5" borderId="1" xfId="0" applyNumberFormat="1" applyFont="1" applyFill="1" applyBorder="1" applyAlignment="1">
      <alignment horizontal="center" vertical="center" wrapText="1"/>
    </xf>
    <xf numFmtId="43" fontId="5" fillId="5" borderId="1" xfId="0" applyNumberFormat="1" applyFont="1" applyFill="1" applyBorder="1" applyAlignment="1">
      <alignment horizontal="center" vertical="center" wrapText="1"/>
    </xf>
    <xf numFmtId="179" fontId="5" fillId="0" borderId="0" xfId="8" applyNumberFormat="1" applyFont="1">
      <alignment vertical="center"/>
    </xf>
    <xf numFmtId="43" fontId="12" fillId="0" borderId="0" xfId="0" applyNumberFormat="1" applyFont="1" applyFill="1" applyAlignment="1">
      <alignment vertical="center"/>
    </xf>
    <xf numFmtId="0" fontId="13" fillId="4" borderId="6" xfId="0" applyFont="1" applyFill="1" applyBorder="1" applyAlignment="1">
      <alignment horizontal="center" vertical="center" wrapText="1"/>
    </xf>
    <xf numFmtId="43" fontId="14" fillId="6" borderId="1" xfId="8" applyFont="1" applyFill="1" applyBorder="1" applyAlignment="1">
      <alignment vertical="center"/>
    </xf>
    <xf numFmtId="43" fontId="14" fillId="7" borderId="1" xfId="8" applyNumberFormat="1" applyFont="1" applyFill="1" applyBorder="1" applyAlignment="1">
      <alignment vertical="center"/>
    </xf>
    <xf numFmtId="43" fontId="5" fillId="7" borderId="1" xfId="8" applyFont="1" applyFill="1" applyBorder="1">
      <alignment vertical="center"/>
    </xf>
    <xf numFmtId="43" fontId="13" fillId="5" borderId="1" xfId="0" applyNumberFormat="1" applyFont="1" applyFill="1" applyBorder="1" applyAlignment="1">
      <alignment vertical="center"/>
    </xf>
    <xf numFmtId="179" fontId="5" fillId="7" borderId="1" xfId="8" applyNumberFormat="1" applyFont="1" applyFill="1" applyBorder="1" applyAlignment="1">
      <alignment vertical="center"/>
    </xf>
    <xf numFmtId="180" fontId="5" fillId="0" borderId="0" xfId="0" applyNumberFormat="1" applyFont="1" applyFill="1" applyAlignment="1">
      <alignment vertical="center"/>
    </xf>
    <xf numFmtId="0" fontId="13" fillId="0" borderId="0" xfId="0" applyFont="1" applyFill="1" applyAlignment="1">
      <alignment vertical="center"/>
    </xf>
    <xf numFmtId="180" fontId="13" fillId="0" borderId="0" xfId="0" applyNumberFormat="1" applyFont="1" applyFill="1" applyAlignment="1">
      <alignment vertical="center"/>
    </xf>
    <xf numFmtId="0" fontId="8" fillId="0" borderId="0" xfId="0" applyFont="1" applyFill="1" applyAlignment="1">
      <alignment horizontal="center"/>
    </xf>
    <xf numFmtId="0" fontId="6" fillId="0" borderId="0" xfId="0" applyFont="1" applyAlignment="1">
      <alignment vertical="center" wrapText="1"/>
    </xf>
    <xf numFmtId="0" fontId="5" fillId="0" borderId="0" xfId="0" applyFont="1">
      <alignment vertical="center"/>
    </xf>
    <xf numFmtId="177" fontId="10" fillId="0" borderId="0" xfId="0" applyNumberFormat="1" applyFont="1">
      <alignment vertical="center"/>
    </xf>
    <xf numFmtId="0" fontId="12" fillId="0" borderId="0" xfId="0" applyFont="1">
      <alignment vertical="center"/>
    </xf>
    <xf numFmtId="0" fontId="13" fillId="4" borderId="7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 wrapText="1"/>
    </xf>
    <xf numFmtId="179" fontId="14" fillId="0" borderId="1" xfId="8" applyNumberFormat="1" applyFont="1" applyFill="1" applyBorder="1" applyAlignment="1">
      <alignment vertical="center"/>
    </xf>
    <xf numFmtId="43" fontId="14" fillId="0" borderId="1" xfId="8" applyFont="1" applyFill="1" applyBorder="1" applyAlignment="1"/>
    <xf numFmtId="181" fontId="14" fillId="0" borderId="1" xfId="8" applyNumberFormat="1" applyFont="1" applyFill="1" applyBorder="1" applyAlignment="1">
      <alignment vertical="center"/>
    </xf>
    <xf numFmtId="43" fontId="5" fillId="7" borderId="1" xfId="8" applyFont="1" applyFill="1" applyBorder="1" applyAlignment="1">
      <alignment vertical="center"/>
    </xf>
    <xf numFmtId="0" fontId="5" fillId="5" borderId="5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/>
    </xf>
    <xf numFmtId="180" fontId="5" fillId="5" borderId="1" xfId="0" applyNumberFormat="1" applyFont="1" applyFill="1" applyBorder="1" applyAlignment="1">
      <alignment vertical="center"/>
    </xf>
    <xf numFmtId="0" fontId="15" fillId="5" borderId="5" xfId="0" applyFont="1" applyFill="1" applyBorder="1" applyAlignment="1">
      <alignment horizontal="left" vertical="center"/>
    </xf>
    <xf numFmtId="43" fontId="5" fillId="5" borderId="1" xfId="8" applyFont="1" applyFill="1" applyBorder="1" applyAlignment="1">
      <alignment vertical="center"/>
    </xf>
    <xf numFmtId="43" fontId="5" fillId="0" borderId="0" xfId="8" applyFont="1">
      <alignment vertical="center"/>
    </xf>
    <xf numFmtId="0" fontId="4" fillId="0" borderId="0" xfId="0" applyFont="1" applyAlignment="1">
      <alignment horizontal="left" vertical="center" indent="2"/>
    </xf>
    <xf numFmtId="0" fontId="13" fillId="0" borderId="0" xfId="0" applyFont="1" applyAlignment="1">
      <alignment horizontal="left" vertical="center" indent="2"/>
    </xf>
    <xf numFmtId="0" fontId="5" fillId="7" borderId="1" xfId="0" applyFont="1" applyFill="1" applyBorder="1" applyAlignment="1">
      <alignment horizontal="center" vertical="center" wrapText="1"/>
    </xf>
    <xf numFmtId="180" fontId="5" fillId="7" borderId="1" xfId="0" applyNumberFormat="1" applyFont="1" applyFill="1" applyBorder="1" applyAlignment="1">
      <alignment horizontal="center" vertical="center" wrapText="1"/>
    </xf>
    <xf numFmtId="43" fontId="5" fillId="7" borderId="3" xfId="8" applyFont="1" applyFill="1" applyBorder="1" applyAlignment="1">
      <alignment horizontal="center" vertical="center" wrapText="1"/>
    </xf>
    <xf numFmtId="178" fontId="5" fillId="7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79" fontId="5" fillId="5" borderId="1" xfId="8" applyNumberFormat="1" applyFont="1" applyFill="1" applyBorder="1" applyAlignment="1">
      <alignment vertical="center"/>
    </xf>
    <xf numFmtId="0" fontId="13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80" fontId="5" fillId="7" borderId="1" xfId="8" applyNumberFormat="1" applyFont="1" applyFill="1" applyBorder="1">
      <alignment vertical="center"/>
    </xf>
    <xf numFmtId="180" fontId="5" fillId="7" borderId="1" xfId="0" applyNumberFormat="1" applyFont="1" applyFill="1" applyBorder="1">
      <alignment vertical="center"/>
    </xf>
    <xf numFmtId="178" fontId="5" fillId="5" borderId="1" xfId="0" applyNumberFormat="1" applyFont="1" applyFill="1" applyBorder="1" applyAlignment="1">
      <alignment vertical="center"/>
    </xf>
    <xf numFmtId="178" fontId="5" fillId="5" borderId="1" xfId="0" applyNumberFormat="1" applyFont="1" applyFill="1" applyBorder="1" applyAlignment="1">
      <alignment horizontal="center" vertical="center" wrapText="1"/>
    </xf>
    <xf numFmtId="178" fontId="5" fillId="5" borderId="1" xfId="8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78" fontId="5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177" fontId="10" fillId="0" borderId="0" xfId="0" applyNumberFormat="1" applyFont="1" applyAlignment="1">
      <alignment vertical="center"/>
    </xf>
    <xf numFmtId="177" fontId="5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5" fillId="4" borderId="7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justify" vertical="center" wrapText="1"/>
    </xf>
    <xf numFmtId="14" fontId="5" fillId="8" borderId="1" xfId="0" applyNumberFormat="1" applyFont="1" applyFill="1" applyBorder="1" applyAlignment="1">
      <alignment horizontal="justify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14" fontId="5" fillId="4" borderId="1" xfId="0" applyNumberFormat="1" applyFont="1" applyFill="1" applyBorder="1" applyAlignment="1">
      <alignment horizontal="justify" vertical="center" wrapText="1"/>
    </xf>
    <xf numFmtId="0" fontId="5" fillId="0" borderId="1" xfId="0" applyFont="1" applyBorder="1" applyAlignment="1">
      <alignment vertical="center"/>
    </xf>
    <xf numFmtId="178" fontId="11" fillId="0" borderId="0" xfId="0" applyNumberFormat="1" applyFont="1" applyAlignment="1">
      <alignment horizontal="center" vertical="center"/>
    </xf>
    <xf numFmtId="178" fontId="13" fillId="4" borderId="2" xfId="0" applyNumberFormat="1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178" fontId="5" fillId="4" borderId="2" xfId="0" applyNumberFormat="1" applyFont="1" applyFill="1" applyBorder="1" applyAlignment="1">
      <alignment horizontal="center" vertical="center" wrapText="1"/>
    </xf>
    <xf numFmtId="178" fontId="5" fillId="2" borderId="1" xfId="8" applyNumberFormat="1" applyFont="1" applyFill="1" applyBorder="1" applyAlignment="1">
      <alignment horizontal="center" vertical="center" wrapText="1"/>
    </xf>
    <xf numFmtId="179" fontId="5" fillId="2" borderId="1" xfId="8" applyNumberFormat="1" applyFont="1" applyFill="1" applyBorder="1" applyAlignment="1">
      <alignment horizontal="center" vertical="center" wrapText="1"/>
    </xf>
    <xf numFmtId="179" fontId="5" fillId="2" borderId="1" xfId="8" applyNumberFormat="1" applyFont="1" applyFill="1" applyBorder="1" applyAlignment="1">
      <alignment horizontal="right" vertical="center" wrapText="1"/>
    </xf>
    <xf numFmtId="178" fontId="5" fillId="0" borderId="1" xfId="0" applyNumberFormat="1" applyFont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180" fontId="5" fillId="0" borderId="7" xfId="0" applyNumberFormat="1" applyFont="1" applyFill="1" applyBorder="1" applyAlignment="1">
      <alignment vertical="center"/>
    </xf>
    <xf numFmtId="0" fontId="5" fillId="0" borderId="7" xfId="0" applyFont="1" applyFill="1" applyBorder="1" applyAlignment="1">
      <alignment horizontal="center" vertical="center"/>
    </xf>
    <xf numFmtId="180" fontId="5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8" fontId="5" fillId="9" borderId="1" xfId="0" applyNumberFormat="1" applyFont="1" applyFill="1" applyBorder="1" applyAlignment="1">
      <alignment vertical="center"/>
    </xf>
    <xf numFmtId="0" fontId="5" fillId="0" borderId="11" xfId="0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horizontal="right" vertical="center"/>
    </xf>
    <xf numFmtId="180" fontId="5" fillId="8" borderId="1" xfId="0" applyNumberFormat="1" applyFont="1" applyFill="1" applyBorder="1" applyAlignment="1">
      <alignment vertical="center"/>
    </xf>
    <xf numFmtId="176" fontId="5" fillId="8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vertical="center"/>
    </xf>
    <xf numFmtId="178" fontId="5" fillId="0" borderId="1" xfId="0" applyNumberFormat="1" applyFont="1" applyFill="1" applyBorder="1" applyAlignment="1">
      <alignment horizontal="right" vertical="center" wrapText="1"/>
    </xf>
    <xf numFmtId="0" fontId="5" fillId="0" borderId="7" xfId="0" applyFont="1" applyFill="1" applyBorder="1" applyAlignment="1">
      <alignment horizontal="right" vertical="center"/>
    </xf>
    <xf numFmtId="178" fontId="5" fillId="0" borderId="1" xfId="0" applyNumberFormat="1" applyFont="1" applyFill="1" applyBorder="1" applyAlignment="1">
      <alignment horizontal="right" vertical="center"/>
    </xf>
    <xf numFmtId="0" fontId="5" fillId="0" borderId="11" xfId="0" applyFont="1" applyFill="1" applyBorder="1" applyAlignment="1">
      <alignment horizontal="right" vertical="center"/>
    </xf>
    <xf numFmtId="180" fontId="5" fillId="8" borderId="1" xfId="0" applyNumberFormat="1" applyFont="1" applyFill="1" applyBorder="1" applyAlignment="1">
      <alignment horizontal="right" vertical="center"/>
    </xf>
    <xf numFmtId="178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vertical="center"/>
    </xf>
    <xf numFmtId="0" fontId="5" fillId="0" borderId="8" xfId="0" applyFont="1" applyFill="1" applyBorder="1" applyAlignment="1">
      <alignment horizontal="right" vertical="center"/>
    </xf>
    <xf numFmtId="0" fontId="5" fillId="9" borderId="1" xfId="0" applyFont="1" applyFill="1" applyBorder="1" applyAlignment="1">
      <alignment vertical="center"/>
    </xf>
    <xf numFmtId="179" fontId="5" fillId="0" borderId="0" xfId="0" applyNumberFormat="1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14" fontId="5" fillId="9" borderId="1" xfId="0" applyNumberFormat="1" applyFont="1" applyFill="1" applyBorder="1" applyAlignment="1">
      <alignment vertical="center"/>
    </xf>
    <xf numFmtId="178" fontId="5" fillId="7" borderId="1" xfId="0" applyNumberFormat="1" applyFont="1" applyFill="1" applyBorder="1" applyAlignment="1">
      <alignment vertical="center"/>
    </xf>
    <xf numFmtId="17" fontId="5" fillId="0" borderId="0" xfId="0" applyNumberFormat="1" applyFont="1" applyAlignment="1">
      <alignment vertical="center"/>
    </xf>
    <xf numFmtId="0" fontId="5" fillId="7" borderId="1" xfId="0" applyFont="1" applyFill="1" applyBorder="1" applyAlignment="1">
      <alignment vertical="center"/>
    </xf>
    <xf numFmtId="14" fontId="5" fillId="8" borderId="1" xfId="0" applyNumberFormat="1" applyFont="1" applyFill="1" applyBorder="1" applyAlignment="1">
      <alignment vertical="center"/>
    </xf>
    <xf numFmtId="0" fontId="14" fillId="0" borderId="1" xfId="0" applyFont="1" applyFill="1" applyBorder="1" applyAlignment="1"/>
    <xf numFmtId="179" fontId="14" fillId="0" borderId="1" xfId="8" applyNumberFormat="1" applyFont="1" applyFill="1" applyBorder="1" applyAlignment="1"/>
    <xf numFmtId="0" fontId="5" fillId="5" borderId="3" xfId="0" applyFont="1" applyFill="1" applyBorder="1" applyAlignment="1">
      <alignment horizontal="center" vertical="center" wrapText="1"/>
    </xf>
    <xf numFmtId="43" fontId="5" fillId="7" borderId="1" xfId="8" applyFont="1" applyFill="1" applyBorder="1" applyAlignment="1">
      <alignment horizontal="center" vertical="center" wrapText="1"/>
    </xf>
    <xf numFmtId="179" fontId="5" fillId="7" borderId="1" xfId="8" applyNumberFormat="1" applyFont="1" applyFill="1" applyBorder="1">
      <alignment vertical="center"/>
    </xf>
    <xf numFmtId="0" fontId="5" fillId="7" borderId="1" xfId="0" applyFont="1" applyFill="1" applyBorder="1">
      <alignment vertical="center"/>
    </xf>
    <xf numFmtId="177" fontId="5" fillId="0" borderId="0" xfId="0" applyNumberFormat="1" applyFont="1">
      <alignment vertical="center"/>
    </xf>
    <xf numFmtId="0" fontId="5" fillId="4" borderId="3" xfId="0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justify" vertical="top" wrapText="1"/>
    </xf>
    <xf numFmtId="0" fontId="5" fillId="0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182" fontId="5" fillId="9" borderId="1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3" fontId="5" fillId="4" borderId="1" xfId="8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2" borderId="0" xfId="0" applyFont="1" applyFill="1">
      <alignment vertical="center"/>
    </xf>
    <xf numFmtId="17" fontId="6" fillId="2" borderId="0" xfId="0" applyNumberFormat="1" applyFont="1" applyFill="1">
      <alignment vertical="center"/>
    </xf>
    <xf numFmtId="0" fontId="13" fillId="1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常规 8" xfId="19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3D3D"/>
        </patternFill>
      </fill>
    </dxf>
    <dxf>
      <fill>
        <patternFill patternType="solid">
          <bgColor rgb="FFFF3333"/>
        </patternFill>
      </fill>
    </dxf>
    <dxf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1DC7FF"/>
      <color rgb="0049D2FF"/>
      <color rgb="00000000"/>
      <color rgb="00F7FC7E"/>
      <color rgb="00F43308"/>
      <color rgb="00F7F6B6"/>
      <color rgb="00FF3D3D"/>
      <color rgb="00FF3333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theme" Target="theme/theme1.xml"/><Relationship Id="rId17" Type="http://schemas.openxmlformats.org/officeDocument/2006/relationships/externalLink" Target="externalLinks/externalLink9.xml"/><Relationship Id="rId16" Type="http://schemas.openxmlformats.org/officeDocument/2006/relationships/externalLink" Target="externalLinks/externalLink8.xml"/><Relationship Id="rId15" Type="http://schemas.openxmlformats.org/officeDocument/2006/relationships/externalLink" Target="externalLinks/externalLink7.xml"/><Relationship Id="rId14" Type="http://schemas.openxmlformats.org/officeDocument/2006/relationships/externalLink" Target="externalLinks/externalLink6.xml"/><Relationship Id="rId13" Type="http://schemas.openxmlformats.org/officeDocument/2006/relationships/externalLink" Target="externalLinks/externalLink5.xml"/><Relationship Id="rId12" Type="http://schemas.openxmlformats.org/officeDocument/2006/relationships/externalLink" Target="externalLinks/externalLink4.xml"/><Relationship Id="rId11" Type="http://schemas.openxmlformats.org/officeDocument/2006/relationships/externalLink" Target="externalLinks/externalLink3.xml"/><Relationship Id="rId10" Type="http://schemas.openxmlformats.org/officeDocument/2006/relationships/externalLink" Target="externalLinks/externalLink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A09\&#30005;&#35805;&#26126;&#32454;&#34920;\&#33487;&#24030;&#65288;&#26080;&#27719;&#24635;,&#21556;&#27743;&#32447;&#36335;&#20462;&#25913;&#65289;\&#24066;&#26412;&#37096;\&#27743;&#33487;&#33487;&#24030;&#26412;&#37096;&#65288;&#20013;&#22830;&#6528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2.21\&#19978;&#24066;&#23457;&#35745;2007\WINDOWS\Desktop\&#22266;&#23450;&#36164;&#2013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08%20&#36130;&#31246;&#35838;&#31243;\05%20&#32447;&#19979;&#36134;&#21153;&#36890;&#35838;&#31243;\04%20&#36134;&#21153;&#36890;8.1\04%20&#20570;&#36328;&#22659;&#30005;&#21830;&#30340;&#36130;&#21153;&#35201;&#27880;&#24847;&#30340;&#20960;&#20010;&#22353;\01%20&#36328;&#22659;&#30005;&#21830;&#36827;&#38144;&#23384;&#25253;&#34920;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qh003\d\&#35774;&#22791;\&#21407;&#22987;\814\13%20&#38081;&#36335;&#37197;&#2021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qh003\d\&#35774;&#22791;\&#21407;&#22987;\814\20%20&#36816;&#36755;&#20844;&#2149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2.207\&#25105;&#30340;&#20849;&#20139;&#25991;&#20214;&#22841;\Documents%20and%20Settings\Administrator\&#26700;&#38754;\2006&#24180;&#36130;&#21153;\1-2006&#24180;&#40065;&#27954;&#29983;&#29289;&#27827;&#21335;&#20844;&#21496;\2-2&#25253;&#34920;&#22522;&#30784;\&#36153;&#29992;&#20998;&#26512;&#27719;&#24635;\W&#31649;&#29702;&#36153;&#29992;&#20998;&#26512;&#27719;&#24635;1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&#39640;\&#20462;&#25913;&#21518;\&#34920;\&#31532;9&#31456;\&#36164;&#20135;&#36127;&#20538;&#3492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Amber-Work\1&#12289;AMZCFO%20&#36130;&#31246;&#20844;&#21496;\02&#12289;Amzcfo%20&#35838;&#31243;&#21450;&#36164;&#26009;\2&#12289;Amzcfo%20&#36328;&#22659;&#36130;&#21153;&#36890;&#35838;&#31243;-20191031\&#35838;&#31243;PPT\Wish&#21518;&#21488;&#38144;&#21806;&#25968;&#25454;&#26126;&#32454;&#34920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0%20&#36328;&#22659;&#30005;&#21830;&#36827;&#38144;&#23384;&#25253;&#34920;-&#26032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      "/>
      <sheetName val="评估结果分类汇总表"/>
      <sheetName val="流动资产汇总表"/>
      <sheetName val="流动资产--货币"/>
      <sheetName val="流动资产--货币 (2)"/>
      <sheetName val="流动资产--货币 (3)"/>
      <sheetName val="短投汇总表"/>
      <sheetName val="短投"/>
      <sheetName val="短投 (2)"/>
      <sheetName val="流动资产--票据"/>
      <sheetName val="流动资产--应收"/>
      <sheetName val="流动资产--备用金"/>
      <sheetName val="流动资产--其他应收 (2)"/>
      <sheetName val="流动资产--其他应收"/>
      <sheetName val="流动资产--存货"/>
      <sheetName val="流动资产-库存材料"/>
      <sheetName val="流动资产-材料采购"/>
      <sheetName val="流动资产-在库低值"/>
      <sheetName val="流动资产-商品采购"/>
      <sheetName val="流动资产-委托加工材料"/>
      <sheetName val="流动资产-库存商品"/>
      <sheetName val="流动资产-附属生产"/>
      <sheetName val="流动资产-出租商品"/>
      <sheetName val="流动资产-在用低值"/>
      <sheetName val="流动资产--待摊"/>
      <sheetName val="流动资产--待处理"/>
      <sheetName val="一年到期长期债券"/>
      <sheetName val="其他流动资产"/>
      <sheetName val="长期投资汇总表"/>
      <sheetName val="长期投资--股票"/>
      <sheetName val="长期投资--债券"/>
      <sheetName val="长期投资--其他投资"/>
      <sheetName val="固定资产汇总表"/>
      <sheetName val="房屋建筑物"/>
      <sheetName val="构筑物"/>
      <sheetName val="机器设备"/>
      <sheetName val="车辆"/>
      <sheetName val="电子设备"/>
      <sheetName val="电源设备"/>
      <sheetName val="电信机械设备"/>
      <sheetName val="线路设备"/>
      <sheetName val="固定_土地"/>
      <sheetName val="土建工程"/>
      <sheetName val="设备安装"/>
      <sheetName val="固定资产清理"/>
      <sheetName val="待处理固定资产"/>
      <sheetName val="土地使用权"/>
      <sheetName val="其他无形资产"/>
      <sheetName val="开办费"/>
      <sheetName val="长期待摊费用"/>
      <sheetName val="其他长期资产"/>
      <sheetName val="递延税款借项"/>
      <sheetName val="流动负债汇总表"/>
      <sheetName val="短期借款"/>
      <sheetName val="应付票据"/>
      <sheetName val="应付帐款"/>
      <sheetName val="预收帐款"/>
      <sheetName val="Sheet2"/>
      <sheetName val="其他应付款"/>
      <sheetName val="应付工资"/>
      <sheetName val="应付福利费"/>
      <sheetName val="未交税金"/>
      <sheetName val="收支差额"/>
      <sheetName val="未付利润"/>
      <sheetName val="其它未交款"/>
      <sheetName val="预提费用"/>
      <sheetName val="一年内到期长期负债"/>
      <sheetName val="其他流动负债"/>
      <sheetName val="长期负债汇总表"/>
      <sheetName val="长期借款"/>
      <sheetName val="应付债券"/>
      <sheetName val="长期应付款"/>
      <sheetName val="其他长期负债"/>
      <sheetName val="递延税款贷项"/>
      <sheetName val="XL4Poppy"/>
      <sheetName val="基本情况"/>
      <sheetName val="评估分类汇总表"/>
      <sheetName val="流动资产--银行存款"/>
      <sheetName val="流动资产--其他货币"/>
      <sheetName val="流动资产--预付"/>
      <sheetName val="流动资产--补贴"/>
      <sheetName val="流动资产--应收出口退税"/>
      <sheetName val="流动资产-原材料"/>
      <sheetName val="流动资产-包装物"/>
      <sheetName val="流动资产-产成品"/>
      <sheetName val="存货盘亏盘盈"/>
      <sheetName val="房屋盘亏盘盈"/>
      <sheetName val="运输设备"/>
      <sheetName val="输油管道"/>
      <sheetName val="储油设备"/>
      <sheetName val="设备盘亏盘盈"/>
      <sheetName val="在建土建"/>
      <sheetName val="在建设备"/>
      <sheetName val="固定资产--土地"/>
      <sheetName val="递延税款"/>
      <sheetName val="应付利润"/>
      <sheetName val="其他未交款"/>
      <sheetName val="VVVVVVVa"/>
      <sheetName val="6月省局拨款"/>
      <sheetName val="农话汇总"/>
      <sheetName val="企业汇总"/>
      <sheetName val="市属厂家设备款"/>
      <sheetName val="市直（新）"/>
      <sheetName val="市直"/>
      <sheetName val="海丰新"/>
      <sheetName val="海丰"/>
      <sheetName val="陆河新"/>
      <sheetName val="陆河"/>
      <sheetName val="陆丰新"/>
      <sheetName val="陆丰（旧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1固定资产汇总表"/>
      <sheetName val="2通用设备"/>
      <sheetName val="3运输设备"/>
      <sheetName val="4线路设备"/>
      <sheetName val="5电信机械设备"/>
      <sheetName val="6固定_土地"/>
      <sheetName val="7设备安装 (已)"/>
      <sheetName val="8设备安装（未）"/>
      <sheetName val="9固定资产清理"/>
      <sheetName val="10待处理固定资产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成本计算表-FBA仓 (2)"/>
      <sheetName val="库存调整表US (2)"/>
      <sheetName val="Sheet1"/>
      <sheetName val="平台数据汇总"/>
      <sheetName val="统计表"/>
      <sheetName val="统计表2"/>
      <sheetName val="列名"/>
      <sheetName val="type项目"/>
      <sheetName val="平台利润表by店铺by sku"/>
      <sheetName val="成本计算表-FBA仓"/>
      <sheetName val="库存调整表US"/>
      <sheetName val="月仓储费"/>
      <sheetName val="长期仓储费"/>
      <sheetName val="SP广告费报告"/>
      <sheetName val="移除报告"/>
      <sheetName val="FBA物流信息跟踪"/>
      <sheetName val="头程计算表"/>
      <sheetName val="月份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heet3"/>
      <sheetName val="Sheet4"/>
      <sheetName val="laroux"/>
      <sheetName val="评估结果汇总表"/>
      <sheetName val="评估分类汇总表"/>
      <sheetName val="流动资产汇总表"/>
      <sheetName val="4货币现金"/>
      <sheetName val="5银行存款"/>
      <sheetName val="11应收帐款"/>
      <sheetName val="14预付帐"/>
      <sheetName val="16其他应收"/>
      <sheetName val="存货汇总"/>
      <sheetName val="23产成品 "/>
      <sheetName val="长期投资汇总表"/>
      <sheetName val="其他投资"/>
      <sheetName val="固定资产汇总表"/>
      <sheetName val="38房屋建筑"/>
      <sheetName val="41机器设备"/>
      <sheetName val="42车辆"/>
      <sheetName val="流动负债汇总表"/>
      <sheetName val="58应付帐"/>
      <sheetName val="61其他应付"/>
      <sheetName val="62应付工资"/>
      <sheetName val="63应付福利费"/>
      <sheetName val="64应交税金"/>
      <sheetName val="应付利润"/>
      <sheetName val="其他应交款"/>
      <sheetName val="长期负债汇总表"/>
      <sheetName val="在建"/>
      <sheetName val="XL4Poppy"/>
      <sheetName val="Sheet1"/>
      <sheetName val="      "/>
      <sheetName val="评估结果分类汇总表"/>
      <sheetName val="流动资产--货币"/>
      <sheetName val="流动资产--货币 (2)"/>
      <sheetName val="流动资产--货币 (3)"/>
      <sheetName val="短投汇总表"/>
      <sheetName val="短投"/>
      <sheetName val="短投 (2)"/>
      <sheetName val="流动资产--票据"/>
      <sheetName val="流动资产--应收"/>
      <sheetName val="流动资产--利润"/>
      <sheetName val="流动资产--利息"/>
      <sheetName val="流动资产--预付"/>
      <sheetName val="流动资产--补贴"/>
      <sheetName val="流动资产--其他应收"/>
      <sheetName val="流动资产--存货"/>
      <sheetName val="流动资产-原材料"/>
      <sheetName val="流动资产-材料采购"/>
      <sheetName val="流动资产-在库低值"/>
      <sheetName val="流动资产-产成品"/>
      <sheetName val="流动资产-在用低值"/>
      <sheetName val="流动资产--待摊"/>
      <sheetName val="流动资产--待处理"/>
      <sheetName val="一年到期长期债券"/>
      <sheetName val="其他流动资产"/>
      <sheetName val="长期投资--股票"/>
      <sheetName val="长期投资--债券"/>
      <sheetName val="长期投资--其他投资"/>
      <sheetName val="房屋建筑物"/>
      <sheetName val="构筑物"/>
      <sheetName val="码头"/>
      <sheetName val="机器设备"/>
      <sheetName val="车辆"/>
      <sheetName val="电子设备"/>
      <sheetName val="船舶设备"/>
      <sheetName val="通导设备"/>
      <sheetName val="集装箱设备"/>
      <sheetName val="固定-土地"/>
      <sheetName val="工程物资"/>
      <sheetName val="土建工程"/>
      <sheetName val="设备安装"/>
      <sheetName val="固定资产清理"/>
      <sheetName val="待处理固定资产"/>
      <sheetName val="土地使用权"/>
      <sheetName val="其他无形资产"/>
      <sheetName val="开办费"/>
      <sheetName val="长期待摊费用"/>
      <sheetName val="其他长期资产"/>
      <sheetName val="递延税款"/>
      <sheetName val="短期借款"/>
      <sheetName val="应付票据"/>
      <sheetName val="应付帐款"/>
      <sheetName val="预收帐款"/>
      <sheetName val="代销商品款"/>
      <sheetName val="其他应付款"/>
      <sheetName val="应付工资"/>
      <sheetName val="应付福利费"/>
      <sheetName val="应交税金"/>
      <sheetName val="预提费用"/>
      <sheetName val="一年内到期长期负债"/>
      <sheetName val="其他流动负债"/>
      <sheetName val="长期借款"/>
      <sheetName val="应付债券"/>
      <sheetName val="长期应付款"/>
      <sheetName val="住房周转金"/>
      <sheetName val="其他长期负债"/>
      <sheetName val="递延税款贷款"/>
      <sheetName val="00000000"/>
      <sheetName val="1000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评估结果汇总表"/>
      <sheetName val="评估分类汇总表"/>
      <sheetName val="流动资产汇总表"/>
      <sheetName val="4货币现金"/>
      <sheetName val="5银行存款"/>
      <sheetName val="11应收帐款"/>
      <sheetName val="14预付帐"/>
      <sheetName val="16其他应收"/>
      <sheetName val="存货汇总"/>
      <sheetName val="18原材料"/>
      <sheetName val="23产成品"/>
      <sheetName val="24在产品"/>
      <sheetName val="长期投资汇总表"/>
      <sheetName val="36其他长投"/>
      <sheetName val="固定资产汇总表"/>
      <sheetName val="41机器设备"/>
      <sheetName val="42车辆"/>
      <sheetName val="流动负债汇总表"/>
      <sheetName val="58应付帐"/>
      <sheetName val="59预收款"/>
      <sheetName val="61其他应付"/>
      <sheetName val="62应付工资"/>
      <sheetName val="63应付福利费"/>
      <sheetName val="64应交税金"/>
      <sheetName val="应付利润"/>
      <sheetName val="其他应交款"/>
      <sheetName val="67预提费"/>
      <sheetName val="长期负债汇总表"/>
      <sheetName val="71长期借款"/>
      <sheetName val="XL4Poppy"/>
      <sheetName val="䵁动资产汇总表"/>
      <sheetName val="?动资产汇总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汇总"/>
      <sheetName val="数据源"/>
    </sheetNames>
    <sheetDataSet>
      <sheetData sheetId="0" refreshError="1"/>
      <sheetData sheetId="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Chart1"/>
      <sheetName val="资产负债表"/>
      <sheetName val="明细账"/>
      <sheetName val="总账"/>
      <sheetName val="明细分类账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Wish销售数据来源说明"/>
      <sheetName val="Sheet2"/>
      <sheetName val="wish后台销售明细（销售额看S列成交费看T列）"/>
      <sheetName val="退款明细1（截图中的“退款”明细）"/>
      <sheetName val="退款明细2(放款明细表中抽取的退款)"/>
      <sheetName val="放款明细"/>
      <sheetName val="放款截图"/>
      <sheetName val="放款登记"/>
      <sheetName val="总账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基础资料"/>
      <sheetName val="本地仓-出入库明细"/>
      <sheetName val="本地仓-进销存报表"/>
      <sheetName val="在途仓-物流信息跟踪"/>
      <sheetName val="进销存"/>
      <sheetName val="FBA仓-进销存表"/>
      <sheetName val="进销存 (2)"/>
      <sheetName val="库存调整表US"/>
      <sheetName val="Sheet1"/>
    </sheetNames>
    <sheetDataSet>
      <sheetData sheetId="0">
        <row r="1">
          <cell r="B1" t="str">
            <v>日期：</v>
          </cell>
          <cell r="C1">
            <v>44228</v>
          </cell>
        </row>
        <row r="3">
          <cell r="B3" t="str">
            <v>平台sku</v>
          </cell>
          <cell r="C3" t="str">
            <v>规格型号</v>
          </cell>
          <cell r="D3" t="str">
            <v>亚马逊ASIN</v>
          </cell>
          <cell r="E3" t="str">
            <v>erp sku</v>
          </cell>
          <cell r="F3" t="str">
            <v>sku名称</v>
          </cell>
          <cell r="G3" t="str">
            <v>重量</v>
          </cell>
        </row>
        <row r="4">
          <cell r="B4" t="str">
            <v>6B3008</v>
          </cell>
        </row>
        <row r="4">
          <cell r="G4">
            <v>1.56</v>
          </cell>
          <cell r="H4">
            <v>7.8</v>
          </cell>
        </row>
        <row r="5">
          <cell r="B5" t="str">
            <v>6B3009</v>
          </cell>
        </row>
        <row r="5">
          <cell r="G5">
            <v>0.64</v>
          </cell>
          <cell r="H5">
            <v>2.88</v>
          </cell>
        </row>
        <row r="6">
          <cell r="B6" t="str">
            <v>AHH-01-001</v>
          </cell>
        </row>
        <row r="6">
          <cell r="G6">
            <v>1</v>
          </cell>
          <cell r="H6">
            <v>4.5</v>
          </cell>
        </row>
        <row r="7">
          <cell r="B7" t="str">
            <v>AHJ01005</v>
          </cell>
        </row>
        <row r="7">
          <cell r="G7">
            <v>4.19</v>
          </cell>
          <cell r="H7">
            <v>20.95</v>
          </cell>
        </row>
        <row r="8">
          <cell r="B8" t="str">
            <v>AHJ01006</v>
          </cell>
        </row>
        <row r="8">
          <cell r="G8">
            <v>2.3</v>
          </cell>
          <cell r="H8">
            <v>11.5</v>
          </cell>
        </row>
        <row r="9">
          <cell r="B9" t="str">
            <v>AHJ01007</v>
          </cell>
        </row>
        <row r="9">
          <cell r="G9">
            <v>2.1</v>
          </cell>
          <cell r="H9">
            <v>10.5</v>
          </cell>
        </row>
        <row r="10">
          <cell r="B10" t="str">
            <v>AJH05</v>
          </cell>
        </row>
        <row r="10">
          <cell r="G10">
            <v>0.8</v>
          </cell>
          <cell r="H10">
            <v>3.6</v>
          </cell>
        </row>
        <row r="11">
          <cell r="B11" t="str">
            <v>TOP01</v>
          </cell>
        </row>
        <row r="11">
          <cell r="G11">
            <v>3.3</v>
          </cell>
          <cell r="H11">
            <v>19.8</v>
          </cell>
        </row>
        <row r="12">
          <cell r="B12" t="str">
            <v>TOP2001</v>
          </cell>
        </row>
        <row r="12">
          <cell r="G12">
            <v>3.4</v>
          </cell>
          <cell r="H12">
            <v>20.4</v>
          </cell>
        </row>
        <row r="13">
          <cell r="B13" t="str">
            <v>TOP2002</v>
          </cell>
        </row>
        <row r="13">
          <cell r="G13">
            <v>2.5</v>
          </cell>
          <cell r="H13">
            <v>12.5</v>
          </cell>
        </row>
        <row r="14">
          <cell r="B14" t="str">
            <v>TOP2003</v>
          </cell>
        </row>
        <row r="14">
          <cell r="G14">
            <v>1.1</v>
          </cell>
          <cell r="H14">
            <v>5.5</v>
          </cell>
        </row>
        <row r="15">
          <cell r="B15" t="str">
            <v>UINM01</v>
          </cell>
        </row>
        <row r="15">
          <cell r="G15">
            <v>2</v>
          </cell>
          <cell r="H15">
            <v>10</v>
          </cell>
        </row>
        <row r="16">
          <cell r="B16" t="str">
            <v>XXS6B001</v>
          </cell>
        </row>
        <row r="16">
          <cell r="G16">
            <v>0.8</v>
          </cell>
          <cell r="H16">
            <v>3.6</v>
          </cell>
        </row>
        <row r="17">
          <cell r="B17" t="str">
            <v>XXS6B002</v>
          </cell>
        </row>
        <row r="17">
          <cell r="G17">
            <v>0.6</v>
          </cell>
          <cell r="H17">
            <v>2.7</v>
          </cell>
        </row>
        <row r="18">
          <cell r="B18" t="str">
            <v>XXS6B003</v>
          </cell>
        </row>
        <row r="18">
          <cell r="G18">
            <v>1.6</v>
          </cell>
          <cell r="H18">
            <v>8</v>
          </cell>
        </row>
        <row r="19">
          <cell r="B19" t="str">
            <v>XXS6B004</v>
          </cell>
        </row>
        <row r="19">
          <cell r="G19">
            <v>2.5</v>
          </cell>
          <cell r="H19">
            <v>12.5</v>
          </cell>
        </row>
        <row r="20">
          <cell r="B20" t="str">
            <v>XXS6B005</v>
          </cell>
        </row>
        <row r="20">
          <cell r="G20">
            <v>5.2</v>
          </cell>
          <cell r="H20">
            <v>31.2</v>
          </cell>
        </row>
        <row r="21">
          <cell r="B21" t="str">
            <v>XXS6B006</v>
          </cell>
        </row>
        <row r="21">
          <cell r="G21">
            <v>3.4</v>
          </cell>
          <cell r="H21">
            <v>20.4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H1">
            <v>8477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zoomScale="115" zoomScaleNormal="115" workbookViewId="0">
      <selection activeCell="G7" sqref="G7"/>
    </sheetView>
  </sheetViews>
  <sheetFormatPr defaultColWidth="9" defaultRowHeight="15.6" outlineLevelCol="4"/>
  <cols>
    <col min="1" max="1" width="34.5" style="17" customWidth="1"/>
    <col min="2" max="2" width="11.875" style="17" customWidth="1"/>
    <col min="3" max="3" width="11.375" style="17" customWidth="1"/>
    <col min="4" max="4" width="8.375" style="17" customWidth="1"/>
    <col min="5" max="5" width="12.875" style="17" customWidth="1"/>
    <col min="6" max="16384" width="9" style="17"/>
  </cols>
  <sheetData>
    <row r="1" spans="1:2">
      <c r="A1" s="182" t="s">
        <v>0</v>
      </c>
      <c r="B1" s="183">
        <v>44228</v>
      </c>
    </row>
    <row r="3" ht="29.1" customHeight="1" spans="1:5">
      <c r="A3" s="184" t="s">
        <v>1</v>
      </c>
      <c r="B3" s="184" t="s">
        <v>2</v>
      </c>
      <c r="C3" s="184" t="s">
        <v>3</v>
      </c>
      <c r="D3" s="184" t="s">
        <v>4</v>
      </c>
      <c r="E3" s="184" t="s">
        <v>5</v>
      </c>
    </row>
    <row r="4" ht="17.1" customHeight="1" spans="1:5">
      <c r="A4" s="14" t="s">
        <v>6</v>
      </c>
      <c r="B4" s="173"/>
      <c r="C4" s="173"/>
      <c r="D4" s="185"/>
      <c r="E4" s="185"/>
    </row>
    <row r="5" ht="17.1" customHeight="1" spans="1:5">
      <c r="A5" s="14" t="s">
        <v>7</v>
      </c>
      <c r="B5" s="173"/>
      <c r="C5" s="173"/>
      <c r="D5" s="185"/>
      <c r="E5" s="185"/>
    </row>
    <row r="6" ht="17.1" customHeight="1" spans="1:5">
      <c r="A6" s="14" t="s">
        <v>8</v>
      </c>
      <c r="B6" s="173"/>
      <c r="C6" s="173"/>
      <c r="D6" s="185"/>
      <c r="E6" s="185"/>
    </row>
    <row r="7" ht="17.1" customHeight="1" spans="1:5">
      <c r="A7" s="14" t="s">
        <v>9</v>
      </c>
      <c r="B7" s="173"/>
      <c r="C7" s="173"/>
      <c r="D7" s="185"/>
      <c r="E7" s="185"/>
    </row>
    <row r="8" ht="17.1" customHeight="1" spans="1:5">
      <c r="A8" s="14" t="s">
        <v>10</v>
      </c>
      <c r="B8" s="173"/>
      <c r="C8" s="173"/>
      <c r="D8" s="185"/>
      <c r="E8" s="185"/>
    </row>
    <row r="9" ht="17.1" customHeight="1" spans="1:5">
      <c r="A9" s="14" t="s">
        <v>11</v>
      </c>
      <c r="B9" s="173"/>
      <c r="C9" s="173"/>
      <c r="D9" s="185"/>
      <c r="E9" s="185"/>
    </row>
    <row r="10" ht="17.1" customHeight="1" spans="1:5">
      <c r="A10" s="14" t="s">
        <v>12</v>
      </c>
      <c r="B10" s="173"/>
      <c r="C10" s="173"/>
      <c r="D10" s="185"/>
      <c r="E10" s="185"/>
    </row>
    <row r="11" ht="17.1" customHeight="1" spans="1:5">
      <c r="A11" s="14" t="s">
        <v>13</v>
      </c>
      <c r="B11" s="173"/>
      <c r="C11" s="173"/>
      <c r="D11" s="185"/>
      <c r="E11" s="185"/>
    </row>
    <row r="12" ht="17.1" customHeight="1" spans="1:5">
      <c r="A12" s="14" t="s">
        <v>14</v>
      </c>
      <c r="B12" s="173"/>
      <c r="C12" s="173"/>
      <c r="D12" s="185"/>
      <c r="E12" s="185"/>
    </row>
    <row r="13" ht="17.1" customHeight="1" spans="1:5">
      <c r="A13" s="14" t="s">
        <v>15</v>
      </c>
      <c r="B13" s="173"/>
      <c r="C13" s="173"/>
      <c r="D13" s="185"/>
      <c r="E13" s="185"/>
    </row>
    <row r="14" ht="17.1" customHeight="1" spans="1:5">
      <c r="A14" s="14" t="s">
        <v>16</v>
      </c>
      <c r="B14" s="173"/>
      <c r="C14" s="173"/>
      <c r="D14" s="186"/>
      <c r="E14" s="16"/>
    </row>
    <row r="15" ht="17.1" customHeight="1" spans="1:5">
      <c r="A15" s="14" t="s">
        <v>17</v>
      </c>
      <c r="B15" s="173"/>
      <c r="C15" s="173"/>
      <c r="D15" s="186"/>
      <c r="E15" s="16"/>
    </row>
    <row r="16" ht="17.1" customHeight="1" spans="1:5">
      <c r="A16" s="14" t="s">
        <v>18</v>
      </c>
      <c r="B16" s="173"/>
      <c r="C16" s="173"/>
      <c r="D16" s="186"/>
      <c r="E16" s="16"/>
    </row>
    <row r="17" ht="17.1" customHeight="1" spans="1:5">
      <c r="A17" s="14" t="s">
        <v>19</v>
      </c>
      <c r="B17" s="173"/>
      <c r="C17" s="173"/>
      <c r="D17" s="186"/>
      <c r="E17" s="16"/>
    </row>
    <row r="18" ht="17.1" customHeight="1" spans="1:5">
      <c r="A18" s="14" t="s">
        <v>20</v>
      </c>
      <c r="B18" s="173"/>
      <c r="C18" s="173"/>
      <c r="D18" s="186"/>
      <c r="E18" s="16"/>
    </row>
    <row r="19" ht="17.1" customHeight="1" spans="1:5">
      <c r="A19" s="14" t="s">
        <v>21</v>
      </c>
      <c r="B19" s="173"/>
      <c r="C19" s="173"/>
      <c r="D19" s="186"/>
      <c r="E19" s="16"/>
    </row>
    <row r="20" ht="17.1" customHeight="1" spans="1:5">
      <c r="A20" s="14" t="s">
        <v>22</v>
      </c>
      <c r="B20" s="173"/>
      <c r="C20" s="173"/>
      <c r="D20" s="186"/>
      <c r="E20" s="16"/>
    </row>
    <row r="21" ht="17.1" customHeight="1" spans="1:5">
      <c r="A21" s="14" t="s">
        <v>23</v>
      </c>
      <c r="B21" s="173"/>
      <c r="C21" s="173"/>
      <c r="D21" s="186"/>
      <c r="E21" s="16"/>
    </row>
    <row r="22" spans="4:4">
      <c r="D22" s="187"/>
    </row>
  </sheetData>
  <conditionalFormatting sqref="A4:A21">
    <cfRule type="duplicateValues" dxfId="0" priority="1"/>
    <cfRule type="duplicateValues" dxfId="0" priority="2"/>
  </conditionalFormatting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399884029663991"/>
  </sheetPr>
  <dimension ref="B1:L33"/>
  <sheetViews>
    <sheetView tabSelected="1" workbookViewId="0">
      <pane xSplit="3" ySplit="4" topLeftCell="D5" activePane="bottomRight" state="frozen"/>
      <selection/>
      <selection pane="topRight"/>
      <selection pane="bottomLeft"/>
      <selection pane="bottomRight" activeCell="G16" sqref="G16"/>
    </sheetView>
  </sheetViews>
  <sheetFormatPr defaultColWidth="9" defaultRowHeight="15.6"/>
  <cols>
    <col min="1" max="1" width="2.125" style="74" customWidth="1"/>
    <col min="2" max="2" width="13.75" style="74" customWidth="1"/>
    <col min="3" max="3" width="20.125" style="74" customWidth="1"/>
    <col min="4" max="4" width="4.375" style="74" customWidth="1"/>
    <col min="5" max="5" width="8.125" style="74" customWidth="1"/>
    <col min="6" max="6" width="25.375" style="74" customWidth="1"/>
    <col min="7" max="7" width="9" style="74" customWidth="1"/>
    <col min="8" max="8" width="6.375" style="74" customWidth="1"/>
    <col min="9" max="9" width="12.625" style="89" customWidth="1"/>
    <col min="10" max="10" width="21.125" style="74" customWidth="1"/>
    <col min="11" max="11" width="11.5" style="74" customWidth="1"/>
    <col min="12" max="12" width="8.875" style="74" customWidth="1"/>
    <col min="13" max="244" width="9" style="74"/>
    <col min="245" max="16384" width="9" style="17"/>
  </cols>
  <sheetData>
    <row r="1" spans="2:9">
      <c r="B1" s="74" t="s">
        <v>0</v>
      </c>
      <c r="C1" s="170">
        <f>基础资料!B1</f>
        <v>44228</v>
      </c>
      <c r="I1" s="74"/>
    </row>
    <row r="2" ht="16.35" customHeight="1" spans="2:7">
      <c r="B2" s="76" t="s">
        <v>24</v>
      </c>
      <c r="F2" s="91" t="s">
        <v>25</v>
      </c>
      <c r="G2" s="91"/>
    </row>
    <row r="3" spans="2:12">
      <c r="B3" s="113" t="s">
        <v>26</v>
      </c>
      <c r="C3" s="114" t="s">
        <v>27</v>
      </c>
      <c r="D3" s="114" t="s">
        <v>28</v>
      </c>
      <c r="E3" s="114" t="s">
        <v>2</v>
      </c>
      <c r="F3" s="171" t="s">
        <v>29</v>
      </c>
      <c r="G3" s="52" t="s">
        <v>30</v>
      </c>
      <c r="H3" s="52"/>
      <c r="I3" s="178"/>
      <c r="J3" s="179" t="s">
        <v>31</v>
      </c>
      <c r="K3" s="34" t="s">
        <v>32</v>
      </c>
      <c r="L3" s="34" t="s">
        <v>33</v>
      </c>
    </row>
    <row r="4" ht="16.35" customHeight="1" spans="2:12">
      <c r="B4" s="115"/>
      <c r="C4" s="116"/>
      <c r="D4" s="116"/>
      <c r="E4" s="116"/>
      <c r="F4" s="171"/>
      <c r="G4" s="52" t="s">
        <v>34</v>
      </c>
      <c r="H4" s="52" t="s">
        <v>35</v>
      </c>
      <c r="I4" s="178" t="s">
        <v>36</v>
      </c>
      <c r="J4" s="180"/>
      <c r="K4" s="34"/>
      <c r="L4" s="34"/>
    </row>
    <row r="5" spans="2:12">
      <c r="B5" s="172">
        <v>43864</v>
      </c>
      <c r="C5" s="173" t="s">
        <v>6</v>
      </c>
      <c r="D5" s="36"/>
      <c r="E5" s="36"/>
      <c r="F5" s="36" t="s">
        <v>37</v>
      </c>
      <c r="G5" s="174">
        <v>2000</v>
      </c>
      <c r="H5" s="175">
        <v>113.3</v>
      </c>
      <c r="I5" s="66">
        <f t="shared" ref="I5:I11" si="0">IF(ISERROR(G5*H5),0,G5*H5)</f>
        <v>226600</v>
      </c>
      <c r="J5" s="181"/>
      <c r="K5" s="181"/>
      <c r="L5" s="169">
        <f>VLOOKUP(C5,本地仓!$A:$D,4,0)+SUMIFS(G5,F5,"购入",C5,C5)-SUMIFS(K5,C5,C5,F5,"发出")</f>
        <v>2000</v>
      </c>
    </row>
    <row r="6" spans="2:12">
      <c r="B6" s="172">
        <v>43864</v>
      </c>
      <c r="C6" s="173" t="s">
        <v>7</v>
      </c>
      <c r="D6" s="36"/>
      <c r="E6" s="36"/>
      <c r="F6" s="36" t="s">
        <v>37</v>
      </c>
      <c r="G6" s="174">
        <v>50</v>
      </c>
      <c r="H6" s="175">
        <v>351.23</v>
      </c>
      <c r="I6" s="66">
        <f t="shared" si="0"/>
        <v>17561.5</v>
      </c>
      <c r="J6" s="181"/>
      <c r="K6" s="181"/>
      <c r="L6" s="169">
        <f>VLOOKUP(C6,本地仓!$A:$D,4,0)+SUMIFS(G$5:G6,F$5:F6,"购入",C$5:C6,C6)-SUMIFS(K$5:K6,C$5:C6,C6,F$5:F6,"发出")</f>
        <v>50</v>
      </c>
    </row>
    <row r="7" spans="2:12">
      <c r="B7" s="172">
        <v>43864</v>
      </c>
      <c r="C7" s="173" t="s">
        <v>8</v>
      </c>
      <c r="D7" s="36"/>
      <c r="E7" s="36"/>
      <c r="F7" s="36" t="s">
        <v>37</v>
      </c>
      <c r="G7" s="174">
        <v>268</v>
      </c>
      <c r="H7" s="175">
        <v>62.4458779362399</v>
      </c>
      <c r="I7" s="66">
        <f t="shared" si="0"/>
        <v>16735.4952869123</v>
      </c>
      <c r="J7" s="181"/>
      <c r="K7" s="181"/>
      <c r="L7" s="169">
        <f>VLOOKUP(C7,本地仓!$A:$D,4,0)+SUMIFS(G$5:G7,F$5:F7,"购入",C$5:C7,C7)-SUMIFS(K$5:K7,C$5:C7,C7,F$5:F7,"发出")</f>
        <v>268</v>
      </c>
    </row>
    <row r="8" spans="2:12">
      <c r="B8" s="172">
        <v>43864</v>
      </c>
      <c r="C8" s="173" t="s">
        <v>10</v>
      </c>
      <c r="D8" s="36"/>
      <c r="E8" s="36"/>
      <c r="F8" s="36" t="s">
        <v>37</v>
      </c>
      <c r="G8" s="174">
        <v>90</v>
      </c>
      <c r="H8" s="175">
        <v>89.5522948066962</v>
      </c>
      <c r="I8" s="66">
        <f t="shared" si="0"/>
        <v>8059.70653260266</v>
      </c>
      <c r="J8" s="181"/>
      <c r="K8" s="181"/>
      <c r="L8" s="169">
        <f>VLOOKUP(C8,本地仓!$A:$D,4,0)+SUMIFS(G$5:G8,F$5:F8,"购入",C$5:C8,C8)-SUMIFS(K$5:K8,C$5:C8,C8,F$5:F8,"发出")</f>
        <v>390</v>
      </c>
    </row>
    <row r="9" spans="2:12">
      <c r="B9" s="172">
        <v>43864</v>
      </c>
      <c r="C9" s="173" t="s">
        <v>11</v>
      </c>
      <c r="D9" s="36"/>
      <c r="E9" s="36"/>
      <c r="F9" s="36" t="s">
        <v>37</v>
      </c>
      <c r="G9" s="174">
        <v>480</v>
      </c>
      <c r="H9" s="175">
        <v>101.477241033397</v>
      </c>
      <c r="I9" s="66">
        <f t="shared" si="0"/>
        <v>48709.0756960306</v>
      </c>
      <c r="J9" s="181"/>
      <c r="K9" s="181"/>
      <c r="L9" s="169">
        <f>VLOOKUP(C9,本地仓!$A:$D,4,0)+SUMIFS(G$5:G9,F$5:F9,"购入",C$5:C9,C9)-SUMIFS(K$5:K9,C$5:C9,C9,F$5:F9,"发出")</f>
        <v>490</v>
      </c>
    </row>
    <row r="10" spans="2:12">
      <c r="B10" s="172">
        <v>43864</v>
      </c>
      <c r="C10" s="173" t="s">
        <v>13</v>
      </c>
      <c r="D10" s="36"/>
      <c r="E10" s="36"/>
      <c r="F10" s="36" t="s">
        <v>37</v>
      </c>
      <c r="G10" s="174">
        <v>100</v>
      </c>
      <c r="H10" s="175">
        <v>227.458600054146</v>
      </c>
      <c r="I10" s="66">
        <f t="shared" si="0"/>
        <v>22745.8600054146</v>
      </c>
      <c r="J10" s="181"/>
      <c r="K10" s="181"/>
      <c r="L10" s="169">
        <f>VLOOKUP(C10,本地仓!$A:$D,4,0)+SUMIFS(G$5:G10,F$5:F10,"购入",C$5:C10,C10)-SUMIFS(K$5:K10,C$5:C10,C10,F$5:F10,"发出")</f>
        <v>110</v>
      </c>
    </row>
    <row r="11" spans="2:12">
      <c r="B11" s="172">
        <v>43864</v>
      </c>
      <c r="C11" s="173" t="s">
        <v>14</v>
      </c>
      <c r="D11" s="36"/>
      <c r="E11" s="36"/>
      <c r="F11" s="36" t="s">
        <v>37</v>
      </c>
      <c r="G11" s="174">
        <v>51</v>
      </c>
      <c r="H11" s="175">
        <v>103.05168947413</v>
      </c>
      <c r="I11" s="66">
        <f t="shared" si="0"/>
        <v>5255.63616318063</v>
      </c>
      <c r="J11" s="181"/>
      <c r="K11" s="181"/>
      <c r="L11" s="169">
        <f>VLOOKUP(C11,本地仓!$A:$D,4,0)+SUMIFS(G$5:G11,F$5:F11,"购入",C$5:C11,C11)-SUMIFS(K$5:K11,C$5:C11,C11,F$5:F11,"发出")</f>
        <v>90</v>
      </c>
    </row>
    <row r="12" spans="2:12">
      <c r="B12" s="172">
        <v>43864</v>
      </c>
      <c r="C12" s="173" t="s">
        <v>15</v>
      </c>
      <c r="D12" s="36"/>
      <c r="E12" s="36"/>
      <c r="F12" s="36" t="s">
        <v>37</v>
      </c>
      <c r="G12" s="174">
        <v>140</v>
      </c>
      <c r="H12" s="175">
        <v>200.746915576748</v>
      </c>
      <c r="I12" s="66">
        <f t="shared" ref="I12:I18" si="1">IF(ISERROR(G12*H12),0,G12*H12)</f>
        <v>28104.5681807447</v>
      </c>
      <c r="J12" s="181"/>
      <c r="K12" s="181"/>
      <c r="L12" s="169">
        <f>VLOOKUP(C12,本地仓!$A:$D,4,0)+SUMIFS(G$5:G12,F$5:F12,"购入",C$5:C12,C12)-SUMIFS(K$5:K12,C$5:C12,C12,F$5:F12,"发出")</f>
        <v>160</v>
      </c>
    </row>
    <row r="13" spans="2:12">
      <c r="B13" s="172">
        <v>43864</v>
      </c>
      <c r="C13" s="173" t="s">
        <v>16</v>
      </c>
      <c r="D13" s="36"/>
      <c r="E13" s="36"/>
      <c r="F13" s="36" t="s">
        <v>37</v>
      </c>
      <c r="G13" s="174">
        <v>290</v>
      </c>
      <c r="H13" s="175">
        <v>114.199068694091</v>
      </c>
      <c r="I13" s="66">
        <f t="shared" si="1"/>
        <v>33117.7299212864</v>
      </c>
      <c r="J13" s="181"/>
      <c r="K13" s="181"/>
      <c r="L13" s="169">
        <f>VLOOKUP(C13,本地仓!$A:$D,4,0)+SUMIFS(G$5:G13,F$5:F13,"购入",C$5:C13,C13)-SUMIFS(K$5:K13,C$5:C13,C13,F$5:F13,"发出")</f>
        <v>291</v>
      </c>
    </row>
    <row r="14" spans="2:12">
      <c r="B14" s="172">
        <v>43864</v>
      </c>
      <c r="C14" s="173" t="s">
        <v>17</v>
      </c>
      <c r="D14" s="36"/>
      <c r="E14" s="36"/>
      <c r="F14" s="36" t="s">
        <v>37</v>
      </c>
      <c r="G14" s="174">
        <v>70</v>
      </c>
      <c r="H14" s="175">
        <v>139.80612271909</v>
      </c>
      <c r="I14" s="66">
        <f t="shared" si="1"/>
        <v>9786.4285903363</v>
      </c>
      <c r="J14" s="181"/>
      <c r="K14" s="181"/>
      <c r="L14" s="169">
        <f>VLOOKUP(C14,本地仓!$A:$D,4,0)+SUMIFS(G$5:G14,F$5:F14,"购入",C$5:C14,C14)-SUMIFS(K$5:K14,C$5:C14,C14,F$5:F14,"发出")</f>
        <v>70</v>
      </c>
    </row>
    <row r="15" spans="2:12">
      <c r="B15" s="172">
        <v>43864</v>
      </c>
      <c r="C15" s="173" t="s">
        <v>18</v>
      </c>
      <c r="D15" s="36"/>
      <c r="E15" s="36"/>
      <c r="F15" s="36" t="s">
        <v>37</v>
      </c>
      <c r="G15" s="174">
        <v>140</v>
      </c>
      <c r="H15" s="175">
        <v>180.050021033531</v>
      </c>
      <c r="I15" s="66">
        <f t="shared" si="1"/>
        <v>25207.0029446943</v>
      </c>
      <c r="J15" s="181"/>
      <c r="K15" s="181"/>
      <c r="L15" s="169">
        <f>VLOOKUP(C15,本地仓!$A:$D,4,0)+SUMIFS(G$5:G15,F$5:F15,"购入",C$5:C15,C15)-SUMIFS(K$5:K15,C$5:C15,C15,F$5:F15,"发出")</f>
        <v>190</v>
      </c>
    </row>
    <row r="16" spans="2:12">
      <c r="B16" s="172">
        <v>43864</v>
      </c>
      <c r="C16" s="173" t="s">
        <v>19</v>
      </c>
      <c r="D16" s="36"/>
      <c r="E16" s="36"/>
      <c r="F16" s="36" t="s">
        <v>37</v>
      </c>
      <c r="G16" s="174">
        <v>45</v>
      </c>
      <c r="H16" s="175">
        <v>115.905294187631</v>
      </c>
      <c r="I16" s="66">
        <f t="shared" si="1"/>
        <v>5215.73823844339</v>
      </c>
      <c r="J16" s="181"/>
      <c r="K16" s="181"/>
      <c r="L16" s="169">
        <f>VLOOKUP(C16,本地仓!$A:$D,4,0)+SUMIFS(G$5:G16,F$5:F16,"购入",C$5:C16,C16)-SUMIFS(K$5:K16,C$5:C16,C16,F$5:F16,"发出")</f>
        <v>45</v>
      </c>
    </row>
    <row r="17" spans="2:12">
      <c r="B17" s="172">
        <v>43864</v>
      </c>
      <c r="C17" s="173" t="s">
        <v>20</v>
      </c>
      <c r="D17" s="36"/>
      <c r="E17" s="36"/>
      <c r="F17" s="36" t="s">
        <v>37</v>
      </c>
      <c r="G17" s="174">
        <v>140</v>
      </c>
      <c r="H17" s="175">
        <v>76.1778931073108</v>
      </c>
      <c r="I17" s="66">
        <f t="shared" si="1"/>
        <v>10664.9050350235</v>
      </c>
      <c r="J17" s="181"/>
      <c r="K17" s="181"/>
      <c r="L17" s="169">
        <f>VLOOKUP(C17,本地仓!$A:$D,4,0)+SUMIFS(G$5:G17,F$5:F17,"购入",C$5:C17,C17)-SUMIFS(K$5:K17,C$5:C17,C17,F$5:F17,"发出")</f>
        <v>140</v>
      </c>
    </row>
    <row r="18" spans="2:12">
      <c r="B18" s="172">
        <v>43864</v>
      </c>
      <c r="C18" s="173" t="s">
        <v>21</v>
      </c>
      <c r="D18" s="36"/>
      <c r="E18" s="36"/>
      <c r="F18" s="36" t="s">
        <v>37</v>
      </c>
      <c r="G18" s="174">
        <v>150</v>
      </c>
      <c r="H18" s="175">
        <v>71.1944251256444</v>
      </c>
      <c r="I18" s="66">
        <f t="shared" si="1"/>
        <v>10679.1637688467</v>
      </c>
      <c r="J18" s="181"/>
      <c r="K18" s="181"/>
      <c r="L18" s="169"/>
    </row>
    <row r="19" spans="2:12">
      <c r="B19" s="172">
        <v>43866</v>
      </c>
      <c r="C19" s="14" t="s">
        <v>6</v>
      </c>
      <c r="D19" s="36"/>
      <c r="E19" s="36"/>
      <c r="F19" s="36" t="s">
        <v>38</v>
      </c>
      <c r="G19" s="174"/>
      <c r="H19" s="175"/>
      <c r="I19" s="66">
        <f t="shared" ref="I19:I32" si="2">IF(ISERROR(G19*H19),0,G19*H19)</f>
        <v>0</v>
      </c>
      <c r="J19" s="172" t="s">
        <v>39</v>
      </c>
      <c r="K19" s="181">
        <f>SUMIFS(物流信息跟踪!$J:$J,物流信息跟踪!$I:$I,$J19,物流信息跟踪!$C:$C,$C19)</f>
        <v>2500</v>
      </c>
      <c r="L19" s="169">
        <f>VLOOKUP(C19,本地仓!$A:$D,4,0)+SUMIFS(G$5:G19,F$5:F19,"购入",C$5:C19,C19)-SUMIFS(K$5:K19,C$5:C19,C19,F$5:F19,"发出")</f>
        <v>2000</v>
      </c>
    </row>
    <row r="20" spans="2:12">
      <c r="B20" s="172">
        <v>43866</v>
      </c>
      <c r="C20" s="14" t="s">
        <v>7</v>
      </c>
      <c r="D20" s="36"/>
      <c r="E20" s="36"/>
      <c r="F20" s="36" t="s">
        <v>38</v>
      </c>
      <c r="G20" s="174"/>
      <c r="H20" s="175"/>
      <c r="I20" s="66">
        <f t="shared" si="2"/>
        <v>0</v>
      </c>
      <c r="J20" s="172" t="s">
        <v>39</v>
      </c>
      <c r="K20" s="181">
        <f>SUMIFS(物流信息跟踪!$J:$J,物流信息跟踪!$I:$I,$J20,物流信息跟踪!$C:$C,$C20)</f>
        <v>417</v>
      </c>
      <c r="L20" s="169">
        <f>VLOOKUP(C20,本地仓!$A:$D,4,0)+SUMIFS(G$5:G20,F$5:F20,"购入",C$5:C20,C20)-SUMIFS(K$5:K20,C$5:C20,C20,F$5:F20,"发出")</f>
        <v>50</v>
      </c>
    </row>
    <row r="21" spans="2:12">
      <c r="B21" s="172">
        <v>43866</v>
      </c>
      <c r="C21" s="14" t="s">
        <v>8</v>
      </c>
      <c r="D21" s="36"/>
      <c r="E21" s="36"/>
      <c r="F21" s="36" t="s">
        <v>38</v>
      </c>
      <c r="G21" s="174"/>
      <c r="H21" s="174"/>
      <c r="I21" s="66">
        <f t="shared" si="2"/>
        <v>0</v>
      </c>
      <c r="J21" s="172" t="s">
        <v>39</v>
      </c>
      <c r="K21" s="181">
        <f>SUMIFS(物流信息跟踪!$J:$J,物流信息跟踪!$I:$I,$J21,物流信息跟踪!$C:$C,$C21)</f>
        <v>0</v>
      </c>
      <c r="L21" s="169">
        <f>VLOOKUP(C21,本地仓!$A:$D,4,0)+SUMIFS(G$5:G21,F$5:F21,"购入",C$5:C21,C21)-SUMIFS(K$5:K21,C$5:C21,C21,F$5:F21,"发出")</f>
        <v>268</v>
      </c>
    </row>
    <row r="22" spans="2:12">
      <c r="B22" s="172">
        <v>43866</v>
      </c>
      <c r="C22" s="14" t="s">
        <v>10</v>
      </c>
      <c r="D22" s="36"/>
      <c r="E22" s="36"/>
      <c r="F22" s="36" t="s">
        <v>38</v>
      </c>
      <c r="G22" s="174"/>
      <c r="H22" s="174"/>
      <c r="I22" s="66">
        <f t="shared" si="2"/>
        <v>0</v>
      </c>
      <c r="J22" s="172" t="s">
        <v>39</v>
      </c>
      <c r="K22" s="181">
        <f>SUMIFS(物流信息跟踪!$J:$J,物流信息跟踪!$I:$I,$J22,物流信息跟踪!$C:$C,$C22)</f>
        <v>415</v>
      </c>
      <c r="L22" s="169">
        <f>VLOOKUP(C22,本地仓!$A:$D,4,0)+SUMIFS(G$5:G22,F$5:F22,"购入",C$5:C22,C22)-SUMIFS(K$5:K22,C$5:C22,C22,F$5:F22,"发出")</f>
        <v>390</v>
      </c>
    </row>
    <row r="23" spans="2:12">
      <c r="B23" s="172">
        <v>43866</v>
      </c>
      <c r="C23" s="14" t="s">
        <v>11</v>
      </c>
      <c r="D23" s="36"/>
      <c r="E23" s="36"/>
      <c r="F23" s="36" t="s">
        <v>38</v>
      </c>
      <c r="G23" s="174"/>
      <c r="H23" s="174"/>
      <c r="I23" s="66">
        <f t="shared" si="2"/>
        <v>0</v>
      </c>
      <c r="J23" s="172" t="s">
        <v>39</v>
      </c>
      <c r="K23" s="181">
        <f>SUMIFS(物流信息跟踪!$J:$J,物流信息跟踪!$I:$I,$J23,物流信息跟踪!$C:$C,$C23)</f>
        <v>490</v>
      </c>
      <c r="L23" s="169">
        <f>VLOOKUP(C23,本地仓!$A:$D,4,0)+SUMIFS(G$5:G23,F$5:F23,"购入",C$5:C23,C23)-SUMIFS(K$5:K23,C$5:C23,C23,F$5:F23,"发出")</f>
        <v>490</v>
      </c>
    </row>
    <row r="24" spans="2:12">
      <c r="B24" s="172">
        <v>43866</v>
      </c>
      <c r="C24" s="14" t="s">
        <v>13</v>
      </c>
      <c r="D24" s="36"/>
      <c r="E24" s="36"/>
      <c r="F24" s="36" t="s">
        <v>38</v>
      </c>
      <c r="G24" s="174"/>
      <c r="H24" s="174"/>
      <c r="I24" s="66">
        <f t="shared" si="2"/>
        <v>0</v>
      </c>
      <c r="J24" s="172" t="s">
        <v>39</v>
      </c>
      <c r="K24" s="181">
        <f>SUMIFS(物流信息跟踪!$J:$J,物流信息跟踪!$I:$I,$J24,物流信息跟踪!$C:$C,$C24)</f>
        <v>0</v>
      </c>
      <c r="L24" s="169">
        <f>VLOOKUP(C24,本地仓!$A:$D,4,0)+SUMIFS(G$5:G24,F$5:F24,"购入",C$5:C24,C24)-SUMIFS(K$5:K24,C$5:C24,C24,F$5:F24,"发出")</f>
        <v>110</v>
      </c>
    </row>
    <row r="25" spans="2:12">
      <c r="B25" s="172">
        <v>43866</v>
      </c>
      <c r="C25" s="14" t="s">
        <v>14</v>
      </c>
      <c r="D25" s="36"/>
      <c r="E25" s="36"/>
      <c r="F25" s="36" t="s">
        <v>38</v>
      </c>
      <c r="G25" s="174"/>
      <c r="H25" s="174"/>
      <c r="I25" s="66">
        <f t="shared" si="2"/>
        <v>0</v>
      </c>
      <c r="J25" s="172" t="s">
        <v>39</v>
      </c>
      <c r="K25" s="181">
        <f>SUMIFS(物流信息跟踪!$J:$J,物流信息跟踪!$I:$I,$J25,物流信息跟踪!$C:$C,$C25)</f>
        <v>90</v>
      </c>
      <c r="L25" s="169">
        <f>VLOOKUP(C25,本地仓!$A:$D,4,0)+SUMIFS(G$5:G25,F$5:F25,"购入",C$5:C25,C25)-SUMIFS(K$5:K25,C$5:C25,C25,F$5:F25,"发出")</f>
        <v>90</v>
      </c>
    </row>
    <row r="26" spans="2:12">
      <c r="B26" s="172">
        <v>43866</v>
      </c>
      <c r="C26" s="14" t="s">
        <v>15</v>
      </c>
      <c r="D26" s="36"/>
      <c r="E26" s="36"/>
      <c r="F26" s="36" t="s">
        <v>38</v>
      </c>
      <c r="G26" s="174"/>
      <c r="H26" s="174"/>
      <c r="I26" s="66">
        <f t="shared" si="2"/>
        <v>0</v>
      </c>
      <c r="J26" s="172" t="s">
        <v>39</v>
      </c>
      <c r="K26" s="181">
        <f>SUMIFS(物流信息跟踪!$J:$J,物流信息跟踪!$I:$I,$J26,物流信息跟踪!$C:$C,$C26)</f>
        <v>140</v>
      </c>
      <c r="L26" s="169">
        <f>VLOOKUP(C26,本地仓!$A:$D,4,0)+SUMIFS(G$5:G26,F$5:F26,"购入",C$5:C26,C26)-SUMIFS(K$5:K26,C$5:C26,C26,F$5:F26,"发出")</f>
        <v>160</v>
      </c>
    </row>
    <row r="27" spans="2:12">
      <c r="B27" s="172">
        <v>43866</v>
      </c>
      <c r="C27" s="14" t="s">
        <v>16</v>
      </c>
      <c r="D27" s="36"/>
      <c r="E27" s="36"/>
      <c r="F27" s="36" t="s">
        <v>38</v>
      </c>
      <c r="G27" s="174"/>
      <c r="H27" s="174"/>
      <c r="I27" s="66">
        <f t="shared" si="2"/>
        <v>0</v>
      </c>
      <c r="J27" s="172" t="s">
        <v>39</v>
      </c>
      <c r="K27" s="181">
        <f>SUMIFS(物流信息跟踪!$J:$J,物流信息跟踪!$I:$I,$J27,物流信息跟踪!$C:$C,$C27)</f>
        <v>290</v>
      </c>
      <c r="L27" s="169">
        <f>VLOOKUP(C27,本地仓!$A:$D,4,0)+SUMIFS(G$5:G27,F$5:F27,"购入",C$5:C27,C27)-SUMIFS(K$5:K27,C$5:C27,C27,F$5:F27,"发出")</f>
        <v>291</v>
      </c>
    </row>
    <row r="28" spans="2:12">
      <c r="B28" s="172">
        <v>43866</v>
      </c>
      <c r="C28" s="14" t="s">
        <v>17</v>
      </c>
      <c r="D28" s="36"/>
      <c r="E28" s="36"/>
      <c r="F28" s="36" t="s">
        <v>38</v>
      </c>
      <c r="G28" s="174"/>
      <c r="H28" s="174"/>
      <c r="I28" s="66">
        <f t="shared" si="2"/>
        <v>0</v>
      </c>
      <c r="J28" s="172" t="s">
        <v>39</v>
      </c>
      <c r="K28" s="181">
        <f>SUMIFS(物流信息跟踪!$J:$J,物流信息跟踪!$I:$I,$J28,物流信息跟踪!$C:$C,$C28)</f>
        <v>0</v>
      </c>
      <c r="L28" s="169">
        <f>VLOOKUP(C28,本地仓!$A:$D,4,0)+SUMIFS(G$5:G28,F$5:F28,"购入",C$5:C28,C28)-SUMIFS(K$5:K28,C$5:C28,C28,F$5:F28,"发出")</f>
        <v>70</v>
      </c>
    </row>
    <row r="29" spans="2:12">
      <c r="B29" s="172">
        <v>43866</v>
      </c>
      <c r="C29" s="14" t="s">
        <v>18</v>
      </c>
      <c r="D29" s="36"/>
      <c r="E29" s="36"/>
      <c r="F29" s="36" t="s">
        <v>38</v>
      </c>
      <c r="G29" s="174"/>
      <c r="H29" s="174"/>
      <c r="I29" s="66">
        <f t="shared" si="2"/>
        <v>0</v>
      </c>
      <c r="J29" s="172" t="s">
        <v>39</v>
      </c>
      <c r="K29" s="181">
        <f>SUMIFS(物流信息跟踪!$J:$J,物流信息跟踪!$I:$I,$J29,物流信息跟踪!$C:$C,$C29)</f>
        <v>0</v>
      </c>
      <c r="L29" s="169">
        <f>VLOOKUP(C29,本地仓!$A:$D,4,0)+SUMIFS(G$5:G29,F$5:F29,"购入",C$5:C29,C29)-SUMIFS(K$5:K29,C$5:C29,C29,F$5:F29,"发出")</f>
        <v>190</v>
      </c>
    </row>
    <row r="30" spans="2:12">
      <c r="B30" s="172">
        <v>43866</v>
      </c>
      <c r="C30" s="14" t="s">
        <v>19</v>
      </c>
      <c r="D30" s="36"/>
      <c r="E30" s="36"/>
      <c r="F30" s="36" t="s">
        <v>38</v>
      </c>
      <c r="G30" s="174"/>
      <c r="H30" s="174"/>
      <c r="I30" s="66">
        <f t="shared" si="2"/>
        <v>0</v>
      </c>
      <c r="J30" s="172" t="s">
        <v>39</v>
      </c>
      <c r="K30" s="181">
        <f>SUMIFS(物流信息跟踪!$J:$J,物流信息跟踪!$I:$I,$J30,物流信息跟踪!$C:$C,$C30)</f>
        <v>45</v>
      </c>
      <c r="L30" s="169">
        <f>VLOOKUP(C30,本地仓!$A:$D,4,0)+SUMIFS(G$5:G30,F$5:F30,"购入",C$5:C30,C30)-SUMIFS(K$5:K30,C$5:C30,C30,F$5:F30,"发出")</f>
        <v>45</v>
      </c>
    </row>
    <row r="31" spans="2:12">
      <c r="B31" s="172">
        <v>43866</v>
      </c>
      <c r="C31" s="14" t="s">
        <v>20</v>
      </c>
      <c r="D31" s="36"/>
      <c r="E31" s="36"/>
      <c r="F31" s="36" t="s">
        <v>38</v>
      </c>
      <c r="G31" s="174"/>
      <c r="H31" s="174"/>
      <c r="I31" s="66">
        <f t="shared" si="2"/>
        <v>0</v>
      </c>
      <c r="J31" s="172" t="s">
        <v>39</v>
      </c>
      <c r="K31" s="181">
        <f>SUMIFS(物流信息跟踪!$J:$J,物流信息跟踪!$I:$I,$J31,物流信息跟踪!$C:$C,$C31)</f>
        <v>140</v>
      </c>
      <c r="L31" s="169">
        <f>VLOOKUP(C31,本地仓!$A:$D,4,0)+SUMIFS(G$5:G31,F$5:F31,"购入",C$5:C31,C31)-SUMIFS(K$5:K31,C$5:C31,C31,F$5:F31,"发出")</f>
        <v>140</v>
      </c>
    </row>
    <row r="32" spans="2:12">
      <c r="B32" s="172">
        <v>43866</v>
      </c>
      <c r="C32" s="14" t="s">
        <v>21</v>
      </c>
      <c r="D32" s="36"/>
      <c r="E32" s="36"/>
      <c r="F32" s="36" t="s">
        <v>38</v>
      </c>
      <c r="G32" s="174"/>
      <c r="H32" s="174"/>
      <c r="I32" s="66">
        <f t="shared" si="2"/>
        <v>0</v>
      </c>
      <c r="J32" s="172" t="s">
        <v>39</v>
      </c>
      <c r="K32" s="181">
        <f>SUMIFS(物流信息跟踪!$J:$J,物流信息跟踪!$I:$I,$J32,物流信息跟踪!$C:$C,$C32)</f>
        <v>0</v>
      </c>
      <c r="L32" s="169">
        <f>VLOOKUP(C32,本地仓!$A:$D,4,0)+SUMIFS(G$5:G32,F$5:F32,"购入",C$5:C32,C32)-SUMIFS(K$5:K32,C$5:C32,C32,F$5:F32,"发出")</f>
        <v>150</v>
      </c>
    </row>
    <row r="33" ht="16.35" customHeight="1" spans="2:12">
      <c r="B33" s="118" t="s">
        <v>40</v>
      </c>
      <c r="C33" s="119"/>
      <c r="D33" s="119"/>
      <c r="E33" s="119"/>
      <c r="F33" s="176"/>
      <c r="G33" s="131">
        <f t="shared" ref="G33:K33" si="3">SUM(G5:G32)</f>
        <v>4014</v>
      </c>
      <c r="H33" s="177"/>
      <c r="I33" s="131">
        <f t="shared" si="3"/>
        <v>468442.810363516</v>
      </c>
      <c r="J33" s="157"/>
      <c r="K33" s="131">
        <f t="shared" si="3"/>
        <v>4527</v>
      </c>
      <c r="L33" s="157"/>
    </row>
  </sheetData>
  <autoFilter ref="B4:L33">
    <extLst/>
  </autoFilter>
  <mergeCells count="9">
    <mergeCell ref="G3:I3"/>
    <mergeCell ref="B3:B4"/>
    <mergeCell ref="C3:C4"/>
    <mergeCell ref="D3:D4"/>
    <mergeCell ref="E3:E4"/>
    <mergeCell ref="F3:F4"/>
    <mergeCell ref="J3:J4"/>
    <mergeCell ref="K3:K4"/>
    <mergeCell ref="L3:L4"/>
  </mergeCells>
  <conditionalFormatting sqref="C8">
    <cfRule type="duplicateValues" dxfId="0" priority="5"/>
  </conditionalFormatting>
  <conditionalFormatting sqref="L22">
    <cfRule type="cellIs" dxfId="1" priority="13" operator="lessThan">
      <formula>0</formula>
    </cfRule>
  </conditionalFormatting>
  <conditionalFormatting sqref="C19:C24">
    <cfRule type="duplicateValues" dxfId="0" priority="3"/>
    <cfRule type="duplicateValues" dxfId="0" priority="4"/>
  </conditionalFormatting>
  <conditionalFormatting sqref="C25:C32">
    <cfRule type="duplicateValues" dxfId="0" priority="1"/>
    <cfRule type="duplicateValues" dxfId="0" priority="2"/>
  </conditionalFormatting>
  <conditionalFormatting sqref="L17:L18">
    <cfRule type="cellIs" dxfId="1" priority="11" operator="lessThan">
      <formula>0</formula>
    </cfRule>
  </conditionalFormatting>
  <conditionalFormatting sqref="C5:C7 C9:C18">
    <cfRule type="duplicateValues" dxfId="0" priority="6"/>
  </conditionalFormatting>
  <conditionalFormatting sqref="L5:L16 L23:L32 L19:L21">
    <cfRule type="cellIs" dxfId="1" priority="17" operator="lessThan">
      <formula>0</formula>
    </cfRule>
  </conditionalFormatting>
  <pageMargins left="0.75" right="0.75" top="1" bottom="1" header="0.511111111111111" footer="0.511111111111111"/>
  <pageSetup paperSize="9" orientation="portrait"/>
  <headerFooter alignWithMargins="0" scaleWithDoc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399884029663991"/>
  </sheetPr>
  <dimension ref="A1:R39"/>
  <sheetViews>
    <sheetView workbookViewId="0">
      <selection activeCell="R24" sqref="A2:R24"/>
    </sheetView>
  </sheetViews>
  <sheetFormatPr defaultColWidth="9" defaultRowHeight="15.6"/>
  <cols>
    <col min="1" max="1" width="13.7666666666667" style="74" customWidth="1"/>
    <col min="2" max="2" width="6.5" style="74" customWidth="1"/>
    <col min="3" max="3" width="4.875" style="74" customWidth="1"/>
    <col min="4" max="4" width="6" style="74" customWidth="1"/>
    <col min="5" max="5" width="7.4" style="74" customWidth="1"/>
    <col min="6" max="6" width="9.6" style="74" customWidth="1"/>
    <col min="7" max="7" width="9.875" style="74" customWidth="1"/>
    <col min="8" max="8" width="7.4" style="74" customWidth="1"/>
    <col min="9" max="9" width="10.6" style="74" customWidth="1"/>
    <col min="10" max="11" width="7.4" style="74" customWidth="1"/>
    <col min="12" max="12" width="11.6" style="74" customWidth="1"/>
    <col min="13" max="13" width="5.1" style="74" customWidth="1"/>
    <col min="14" max="14" width="7.4" style="74" customWidth="1"/>
    <col min="15" max="16" width="5.1" style="74" customWidth="1"/>
    <col min="17" max="17" width="7.4" style="74" customWidth="1"/>
    <col min="18" max="18" width="11.6" style="74" customWidth="1"/>
    <col min="19" max="16382" width="9" style="74"/>
  </cols>
  <sheetData>
    <row r="1" spans="1:2">
      <c r="A1" s="74" t="s">
        <v>0</v>
      </c>
      <c r="B1" s="75">
        <f>'本地仓-出入库明细'!C1</f>
        <v>44228</v>
      </c>
    </row>
    <row r="2" ht="16.35" customHeight="1" spans="1:7">
      <c r="A2" s="76" t="s">
        <v>24</v>
      </c>
      <c r="G2" s="90" t="s">
        <v>41</v>
      </c>
    </row>
    <row r="3" ht="18.95" customHeight="1" spans="1:18">
      <c r="A3" s="114" t="s">
        <v>27</v>
      </c>
      <c r="B3" s="114" t="s">
        <v>28</v>
      </c>
      <c r="C3" s="114" t="s">
        <v>2</v>
      </c>
      <c r="D3" s="78" t="s">
        <v>42</v>
      </c>
      <c r="E3" s="78"/>
      <c r="F3" s="78"/>
      <c r="G3" s="98" t="s">
        <v>43</v>
      </c>
      <c r="H3" s="98"/>
      <c r="I3" s="98"/>
      <c r="J3" s="98" t="s">
        <v>44</v>
      </c>
      <c r="K3" s="98"/>
      <c r="L3" s="98"/>
      <c r="M3" s="98" t="s">
        <v>45</v>
      </c>
      <c r="N3" s="98"/>
      <c r="O3" s="98"/>
      <c r="P3" s="98" t="s">
        <v>46</v>
      </c>
      <c r="Q3" s="98"/>
      <c r="R3" s="98"/>
    </row>
    <row r="4" ht="18.95" customHeight="1" spans="1:18">
      <c r="A4" s="116"/>
      <c r="B4" s="116"/>
      <c r="C4" s="116"/>
      <c r="D4" s="34" t="s">
        <v>34</v>
      </c>
      <c r="E4" s="34" t="s">
        <v>35</v>
      </c>
      <c r="F4" s="34" t="s">
        <v>36</v>
      </c>
      <c r="G4" s="52" t="s">
        <v>34</v>
      </c>
      <c r="H4" s="52" t="s">
        <v>35</v>
      </c>
      <c r="I4" s="52" t="s">
        <v>36</v>
      </c>
      <c r="J4" s="52" t="s">
        <v>34</v>
      </c>
      <c r="K4" s="52" t="s">
        <v>35</v>
      </c>
      <c r="L4" s="52" t="s">
        <v>36</v>
      </c>
      <c r="M4" s="52" t="s">
        <v>34</v>
      </c>
      <c r="N4" s="52" t="s">
        <v>35</v>
      </c>
      <c r="O4" s="52" t="s">
        <v>36</v>
      </c>
      <c r="P4" s="52" t="s">
        <v>34</v>
      </c>
      <c r="Q4" s="52" t="s">
        <v>35</v>
      </c>
      <c r="R4" s="52" t="s">
        <v>36</v>
      </c>
    </row>
    <row r="5" ht="15.95" customHeight="1" spans="1:18">
      <c r="A5" s="14" t="s">
        <v>6</v>
      </c>
      <c r="B5" s="36"/>
      <c r="C5" s="36"/>
      <c r="D5" s="80">
        <v>0</v>
      </c>
      <c r="E5" s="164">
        <v>110</v>
      </c>
      <c r="F5" s="83">
        <f>D5*E5</f>
        <v>0</v>
      </c>
      <c r="G5" s="92">
        <f>SUMIFS('本地仓-出入库明细'!$G:$G,'本地仓-出入库明细'!$C:$C,$A5,'本地仓-出入库明细'!$F:$F,"购入")</f>
        <v>2000</v>
      </c>
      <c r="H5" s="94">
        <f>IF(ISERROR(I5/G5),0,I5/G5)</f>
        <v>113.3</v>
      </c>
      <c r="I5" s="167">
        <f>SUMIFS('本地仓-出入库明细'!$I:$I,'本地仓-出入库明细'!$C:$C,$A5,'本地仓-出入库明细'!$F:$F,"购入")</f>
        <v>226600</v>
      </c>
      <c r="J5" s="168">
        <v>-1800</v>
      </c>
      <c r="K5" s="66">
        <f>IFERROR((F5+I5)/(D5+G5),0)</f>
        <v>113.3</v>
      </c>
      <c r="L5" s="66">
        <f>IFERROR(J5*K5,0)</f>
        <v>-203940</v>
      </c>
      <c r="M5" s="168">
        <f>-SUMIFS('本地仓-出入库明细'!$K:$K,'本地仓-出入库明细'!$C:$C,$A5,'本地仓-出入库明细'!$F:$F,"发出（退回给供应商）")</f>
        <v>0</v>
      </c>
      <c r="N5" s="66">
        <f>IFERROR((I5+L5)/(G5+J5),"")</f>
        <v>113.3</v>
      </c>
      <c r="O5" s="66">
        <f>IFERROR(M5*N5,0)</f>
        <v>0</v>
      </c>
      <c r="P5" s="169">
        <f>D5+G5+J5+M5</f>
        <v>200</v>
      </c>
      <c r="Q5" s="66">
        <f>IF(ISERROR(R5/P5),0,R5/P5)</f>
        <v>113.3</v>
      </c>
      <c r="R5" s="66">
        <f>F5+I5+L5+O5</f>
        <v>22660</v>
      </c>
    </row>
    <row r="6" ht="15.95" customHeight="1" spans="1:18">
      <c r="A6" s="14" t="s">
        <v>7</v>
      </c>
      <c r="B6" s="36"/>
      <c r="C6" s="36"/>
      <c r="D6" s="80">
        <v>0</v>
      </c>
      <c r="E6" s="81">
        <v>341</v>
      </c>
      <c r="F6" s="83">
        <f t="shared" ref="F5:F23" si="0">D6*E6</f>
        <v>0</v>
      </c>
      <c r="G6" s="92">
        <f>SUMIFS('本地仓-出入库明细'!$G:$G,'本地仓-出入库明细'!$C:$C,$A6,'本地仓-出入库明细'!$F:$F,"购入")</f>
        <v>50</v>
      </c>
      <c r="H6" s="94">
        <f>IF(ISERROR(I6/G6),0,I6/G6)</f>
        <v>351.23</v>
      </c>
      <c r="I6" s="167">
        <f>SUMIFS('本地仓-出入库明细'!$I:$I,'本地仓-出入库明细'!$C:$C,$A6,'本地仓-出入库明细'!$F:$F,"购入")</f>
        <v>17561.5</v>
      </c>
      <c r="J6" s="168">
        <v>-20</v>
      </c>
      <c r="K6" s="66">
        <f t="shared" ref="K6:K23" si="1">IFERROR((F6+I6)/(D6+G6),0)</f>
        <v>351.23</v>
      </c>
      <c r="L6" s="66">
        <f t="shared" ref="L6:L23" si="2">IFERROR(J6*K6,0)</f>
        <v>-7024.6</v>
      </c>
      <c r="M6" s="168">
        <f>-SUMIFS('本地仓-出入库明细'!$K:$K,'本地仓-出入库明细'!$C:$C,$A6,'本地仓-出入库明细'!$F:$F,"发出（退回给供应商）")</f>
        <v>0</v>
      </c>
      <c r="N6" s="66">
        <f t="shared" ref="N6:N23" si="3">IFERROR((I6+L6)/(G6+J6),"")</f>
        <v>351.23</v>
      </c>
      <c r="O6" s="66">
        <f t="shared" ref="O6:O23" si="4">IFERROR(M6*N6,0)</f>
        <v>0</v>
      </c>
      <c r="P6" s="169">
        <f t="shared" ref="P6:P23" si="5">D6+G6+J6+M6</f>
        <v>30</v>
      </c>
      <c r="Q6" s="66">
        <f t="shared" ref="Q6:Q23" si="6">IF(ISERROR(R6/P6),0,R6/P6)</f>
        <v>351.23</v>
      </c>
      <c r="R6" s="66">
        <f t="shared" ref="R6:R23" si="7">F6+I6+L6+O6</f>
        <v>10536.9</v>
      </c>
    </row>
    <row r="7" ht="15.95" customHeight="1" spans="1:18">
      <c r="A7" s="14" t="s">
        <v>8</v>
      </c>
      <c r="B7" s="36"/>
      <c r="C7" s="36"/>
      <c r="D7" s="80">
        <v>0</v>
      </c>
      <c r="E7" s="81">
        <v>60.6270659575144</v>
      </c>
      <c r="F7" s="83">
        <f t="shared" si="0"/>
        <v>0</v>
      </c>
      <c r="G7" s="92">
        <f>SUMIFS('本地仓-出入库明细'!$G:$G,'本地仓-出入库明细'!$C:$C,$A7,'本地仓-出入库明细'!$F:$F,"购入")</f>
        <v>268</v>
      </c>
      <c r="H7" s="94">
        <f t="shared" ref="H6:H23" si="8">IF(ISERROR(I7/G7),0,I7/G7)</f>
        <v>62.4458779362399</v>
      </c>
      <c r="I7" s="167">
        <f>SUMIFS('本地仓-出入库明细'!$I:$I,'本地仓-出入库明细'!$C:$C,$A7,'本地仓-出入库明细'!$F:$F,"购入")</f>
        <v>16735.4952869123</v>
      </c>
      <c r="J7" s="168">
        <f>-SUMIFS('本地仓-出入库明细'!$K:$K,'本地仓-出入库明细'!$C:$C,$A7,'本地仓-出入库明细'!$F:$F,"发出（发出到海外仓）")</f>
        <v>0</v>
      </c>
      <c r="K7" s="66">
        <f t="shared" si="1"/>
        <v>62.4458779362399</v>
      </c>
      <c r="L7" s="66">
        <f t="shared" si="2"/>
        <v>0</v>
      </c>
      <c r="M7" s="168">
        <f>-SUMIFS('本地仓-出入库明细'!$K:$K,'本地仓-出入库明细'!$C:$C,$A7,'本地仓-出入库明细'!$F:$F,"发出（退回给供应商）")</f>
        <v>0</v>
      </c>
      <c r="N7" s="66">
        <f t="shared" si="3"/>
        <v>62.4458779362399</v>
      </c>
      <c r="O7" s="66">
        <f t="shared" si="4"/>
        <v>0</v>
      </c>
      <c r="P7" s="169">
        <f t="shared" si="5"/>
        <v>268</v>
      </c>
      <c r="Q7" s="66">
        <f t="shared" si="6"/>
        <v>62.4458779362399</v>
      </c>
      <c r="R7" s="66">
        <f t="shared" si="7"/>
        <v>16735.4952869123</v>
      </c>
    </row>
    <row r="8" ht="15.95" customHeight="1" spans="1:18">
      <c r="A8" s="14" t="s">
        <v>9</v>
      </c>
      <c r="B8" s="36"/>
      <c r="C8" s="36"/>
      <c r="D8" s="80">
        <v>0</v>
      </c>
      <c r="E8" s="81">
        <v>78.0480256138548</v>
      </c>
      <c r="F8" s="83">
        <f t="shared" si="0"/>
        <v>0</v>
      </c>
      <c r="G8" s="92">
        <f>SUMIFS('本地仓-出入库明细'!$G:$G,'本地仓-出入库明细'!$C:$C,$A8,'本地仓-出入库明细'!$F:$F,"购入")</f>
        <v>0</v>
      </c>
      <c r="H8" s="94">
        <f t="shared" si="8"/>
        <v>0</v>
      </c>
      <c r="I8" s="167">
        <f>SUMIFS('本地仓-出入库明细'!$I:$I,'本地仓-出入库明细'!$C:$C,$A8,'本地仓-出入库明细'!$F:$F,"购入")</f>
        <v>0</v>
      </c>
      <c r="J8" s="168">
        <f>-SUMIFS('本地仓-出入库明细'!$K:$K,'本地仓-出入库明细'!$C:$C,$A8,'本地仓-出入库明细'!$F:$F,"发出（发出到海外仓）")</f>
        <v>0</v>
      </c>
      <c r="K8" s="66">
        <f t="shared" si="1"/>
        <v>0</v>
      </c>
      <c r="L8" s="66">
        <f t="shared" si="2"/>
        <v>0</v>
      </c>
      <c r="M8" s="168">
        <f>-SUMIFS('本地仓-出入库明细'!$K:$K,'本地仓-出入库明细'!$C:$C,$A8,'本地仓-出入库明细'!$F:$F,"发出（退回给供应商）")</f>
        <v>0</v>
      </c>
      <c r="N8" s="66" t="str">
        <f t="shared" si="3"/>
        <v/>
      </c>
      <c r="O8" s="66">
        <f t="shared" si="4"/>
        <v>0</v>
      </c>
      <c r="P8" s="169">
        <f t="shared" si="5"/>
        <v>0</v>
      </c>
      <c r="Q8" s="66">
        <f t="shared" si="6"/>
        <v>0</v>
      </c>
      <c r="R8" s="66">
        <f t="shared" si="7"/>
        <v>0</v>
      </c>
    </row>
    <row r="9" ht="15.95" customHeight="1" spans="1:18">
      <c r="A9" s="14" t="s">
        <v>10</v>
      </c>
      <c r="B9" s="36"/>
      <c r="C9" s="36"/>
      <c r="D9" s="80">
        <v>300</v>
      </c>
      <c r="E9" s="81">
        <v>86.9439755404817</v>
      </c>
      <c r="F9" s="83">
        <f t="shared" si="0"/>
        <v>26083.1926621445</v>
      </c>
      <c r="G9" s="92">
        <f>SUMIFS('本地仓-出入库明细'!$G:$G,'本地仓-出入库明细'!$C:$C,$A9,'本地仓-出入库明细'!$F:$F,"购入")</f>
        <v>90</v>
      </c>
      <c r="H9" s="94">
        <f t="shared" si="8"/>
        <v>89.5522948066962</v>
      </c>
      <c r="I9" s="167">
        <f>SUMIFS('本地仓-出入库明细'!$I:$I,'本地仓-出入库明细'!$C:$C,$A9,'本地仓-出入库明细'!$F:$F,"购入")</f>
        <v>8059.70653260266</v>
      </c>
      <c r="J9" s="168">
        <v>-60</v>
      </c>
      <c r="K9" s="66">
        <f t="shared" si="1"/>
        <v>87.5458953711466</v>
      </c>
      <c r="L9" s="66">
        <f t="shared" si="2"/>
        <v>-5252.7537222688</v>
      </c>
      <c r="M9" s="168">
        <f>-SUMIFS('本地仓-出入库明细'!$K:$K,'本地仓-出入库明细'!$C:$C,$A9,'本地仓-出入库明细'!$F:$F,"发出（退回给供应商）")</f>
        <v>0</v>
      </c>
      <c r="N9" s="66">
        <f t="shared" si="3"/>
        <v>93.5650936777955</v>
      </c>
      <c r="O9" s="66">
        <f t="shared" si="4"/>
        <v>0</v>
      </c>
      <c r="P9" s="169">
        <f t="shared" si="5"/>
        <v>330</v>
      </c>
      <c r="Q9" s="66">
        <f t="shared" si="6"/>
        <v>87.5458953711466</v>
      </c>
      <c r="R9" s="66">
        <f t="shared" si="7"/>
        <v>28890.1454724784</v>
      </c>
    </row>
    <row r="10" ht="15.95" customHeight="1" spans="1:18">
      <c r="A10" s="14" t="s">
        <v>11</v>
      </c>
      <c r="B10" s="36"/>
      <c r="C10" s="36"/>
      <c r="D10" s="80">
        <v>10</v>
      </c>
      <c r="E10" s="81">
        <v>101.477241033397</v>
      </c>
      <c r="F10" s="83">
        <f t="shared" si="0"/>
        <v>1014.77241033397</v>
      </c>
      <c r="G10" s="92">
        <f>SUMIFS('本地仓-出入库明细'!$G:$G,'本地仓-出入库明细'!$C:$C,$A10,'本地仓-出入库明细'!$F:$F,"购入")</f>
        <v>480</v>
      </c>
      <c r="H10" s="94">
        <f t="shared" si="8"/>
        <v>101.477241033397</v>
      </c>
      <c r="I10" s="167">
        <f>SUMIFS('本地仓-出入库明细'!$I:$I,'本地仓-出入库明细'!$C:$C,$A10,'本地仓-出入库明细'!$F:$F,"购入")</f>
        <v>48709.0756960306</v>
      </c>
      <c r="J10" s="168">
        <f>-SUMIFS('本地仓-出入库明细'!$K:$K,'本地仓-出入库明细'!$C:$C,$A10,'本地仓-出入库明细'!$F:$F,"发出（发出到海外仓）")</f>
        <v>-490</v>
      </c>
      <c r="K10" s="66">
        <f t="shared" si="1"/>
        <v>101.477241033397</v>
      </c>
      <c r="L10" s="66">
        <f t="shared" si="2"/>
        <v>-49723.8481063645</v>
      </c>
      <c r="M10" s="168">
        <f>-SUMIFS('本地仓-出入库明细'!$K:$K,'本地仓-出入库明细'!$C:$C,$A10,'本地仓-出入库明细'!$F:$F,"发出（退回给供应商）")</f>
        <v>0</v>
      </c>
      <c r="N10" s="66">
        <f t="shared" si="3"/>
        <v>101.477241033392</v>
      </c>
      <c r="O10" s="66">
        <f t="shared" si="4"/>
        <v>0</v>
      </c>
      <c r="P10" s="169">
        <f t="shared" si="5"/>
        <v>0</v>
      </c>
      <c r="Q10" s="66">
        <f t="shared" si="6"/>
        <v>0</v>
      </c>
      <c r="R10" s="66">
        <f t="shared" si="7"/>
        <v>5.0931703299284e-11</v>
      </c>
    </row>
    <row r="11" ht="15.95" customHeight="1" spans="1:18">
      <c r="A11" s="14" t="s">
        <v>12</v>
      </c>
      <c r="B11" s="36"/>
      <c r="C11" s="36"/>
      <c r="D11" s="80">
        <v>33</v>
      </c>
      <c r="E11" s="81">
        <v>107.403512721822</v>
      </c>
      <c r="F11" s="83">
        <f t="shared" si="0"/>
        <v>3544.31591982013</v>
      </c>
      <c r="G11" s="92">
        <f>SUMIFS('本地仓-出入库明细'!$G:$G,'本地仓-出入库明细'!$C:$C,$A11,'本地仓-出入库明细'!$F:$F,"购入")</f>
        <v>0</v>
      </c>
      <c r="H11" s="94">
        <f t="shared" si="8"/>
        <v>0</v>
      </c>
      <c r="I11" s="167">
        <f>SUMIFS('本地仓-出入库明细'!$I:$I,'本地仓-出入库明细'!$C:$C,$A11,'本地仓-出入库明细'!$F:$F,"购入")</f>
        <v>0</v>
      </c>
      <c r="J11" s="168">
        <f>-SUMIFS('本地仓-出入库明细'!$K:$K,'本地仓-出入库明细'!$C:$C,$A11,'本地仓-出入库明细'!$F:$F,"发出（发出到海外仓）")</f>
        <v>0</v>
      </c>
      <c r="K11" s="66">
        <f t="shared" si="1"/>
        <v>107.403512721822</v>
      </c>
      <c r="L11" s="66">
        <f t="shared" si="2"/>
        <v>0</v>
      </c>
      <c r="M11" s="168">
        <f>-SUMIFS('本地仓-出入库明细'!$K:$K,'本地仓-出入库明细'!$C:$C,$A11,'本地仓-出入库明细'!$F:$F,"发出（退回给供应商）")</f>
        <v>0</v>
      </c>
      <c r="N11" s="66" t="str">
        <f t="shared" si="3"/>
        <v/>
      </c>
      <c r="O11" s="66">
        <f t="shared" si="4"/>
        <v>0</v>
      </c>
      <c r="P11" s="169">
        <f t="shared" si="5"/>
        <v>33</v>
      </c>
      <c r="Q11" s="66">
        <f t="shared" si="6"/>
        <v>107.403512721822</v>
      </c>
      <c r="R11" s="66">
        <f t="shared" si="7"/>
        <v>3544.31591982013</v>
      </c>
    </row>
    <row r="12" ht="15.95" customHeight="1" spans="1:18">
      <c r="A12" s="14" t="s">
        <v>13</v>
      </c>
      <c r="B12" s="36"/>
      <c r="C12" s="36"/>
      <c r="D12" s="80">
        <v>10</v>
      </c>
      <c r="E12" s="81">
        <v>227.458600054146</v>
      </c>
      <c r="F12" s="83">
        <f t="shared" si="0"/>
        <v>2274.58600054146</v>
      </c>
      <c r="G12" s="92">
        <f>SUMIFS('本地仓-出入库明细'!$G:$G,'本地仓-出入库明细'!$C:$C,$A12,'本地仓-出入库明细'!$F:$F,"购入")</f>
        <v>100</v>
      </c>
      <c r="H12" s="94">
        <f t="shared" si="8"/>
        <v>227.458600054146</v>
      </c>
      <c r="I12" s="167">
        <f>SUMIFS('本地仓-出入库明细'!$I:$I,'本地仓-出入库明细'!$C:$C,$A12,'本地仓-出入库明细'!$F:$F,"购入")</f>
        <v>22745.8600054146</v>
      </c>
      <c r="J12" s="168">
        <f>-SUMIFS('本地仓-出入库明细'!$K:$K,'本地仓-出入库明细'!$C:$C,$A12,'本地仓-出入库明细'!$F:$F,"发出（发出到海外仓）")</f>
        <v>0</v>
      </c>
      <c r="K12" s="66">
        <f t="shared" si="1"/>
        <v>227.458600054146</v>
      </c>
      <c r="L12" s="66">
        <f t="shared" si="2"/>
        <v>0</v>
      </c>
      <c r="M12" s="168">
        <f>-SUMIFS('本地仓-出入库明细'!$K:$K,'本地仓-出入库明细'!$C:$C,$A12,'本地仓-出入库明细'!$F:$F,"发出（退回给供应商）")</f>
        <v>0</v>
      </c>
      <c r="N12" s="66">
        <f t="shared" si="3"/>
        <v>227.458600054146</v>
      </c>
      <c r="O12" s="66">
        <f t="shared" si="4"/>
        <v>0</v>
      </c>
      <c r="P12" s="169">
        <f t="shared" si="5"/>
        <v>110</v>
      </c>
      <c r="Q12" s="66">
        <f t="shared" si="6"/>
        <v>227.458600054146</v>
      </c>
      <c r="R12" s="66">
        <f t="shared" si="7"/>
        <v>25020.4460059561</v>
      </c>
    </row>
    <row r="13" ht="15.95" customHeight="1" spans="1:18">
      <c r="A13" s="14" t="s">
        <v>14</v>
      </c>
      <c r="B13" s="36"/>
      <c r="C13" s="36"/>
      <c r="D13" s="80">
        <v>39</v>
      </c>
      <c r="E13" s="81">
        <v>103.05168947413</v>
      </c>
      <c r="F13" s="83">
        <f t="shared" si="0"/>
        <v>4019.01588949107</v>
      </c>
      <c r="G13" s="92">
        <f>SUMIFS('本地仓-出入库明细'!$G:$G,'本地仓-出入库明细'!$C:$C,$A13,'本地仓-出入库明细'!$F:$F,"购入")</f>
        <v>51</v>
      </c>
      <c r="H13" s="94">
        <f t="shared" si="8"/>
        <v>103.05168947413</v>
      </c>
      <c r="I13" s="167">
        <f>SUMIFS('本地仓-出入库明细'!$I:$I,'本地仓-出入库明细'!$C:$C,$A13,'本地仓-出入库明细'!$F:$F,"购入")</f>
        <v>5255.63616318063</v>
      </c>
      <c r="J13" s="168">
        <f>-SUMIFS('本地仓-出入库明细'!$K:$K,'本地仓-出入库明细'!$C:$C,$A13,'本地仓-出入库明细'!$F:$F,"发出（发出到海外仓）")</f>
        <v>-90</v>
      </c>
      <c r="K13" s="66">
        <f t="shared" si="1"/>
        <v>103.05168947413</v>
      </c>
      <c r="L13" s="66">
        <f t="shared" si="2"/>
        <v>-9274.6520526717</v>
      </c>
      <c r="M13" s="168">
        <f>-SUMIFS('本地仓-出入库明细'!$K:$K,'本地仓-出入库明细'!$C:$C,$A13,'本地仓-出入库明细'!$F:$F,"发出（退回给供应商）")</f>
        <v>0</v>
      </c>
      <c r="N13" s="66">
        <f t="shared" si="3"/>
        <v>103.05168947413</v>
      </c>
      <c r="O13" s="66">
        <f t="shared" si="4"/>
        <v>0</v>
      </c>
      <c r="P13" s="169">
        <f t="shared" si="5"/>
        <v>0</v>
      </c>
      <c r="Q13" s="66">
        <f t="shared" si="6"/>
        <v>0</v>
      </c>
      <c r="R13" s="66">
        <f t="shared" si="7"/>
        <v>0</v>
      </c>
    </row>
    <row r="14" ht="15.95" customHeight="1" spans="1:18">
      <c r="A14" s="14" t="s">
        <v>15</v>
      </c>
      <c r="B14" s="36"/>
      <c r="C14" s="36"/>
      <c r="D14" s="80">
        <v>20</v>
      </c>
      <c r="E14" s="81">
        <v>200.746915576748</v>
      </c>
      <c r="F14" s="83">
        <f t="shared" si="0"/>
        <v>4014.93831153496</v>
      </c>
      <c r="G14" s="92">
        <f>SUMIFS('本地仓-出入库明细'!$G:$G,'本地仓-出入库明细'!$C:$C,$A14,'本地仓-出入库明细'!$F:$F,"购入")</f>
        <v>140</v>
      </c>
      <c r="H14" s="94">
        <f t="shared" si="8"/>
        <v>200.746915576748</v>
      </c>
      <c r="I14" s="167">
        <f>SUMIFS('本地仓-出入库明细'!$I:$I,'本地仓-出入库明细'!$C:$C,$A14,'本地仓-出入库明细'!$F:$F,"购入")</f>
        <v>28104.5681807447</v>
      </c>
      <c r="J14" s="168">
        <f>-SUMIFS('本地仓-出入库明细'!$K:$K,'本地仓-出入库明细'!$C:$C,$A14,'本地仓-出入库明细'!$F:$F,"发出（发出到海外仓）")</f>
        <v>-140</v>
      </c>
      <c r="K14" s="66">
        <f t="shared" si="1"/>
        <v>200.746915576748</v>
      </c>
      <c r="L14" s="66">
        <f t="shared" si="2"/>
        <v>-28104.5681807447</v>
      </c>
      <c r="M14" s="168">
        <f>-SUMIFS('本地仓-出入库明细'!$K:$K,'本地仓-出入库明细'!$C:$C,$A14,'本地仓-出入库明细'!$F:$F,"发出（退回给供应商）")</f>
        <v>0</v>
      </c>
      <c r="N14" s="66" t="str">
        <f t="shared" si="3"/>
        <v/>
      </c>
      <c r="O14" s="66">
        <f t="shared" si="4"/>
        <v>0</v>
      </c>
      <c r="P14" s="169">
        <f t="shared" si="5"/>
        <v>20</v>
      </c>
      <c r="Q14" s="66">
        <f t="shared" si="6"/>
        <v>200.746915576747</v>
      </c>
      <c r="R14" s="66">
        <f t="shared" si="7"/>
        <v>4014.93831153494</v>
      </c>
    </row>
    <row r="15" ht="15.95" customHeight="1" spans="1:18">
      <c r="A15" s="14" t="s">
        <v>16</v>
      </c>
      <c r="B15" s="36"/>
      <c r="C15" s="36"/>
      <c r="D15" s="80">
        <v>1</v>
      </c>
      <c r="E15" s="81">
        <v>110.872882227273</v>
      </c>
      <c r="F15" s="83">
        <f t="shared" si="0"/>
        <v>110.872882227273</v>
      </c>
      <c r="G15" s="92">
        <f>SUMIFS('本地仓-出入库明细'!$G:$G,'本地仓-出入库明细'!$C:$C,$A15,'本地仓-出入库明细'!$F:$F,"购入")</f>
        <v>290</v>
      </c>
      <c r="H15" s="94">
        <f t="shared" si="8"/>
        <v>114.199068694091</v>
      </c>
      <c r="I15" s="167">
        <f>SUMIFS('本地仓-出入库明细'!$I:$I,'本地仓-出入库明细'!$C:$C,$A15,'本地仓-出入库明细'!$F:$F,"购入")</f>
        <v>33117.7299212864</v>
      </c>
      <c r="J15" s="168">
        <f>-SUMIFS('本地仓-出入库明细'!$K:$K,'本地仓-出入库明细'!$C:$C,$A15,'本地仓-出入库明细'!$F:$F,"发出（发出到海外仓）")</f>
        <v>-290</v>
      </c>
      <c r="K15" s="66">
        <f t="shared" si="1"/>
        <v>114.187638500047</v>
      </c>
      <c r="L15" s="66">
        <f t="shared" si="2"/>
        <v>-33114.4151650136</v>
      </c>
      <c r="M15" s="168">
        <f>-SUMIFS('本地仓-出入库明细'!$K:$K,'本地仓-出入库明细'!$C:$C,$A15,'本地仓-出入库明细'!$F:$F,"发出（退回给供应商）")</f>
        <v>0</v>
      </c>
      <c r="N15" s="66" t="str">
        <f t="shared" si="3"/>
        <v/>
      </c>
      <c r="O15" s="66">
        <f t="shared" si="4"/>
        <v>0</v>
      </c>
      <c r="P15" s="169">
        <f t="shared" si="5"/>
        <v>1</v>
      </c>
      <c r="Q15" s="66">
        <f t="shared" si="6"/>
        <v>114.187638500043</v>
      </c>
      <c r="R15" s="66">
        <f t="shared" si="7"/>
        <v>114.187638500043</v>
      </c>
    </row>
    <row r="16" ht="15.95" customHeight="1" spans="1:18">
      <c r="A16" s="14" t="s">
        <v>17</v>
      </c>
      <c r="B16" s="36"/>
      <c r="C16" s="36"/>
      <c r="D16" s="80">
        <v>0</v>
      </c>
      <c r="E16" s="81">
        <v>135.734099727272</v>
      </c>
      <c r="F16" s="83">
        <f t="shared" si="0"/>
        <v>0</v>
      </c>
      <c r="G16" s="92">
        <f>SUMIFS('本地仓-出入库明细'!$G:$G,'本地仓-出入库明细'!$C:$C,$A16,'本地仓-出入库明细'!$F:$F,"购入")</f>
        <v>70</v>
      </c>
      <c r="H16" s="94">
        <f t="shared" si="8"/>
        <v>139.80612271909</v>
      </c>
      <c r="I16" s="167">
        <f>SUMIFS('本地仓-出入库明细'!$I:$I,'本地仓-出入库明细'!$C:$C,$A16,'本地仓-出入库明细'!$F:$F,"购入")</f>
        <v>9786.4285903363</v>
      </c>
      <c r="J16" s="168">
        <f>-SUMIFS('本地仓-出入库明细'!$K:$K,'本地仓-出入库明细'!$C:$C,$A16,'本地仓-出入库明细'!$F:$F,"发出（发出到海外仓）")</f>
        <v>0</v>
      </c>
      <c r="K16" s="66">
        <f t="shared" si="1"/>
        <v>139.80612271909</v>
      </c>
      <c r="L16" s="66">
        <f t="shared" si="2"/>
        <v>0</v>
      </c>
      <c r="M16" s="168">
        <f>-SUMIFS('本地仓-出入库明细'!$K:$K,'本地仓-出入库明细'!$C:$C,$A16,'本地仓-出入库明细'!$F:$F,"发出（退回给供应商）")</f>
        <v>0</v>
      </c>
      <c r="N16" s="66">
        <f t="shared" si="3"/>
        <v>139.80612271909</v>
      </c>
      <c r="O16" s="66">
        <f t="shared" si="4"/>
        <v>0</v>
      </c>
      <c r="P16" s="169">
        <f t="shared" si="5"/>
        <v>70</v>
      </c>
      <c r="Q16" s="66">
        <f t="shared" si="6"/>
        <v>139.80612271909</v>
      </c>
      <c r="R16" s="66">
        <f t="shared" si="7"/>
        <v>9786.4285903363</v>
      </c>
    </row>
    <row r="17" ht="15.95" customHeight="1" spans="1:18">
      <c r="A17" s="14" t="s">
        <v>18</v>
      </c>
      <c r="B17" s="36"/>
      <c r="C17" s="36"/>
      <c r="D17" s="80">
        <v>50</v>
      </c>
      <c r="E17" s="81">
        <v>178.267347557951</v>
      </c>
      <c r="F17" s="83">
        <f t="shared" si="0"/>
        <v>8913.36737789755</v>
      </c>
      <c r="G17" s="92">
        <f>SUMIFS('本地仓-出入库明细'!$G:$G,'本地仓-出入库明细'!$C:$C,$A17,'本地仓-出入库明细'!$F:$F,"购入")</f>
        <v>140</v>
      </c>
      <c r="H17" s="94">
        <f t="shared" si="8"/>
        <v>180.050021033531</v>
      </c>
      <c r="I17" s="167">
        <f>SUMIFS('本地仓-出入库明细'!$I:$I,'本地仓-出入库明细'!$C:$C,$A17,'本地仓-出入库明细'!$F:$F,"购入")</f>
        <v>25207.0029446943</v>
      </c>
      <c r="J17" s="168">
        <f>-SUMIFS('本地仓-出入库明细'!$K:$K,'本地仓-出入库明细'!$C:$C,$A17,'本地仓-出入库明细'!$F:$F,"发出（发出到海外仓）")</f>
        <v>0</v>
      </c>
      <c r="K17" s="66">
        <f t="shared" si="1"/>
        <v>179.580896434694</v>
      </c>
      <c r="L17" s="66">
        <f t="shared" si="2"/>
        <v>0</v>
      </c>
      <c r="M17" s="168">
        <f>-SUMIFS('本地仓-出入库明细'!$K:$K,'本地仓-出入库明细'!$C:$C,$A17,'本地仓-出入库明细'!$F:$F,"发出（退回给供应商）")</f>
        <v>0</v>
      </c>
      <c r="N17" s="66">
        <f t="shared" si="3"/>
        <v>180.050021033531</v>
      </c>
      <c r="O17" s="66">
        <f t="shared" si="4"/>
        <v>0</v>
      </c>
      <c r="P17" s="169">
        <f t="shared" si="5"/>
        <v>190</v>
      </c>
      <c r="Q17" s="66">
        <f t="shared" si="6"/>
        <v>179.580896434694</v>
      </c>
      <c r="R17" s="66">
        <f t="shared" si="7"/>
        <v>34120.3703225919</v>
      </c>
    </row>
    <row r="18" ht="15.95" customHeight="1" spans="1:18">
      <c r="A18" s="14" t="s">
        <v>19</v>
      </c>
      <c r="B18" s="36"/>
      <c r="C18" s="36"/>
      <c r="D18" s="80">
        <v>0</v>
      </c>
      <c r="E18" s="81">
        <v>114.757717017456</v>
      </c>
      <c r="F18" s="83">
        <f t="shared" si="0"/>
        <v>0</v>
      </c>
      <c r="G18" s="92">
        <f>SUMIFS('本地仓-出入库明细'!$G:$G,'本地仓-出入库明细'!$C:$C,$A18,'本地仓-出入库明细'!$F:$F,"购入")</f>
        <v>45</v>
      </c>
      <c r="H18" s="94">
        <f t="shared" si="8"/>
        <v>115.905294187631</v>
      </c>
      <c r="I18" s="167">
        <f>SUMIFS('本地仓-出入库明细'!$I:$I,'本地仓-出入库明细'!$C:$C,$A18,'本地仓-出入库明细'!$F:$F,"购入")</f>
        <v>5215.73823844339</v>
      </c>
      <c r="J18" s="168">
        <f>-SUMIFS('本地仓-出入库明细'!$K:$K,'本地仓-出入库明细'!$C:$C,$A18,'本地仓-出入库明细'!$F:$F,"发出（发出到海外仓）")</f>
        <v>-45</v>
      </c>
      <c r="K18" s="66">
        <f t="shared" si="1"/>
        <v>115.905294187631</v>
      </c>
      <c r="L18" s="66">
        <f t="shared" si="2"/>
        <v>-5215.73823844339</v>
      </c>
      <c r="M18" s="168">
        <f>-SUMIFS('本地仓-出入库明细'!$K:$K,'本地仓-出入库明细'!$C:$C,$A18,'本地仓-出入库明细'!$F:$F,"发出（退回给供应商）")</f>
        <v>0</v>
      </c>
      <c r="N18" s="66" t="str">
        <f t="shared" si="3"/>
        <v/>
      </c>
      <c r="O18" s="66">
        <f t="shared" si="4"/>
        <v>0</v>
      </c>
      <c r="P18" s="169">
        <f t="shared" si="5"/>
        <v>0</v>
      </c>
      <c r="Q18" s="66">
        <f t="shared" si="6"/>
        <v>0</v>
      </c>
      <c r="R18" s="66">
        <f t="shared" si="7"/>
        <v>-4.54747350886464e-12</v>
      </c>
    </row>
    <row r="19" ht="15.95" customHeight="1" spans="1:18">
      <c r="A19" s="14" t="s">
        <v>20</v>
      </c>
      <c r="B19" s="36"/>
      <c r="C19" s="36"/>
      <c r="D19" s="80">
        <v>0</v>
      </c>
      <c r="E19" s="81">
        <v>75.4236565418919</v>
      </c>
      <c r="F19" s="83">
        <f t="shared" si="0"/>
        <v>0</v>
      </c>
      <c r="G19" s="92">
        <f>SUMIFS('本地仓-出入库明细'!$G:$G,'本地仓-出入库明细'!$C:$C,$A19,'本地仓-出入库明细'!$F:$F,"购入")</f>
        <v>140</v>
      </c>
      <c r="H19" s="94">
        <f t="shared" si="8"/>
        <v>76.1778931073108</v>
      </c>
      <c r="I19" s="167">
        <f>SUMIFS('本地仓-出入库明细'!$I:$I,'本地仓-出入库明细'!$C:$C,$A19,'本地仓-出入库明细'!$F:$F,"购入")</f>
        <v>10664.9050350235</v>
      </c>
      <c r="J19" s="168">
        <f>-SUMIFS('本地仓-出入库明细'!$K:$K,'本地仓-出入库明细'!$C:$C,$A19,'本地仓-出入库明细'!$F:$F,"发出（发出到海外仓）")</f>
        <v>-140</v>
      </c>
      <c r="K19" s="66">
        <f t="shared" si="1"/>
        <v>76.1778931073107</v>
      </c>
      <c r="L19" s="66">
        <f t="shared" si="2"/>
        <v>-10664.9050350235</v>
      </c>
      <c r="M19" s="168">
        <f>-SUMIFS('本地仓-出入库明细'!$K:$K,'本地仓-出入库明细'!$C:$C,$A19,'本地仓-出入库明细'!$F:$F,"发出（退回给供应商）")</f>
        <v>0</v>
      </c>
      <c r="N19" s="66" t="str">
        <f t="shared" si="3"/>
        <v/>
      </c>
      <c r="O19" s="66">
        <f t="shared" si="4"/>
        <v>0</v>
      </c>
      <c r="P19" s="169">
        <f t="shared" si="5"/>
        <v>0</v>
      </c>
      <c r="Q19" s="66">
        <f t="shared" si="6"/>
        <v>0</v>
      </c>
      <c r="R19" s="66">
        <f t="shared" si="7"/>
        <v>0</v>
      </c>
    </row>
    <row r="20" ht="15.95" customHeight="1" spans="1:18">
      <c r="A20" s="14" t="s">
        <v>21</v>
      </c>
      <c r="B20" s="36"/>
      <c r="C20" s="36"/>
      <c r="D20" s="80">
        <v>0</v>
      </c>
      <c r="E20" s="81">
        <v>70.4895298273707</v>
      </c>
      <c r="F20" s="83">
        <f t="shared" si="0"/>
        <v>0</v>
      </c>
      <c r="G20" s="92">
        <f>SUMIFS('本地仓-出入库明细'!$G:$G,'本地仓-出入库明细'!$C:$C,$A20,'本地仓-出入库明细'!$F:$F,"购入")</f>
        <v>150</v>
      </c>
      <c r="H20" s="94">
        <f t="shared" si="8"/>
        <v>71.1944251256444</v>
      </c>
      <c r="I20" s="167">
        <f>SUMIFS('本地仓-出入库明细'!$I:$I,'本地仓-出入库明细'!$C:$C,$A20,'本地仓-出入库明细'!$F:$F,"购入")</f>
        <v>10679.1637688467</v>
      </c>
      <c r="J20" s="168">
        <f>-SUMIFS('本地仓-出入库明细'!$K:$K,'本地仓-出入库明细'!$C:$C,$A20,'本地仓-出入库明细'!$F:$F,"发出（发出到海外仓）")</f>
        <v>0</v>
      </c>
      <c r="K20" s="66">
        <f t="shared" si="1"/>
        <v>71.1944251256447</v>
      </c>
      <c r="L20" s="66">
        <f t="shared" si="2"/>
        <v>0</v>
      </c>
      <c r="M20" s="168">
        <f>-SUMIFS('本地仓-出入库明细'!$K:$K,'本地仓-出入库明细'!$C:$C,$A20,'本地仓-出入库明细'!$F:$F,"发出（退回给供应商）")</f>
        <v>0</v>
      </c>
      <c r="N20" s="66">
        <f t="shared" si="3"/>
        <v>71.1944251256447</v>
      </c>
      <c r="O20" s="66">
        <f t="shared" si="4"/>
        <v>0</v>
      </c>
      <c r="P20" s="169">
        <f t="shared" si="5"/>
        <v>150</v>
      </c>
      <c r="Q20" s="66">
        <f t="shared" si="6"/>
        <v>71.1944251256447</v>
      </c>
      <c r="R20" s="66">
        <f t="shared" si="7"/>
        <v>10679.1637688467</v>
      </c>
    </row>
    <row r="21" ht="15.95" customHeight="1" spans="1:18">
      <c r="A21" s="14" t="s">
        <v>22</v>
      </c>
      <c r="B21" s="36"/>
      <c r="C21" s="36"/>
      <c r="D21" s="165">
        <v>0</v>
      </c>
      <c r="E21" s="15">
        <v>104.024913732404</v>
      </c>
      <c r="F21" s="83">
        <f t="shared" si="0"/>
        <v>0</v>
      </c>
      <c r="G21" s="92">
        <f>SUMIFS('本地仓-出入库明细'!$G:$G,'本地仓-出入库明细'!$C:$C,$A21,'本地仓-出入库明细'!$F:$F,"购入")</f>
        <v>0</v>
      </c>
      <c r="H21" s="94">
        <f t="shared" si="8"/>
        <v>0</v>
      </c>
      <c r="I21" s="167">
        <f>SUMIFS('本地仓-出入库明细'!$I:$I,'本地仓-出入库明细'!$C:$C,$A21,'本地仓-出入库明细'!$F:$F,"购入")</f>
        <v>0</v>
      </c>
      <c r="J21" s="168">
        <f>-SUMIFS('本地仓-出入库明细'!$K:$K,'本地仓-出入库明细'!$C:$C,$A21,'本地仓-出入库明细'!$F:$F,"发出（发出到海外仓）")</f>
        <v>0</v>
      </c>
      <c r="K21" s="66">
        <f t="shared" si="1"/>
        <v>0</v>
      </c>
      <c r="L21" s="66">
        <f t="shared" si="2"/>
        <v>0</v>
      </c>
      <c r="M21" s="168">
        <f>-SUMIFS('本地仓-出入库明细'!$K:$K,'本地仓-出入库明细'!$C:$C,$A21,'本地仓-出入库明细'!$F:$F,"发出（退回给供应商）")</f>
        <v>0</v>
      </c>
      <c r="N21" s="66" t="str">
        <f t="shared" si="3"/>
        <v/>
      </c>
      <c r="O21" s="66">
        <f t="shared" si="4"/>
        <v>0</v>
      </c>
      <c r="P21" s="169">
        <f t="shared" si="5"/>
        <v>0</v>
      </c>
      <c r="Q21" s="66">
        <f t="shared" si="6"/>
        <v>0</v>
      </c>
      <c r="R21" s="66">
        <f t="shared" si="7"/>
        <v>0</v>
      </c>
    </row>
    <row r="22" ht="15.95" customHeight="1" spans="1:18">
      <c r="A22" s="14" t="s">
        <v>23</v>
      </c>
      <c r="B22" s="36"/>
      <c r="C22" s="36"/>
      <c r="D22" s="165">
        <v>10</v>
      </c>
      <c r="E22" s="15">
        <v>101.362717328</v>
      </c>
      <c r="F22" s="83">
        <f t="shared" si="0"/>
        <v>1013.62717328</v>
      </c>
      <c r="G22" s="92">
        <f>SUMIFS('本地仓-出入库明细'!$G:$G,'本地仓-出入库明细'!$C:$C,$A22,'本地仓-出入库明细'!$F:$F,"购入")</f>
        <v>0</v>
      </c>
      <c r="H22" s="94">
        <f t="shared" si="8"/>
        <v>0</v>
      </c>
      <c r="I22" s="167">
        <f>SUMIFS('本地仓-出入库明细'!$I:$I,'本地仓-出入库明细'!$C:$C,$A22,'本地仓-出入库明细'!$F:$F,"购入")</f>
        <v>0</v>
      </c>
      <c r="J22" s="168">
        <f>-SUMIFS('本地仓-出入库明细'!$K:$K,'本地仓-出入库明细'!$C:$C,$A22,'本地仓-出入库明细'!$F:$F,"发出（发出到海外仓）")</f>
        <v>0</v>
      </c>
      <c r="K22" s="66">
        <f t="shared" si="1"/>
        <v>101.362717328</v>
      </c>
      <c r="L22" s="66">
        <f t="shared" si="2"/>
        <v>0</v>
      </c>
      <c r="M22" s="168">
        <f>-SUMIFS('本地仓-出入库明细'!$K:$K,'本地仓-出入库明细'!$C:$C,$A22,'本地仓-出入库明细'!$F:$F,"发出（退回给供应商）")</f>
        <v>0</v>
      </c>
      <c r="N22" s="66" t="str">
        <f t="shared" si="3"/>
        <v/>
      </c>
      <c r="O22" s="66">
        <f t="shared" si="4"/>
        <v>0</v>
      </c>
      <c r="P22" s="169">
        <f t="shared" si="5"/>
        <v>10</v>
      </c>
      <c r="Q22" s="66">
        <f t="shared" si="6"/>
        <v>101.362717328</v>
      </c>
      <c r="R22" s="66">
        <f t="shared" si="7"/>
        <v>1013.62717328</v>
      </c>
    </row>
    <row r="23" ht="15.95" customHeight="1" spans="1:18">
      <c r="A23" s="84" t="s">
        <v>40</v>
      </c>
      <c r="B23" s="84"/>
      <c r="C23" s="84"/>
      <c r="D23" s="85">
        <f t="shared" ref="D23:G23" si="9">SUM(D5:D22)</f>
        <v>473</v>
      </c>
      <c r="E23" s="85"/>
      <c r="F23" s="86">
        <f t="shared" si="9"/>
        <v>50988.6886272709</v>
      </c>
      <c r="G23" s="85">
        <f t="shared" si="9"/>
        <v>4014</v>
      </c>
      <c r="H23" s="166"/>
      <c r="I23" s="86">
        <f t="shared" ref="I23:M23" si="10">SUM(I5:I22)</f>
        <v>468442.810363516</v>
      </c>
      <c r="J23" s="85">
        <f t="shared" si="10"/>
        <v>-3075</v>
      </c>
      <c r="K23" s="96"/>
      <c r="L23" s="86">
        <f t="shared" si="10"/>
        <v>-352315.48050053</v>
      </c>
      <c r="M23" s="86">
        <f t="shared" si="10"/>
        <v>0</v>
      </c>
      <c r="N23" s="96"/>
      <c r="O23" s="86">
        <f>SUM(O5:O22)</f>
        <v>0</v>
      </c>
      <c r="P23" s="85">
        <f>SUM(P5:P22)</f>
        <v>1412</v>
      </c>
      <c r="Q23" s="96"/>
      <c r="R23" s="86">
        <f>SUM(R5:R22)</f>
        <v>167116.018490257</v>
      </c>
    </row>
    <row r="24" ht="15" customHeight="1" spans="1:18">
      <c r="A24" s="87" t="s">
        <v>47</v>
      </c>
      <c r="B24" s="84"/>
      <c r="C24" s="84"/>
      <c r="D24" s="85"/>
      <c r="E24" s="85"/>
      <c r="F24" s="85"/>
      <c r="G24" s="96">
        <f>G23-'本地仓-出入库明细'!G33</f>
        <v>0</v>
      </c>
      <c r="H24" s="166"/>
      <c r="I24" s="96"/>
      <c r="J24" s="96">
        <f>J23+'本地仓-出入库明细'!K33</f>
        <v>1452</v>
      </c>
      <c r="K24" s="96"/>
      <c r="L24" s="96"/>
      <c r="M24" s="96"/>
      <c r="N24" s="96"/>
      <c r="O24" s="96"/>
      <c r="P24" s="96"/>
      <c r="Q24" s="96"/>
      <c r="R24" s="96"/>
    </row>
    <row r="25" ht="15.95" customHeight="1" spans="10:13">
      <c r="J25" s="61"/>
      <c r="M25" s="61"/>
    </row>
    <row r="26" ht="15.95" customHeight="1" spans="10:13">
      <c r="J26" s="61"/>
      <c r="M26" s="61"/>
    </row>
    <row r="27" ht="15.95" customHeight="1"/>
    <row r="28" ht="15.95" customHeight="1"/>
    <row r="29" ht="15.95" customHeight="1"/>
    <row r="30" ht="15.95" customHeight="1"/>
    <row r="31" ht="15.95" customHeight="1"/>
    <row r="32" ht="15.95" customHeight="1"/>
    <row r="33" ht="15.95" customHeight="1"/>
    <row r="34" ht="15.95" customHeight="1"/>
    <row r="35" ht="15.95" customHeight="1"/>
    <row r="36" ht="15.95" customHeight="1"/>
    <row r="37" ht="15.95" customHeight="1"/>
    <row r="38" ht="15.95" customHeight="1"/>
    <row r="39" ht="15.95" customHeight="1"/>
  </sheetData>
  <mergeCells count="8">
    <mergeCell ref="D3:F3"/>
    <mergeCell ref="G3:I3"/>
    <mergeCell ref="J3:L3"/>
    <mergeCell ref="M3:O3"/>
    <mergeCell ref="P3:R3"/>
    <mergeCell ref="A3:A4"/>
    <mergeCell ref="B3:B4"/>
    <mergeCell ref="C3:C4"/>
  </mergeCells>
  <conditionalFormatting sqref="A5:A22">
    <cfRule type="duplicateValues" dxfId="0" priority="1"/>
    <cfRule type="duplicateValues" dxfId="0" priority="2"/>
  </conditionalFormatting>
  <pageMargins left="0.75" right="0.75" top="1" bottom="1" header="0.511111111111111" footer="0.511111111111111"/>
  <pageSetup paperSize="9" orientation="portrait"/>
  <headerFooter alignWithMargins="0" scaleWithDoc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IX103"/>
  <sheetViews>
    <sheetView zoomScale="90" zoomScaleNormal="90" workbookViewId="0">
      <pane xSplit="3" ySplit="5" topLeftCell="D6" activePane="bottomRight" state="frozen"/>
      <selection/>
      <selection pane="topRight"/>
      <selection pane="bottomLeft"/>
      <selection pane="bottomRight" activeCell="M15" sqref="M15:M20"/>
    </sheetView>
  </sheetViews>
  <sheetFormatPr defaultColWidth="9" defaultRowHeight="15.6"/>
  <cols>
    <col min="1" max="1" width="12.125" style="106"/>
    <col min="2" max="2" width="8.125" style="106" customWidth="1"/>
    <col min="3" max="3" width="11.525" style="106" customWidth="1"/>
    <col min="4" max="4" width="5.40833333333333" style="106" customWidth="1"/>
    <col min="5" max="5" width="6.66666666666667" style="106" customWidth="1"/>
    <col min="6" max="6" width="8.125" style="106" customWidth="1"/>
    <col min="7" max="7" width="6.39166666666667" style="106" customWidth="1"/>
    <col min="8" max="8" width="5.83333333333333" style="106" customWidth="1"/>
    <col min="9" max="9" width="13.325" style="106" customWidth="1"/>
    <col min="10" max="10" width="9.625" style="107"/>
    <col min="11" max="15" width="10.375" style="106" customWidth="1"/>
    <col min="16" max="16" width="11.5" style="106" customWidth="1"/>
    <col min="17" max="17" width="11.625" style="106" customWidth="1"/>
    <col min="18" max="18" width="10.625" style="106" customWidth="1"/>
    <col min="19" max="19" width="28.25" style="106" customWidth="1"/>
    <col min="20" max="20" width="7.75" style="106" customWidth="1"/>
    <col min="21" max="21" width="9" style="106"/>
    <col min="22" max="22" width="16.75" style="106" customWidth="1"/>
    <col min="23" max="23" width="7.08333333333333" style="106" customWidth="1"/>
    <col min="24" max="258" width="9" style="106"/>
    <col min="259" max="16382" width="9" style="105"/>
    <col min="16383" max="16384" width="9" style="17"/>
  </cols>
  <sheetData>
    <row r="1" s="105" customFormat="1" ht="12.95" customHeight="1" spans="1:258">
      <c r="A1" s="108" t="s">
        <v>0</v>
      </c>
      <c r="B1" s="109">
        <f>[9]基础资料!C1</f>
        <v>44228</v>
      </c>
      <c r="C1" s="106"/>
      <c r="D1" s="106"/>
      <c r="E1" s="109"/>
      <c r="F1" s="110"/>
      <c r="G1" s="106"/>
      <c r="H1" s="106"/>
      <c r="I1" s="106"/>
      <c r="J1" s="107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  <c r="CF1" s="106"/>
      <c r="CG1" s="106"/>
      <c r="CH1" s="106"/>
      <c r="CI1" s="106"/>
      <c r="CJ1" s="106"/>
      <c r="CK1" s="106"/>
      <c r="CL1" s="106"/>
      <c r="CM1" s="106"/>
      <c r="CN1" s="106"/>
      <c r="CO1" s="106"/>
      <c r="CP1" s="106"/>
      <c r="CQ1" s="106"/>
      <c r="CR1" s="106"/>
      <c r="CS1" s="106"/>
      <c r="CT1" s="106"/>
      <c r="CU1" s="106"/>
      <c r="CV1" s="106"/>
      <c r="CW1" s="106"/>
      <c r="CX1" s="106"/>
      <c r="CY1" s="106"/>
      <c r="CZ1" s="106"/>
      <c r="DA1" s="106"/>
      <c r="DB1" s="106"/>
      <c r="DC1" s="106"/>
      <c r="DD1" s="106"/>
      <c r="DE1" s="106"/>
      <c r="DF1" s="106"/>
      <c r="DG1" s="106"/>
      <c r="DH1" s="106"/>
      <c r="DI1" s="106"/>
      <c r="DJ1" s="106"/>
      <c r="DK1" s="106"/>
      <c r="DL1" s="106"/>
      <c r="DM1" s="106"/>
      <c r="DN1" s="106"/>
      <c r="DO1" s="106"/>
      <c r="DP1" s="106"/>
      <c r="DQ1" s="106"/>
      <c r="DR1" s="106"/>
      <c r="DS1" s="106"/>
      <c r="DT1" s="106"/>
      <c r="DU1" s="106"/>
      <c r="DV1" s="106"/>
      <c r="DW1" s="106"/>
      <c r="DX1" s="106"/>
      <c r="DY1" s="106"/>
      <c r="DZ1" s="106"/>
      <c r="EA1" s="106"/>
      <c r="EB1" s="106"/>
      <c r="EC1" s="106"/>
      <c r="ED1" s="106"/>
      <c r="EE1" s="106"/>
      <c r="EF1" s="106"/>
      <c r="EG1" s="106"/>
      <c r="EH1" s="106"/>
      <c r="EI1" s="106"/>
      <c r="EJ1" s="106"/>
      <c r="EK1" s="106"/>
      <c r="EL1" s="106"/>
      <c r="EM1" s="106"/>
      <c r="EN1" s="106"/>
      <c r="EO1" s="106"/>
      <c r="EP1" s="106"/>
      <c r="EQ1" s="106"/>
      <c r="ER1" s="106"/>
      <c r="ES1" s="106"/>
      <c r="ET1" s="106"/>
      <c r="EU1" s="106"/>
      <c r="EV1" s="106"/>
      <c r="EW1" s="106"/>
      <c r="EX1" s="106"/>
      <c r="EY1" s="106"/>
      <c r="EZ1" s="106"/>
      <c r="FA1" s="106"/>
      <c r="FB1" s="106"/>
      <c r="FC1" s="106"/>
      <c r="FD1" s="106"/>
      <c r="FE1" s="106"/>
      <c r="FF1" s="106"/>
      <c r="FG1" s="106"/>
      <c r="FH1" s="106"/>
      <c r="FI1" s="106"/>
      <c r="FJ1" s="106"/>
      <c r="FK1" s="106"/>
      <c r="FL1" s="106"/>
      <c r="FM1" s="106"/>
      <c r="FN1" s="106"/>
      <c r="FO1" s="106"/>
      <c r="FP1" s="106"/>
      <c r="FQ1" s="106"/>
      <c r="FR1" s="106"/>
      <c r="FS1" s="106"/>
      <c r="FT1" s="106"/>
      <c r="FU1" s="106"/>
      <c r="FV1" s="106"/>
      <c r="FW1" s="106"/>
      <c r="FX1" s="106"/>
      <c r="FY1" s="106"/>
      <c r="FZ1" s="106"/>
      <c r="GA1" s="106"/>
      <c r="GB1" s="106"/>
      <c r="GC1" s="106"/>
      <c r="GD1" s="106"/>
      <c r="GE1" s="106"/>
      <c r="GF1" s="106"/>
      <c r="GG1" s="106"/>
      <c r="GH1" s="106"/>
      <c r="GI1" s="106"/>
      <c r="GJ1" s="106"/>
      <c r="GK1" s="106"/>
      <c r="GL1" s="106"/>
      <c r="GM1" s="106"/>
      <c r="GN1" s="106"/>
      <c r="GO1" s="106"/>
      <c r="GP1" s="106"/>
      <c r="GQ1" s="106"/>
      <c r="GR1" s="106"/>
      <c r="GS1" s="106"/>
      <c r="GT1" s="106"/>
      <c r="GU1" s="106"/>
      <c r="GV1" s="106"/>
      <c r="GW1" s="106"/>
      <c r="GX1" s="106"/>
      <c r="GY1" s="106"/>
      <c r="GZ1" s="106"/>
      <c r="HA1" s="106"/>
      <c r="HB1" s="106"/>
      <c r="HC1" s="106"/>
      <c r="HD1" s="106"/>
      <c r="HE1" s="106"/>
      <c r="HF1" s="106"/>
      <c r="HG1" s="106"/>
      <c r="HH1" s="106"/>
      <c r="HI1" s="106"/>
      <c r="HJ1" s="106"/>
      <c r="HK1" s="106"/>
      <c r="HL1" s="106"/>
      <c r="HM1" s="106"/>
      <c r="HN1" s="106"/>
      <c r="HO1" s="106"/>
      <c r="HP1" s="106"/>
      <c r="HQ1" s="106"/>
      <c r="HR1" s="106"/>
      <c r="HS1" s="106"/>
      <c r="HT1" s="106"/>
      <c r="HU1" s="106"/>
      <c r="HV1" s="106"/>
      <c r="HW1" s="106"/>
      <c r="HX1" s="106"/>
      <c r="HY1" s="106"/>
      <c r="HZ1" s="106"/>
      <c r="IA1" s="106"/>
      <c r="IB1" s="106"/>
      <c r="IC1" s="106"/>
      <c r="ID1" s="106"/>
      <c r="IE1" s="106"/>
      <c r="IF1" s="106"/>
      <c r="IG1" s="106"/>
      <c r="IH1" s="106"/>
      <c r="II1" s="106"/>
      <c r="IJ1" s="106"/>
      <c r="IK1" s="106"/>
      <c r="IL1" s="106"/>
      <c r="IM1" s="106"/>
      <c r="IN1" s="106"/>
      <c r="IO1" s="106"/>
      <c r="IP1" s="106"/>
      <c r="IQ1" s="106"/>
      <c r="IR1" s="106"/>
      <c r="IS1" s="106"/>
      <c r="IT1" s="106"/>
      <c r="IU1" s="106"/>
      <c r="IV1" s="106"/>
      <c r="IW1" s="106"/>
      <c r="IX1" s="106"/>
    </row>
    <row r="2" s="105" customFormat="1" ht="18" customHeight="1" spans="1:258">
      <c r="A2" s="111" t="s">
        <v>48</v>
      </c>
      <c r="B2" s="111"/>
      <c r="C2" s="111"/>
      <c r="D2" s="111"/>
      <c r="E2" s="111"/>
      <c r="F2" s="111"/>
      <c r="G2" s="111"/>
      <c r="H2" s="111"/>
      <c r="I2" s="111"/>
      <c r="J2" s="126"/>
      <c r="K2" s="111"/>
      <c r="L2" s="111"/>
      <c r="M2" s="111"/>
      <c r="N2" s="111"/>
      <c r="O2" s="111"/>
      <c r="P2" s="111"/>
      <c r="Q2" s="111"/>
      <c r="R2" s="111"/>
      <c r="S2" s="111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6"/>
      <c r="CL2" s="106"/>
      <c r="CM2" s="106"/>
      <c r="CN2" s="106"/>
      <c r="CO2" s="106"/>
      <c r="CP2" s="106"/>
      <c r="CQ2" s="106"/>
      <c r="CR2" s="106"/>
      <c r="CS2" s="106"/>
      <c r="CT2" s="106"/>
      <c r="CU2" s="106"/>
      <c r="CV2" s="106"/>
      <c r="CW2" s="106"/>
      <c r="CX2" s="106"/>
      <c r="CY2" s="106"/>
      <c r="CZ2" s="106"/>
      <c r="DA2" s="106"/>
      <c r="DB2" s="106"/>
      <c r="DC2" s="106"/>
      <c r="DD2" s="106"/>
      <c r="DE2" s="106"/>
      <c r="DF2" s="106"/>
      <c r="DG2" s="106"/>
      <c r="DH2" s="106"/>
      <c r="DI2" s="106"/>
      <c r="DJ2" s="106"/>
      <c r="DK2" s="106"/>
      <c r="DL2" s="106"/>
      <c r="DM2" s="106"/>
      <c r="DN2" s="106"/>
      <c r="DO2" s="106"/>
      <c r="DP2" s="106"/>
      <c r="DQ2" s="106"/>
      <c r="DR2" s="106"/>
      <c r="DS2" s="106"/>
      <c r="DT2" s="106"/>
      <c r="DU2" s="106"/>
      <c r="DV2" s="106"/>
      <c r="DW2" s="106"/>
      <c r="DX2" s="106"/>
      <c r="DY2" s="106"/>
      <c r="DZ2" s="106"/>
      <c r="EA2" s="106"/>
      <c r="EB2" s="106"/>
      <c r="EC2" s="106"/>
      <c r="ED2" s="106"/>
      <c r="EE2" s="106"/>
      <c r="EF2" s="106"/>
      <c r="EG2" s="106"/>
      <c r="EH2" s="106"/>
      <c r="EI2" s="106"/>
      <c r="EJ2" s="106"/>
      <c r="EK2" s="106"/>
      <c r="EL2" s="106"/>
      <c r="EM2" s="106"/>
      <c r="EN2" s="106"/>
      <c r="EO2" s="106"/>
      <c r="EP2" s="106"/>
      <c r="EQ2" s="106"/>
      <c r="ER2" s="106"/>
      <c r="ES2" s="106"/>
      <c r="ET2" s="106"/>
      <c r="EU2" s="106"/>
      <c r="EV2" s="106"/>
      <c r="EW2" s="106"/>
      <c r="EX2" s="106"/>
      <c r="EY2" s="106"/>
      <c r="EZ2" s="106"/>
      <c r="FA2" s="106"/>
      <c r="FB2" s="106"/>
      <c r="FC2" s="106"/>
      <c r="FD2" s="106"/>
      <c r="FE2" s="106"/>
      <c r="FF2" s="106"/>
      <c r="FG2" s="106"/>
      <c r="FH2" s="106"/>
      <c r="FI2" s="106"/>
      <c r="FJ2" s="106"/>
      <c r="FK2" s="106"/>
      <c r="FL2" s="106"/>
      <c r="FM2" s="106"/>
      <c r="FN2" s="106"/>
      <c r="FO2" s="106"/>
      <c r="FP2" s="106"/>
      <c r="FQ2" s="106"/>
      <c r="FR2" s="106"/>
      <c r="FS2" s="106"/>
      <c r="FT2" s="106"/>
      <c r="FU2" s="106"/>
      <c r="FV2" s="106"/>
      <c r="FW2" s="106"/>
      <c r="FX2" s="106"/>
      <c r="FY2" s="106"/>
      <c r="FZ2" s="106"/>
      <c r="GA2" s="106"/>
      <c r="GB2" s="106"/>
      <c r="GC2" s="106"/>
      <c r="GD2" s="106"/>
      <c r="GE2" s="106"/>
      <c r="GF2" s="106"/>
      <c r="GG2" s="106"/>
      <c r="GH2" s="106"/>
      <c r="GI2" s="106"/>
      <c r="GJ2" s="106"/>
      <c r="GK2" s="106"/>
      <c r="GL2" s="106"/>
      <c r="GM2" s="106"/>
      <c r="GN2" s="106"/>
      <c r="GO2" s="106"/>
      <c r="GP2" s="106"/>
      <c r="GQ2" s="106"/>
      <c r="GR2" s="106"/>
      <c r="GS2" s="106"/>
      <c r="GT2" s="106"/>
      <c r="GU2" s="106"/>
      <c r="GV2" s="106"/>
      <c r="GW2" s="106"/>
      <c r="GX2" s="106"/>
      <c r="GY2" s="106"/>
      <c r="GZ2" s="106"/>
      <c r="HA2" s="106"/>
      <c r="HB2" s="106"/>
      <c r="HC2" s="106"/>
      <c r="HD2" s="106"/>
      <c r="HE2" s="106"/>
      <c r="HF2" s="106"/>
      <c r="HG2" s="106"/>
      <c r="HH2" s="106"/>
      <c r="HI2" s="106"/>
      <c r="HJ2" s="106"/>
      <c r="HK2" s="106"/>
      <c r="HL2" s="106"/>
      <c r="HM2" s="106"/>
      <c r="HN2" s="106"/>
      <c r="HO2" s="106"/>
      <c r="HP2" s="106"/>
      <c r="HQ2" s="106"/>
      <c r="HR2" s="106"/>
      <c r="HS2" s="106"/>
      <c r="HT2" s="106"/>
      <c r="HU2" s="106"/>
      <c r="HV2" s="106"/>
      <c r="HW2" s="106"/>
      <c r="HX2" s="106"/>
      <c r="HY2" s="106"/>
      <c r="HZ2" s="106"/>
      <c r="IA2" s="106"/>
      <c r="IB2" s="106"/>
      <c r="IC2" s="106"/>
      <c r="ID2" s="106"/>
      <c r="IE2" s="106"/>
      <c r="IF2" s="106"/>
      <c r="IG2" s="106"/>
      <c r="IH2" s="106"/>
      <c r="II2" s="106"/>
      <c r="IJ2" s="106"/>
      <c r="IK2" s="106"/>
      <c r="IL2" s="106"/>
      <c r="IM2" s="106"/>
      <c r="IN2" s="106"/>
      <c r="IO2" s="106"/>
      <c r="IP2" s="106"/>
      <c r="IQ2" s="106"/>
      <c r="IR2" s="106"/>
      <c r="IS2" s="106"/>
      <c r="IT2" s="106"/>
      <c r="IU2" s="106"/>
      <c r="IV2" s="106"/>
      <c r="IW2" s="106"/>
      <c r="IX2" s="106"/>
    </row>
    <row r="3" s="105" customFormat="1" ht="16.35" customHeight="1" spans="1:258">
      <c r="A3" s="112" t="s">
        <v>49</v>
      </c>
      <c r="B3" s="106"/>
      <c r="C3" s="106"/>
      <c r="D3" s="106"/>
      <c r="E3" s="106"/>
      <c r="F3" s="106"/>
      <c r="G3" s="106"/>
      <c r="H3" s="106"/>
      <c r="I3" s="106"/>
      <c r="J3" s="107"/>
      <c r="K3" s="91"/>
      <c r="L3" s="91"/>
      <c r="M3" s="91"/>
      <c r="N3" s="91"/>
      <c r="O3" s="91"/>
      <c r="P3" s="91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6"/>
      <c r="BF3" s="106"/>
      <c r="BG3" s="106"/>
      <c r="BH3" s="106"/>
      <c r="BI3" s="106"/>
      <c r="BJ3" s="106"/>
      <c r="BK3" s="106"/>
      <c r="BL3" s="106"/>
      <c r="BM3" s="106"/>
      <c r="BN3" s="106"/>
      <c r="BO3" s="106"/>
      <c r="BP3" s="106"/>
      <c r="BQ3" s="106"/>
      <c r="BR3" s="106"/>
      <c r="BS3" s="106"/>
      <c r="BT3" s="106"/>
      <c r="BU3" s="106"/>
      <c r="BV3" s="106"/>
      <c r="BW3" s="106"/>
      <c r="BX3" s="106"/>
      <c r="BY3" s="106"/>
      <c r="BZ3" s="106"/>
      <c r="CA3" s="106"/>
      <c r="CB3" s="106"/>
      <c r="CC3" s="106"/>
      <c r="CD3" s="106"/>
      <c r="CE3" s="106"/>
      <c r="CF3" s="106"/>
      <c r="CG3" s="106"/>
      <c r="CH3" s="106"/>
      <c r="CI3" s="106"/>
      <c r="CJ3" s="106"/>
      <c r="CK3" s="106"/>
      <c r="CL3" s="106"/>
      <c r="CM3" s="106"/>
      <c r="CN3" s="106"/>
      <c r="CO3" s="106"/>
      <c r="CP3" s="106"/>
      <c r="CQ3" s="106"/>
      <c r="CR3" s="106"/>
      <c r="CS3" s="106"/>
      <c r="CT3" s="106"/>
      <c r="CU3" s="106"/>
      <c r="CV3" s="106"/>
      <c r="CW3" s="106"/>
      <c r="CX3" s="106"/>
      <c r="CY3" s="106"/>
      <c r="CZ3" s="106"/>
      <c r="DA3" s="106"/>
      <c r="DB3" s="106"/>
      <c r="DC3" s="106"/>
      <c r="DD3" s="106"/>
      <c r="DE3" s="106"/>
      <c r="DF3" s="106"/>
      <c r="DG3" s="106"/>
      <c r="DH3" s="106"/>
      <c r="DI3" s="106"/>
      <c r="DJ3" s="106"/>
      <c r="DK3" s="106"/>
      <c r="DL3" s="106"/>
      <c r="DM3" s="106"/>
      <c r="DN3" s="106"/>
      <c r="DO3" s="106"/>
      <c r="DP3" s="106"/>
      <c r="DQ3" s="106"/>
      <c r="DR3" s="106"/>
      <c r="DS3" s="106"/>
      <c r="DT3" s="106"/>
      <c r="DU3" s="106"/>
      <c r="DV3" s="106"/>
      <c r="DW3" s="106"/>
      <c r="DX3" s="106"/>
      <c r="DY3" s="106"/>
      <c r="DZ3" s="106"/>
      <c r="EA3" s="106"/>
      <c r="EB3" s="106"/>
      <c r="EC3" s="106"/>
      <c r="ED3" s="106"/>
      <c r="EE3" s="106"/>
      <c r="EF3" s="106"/>
      <c r="EG3" s="106"/>
      <c r="EH3" s="106"/>
      <c r="EI3" s="106"/>
      <c r="EJ3" s="106"/>
      <c r="EK3" s="106"/>
      <c r="EL3" s="106"/>
      <c r="EM3" s="106"/>
      <c r="EN3" s="106"/>
      <c r="EO3" s="106"/>
      <c r="EP3" s="106"/>
      <c r="EQ3" s="106"/>
      <c r="ER3" s="106"/>
      <c r="ES3" s="106"/>
      <c r="ET3" s="106"/>
      <c r="EU3" s="106"/>
      <c r="EV3" s="106"/>
      <c r="EW3" s="106"/>
      <c r="EX3" s="106"/>
      <c r="EY3" s="106"/>
      <c r="EZ3" s="106"/>
      <c r="FA3" s="106"/>
      <c r="FB3" s="106"/>
      <c r="FC3" s="106"/>
      <c r="FD3" s="106"/>
      <c r="FE3" s="106"/>
      <c r="FF3" s="106"/>
      <c r="FG3" s="106"/>
      <c r="FH3" s="106"/>
      <c r="FI3" s="106"/>
      <c r="FJ3" s="106"/>
      <c r="FK3" s="106"/>
      <c r="FL3" s="106"/>
      <c r="FM3" s="106"/>
      <c r="FN3" s="106"/>
      <c r="FO3" s="106"/>
      <c r="FP3" s="106"/>
      <c r="FQ3" s="106"/>
      <c r="FR3" s="106"/>
      <c r="FS3" s="106"/>
      <c r="FT3" s="106"/>
      <c r="FU3" s="106"/>
      <c r="FV3" s="106"/>
      <c r="FW3" s="106"/>
      <c r="FX3" s="106"/>
      <c r="FY3" s="106"/>
      <c r="FZ3" s="106"/>
      <c r="GA3" s="106"/>
      <c r="GB3" s="106"/>
      <c r="GC3" s="106"/>
      <c r="GD3" s="106"/>
      <c r="GE3" s="106"/>
      <c r="GF3" s="106"/>
      <c r="GG3" s="106"/>
      <c r="GH3" s="106"/>
      <c r="GI3" s="106"/>
      <c r="GJ3" s="106"/>
      <c r="GK3" s="106"/>
      <c r="GL3" s="106"/>
      <c r="GM3" s="106"/>
      <c r="GN3" s="106"/>
      <c r="GO3" s="106"/>
      <c r="GP3" s="106"/>
      <c r="GQ3" s="106"/>
      <c r="GR3" s="106"/>
      <c r="GS3" s="106"/>
      <c r="GT3" s="106"/>
      <c r="GU3" s="106"/>
      <c r="GV3" s="106"/>
      <c r="GW3" s="106"/>
      <c r="GX3" s="106"/>
      <c r="GY3" s="106"/>
      <c r="GZ3" s="106"/>
      <c r="HA3" s="106"/>
      <c r="HB3" s="106"/>
      <c r="HC3" s="106"/>
      <c r="HD3" s="106"/>
      <c r="HE3" s="106"/>
      <c r="HF3" s="106"/>
      <c r="HG3" s="106"/>
      <c r="HH3" s="106"/>
      <c r="HI3" s="106"/>
      <c r="HJ3" s="106"/>
      <c r="HK3" s="106"/>
      <c r="HL3" s="106"/>
      <c r="HM3" s="106"/>
      <c r="HN3" s="106"/>
      <c r="HO3" s="106"/>
      <c r="HP3" s="106"/>
      <c r="HQ3" s="106"/>
      <c r="HR3" s="106"/>
      <c r="HS3" s="106"/>
      <c r="HT3" s="106"/>
      <c r="HU3" s="106"/>
      <c r="HV3" s="106"/>
      <c r="HW3" s="106"/>
      <c r="HX3" s="106"/>
      <c r="HY3" s="106"/>
      <c r="HZ3" s="106"/>
      <c r="IA3" s="106"/>
      <c r="IB3" s="106"/>
      <c r="IC3" s="106"/>
      <c r="ID3" s="106"/>
      <c r="IE3" s="106"/>
      <c r="IF3" s="106"/>
      <c r="IG3" s="106"/>
      <c r="IH3" s="106"/>
      <c r="II3" s="106"/>
      <c r="IJ3" s="106"/>
      <c r="IK3" s="106"/>
      <c r="IL3" s="106"/>
      <c r="IM3" s="106"/>
      <c r="IN3" s="106"/>
      <c r="IO3" s="106"/>
      <c r="IP3" s="106"/>
      <c r="IQ3" s="106"/>
      <c r="IR3" s="106"/>
      <c r="IS3" s="106"/>
      <c r="IT3" s="106"/>
      <c r="IU3" s="106"/>
      <c r="IV3" s="106"/>
      <c r="IW3" s="106"/>
      <c r="IX3" s="106"/>
    </row>
    <row r="4" s="106" customFormat="1" ht="18.75" customHeight="1" spans="1:19">
      <c r="A4" s="113" t="s">
        <v>50</v>
      </c>
      <c r="B4" s="114" t="s">
        <v>51</v>
      </c>
      <c r="C4" s="114" t="s">
        <v>27</v>
      </c>
      <c r="D4" s="114" t="s">
        <v>52</v>
      </c>
      <c r="E4" s="114" t="s">
        <v>53</v>
      </c>
      <c r="F4" s="114" t="s">
        <v>54</v>
      </c>
      <c r="G4" s="114" t="s">
        <v>55</v>
      </c>
      <c r="H4" s="114" t="s">
        <v>52</v>
      </c>
      <c r="I4" s="114" t="s">
        <v>56</v>
      </c>
      <c r="J4" s="127" t="s">
        <v>57</v>
      </c>
      <c r="K4" s="128"/>
      <c r="L4" s="128"/>
      <c r="M4" s="128"/>
      <c r="N4" s="128"/>
      <c r="O4" s="128"/>
      <c r="P4" s="50" t="s">
        <v>58</v>
      </c>
      <c r="Q4" s="51"/>
      <c r="R4" s="98" t="s">
        <v>59</v>
      </c>
      <c r="S4" s="34" t="s">
        <v>60</v>
      </c>
    </row>
    <row r="5" s="106" customFormat="1" ht="48" customHeight="1" spans="1:20">
      <c r="A5" s="115"/>
      <c r="B5" s="116"/>
      <c r="C5" s="116"/>
      <c r="D5" s="117"/>
      <c r="E5" s="116"/>
      <c r="F5" s="116"/>
      <c r="G5" s="116"/>
      <c r="H5" s="116"/>
      <c r="I5" s="116"/>
      <c r="J5" s="129" t="s">
        <v>34</v>
      </c>
      <c r="K5" s="113" t="s">
        <v>61</v>
      </c>
      <c r="L5" s="113" t="s">
        <v>62</v>
      </c>
      <c r="M5" s="113" t="s">
        <v>63</v>
      </c>
      <c r="N5" s="113" t="s">
        <v>64</v>
      </c>
      <c r="O5" s="113" t="s">
        <v>65</v>
      </c>
      <c r="P5" s="52" t="s">
        <v>66</v>
      </c>
      <c r="Q5" s="52" t="s">
        <v>67</v>
      </c>
      <c r="R5" s="98"/>
      <c r="S5" s="34"/>
      <c r="T5" s="156"/>
    </row>
    <row r="6" s="106" customFormat="1" ht="16.35" customHeight="1" spans="1:23">
      <c r="A6" s="118" t="s">
        <v>40</v>
      </c>
      <c r="B6" s="119"/>
      <c r="C6" s="119"/>
      <c r="D6" s="119"/>
      <c r="E6" s="119"/>
      <c r="F6" s="119"/>
      <c r="G6" s="119"/>
      <c r="H6" s="119"/>
      <c r="I6" s="119"/>
      <c r="J6" s="130">
        <f>SUMIF($A$7:$A$996,"*合计",J$7:J$996)</f>
        <v>0</v>
      </c>
      <c r="K6" s="131">
        <f>SUMIF($A$7:$A$996,"*合计",K$7:K$996)</f>
        <v>0</v>
      </c>
      <c r="L6" s="131"/>
      <c r="M6" s="132">
        <f>SUMIF($A$7:$A$996,"*合计",M$7:M$996)</f>
        <v>0</v>
      </c>
      <c r="N6" s="131">
        <f>SUMIF($A$7:$A$996,"*合计",N$7:N$996)</f>
        <v>0</v>
      </c>
      <c r="O6" s="119"/>
      <c r="P6" s="130">
        <f>SUMIF($A$7:$A$996,"*合计",P$7:P$996)</f>
        <v>0</v>
      </c>
      <c r="Q6" s="157"/>
      <c r="R6" s="131">
        <f>SUMIF($A$7:$A$996,"*合计",R$7:R$996)</f>
        <v>0</v>
      </c>
      <c r="S6" s="125"/>
      <c r="T6" s="156"/>
      <c r="U6" s="158" t="s">
        <v>68</v>
      </c>
      <c r="V6" s="158" t="s">
        <v>69</v>
      </c>
      <c r="W6" s="158" t="s">
        <v>70</v>
      </c>
    </row>
    <row r="7" s="106" customFormat="1" ht="13.8" spans="1:22">
      <c r="A7" s="120">
        <v>44208</v>
      </c>
      <c r="B7" s="120" t="s">
        <v>71</v>
      </c>
      <c r="C7" s="14" t="s">
        <v>9</v>
      </c>
      <c r="D7" s="14"/>
      <c r="E7" s="120" t="s">
        <v>71</v>
      </c>
      <c r="F7" s="120" t="s">
        <v>72</v>
      </c>
      <c r="G7" s="120" t="s">
        <v>73</v>
      </c>
      <c r="H7" s="120"/>
      <c r="I7" s="120" t="s">
        <v>74</v>
      </c>
      <c r="J7" s="133">
        <v>2687</v>
      </c>
      <c r="K7" s="134">
        <f t="shared" ref="K7:K13" si="0">J7*L7</f>
        <v>11258.53</v>
      </c>
      <c r="L7" s="135">
        <f>VLOOKUP(C7,[9]基础资料!$B:$G,6,0)</f>
        <v>4.19</v>
      </c>
      <c r="M7" s="136">
        <f>N14</f>
        <v>69626.59</v>
      </c>
      <c r="N7" s="137">
        <f t="shared" ref="N7:N13" si="1">O7*J7</f>
        <v>56292.65</v>
      </c>
      <c r="O7" s="138">
        <f>VLOOKUP(C7,[9]基础资料!$B:$H,7,0)</f>
        <v>20.95</v>
      </c>
      <c r="P7" s="139">
        <f t="shared" ref="P7:P9" si="2">J7</f>
        <v>2687</v>
      </c>
      <c r="Q7" s="159">
        <v>43874</v>
      </c>
      <c r="R7" s="160">
        <f t="shared" ref="R7:R13" si="3">J7-P7</f>
        <v>0</v>
      </c>
      <c r="S7" s="125"/>
      <c r="T7" s="156">
        <f>J7-P7</f>
        <v>0</v>
      </c>
      <c r="U7" s="161">
        <v>44197</v>
      </c>
      <c r="V7" s="106">
        <f>SUMPRODUCT((MONTH($Q$7:$Q$99)=MONTH($U7))*($P$7:$P$99)*($Q$7:$Q$99&lt;&gt;""))</f>
        <v>0</v>
      </c>
    </row>
    <row r="8" s="106" customFormat="1" ht="13.8" spans="1:23">
      <c r="A8" s="120">
        <v>44208</v>
      </c>
      <c r="B8" s="120" t="s">
        <v>71</v>
      </c>
      <c r="C8" s="14" t="s">
        <v>7</v>
      </c>
      <c r="D8" s="14"/>
      <c r="E8" s="120" t="s">
        <v>71</v>
      </c>
      <c r="F8" s="120" t="s">
        <v>72</v>
      </c>
      <c r="G8" s="120" t="s">
        <v>73</v>
      </c>
      <c r="H8" s="120"/>
      <c r="I8" s="120" t="s">
        <v>74</v>
      </c>
      <c r="J8" s="133">
        <v>1458</v>
      </c>
      <c r="K8" s="134">
        <f t="shared" si="0"/>
        <v>933.12</v>
      </c>
      <c r="L8" s="135">
        <f>VLOOKUP(C8,[9]基础资料!$B:$G,6,0)</f>
        <v>0.64</v>
      </c>
      <c r="M8" s="140"/>
      <c r="N8" s="137">
        <f t="shared" si="1"/>
        <v>4199.04</v>
      </c>
      <c r="O8" s="138">
        <f>VLOOKUP(C8,[9]基础资料!$B:$H,7,0)</f>
        <v>2.88</v>
      </c>
      <c r="P8" s="139">
        <f t="shared" si="2"/>
        <v>1458</v>
      </c>
      <c r="Q8" s="159">
        <v>43874</v>
      </c>
      <c r="R8" s="162">
        <f t="shared" si="3"/>
        <v>0</v>
      </c>
      <c r="S8" s="125" t="s">
        <v>75</v>
      </c>
      <c r="T8" s="156">
        <f t="shared" ref="T7:T40" si="4">J8-P8</f>
        <v>0</v>
      </c>
      <c r="U8" s="161">
        <v>44228</v>
      </c>
      <c r="V8" s="106">
        <f t="shared" ref="V8:V13" si="5">SUMPRODUCT((MONTH($Q$7:$Q$99)=MONTH(U8))*($P$7:$P$99)*($Q$7:$Q$99&lt;&gt;""))</f>
        <v>8477</v>
      </c>
      <c r="W8" s="106">
        <f>V8-[9]库存调整表US!H1</f>
        <v>0</v>
      </c>
    </row>
    <row r="9" s="106" customFormat="1" ht="13.8" spans="1:22">
      <c r="A9" s="120">
        <v>44208</v>
      </c>
      <c r="B9" s="120" t="s">
        <v>71</v>
      </c>
      <c r="C9" s="14" t="s">
        <v>10</v>
      </c>
      <c r="D9" s="14"/>
      <c r="E9" s="120" t="s">
        <v>71</v>
      </c>
      <c r="F9" s="120" t="s">
        <v>72</v>
      </c>
      <c r="G9" s="120" t="s">
        <v>73</v>
      </c>
      <c r="H9" s="120"/>
      <c r="I9" s="120" t="s">
        <v>74</v>
      </c>
      <c r="J9" s="133">
        <v>200</v>
      </c>
      <c r="K9" s="134">
        <f t="shared" si="0"/>
        <v>460</v>
      </c>
      <c r="L9" s="135">
        <f>VLOOKUP(C9,[9]基础资料!$B:$G,6,0)</f>
        <v>2.3</v>
      </c>
      <c r="M9" s="140"/>
      <c r="N9" s="137">
        <f t="shared" si="1"/>
        <v>2300</v>
      </c>
      <c r="O9" s="138">
        <f>VLOOKUP(C9,[9]基础资料!$B:$H,7,0)</f>
        <v>11.5</v>
      </c>
      <c r="P9" s="139">
        <f t="shared" si="2"/>
        <v>200</v>
      </c>
      <c r="Q9" s="159">
        <v>43874</v>
      </c>
      <c r="R9" s="162">
        <f t="shared" si="3"/>
        <v>0</v>
      </c>
      <c r="S9" s="125"/>
      <c r="T9" s="156">
        <f t="shared" si="4"/>
        <v>0</v>
      </c>
      <c r="U9" s="161">
        <v>44256</v>
      </c>
      <c r="V9" s="106">
        <f t="shared" si="5"/>
        <v>0</v>
      </c>
    </row>
    <row r="10" s="106" customFormat="1" ht="13.8" spans="1:22">
      <c r="A10" s="120">
        <v>44208</v>
      </c>
      <c r="B10" s="120" t="s">
        <v>71</v>
      </c>
      <c r="C10" s="14" t="s">
        <v>11</v>
      </c>
      <c r="D10" s="14"/>
      <c r="E10" s="120" t="s">
        <v>71</v>
      </c>
      <c r="F10" s="120" t="s">
        <v>72</v>
      </c>
      <c r="G10" s="120" t="s">
        <v>73</v>
      </c>
      <c r="H10" s="120"/>
      <c r="I10" s="120" t="s">
        <v>74</v>
      </c>
      <c r="J10" s="133">
        <v>500</v>
      </c>
      <c r="K10" s="134">
        <f t="shared" si="0"/>
        <v>1050</v>
      </c>
      <c r="L10" s="135">
        <f>VLOOKUP(C10,[9]基础资料!$B:$G,6,0)</f>
        <v>2.1</v>
      </c>
      <c r="M10" s="140"/>
      <c r="N10" s="137">
        <f t="shared" si="1"/>
        <v>5250</v>
      </c>
      <c r="O10" s="138">
        <f>VLOOKUP(C10,[9]基础资料!$B:$H,7,0)</f>
        <v>10.5</v>
      </c>
      <c r="P10" s="139">
        <v>500</v>
      </c>
      <c r="Q10" s="159">
        <v>43874</v>
      </c>
      <c r="R10" s="162">
        <f t="shared" si="3"/>
        <v>0</v>
      </c>
      <c r="S10" s="125" t="s">
        <v>76</v>
      </c>
      <c r="T10" s="156">
        <f t="shared" si="4"/>
        <v>0</v>
      </c>
      <c r="U10" s="161">
        <v>44287</v>
      </c>
      <c r="V10" s="106">
        <f t="shared" si="5"/>
        <v>0</v>
      </c>
    </row>
    <row r="11" s="106" customFormat="1" ht="13.8" spans="1:22">
      <c r="A11" s="120">
        <v>44208</v>
      </c>
      <c r="B11" s="120" t="s">
        <v>71</v>
      </c>
      <c r="C11" s="14" t="s">
        <v>13</v>
      </c>
      <c r="D11" s="14"/>
      <c r="E11" s="120" t="s">
        <v>71</v>
      </c>
      <c r="F11" s="120" t="s">
        <v>72</v>
      </c>
      <c r="G11" s="120" t="s">
        <v>73</v>
      </c>
      <c r="H11" s="120"/>
      <c r="I11" s="120" t="s">
        <v>74</v>
      </c>
      <c r="J11" s="133">
        <v>47</v>
      </c>
      <c r="K11" s="134">
        <f t="shared" si="0"/>
        <v>155.1</v>
      </c>
      <c r="L11" s="135">
        <f>VLOOKUP(C11,[9]基础资料!$B:$G,6,0)</f>
        <v>3.3</v>
      </c>
      <c r="M11" s="140"/>
      <c r="N11" s="137">
        <f t="shared" si="1"/>
        <v>930.6</v>
      </c>
      <c r="O11" s="138">
        <f>VLOOKUP(C11,[9]基础资料!$B:$H,7,0)</f>
        <v>19.8</v>
      </c>
      <c r="P11" s="139">
        <f t="shared" ref="P11:P13" si="6">J11</f>
        <v>47</v>
      </c>
      <c r="Q11" s="159">
        <v>43874</v>
      </c>
      <c r="R11" s="162">
        <f t="shared" si="3"/>
        <v>0</v>
      </c>
      <c r="S11" s="125"/>
      <c r="T11" s="156">
        <f t="shared" si="4"/>
        <v>0</v>
      </c>
      <c r="U11" s="161">
        <v>44317</v>
      </c>
      <c r="V11" s="106">
        <f t="shared" si="5"/>
        <v>0</v>
      </c>
    </row>
    <row r="12" s="106" customFormat="1" ht="13.8" spans="1:22">
      <c r="A12" s="120">
        <v>44208</v>
      </c>
      <c r="B12" s="120" t="s">
        <v>71</v>
      </c>
      <c r="C12" s="14" t="s">
        <v>12</v>
      </c>
      <c r="D12" s="14"/>
      <c r="E12" s="120" t="s">
        <v>71</v>
      </c>
      <c r="F12" s="120" t="s">
        <v>72</v>
      </c>
      <c r="G12" s="120" t="s">
        <v>73</v>
      </c>
      <c r="H12" s="120"/>
      <c r="I12" s="120" t="s">
        <v>74</v>
      </c>
      <c r="J12" s="133">
        <v>178</v>
      </c>
      <c r="K12" s="134">
        <f t="shared" si="0"/>
        <v>142.4</v>
      </c>
      <c r="L12" s="135">
        <f>VLOOKUP(C12,[9]基础资料!$B:$G,6,0)</f>
        <v>0.8</v>
      </c>
      <c r="M12" s="140"/>
      <c r="N12" s="137">
        <f t="shared" si="1"/>
        <v>640.8</v>
      </c>
      <c r="O12" s="138">
        <f>VLOOKUP(C12,[9]基础资料!$B:$H,7,0)</f>
        <v>3.6</v>
      </c>
      <c r="P12" s="139">
        <f t="shared" si="6"/>
        <v>178</v>
      </c>
      <c r="Q12" s="159">
        <v>43874</v>
      </c>
      <c r="R12" s="162">
        <f t="shared" si="3"/>
        <v>0</v>
      </c>
      <c r="S12" s="125"/>
      <c r="T12" s="156">
        <f t="shared" si="4"/>
        <v>0</v>
      </c>
      <c r="U12" s="161">
        <v>44348</v>
      </c>
      <c r="V12" s="106">
        <f t="shared" si="5"/>
        <v>0</v>
      </c>
    </row>
    <row r="13" s="106" customFormat="1" ht="13.8" spans="1:22">
      <c r="A13" s="120">
        <v>44208</v>
      </c>
      <c r="B13" s="120" t="s">
        <v>71</v>
      </c>
      <c r="C13" s="14" t="s">
        <v>8</v>
      </c>
      <c r="D13" s="14"/>
      <c r="E13" s="120" t="s">
        <v>71</v>
      </c>
      <c r="F13" s="120" t="s">
        <v>72</v>
      </c>
      <c r="G13" s="120" t="s">
        <v>73</v>
      </c>
      <c r="H13" s="120"/>
      <c r="I13" s="120" t="s">
        <v>74</v>
      </c>
      <c r="J13" s="133">
        <v>3</v>
      </c>
      <c r="K13" s="134">
        <f t="shared" si="0"/>
        <v>3</v>
      </c>
      <c r="L13" s="135">
        <f>VLOOKUP(C13,[9]基础资料!$B:$G,6,0)</f>
        <v>1</v>
      </c>
      <c r="M13" s="140"/>
      <c r="N13" s="137">
        <f t="shared" si="1"/>
        <v>13.5</v>
      </c>
      <c r="O13" s="138">
        <f>VLOOKUP(C13,[9]基础资料!$B:$H,7,0)</f>
        <v>4.5</v>
      </c>
      <c r="P13" s="139">
        <f t="shared" si="6"/>
        <v>3</v>
      </c>
      <c r="Q13" s="159">
        <v>43874</v>
      </c>
      <c r="R13" s="162">
        <f t="shared" si="3"/>
        <v>0</v>
      </c>
      <c r="S13" s="125"/>
      <c r="T13" s="156">
        <f t="shared" si="4"/>
        <v>0</v>
      </c>
      <c r="U13" s="161">
        <v>44378</v>
      </c>
      <c r="V13" s="106">
        <f t="shared" si="5"/>
        <v>0</v>
      </c>
    </row>
    <row r="14" s="106" customFormat="1" ht="13.8" spans="1:20">
      <c r="A14" s="121"/>
      <c r="B14" s="121" t="s">
        <v>77</v>
      </c>
      <c r="C14" s="122"/>
      <c r="D14" s="122"/>
      <c r="E14" s="121"/>
      <c r="F14" s="121"/>
      <c r="G14" s="121"/>
      <c r="H14" s="121"/>
      <c r="I14" s="121"/>
      <c r="J14" s="141">
        <f t="shared" ref="J14:N14" si="7">SUM(J7:J13)</f>
        <v>5073</v>
      </c>
      <c r="K14" s="142">
        <f t="shared" si="7"/>
        <v>14002.15</v>
      </c>
      <c r="L14" s="142"/>
      <c r="M14" s="143">
        <f>M7</f>
        <v>69626.59</v>
      </c>
      <c r="N14" s="144">
        <f t="shared" si="7"/>
        <v>69626.59</v>
      </c>
      <c r="O14" s="145"/>
      <c r="P14" s="146">
        <f>SUM(P7:P13)</f>
        <v>5073</v>
      </c>
      <c r="Q14" s="163"/>
      <c r="R14" s="144">
        <f>SUM(R7:R12)</f>
        <v>0</v>
      </c>
      <c r="S14" s="142"/>
      <c r="T14" s="156">
        <f t="shared" si="4"/>
        <v>0</v>
      </c>
    </row>
    <row r="15" s="106" customFormat="1" ht="13.8" spans="1:20">
      <c r="A15" s="120">
        <v>44211</v>
      </c>
      <c r="B15" s="120" t="s">
        <v>71</v>
      </c>
      <c r="C15" s="14" t="s">
        <v>6</v>
      </c>
      <c r="D15" s="14"/>
      <c r="E15" s="120" t="s">
        <v>71</v>
      </c>
      <c r="F15" s="120" t="s">
        <v>72</v>
      </c>
      <c r="G15" s="120" t="s">
        <v>73</v>
      </c>
      <c r="H15" s="120"/>
      <c r="I15" s="120" t="s">
        <v>78</v>
      </c>
      <c r="J15" s="147">
        <v>580</v>
      </c>
      <c r="K15" s="134">
        <f t="shared" ref="K15:K20" si="8">J15*L15</f>
        <v>904.8</v>
      </c>
      <c r="L15" s="135">
        <f>VLOOKUP(C15,[9]基础资料!$B:$G,6,0)</f>
        <v>1.56</v>
      </c>
      <c r="M15" s="148">
        <f>N21</f>
        <v>28385.4</v>
      </c>
      <c r="N15" s="137">
        <f t="shared" ref="N15:N20" si="9">O15*J15</f>
        <v>4524</v>
      </c>
      <c r="O15" s="138">
        <f>VLOOKUP(C15,[9]基础资料!$B:$H,7,0)</f>
        <v>7.8</v>
      </c>
      <c r="P15" s="139">
        <f t="shared" ref="P15:P18" si="10">J15</f>
        <v>580</v>
      </c>
      <c r="Q15" s="159">
        <v>43882</v>
      </c>
      <c r="R15" s="162">
        <f t="shared" ref="R15:R20" si="11">J15-P15</f>
        <v>0</v>
      </c>
      <c r="S15" s="134"/>
      <c r="T15" s="156">
        <f t="shared" si="4"/>
        <v>0</v>
      </c>
    </row>
    <row r="16" s="106" customFormat="1" ht="13.8" spans="1:20">
      <c r="A16" s="120">
        <v>44211</v>
      </c>
      <c r="B16" s="120" t="s">
        <v>71</v>
      </c>
      <c r="C16" s="14" t="s">
        <v>9</v>
      </c>
      <c r="D16" s="14"/>
      <c r="E16" s="120" t="s">
        <v>71</v>
      </c>
      <c r="F16" s="120" t="s">
        <v>72</v>
      </c>
      <c r="G16" s="120" t="s">
        <v>73</v>
      </c>
      <c r="H16" s="120"/>
      <c r="I16" s="120" t="s">
        <v>78</v>
      </c>
      <c r="J16" s="147">
        <v>744</v>
      </c>
      <c r="K16" s="134">
        <f t="shared" si="8"/>
        <v>3117.36</v>
      </c>
      <c r="L16" s="135">
        <f>VLOOKUP(C16,[9]基础资料!$B:$G,6,0)</f>
        <v>4.19</v>
      </c>
      <c r="M16" s="148"/>
      <c r="N16" s="137">
        <f t="shared" si="9"/>
        <v>15586.8</v>
      </c>
      <c r="O16" s="138">
        <f>VLOOKUP(C16,[9]基础资料!$B:$H,7,0)</f>
        <v>20.95</v>
      </c>
      <c r="P16" s="139">
        <f t="shared" si="10"/>
        <v>744</v>
      </c>
      <c r="Q16" s="159">
        <v>43882</v>
      </c>
      <c r="R16" s="162">
        <f t="shared" si="11"/>
        <v>0</v>
      </c>
      <c r="S16" s="134"/>
      <c r="T16" s="156">
        <f t="shared" si="4"/>
        <v>0</v>
      </c>
    </row>
    <row r="17" s="106" customFormat="1" ht="13.8" spans="1:20">
      <c r="A17" s="120">
        <v>44211</v>
      </c>
      <c r="B17" s="120" t="s">
        <v>71</v>
      </c>
      <c r="C17" s="14" t="s">
        <v>10</v>
      </c>
      <c r="D17" s="14"/>
      <c r="E17" s="120" t="s">
        <v>71</v>
      </c>
      <c r="F17" s="120" t="s">
        <v>72</v>
      </c>
      <c r="G17" s="120" t="s">
        <v>73</v>
      </c>
      <c r="H17" s="120"/>
      <c r="I17" s="120" t="s">
        <v>78</v>
      </c>
      <c r="J17" s="149">
        <v>354</v>
      </c>
      <c r="K17" s="134">
        <f t="shared" si="8"/>
        <v>814.2</v>
      </c>
      <c r="L17" s="135">
        <f>VLOOKUP(C17,[9]基础资料!$B:$G,6,0)</f>
        <v>2.3</v>
      </c>
      <c r="M17" s="150"/>
      <c r="N17" s="137">
        <f t="shared" si="9"/>
        <v>4071</v>
      </c>
      <c r="O17" s="138">
        <f>VLOOKUP(C17,[9]基础资料!$B:$H,7,0)</f>
        <v>11.5</v>
      </c>
      <c r="P17" s="139">
        <f t="shared" si="10"/>
        <v>354</v>
      </c>
      <c r="Q17" s="159">
        <v>43882</v>
      </c>
      <c r="R17" s="162">
        <f t="shared" si="11"/>
        <v>0</v>
      </c>
      <c r="S17" s="134"/>
      <c r="T17" s="156">
        <f t="shared" si="4"/>
        <v>0</v>
      </c>
    </row>
    <row r="18" s="106" customFormat="1" ht="13.8" spans="1:20">
      <c r="A18" s="120">
        <v>44211</v>
      </c>
      <c r="B18" s="120" t="s">
        <v>71</v>
      </c>
      <c r="C18" s="14" t="s">
        <v>14</v>
      </c>
      <c r="D18" s="14"/>
      <c r="E18" s="120" t="s">
        <v>71</v>
      </c>
      <c r="F18" s="120" t="s">
        <v>72</v>
      </c>
      <c r="G18" s="120" t="s">
        <v>73</v>
      </c>
      <c r="H18" s="120"/>
      <c r="I18" s="120" t="s">
        <v>78</v>
      </c>
      <c r="J18" s="149">
        <v>24</v>
      </c>
      <c r="K18" s="134">
        <f t="shared" si="8"/>
        <v>81.6</v>
      </c>
      <c r="L18" s="135">
        <f>VLOOKUP(C18,[9]基础资料!$B:$G,6,0)</f>
        <v>3.4</v>
      </c>
      <c r="M18" s="150"/>
      <c r="N18" s="137">
        <f t="shared" si="9"/>
        <v>489.6</v>
      </c>
      <c r="O18" s="138">
        <f>VLOOKUP(C18,[9]基础资料!$B:$H,7,0)</f>
        <v>20.4</v>
      </c>
      <c r="P18" s="139">
        <f t="shared" si="10"/>
        <v>24</v>
      </c>
      <c r="Q18" s="159">
        <v>43882</v>
      </c>
      <c r="R18" s="162">
        <f t="shared" si="11"/>
        <v>0</v>
      </c>
      <c r="S18" s="134"/>
      <c r="T18" s="156">
        <f t="shared" si="4"/>
        <v>0</v>
      </c>
    </row>
    <row r="19" s="106" customFormat="1" ht="13.8" spans="1:20">
      <c r="A19" s="120">
        <v>44211</v>
      </c>
      <c r="B19" s="120" t="s">
        <v>71</v>
      </c>
      <c r="C19" s="14" t="s">
        <v>10</v>
      </c>
      <c r="D19" s="14"/>
      <c r="E19" s="120" t="s">
        <v>71</v>
      </c>
      <c r="F19" s="120" t="s">
        <v>72</v>
      </c>
      <c r="G19" s="120" t="s">
        <v>73</v>
      </c>
      <c r="H19" s="120"/>
      <c r="I19" s="120" t="s">
        <v>78</v>
      </c>
      <c r="J19" s="149">
        <v>300</v>
      </c>
      <c r="K19" s="134">
        <f t="shared" si="8"/>
        <v>690</v>
      </c>
      <c r="L19" s="135">
        <f>VLOOKUP(C19,[9]基础资料!$B:$G,6,0)</f>
        <v>2.3</v>
      </c>
      <c r="M19" s="150"/>
      <c r="N19" s="137">
        <f t="shared" si="9"/>
        <v>3450</v>
      </c>
      <c r="O19" s="138">
        <f>VLOOKUP(C19,[9]基础资料!$B:$H,7,0)</f>
        <v>11.5</v>
      </c>
      <c r="P19" s="139">
        <v>200</v>
      </c>
      <c r="Q19" s="159">
        <v>43882</v>
      </c>
      <c r="R19" s="162">
        <f t="shared" si="11"/>
        <v>100</v>
      </c>
      <c r="S19" s="134"/>
      <c r="T19" s="156">
        <f t="shared" si="4"/>
        <v>100</v>
      </c>
    </row>
    <row r="20" s="106" customFormat="1" ht="13.8" spans="1:20">
      <c r="A20" s="120">
        <v>44211</v>
      </c>
      <c r="B20" s="120" t="s">
        <v>71</v>
      </c>
      <c r="C20" s="14" t="s">
        <v>16</v>
      </c>
      <c r="D20" s="14"/>
      <c r="E20" s="120" t="s">
        <v>71</v>
      </c>
      <c r="F20" s="120" t="s">
        <v>72</v>
      </c>
      <c r="G20" s="120" t="s">
        <v>73</v>
      </c>
      <c r="H20" s="120"/>
      <c r="I20" s="120" t="s">
        <v>78</v>
      </c>
      <c r="J20" s="149">
        <v>48</v>
      </c>
      <c r="K20" s="134">
        <f t="shared" si="8"/>
        <v>52.8</v>
      </c>
      <c r="L20" s="135">
        <f>VLOOKUP(C20,[9]基础资料!$B:$G,6,0)</f>
        <v>1.1</v>
      </c>
      <c r="M20" s="150"/>
      <c r="N20" s="137">
        <f t="shared" si="9"/>
        <v>264</v>
      </c>
      <c r="O20" s="138">
        <f>VLOOKUP(C20,[9]基础资料!$B:$H,7,0)</f>
        <v>5.5</v>
      </c>
      <c r="P20" s="139">
        <f t="shared" ref="P20:P25" si="12">J20</f>
        <v>48</v>
      </c>
      <c r="Q20" s="159">
        <v>43882</v>
      </c>
      <c r="R20" s="162">
        <f t="shared" si="11"/>
        <v>0</v>
      </c>
      <c r="S20" s="134"/>
      <c r="T20" s="156">
        <f t="shared" si="4"/>
        <v>0</v>
      </c>
    </row>
    <row r="21" s="106" customFormat="1" ht="13.8" spans="1:20">
      <c r="A21" s="121"/>
      <c r="B21" s="121" t="s">
        <v>77</v>
      </c>
      <c r="C21" s="122"/>
      <c r="D21" s="122"/>
      <c r="E21" s="121"/>
      <c r="F21" s="121"/>
      <c r="G21" s="121"/>
      <c r="H21" s="121"/>
      <c r="I21" s="121"/>
      <c r="J21" s="141">
        <f t="shared" ref="J21:N21" si="13">SUM(J15:J20)</f>
        <v>2050</v>
      </c>
      <c r="K21" s="141">
        <f t="shared" si="13"/>
        <v>5660.76</v>
      </c>
      <c r="L21" s="141"/>
      <c r="M21" s="143">
        <f>M15</f>
        <v>28385.4</v>
      </c>
      <c r="N21" s="151">
        <f t="shared" si="13"/>
        <v>28385.4</v>
      </c>
      <c r="O21" s="145"/>
      <c r="P21" s="141">
        <f>SUM(P15:P20)</f>
        <v>1950</v>
      </c>
      <c r="Q21" s="163"/>
      <c r="R21" s="141">
        <f>SUM(R15:R20)</f>
        <v>100</v>
      </c>
      <c r="S21" s="142"/>
      <c r="T21" s="156">
        <f t="shared" si="4"/>
        <v>100</v>
      </c>
    </row>
    <row r="22" s="106" customFormat="1" ht="13.8" spans="1:20">
      <c r="A22" s="120">
        <v>44216</v>
      </c>
      <c r="B22" s="120" t="s">
        <v>71</v>
      </c>
      <c r="C22" s="14" t="s">
        <v>17</v>
      </c>
      <c r="D22" s="14"/>
      <c r="E22" s="120" t="s">
        <v>71</v>
      </c>
      <c r="F22" s="120" t="s">
        <v>72</v>
      </c>
      <c r="G22" s="120" t="s">
        <v>73</v>
      </c>
      <c r="H22" s="120"/>
      <c r="I22" s="120" t="s">
        <v>78</v>
      </c>
      <c r="J22" s="149">
        <v>31</v>
      </c>
      <c r="K22" s="134">
        <f t="shared" ref="K22:K27" si="14">J22*L22</f>
        <v>62</v>
      </c>
      <c r="L22" s="135">
        <f>VLOOKUP(C22,[9]基础资料!$B:$G,6,0)</f>
        <v>2</v>
      </c>
      <c r="M22" s="150">
        <f>N28</f>
        <v>9504.42</v>
      </c>
      <c r="N22" s="137">
        <f t="shared" ref="N22:N27" si="15">O22*J22</f>
        <v>310</v>
      </c>
      <c r="O22" s="138">
        <f>VLOOKUP(C22,[9]基础资料!$B:$H,7,0)</f>
        <v>10</v>
      </c>
      <c r="P22" s="139">
        <f t="shared" si="12"/>
        <v>31</v>
      </c>
      <c r="Q22" s="159">
        <v>43882</v>
      </c>
      <c r="R22" s="162">
        <f t="shared" ref="R22:R27" si="16">J22-P22</f>
        <v>0</v>
      </c>
      <c r="S22" s="134"/>
      <c r="T22" s="156">
        <f t="shared" si="4"/>
        <v>0</v>
      </c>
    </row>
    <row r="23" s="106" customFormat="1" ht="13.8" spans="1:20">
      <c r="A23" s="120">
        <v>44216</v>
      </c>
      <c r="B23" s="120" t="s">
        <v>71</v>
      </c>
      <c r="C23" s="14" t="s">
        <v>10</v>
      </c>
      <c r="D23" s="14"/>
      <c r="E23" s="120" t="s">
        <v>71</v>
      </c>
      <c r="F23" s="120" t="s">
        <v>72</v>
      </c>
      <c r="G23" s="120" t="s">
        <v>73</v>
      </c>
      <c r="H23" s="120"/>
      <c r="I23" s="120" t="s">
        <v>78</v>
      </c>
      <c r="J23" s="149">
        <v>190</v>
      </c>
      <c r="K23" s="134">
        <f t="shared" si="14"/>
        <v>437</v>
      </c>
      <c r="L23" s="135">
        <f>VLOOKUP(C23,[9]基础资料!$B:$G,6,0)</f>
        <v>2.3</v>
      </c>
      <c r="M23" s="150"/>
      <c r="N23" s="137">
        <f t="shared" si="15"/>
        <v>2185</v>
      </c>
      <c r="O23" s="138">
        <f>VLOOKUP(C23,[9]基础资料!$B:$H,7,0)</f>
        <v>11.5</v>
      </c>
      <c r="P23" s="139">
        <v>190</v>
      </c>
      <c r="Q23" s="159">
        <v>43882</v>
      </c>
      <c r="R23" s="162">
        <f t="shared" si="16"/>
        <v>0</v>
      </c>
      <c r="S23" s="134"/>
      <c r="T23" s="156">
        <f t="shared" si="4"/>
        <v>0</v>
      </c>
    </row>
    <row r="24" s="106" customFormat="1" ht="13.8" spans="1:21">
      <c r="A24" s="120">
        <v>44216</v>
      </c>
      <c r="B24" s="120" t="s">
        <v>71</v>
      </c>
      <c r="C24" s="14" t="s">
        <v>15</v>
      </c>
      <c r="D24" s="14"/>
      <c r="E24" s="120" t="s">
        <v>71</v>
      </c>
      <c r="F24" s="120" t="s">
        <v>72</v>
      </c>
      <c r="G24" s="120" t="s">
        <v>73</v>
      </c>
      <c r="H24" s="120"/>
      <c r="I24" s="120" t="s">
        <v>78</v>
      </c>
      <c r="J24" s="133">
        <v>19</v>
      </c>
      <c r="K24" s="134">
        <f t="shared" si="14"/>
        <v>47.5</v>
      </c>
      <c r="L24" s="135">
        <f>VLOOKUP(C24,[9]基础资料!$B:$G,6,0)</f>
        <v>2.5</v>
      </c>
      <c r="M24" s="150"/>
      <c r="N24" s="137">
        <f t="shared" si="15"/>
        <v>237.5</v>
      </c>
      <c r="O24" s="138">
        <f>VLOOKUP(C24,[9]基础资料!$B:$H,7,0)</f>
        <v>12.5</v>
      </c>
      <c r="P24" s="139">
        <f t="shared" si="12"/>
        <v>19</v>
      </c>
      <c r="Q24" s="159">
        <v>43874</v>
      </c>
      <c r="R24" s="162">
        <f t="shared" si="16"/>
        <v>0</v>
      </c>
      <c r="S24" s="125"/>
      <c r="T24" s="156">
        <f t="shared" si="4"/>
        <v>0</v>
      </c>
      <c r="U24" s="161"/>
    </row>
    <row r="25" s="106" customFormat="1" ht="13.8" spans="1:21">
      <c r="A25" s="120">
        <v>44216</v>
      </c>
      <c r="B25" s="120" t="s">
        <v>71</v>
      </c>
      <c r="C25" s="14" t="s">
        <v>10</v>
      </c>
      <c r="D25" s="14"/>
      <c r="E25" s="120" t="s">
        <v>71</v>
      </c>
      <c r="F25" s="120" t="s">
        <v>72</v>
      </c>
      <c r="G25" s="120" t="s">
        <v>73</v>
      </c>
      <c r="H25" s="120"/>
      <c r="I25" s="120" t="s">
        <v>78</v>
      </c>
      <c r="J25" s="133">
        <v>380</v>
      </c>
      <c r="K25" s="134">
        <f t="shared" si="14"/>
        <v>874</v>
      </c>
      <c r="L25" s="135">
        <f>VLOOKUP(C25,[9]基础资料!$B:$G,6,0)</f>
        <v>2.3</v>
      </c>
      <c r="M25" s="150"/>
      <c r="N25" s="137">
        <f t="shared" si="15"/>
        <v>4370</v>
      </c>
      <c r="O25" s="138">
        <f>VLOOKUP(C25,[9]基础资料!$B:$H,7,0)</f>
        <v>11.5</v>
      </c>
      <c r="P25" s="139">
        <f t="shared" si="12"/>
        <v>380</v>
      </c>
      <c r="Q25" s="159">
        <v>43874</v>
      </c>
      <c r="R25" s="162">
        <f t="shared" si="16"/>
        <v>0</v>
      </c>
      <c r="S25" s="125"/>
      <c r="T25" s="156">
        <f t="shared" si="4"/>
        <v>0</v>
      </c>
      <c r="U25" s="161"/>
    </row>
    <row r="26" s="106" customFormat="1" ht="13.8" spans="1:20">
      <c r="A26" s="120">
        <v>44216</v>
      </c>
      <c r="B26" s="120" t="s">
        <v>71</v>
      </c>
      <c r="C26" s="14" t="s">
        <v>7</v>
      </c>
      <c r="D26" s="14"/>
      <c r="E26" s="120" t="s">
        <v>71</v>
      </c>
      <c r="F26" s="120" t="s">
        <v>72</v>
      </c>
      <c r="G26" s="120" t="s">
        <v>73</v>
      </c>
      <c r="H26" s="120"/>
      <c r="I26" s="120" t="s">
        <v>78</v>
      </c>
      <c r="J26" s="133">
        <v>109</v>
      </c>
      <c r="K26" s="134">
        <f t="shared" si="14"/>
        <v>69.76</v>
      </c>
      <c r="L26" s="135">
        <f>VLOOKUP(C26,[9]基础资料!$B:$G,6,0)</f>
        <v>0.64</v>
      </c>
      <c r="M26" s="150"/>
      <c r="N26" s="137">
        <f t="shared" si="15"/>
        <v>313.92</v>
      </c>
      <c r="O26" s="138">
        <f>VLOOKUP(C26,[9]基础资料!$B:$H,7,0)</f>
        <v>2.88</v>
      </c>
      <c r="P26" s="139">
        <v>109</v>
      </c>
      <c r="Q26" s="159">
        <v>43874</v>
      </c>
      <c r="R26" s="162">
        <f t="shared" si="16"/>
        <v>0</v>
      </c>
      <c r="S26" s="125"/>
      <c r="T26" s="156">
        <f t="shared" si="4"/>
        <v>0</v>
      </c>
    </row>
    <row r="27" s="106" customFormat="1" ht="13.8" spans="1:20">
      <c r="A27" s="120">
        <v>44216</v>
      </c>
      <c r="B27" s="120" t="s">
        <v>71</v>
      </c>
      <c r="C27" s="14" t="s">
        <v>7</v>
      </c>
      <c r="D27" s="14"/>
      <c r="E27" s="120" t="s">
        <v>71</v>
      </c>
      <c r="F27" s="120" t="s">
        <v>72</v>
      </c>
      <c r="G27" s="120" t="s">
        <v>73</v>
      </c>
      <c r="H27" s="120"/>
      <c r="I27" s="120" t="s">
        <v>78</v>
      </c>
      <c r="J27" s="133">
        <v>725</v>
      </c>
      <c r="K27" s="134">
        <f t="shared" si="14"/>
        <v>464</v>
      </c>
      <c r="L27" s="135">
        <f>VLOOKUP(C27,[9]基础资料!$B:$G,6,0)</f>
        <v>0.64</v>
      </c>
      <c r="M27" s="150"/>
      <c r="N27" s="137">
        <f t="shared" si="15"/>
        <v>2088</v>
      </c>
      <c r="O27" s="138">
        <f>VLOOKUP(C27,[9]基础资料!$B:$H,7,0)</f>
        <v>2.88</v>
      </c>
      <c r="P27" s="139">
        <f>J27</f>
        <v>725</v>
      </c>
      <c r="Q27" s="159">
        <v>43874</v>
      </c>
      <c r="R27" s="162">
        <f t="shared" si="16"/>
        <v>0</v>
      </c>
      <c r="S27" s="125" t="s">
        <v>76</v>
      </c>
      <c r="T27" s="156">
        <f t="shared" si="4"/>
        <v>0</v>
      </c>
    </row>
    <row r="28" s="106" customFormat="1" ht="13.8" spans="1:20">
      <c r="A28" s="121"/>
      <c r="B28" s="121" t="s">
        <v>77</v>
      </c>
      <c r="C28" s="122"/>
      <c r="D28" s="122"/>
      <c r="E28" s="121"/>
      <c r="F28" s="121"/>
      <c r="G28" s="121"/>
      <c r="H28" s="121"/>
      <c r="I28" s="121"/>
      <c r="J28" s="141">
        <f t="shared" ref="J28:N28" si="17">SUM(J22:J27)</f>
        <v>1454</v>
      </c>
      <c r="K28" s="141">
        <f t="shared" si="17"/>
        <v>1954.26</v>
      </c>
      <c r="L28" s="141"/>
      <c r="M28" s="141">
        <f t="shared" si="17"/>
        <v>9504.42</v>
      </c>
      <c r="N28" s="151">
        <f t="shared" si="17"/>
        <v>9504.42</v>
      </c>
      <c r="O28" s="145"/>
      <c r="P28" s="141">
        <f>SUM(P22:P27)</f>
        <v>1454</v>
      </c>
      <c r="Q28" s="163"/>
      <c r="R28" s="144">
        <f>SUM(R15:R23)</f>
        <v>200</v>
      </c>
      <c r="S28" s="142"/>
      <c r="T28" s="156">
        <f t="shared" si="4"/>
        <v>0</v>
      </c>
    </row>
    <row r="29" s="106" customFormat="1" ht="13.8" spans="1:20">
      <c r="A29" s="123"/>
      <c r="B29" s="124" t="s">
        <v>79</v>
      </c>
      <c r="C29" s="123"/>
      <c r="D29" s="123"/>
      <c r="E29" s="124"/>
      <c r="F29" s="124"/>
      <c r="G29" s="124"/>
      <c r="H29" s="124"/>
      <c r="I29" s="124"/>
      <c r="J29" s="152">
        <f>SUMIF($B$7:$B$28,"批次小计",J$7:J$28)</f>
        <v>8577</v>
      </c>
      <c r="K29" s="152">
        <f>SUMIF($B$7:$B$28,"批次小计",K$7:K$28)</f>
        <v>21617.17</v>
      </c>
      <c r="L29" s="152"/>
      <c r="M29" s="152">
        <f>M28+M21+M14</f>
        <v>107516.41</v>
      </c>
      <c r="N29" s="152">
        <f>SUMIF($B$7:$B$28,"批次小计",N$7:N$28)</f>
        <v>107516.41</v>
      </c>
      <c r="O29" s="153"/>
      <c r="P29" s="152">
        <f>SUMIF($B$7:$B$28,"批次小计",P$7:P$28)</f>
        <v>8477</v>
      </c>
      <c r="Q29" s="153"/>
      <c r="R29" s="152">
        <f>SUMIF($A$7:$A$28,"批次小计",R$7:R$28)</f>
        <v>0</v>
      </c>
      <c r="S29" s="153"/>
      <c r="T29" s="156">
        <f t="shared" si="4"/>
        <v>100</v>
      </c>
    </row>
    <row r="30" s="106" customFormat="1" ht="13.8" spans="1:20">
      <c r="A30" s="120">
        <v>44232</v>
      </c>
      <c r="B30" s="120" t="s">
        <v>71</v>
      </c>
      <c r="C30" s="14" t="s">
        <v>6</v>
      </c>
      <c r="D30" s="14"/>
      <c r="E30" s="120" t="s">
        <v>71</v>
      </c>
      <c r="F30" s="120" t="s">
        <v>72</v>
      </c>
      <c r="G30" s="120" t="s">
        <v>73</v>
      </c>
      <c r="H30" s="120"/>
      <c r="I30" s="120" t="s">
        <v>39</v>
      </c>
      <c r="J30" s="149">
        <v>2500</v>
      </c>
      <c r="K30" s="134">
        <f t="shared" ref="K30:K34" si="18">J30*L30</f>
        <v>3900</v>
      </c>
      <c r="L30" s="135">
        <f>VLOOKUP(C30,[9]基础资料!$B:$G,6,0)</f>
        <v>1.56</v>
      </c>
      <c r="M30" s="148">
        <f>N35</f>
        <v>27343.34</v>
      </c>
      <c r="N30" s="137">
        <f t="shared" ref="N30:N34" si="19">O30*J30</f>
        <v>19500</v>
      </c>
      <c r="O30" s="138">
        <f>VLOOKUP(C30,[9]基础资料!$B:$H,7,0)</f>
        <v>7.8</v>
      </c>
      <c r="P30" s="139"/>
      <c r="Q30" s="155"/>
      <c r="R30" s="162">
        <f t="shared" ref="R30:R34" si="20">J30-P30</f>
        <v>2500</v>
      </c>
      <c r="S30" s="134" t="s">
        <v>80</v>
      </c>
      <c r="T30" s="156">
        <f t="shared" si="4"/>
        <v>2500</v>
      </c>
    </row>
    <row r="31" s="106" customFormat="1" ht="13.8" spans="1:20">
      <c r="A31" s="120">
        <v>44232</v>
      </c>
      <c r="B31" s="120" t="s">
        <v>71</v>
      </c>
      <c r="C31" s="14" t="s">
        <v>7</v>
      </c>
      <c r="D31" s="14"/>
      <c r="E31" s="120" t="s">
        <v>71</v>
      </c>
      <c r="F31" s="120" t="s">
        <v>72</v>
      </c>
      <c r="G31" s="120" t="s">
        <v>73</v>
      </c>
      <c r="H31" s="120"/>
      <c r="I31" s="120" t="s">
        <v>39</v>
      </c>
      <c r="J31" s="37">
        <v>50</v>
      </c>
      <c r="K31" s="134">
        <f t="shared" si="18"/>
        <v>32</v>
      </c>
      <c r="L31" s="135">
        <f>VLOOKUP(C31,[9]基础资料!$B:$G,6,0)</f>
        <v>0.64</v>
      </c>
      <c r="M31" s="150"/>
      <c r="N31" s="137">
        <f t="shared" si="19"/>
        <v>144</v>
      </c>
      <c r="O31" s="138">
        <f>VLOOKUP(C31,[9]基础资料!$B:$H,7,0)</f>
        <v>2.88</v>
      </c>
      <c r="P31" s="139"/>
      <c r="Q31" s="155"/>
      <c r="R31" s="162">
        <f t="shared" si="20"/>
        <v>50</v>
      </c>
      <c r="S31" s="134" t="s">
        <v>80</v>
      </c>
      <c r="T31" s="156">
        <f t="shared" si="4"/>
        <v>50</v>
      </c>
    </row>
    <row r="32" s="106" customFormat="1" ht="13.8" spans="1:20">
      <c r="A32" s="120">
        <v>44232</v>
      </c>
      <c r="B32" s="120" t="s">
        <v>71</v>
      </c>
      <c r="C32" s="14" t="s">
        <v>7</v>
      </c>
      <c r="D32" s="14"/>
      <c r="E32" s="120" t="s">
        <v>71</v>
      </c>
      <c r="F32" s="120" t="s">
        <v>72</v>
      </c>
      <c r="G32" s="120" t="s">
        <v>73</v>
      </c>
      <c r="H32" s="120"/>
      <c r="I32" s="120" t="s">
        <v>39</v>
      </c>
      <c r="J32" s="133">
        <v>268</v>
      </c>
      <c r="K32" s="134">
        <f t="shared" si="18"/>
        <v>171.52</v>
      </c>
      <c r="L32" s="135">
        <f>VLOOKUP(C32,[9]基础资料!$B:$G,6,0)</f>
        <v>0.64</v>
      </c>
      <c r="M32" s="150"/>
      <c r="N32" s="137">
        <f t="shared" si="19"/>
        <v>771.84</v>
      </c>
      <c r="O32" s="138">
        <f>VLOOKUP(C32,[9]基础资料!$B:$H,7,0)</f>
        <v>2.88</v>
      </c>
      <c r="P32" s="139"/>
      <c r="Q32" s="155"/>
      <c r="R32" s="162">
        <f t="shared" si="20"/>
        <v>268</v>
      </c>
      <c r="S32" s="134" t="s">
        <v>80</v>
      </c>
      <c r="T32" s="156">
        <f t="shared" si="4"/>
        <v>268</v>
      </c>
    </row>
    <row r="33" s="106" customFormat="1" ht="13.8" spans="1:20">
      <c r="A33" s="120">
        <v>44232</v>
      </c>
      <c r="B33" s="120" t="s">
        <v>71</v>
      </c>
      <c r="C33" s="14" t="s">
        <v>10</v>
      </c>
      <c r="D33" s="14"/>
      <c r="E33" s="120" t="s">
        <v>71</v>
      </c>
      <c r="F33" s="120" t="s">
        <v>72</v>
      </c>
      <c r="G33" s="120" t="s">
        <v>73</v>
      </c>
      <c r="H33" s="120"/>
      <c r="I33" s="120" t="s">
        <v>39</v>
      </c>
      <c r="J33" s="133">
        <v>155</v>
      </c>
      <c r="K33" s="134">
        <f t="shared" si="18"/>
        <v>356.5</v>
      </c>
      <c r="L33" s="135">
        <f>VLOOKUP(C33,[9]基础资料!$B:$G,6,0)</f>
        <v>2.3</v>
      </c>
      <c r="M33" s="150"/>
      <c r="N33" s="137">
        <f t="shared" si="19"/>
        <v>1782.5</v>
      </c>
      <c r="O33" s="138">
        <f>VLOOKUP(C33,[9]基础资料!$B:$H,7,0)</f>
        <v>11.5</v>
      </c>
      <c r="P33" s="139"/>
      <c r="Q33" s="155"/>
      <c r="R33" s="162">
        <f t="shared" si="20"/>
        <v>155</v>
      </c>
      <c r="S33" s="134" t="s">
        <v>80</v>
      </c>
      <c r="T33" s="156">
        <f t="shared" si="4"/>
        <v>155</v>
      </c>
    </row>
    <row r="34" s="106" customFormat="1" ht="13.8" spans="1:20">
      <c r="A34" s="120">
        <v>44232</v>
      </c>
      <c r="B34" s="120" t="s">
        <v>71</v>
      </c>
      <c r="C34" s="14" t="s">
        <v>11</v>
      </c>
      <c r="D34" s="14"/>
      <c r="E34" s="120" t="s">
        <v>71</v>
      </c>
      <c r="F34" s="120" t="s">
        <v>72</v>
      </c>
      <c r="G34" s="120" t="s">
        <v>73</v>
      </c>
      <c r="H34" s="120"/>
      <c r="I34" s="120" t="s">
        <v>39</v>
      </c>
      <c r="J34" s="133">
        <v>490</v>
      </c>
      <c r="K34" s="134">
        <f t="shared" si="18"/>
        <v>1029</v>
      </c>
      <c r="L34" s="135">
        <f>VLOOKUP(C34,[9]基础资料!$B:$G,6,0)</f>
        <v>2.1</v>
      </c>
      <c r="M34" s="150"/>
      <c r="N34" s="137">
        <f t="shared" si="19"/>
        <v>5145</v>
      </c>
      <c r="O34" s="138">
        <f>VLOOKUP(C34,[9]基础资料!$B:$H,7,0)</f>
        <v>10.5</v>
      </c>
      <c r="P34" s="139"/>
      <c r="Q34" s="155"/>
      <c r="R34" s="162">
        <f t="shared" si="20"/>
        <v>490</v>
      </c>
      <c r="S34" s="134" t="s">
        <v>80</v>
      </c>
      <c r="T34" s="156">
        <f t="shared" si="4"/>
        <v>490</v>
      </c>
    </row>
    <row r="35" s="106" customFormat="1" ht="13.8" spans="1:20">
      <c r="A35" s="122"/>
      <c r="B35" s="121" t="s">
        <v>77</v>
      </c>
      <c r="C35" s="122"/>
      <c r="D35" s="122"/>
      <c r="E35" s="121"/>
      <c r="F35" s="121"/>
      <c r="G35" s="121"/>
      <c r="H35" s="121"/>
      <c r="I35" s="121"/>
      <c r="J35" s="141">
        <f t="shared" ref="J35:N35" si="21">SUM(J30:J34)</f>
        <v>3463</v>
      </c>
      <c r="K35" s="141">
        <f t="shared" si="21"/>
        <v>5489.02</v>
      </c>
      <c r="L35" s="141"/>
      <c r="M35" s="143">
        <f>M30</f>
        <v>27343.34</v>
      </c>
      <c r="N35" s="151">
        <f t="shared" si="21"/>
        <v>27343.34</v>
      </c>
      <c r="O35" s="142"/>
      <c r="P35" s="141">
        <f>SUM(P30:P34)</f>
        <v>0</v>
      </c>
      <c r="Q35" s="163"/>
      <c r="R35" s="141">
        <f>SUM(R30:R34)</f>
        <v>3463</v>
      </c>
      <c r="S35" s="142"/>
      <c r="T35" s="156">
        <f t="shared" si="4"/>
        <v>3463</v>
      </c>
    </row>
    <row r="36" s="106" customFormat="1" ht="13.8" spans="1:20">
      <c r="A36" s="120">
        <v>44242</v>
      </c>
      <c r="B36" s="120" t="s">
        <v>71</v>
      </c>
      <c r="C36" s="14" t="s">
        <v>14</v>
      </c>
      <c r="D36" s="14"/>
      <c r="E36" s="120" t="s">
        <v>71</v>
      </c>
      <c r="F36" s="120" t="s">
        <v>72</v>
      </c>
      <c r="G36" s="120" t="s">
        <v>73</v>
      </c>
      <c r="H36" s="120"/>
      <c r="I36" s="120" t="s">
        <v>39</v>
      </c>
      <c r="J36" s="133">
        <v>90</v>
      </c>
      <c r="K36" s="134">
        <f t="shared" ref="K36:K42" si="22">J36*L36</f>
        <v>306</v>
      </c>
      <c r="L36" s="135">
        <f>VLOOKUP(C36,[9]基础资料!$B:$G,6,0)</f>
        <v>3.4</v>
      </c>
      <c r="M36" s="150">
        <f>N43</f>
        <v>9697.62</v>
      </c>
      <c r="N36" s="137">
        <f t="shared" ref="N36:N42" si="23">O36*J36</f>
        <v>1836</v>
      </c>
      <c r="O36" s="138">
        <f>VLOOKUP(C36,[9]基础资料!$B:$H,7,0)</f>
        <v>20.4</v>
      </c>
      <c r="P36" s="139"/>
      <c r="Q36" s="155"/>
      <c r="R36" s="162">
        <f t="shared" ref="R36:R42" si="24">J36-P36</f>
        <v>90</v>
      </c>
      <c r="S36" s="134" t="s">
        <v>80</v>
      </c>
      <c r="T36" s="156">
        <f t="shared" si="4"/>
        <v>90</v>
      </c>
    </row>
    <row r="37" s="106" customFormat="1" ht="13.8" spans="1:20">
      <c r="A37" s="120">
        <v>44242</v>
      </c>
      <c r="B37" s="120" t="s">
        <v>71</v>
      </c>
      <c r="C37" s="14" t="s">
        <v>15</v>
      </c>
      <c r="D37" s="14"/>
      <c r="E37" s="120" t="s">
        <v>71</v>
      </c>
      <c r="F37" s="120" t="s">
        <v>72</v>
      </c>
      <c r="G37" s="120" t="s">
        <v>73</v>
      </c>
      <c r="H37" s="120"/>
      <c r="I37" s="120" t="s">
        <v>39</v>
      </c>
      <c r="J37" s="133">
        <v>140</v>
      </c>
      <c r="K37" s="134">
        <f t="shared" si="22"/>
        <v>350</v>
      </c>
      <c r="L37" s="135">
        <f>VLOOKUP(C37,[9]基础资料!$B:$G,6,0)</f>
        <v>2.5</v>
      </c>
      <c r="M37" s="150"/>
      <c r="N37" s="137">
        <f t="shared" si="23"/>
        <v>1750</v>
      </c>
      <c r="O37" s="138">
        <f>VLOOKUP(C37,[9]基础资料!$B:$H,7,0)</f>
        <v>12.5</v>
      </c>
      <c r="P37" s="139"/>
      <c r="Q37" s="155"/>
      <c r="R37" s="162">
        <f t="shared" si="24"/>
        <v>140</v>
      </c>
      <c r="S37" s="134" t="s">
        <v>80</v>
      </c>
      <c r="T37" s="156">
        <f t="shared" si="4"/>
        <v>140</v>
      </c>
    </row>
    <row r="38" s="106" customFormat="1" ht="13.8" spans="1:20">
      <c r="A38" s="120">
        <v>44242</v>
      </c>
      <c r="B38" s="120" t="s">
        <v>71</v>
      </c>
      <c r="C38" s="14" t="s">
        <v>16</v>
      </c>
      <c r="D38" s="14"/>
      <c r="E38" s="120" t="s">
        <v>71</v>
      </c>
      <c r="F38" s="120" t="s">
        <v>72</v>
      </c>
      <c r="G38" s="120" t="s">
        <v>73</v>
      </c>
      <c r="H38" s="120"/>
      <c r="I38" s="120" t="s">
        <v>39</v>
      </c>
      <c r="J38" s="133">
        <v>290</v>
      </c>
      <c r="K38" s="134">
        <f t="shared" si="22"/>
        <v>319</v>
      </c>
      <c r="L38" s="135">
        <f>VLOOKUP(C38,[9]基础资料!$B:$G,6,0)</f>
        <v>1.1</v>
      </c>
      <c r="M38" s="150"/>
      <c r="N38" s="137">
        <f t="shared" si="23"/>
        <v>1595</v>
      </c>
      <c r="O38" s="138">
        <f>VLOOKUP(C38,[9]基础资料!$B:$H,7,0)</f>
        <v>5.5</v>
      </c>
      <c r="P38" s="139"/>
      <c r="Q38" s="155"/>
      <c r="R38" s="162">
        <f t="shared" si="24"/>
        <v>290</v>
      </c>
      <c r="S38" s="134" t="s">
        <v>80</v>
      </c>
      <c r="T38" s="156">
        <f t="shared" si="4"/>
        <v>290</v>
      </c>
    </row>
    <row r="39" s="106" customFormat="1" ht="13.8" spans="1:20">
      <c r="A39" s="120">
        <v>44242</v>
      </c>
      <c r="B39" s="120" t="s">
        <v>71</v>
      </c>
      <c r="C39" s="14" t="s">
        <v>10</v>
      </c>
      <c r="D39" s="14"/>
      <c r="E39" s="120" t="s">
        <v>71</v>
      </c>
      <c r="F39" s="120" t="s">
        <v>72</v>
      </c>
      <c r="G39" s="120" t="s">
        <v>73</v>
      </c>
      <c r="H39" s="120"/>
      <c r="I39" s="120" t="s">
        <v>39</v>
      </c>
      <c r="J39" s="133">
        <v>260</v>
      </c>
      <c r="K39" s="134">
        <f t="shared" si="22"/>
        <v>598</v>
      </c>
      <c r="L39" s="135">
        <f>VLOOKUP(C39,[9]基础资料!$B:$G,6,0)</f>
        <v>2.3</v>
      </c>
      <c r="M39" s="150"/>
      <c r="N39" s="137">
        <f t="shared" si="23"/>
        <v>2990</v>
      </c>
      <c r="O39" s="138">
        <f>VLOOKUP(C39,[9]基础资料!$B:$H,7,0)</f>
        <v>11.5</v>
      </c>
      <c r="P39" s="139"/>
      <c r="Q39" s="155"/>
      <c r="R39" s="162">
        <f t="shared" si="24"/>
        <v>260</v>
      </c>
      <c r="S39" s="134" t="s">
        <v>80</v>
      </c>
      <c r="T39" s="156">
        <f t="shared" si="4"/>
        <v>260</v>
      </c>
    </row>
    <row r="40" s="106" customFormat="1" ht="13.8" spans="1:20">
      <c r="A40" s="120">
        <v>44242</v>
      </c>
      <c r="B40" s="120" t="s">
        <v>71</v>
      </c>
      <c r="C40" s="14" t="s">
        <v>19</v>
      </c>
      <c r="D40" s="14"/>
      <c r="E40" s="120" t="s">
        <v>71</v>
      </c>
      <c r="F40" s="120" t="s">
        <v>72</v>
      </c>
      <c r="G40" s="120" t="s">
        <v>73</v>
      </c>
      <c r="H40" s="120"/>
      <c r="I40" s="120" t="s">
        <v>39</v>
      </c>
      <c r="J40" s="133">
        <v>45</v>
      </c>
      <c r="K40" s="134">
        <f t="shared" si="22"/>
        <v>27</v>
      </c>
      <c r="L40" s="135">
        <f>VLOOKUP(C40,[9]基础资料!$B:$G,6,0)</f>
        <v>0.6</v>
      </c>
      <c r="M40" s="150"/>
      <c r="N40" s="137">
        <f t="shared" si="23"/>
        <v>121.5</v>
      </c>
      <c r="O40" s="138">
        <f>VLOOKUP(C40,[9]基础资料!$B:$H,7,0)</f>
        <v>2.7</v>
      </c>
      <c r="P40" s="139"/>
      <c r="Q40" s="155"/>
      <c r="R40" s="162">
        <f t="shared" si="24"/>
        <v>45</v>
      </c>
      <c r="S40" s="134" t="s">
        <v>80</v>
      </c>
      <c r="T40" s="156">
        <f t="shared" si="4"/>
        <v>45</v>
      </c>
    </row>
    <row r="41" s="106" customFormat="1" ht="13.8" spans="1:20">
      <c r="A41" s="120">
        <v>44242</v>
      </c>
      <c r="B41" s="120" t="s">
        <v>71</v>
      </c>
      <c r="C41" s="14" t="s">
        <v>20</v>
      </c>
      <c r="D41" s="14"/>
      <c r="E41" s="120" t="s">
        <v>71</v>
      </c>
      <c r="F41" s="120" t="s">
        <v>72</v>
      </c>
      <c r="G41" s="120" t="s">
        <v>73</v>
      </c>
      <c r="H41" s="120"/>
      <c r="I41" s="120" t="s">
        <v>39</v>
      </c>
      <c r="J41" s="133">
        <v>140</v>
      </c>
      <c r="K41" s="134">
        <f t="shared" si="22"/>
        <v>224</v>
      </c>
      <c r="L41" s="135">
        <f>VLOOKUP(C41,[9]基础资料!$B:$G,6,0)</f>
        <v>1.6</v>
      </c>
      <c r="M41" s="150"/>
      <c r="N41" s="137">
        <f t="shared" si="23"/>
        <v>1120</v>
      </c>
      <c r="O41" s="138">
        <f>VLOOKUP(C41,[9]基础资料!$B:$H,7,0)</f>
        <v>8</v>
      </c>
      <c r="P41" s="139"/>
      <c r="Q41" s="155"/>
      <c r="R41" s="162">
        <f t="shared" si="24"/>
        <v>140</v>
      </c>
      <c r="S41" s="134" t="s">
        <v>80</v>
      </c>
      <c r="T41" s="156"/>
    </row>
    <row r="42" s="106" customFormat="1" ht="13.8" spans="1:20">
      <c r="A42" s="120">
        <v>44242</v>
      </c>
      <c r="B42" s="120" t="s">
        <v>71</v>
      </c>
      <c r="C42" s="14" t="s">
        <v>7</v>
      </c>
      <c r="D42" s="14"/>
      <c r="E42" s="120" t="s">
        <v>71</v>
      </c>
      <c r="F42" s="120" t="s">
        <v>72</v>
      </c>
      <c r="G42" s="120" t="s">
        <v>73</v>
      </c>
      <c r="H42" s="120"/>
      <c r="I42" s="120" t="s">
        <v>39</v>
      </c>
      <c r="J42" s="133">
        <v>99</v>
      </c>
      <c r="K42" s="134">
        <f t="shared" si="22"/>
        <v>63.36</v>
      </c>
      <c r="L42" s="135">
        <f>VLOOKUP(C42,[9]基础资料!$B:$G,6,0)</f>
        <v>0.64</v>
      </c>
      <c r="M42" s="154"/>
      <c r="N42" s="137">
        <f t="shared" si="23"/>
        <v>285.12</v>
      </c>
      <c r="O42" s="138">
        <f>VLOOKUP(C42,[9]基础资料!$B:$H,7,0)</f>
        <v>2.88</v>
      </c>
      <c r="P42" s="139"/>
      <c r="Q42" s="155"/>
      <c r="R42" s="162">
        <f t="shared" si="24"/>
        <v>99</v>
      </c>
      <c r="S42" s="134" t="s">
        <v>80</v>
      </c>
      <c r="T42" s="156"/>
    </row>
    <row r="43" s="106" customFormat="1" ht="13.8" spans="1:20">
      <c r="A43" s="122"/>
      <c r="B43" s="121" t="s">
        <v>77</v>
      </c>
      <c r="C43" s="122"/>
      <c r="D43" s="122"/>
      <c r="E43" s="121"/>
      <c r="F43" s="121"/>
      <c r="G43" s="121"/>
      <c r="H43" s="121"/>
      <c r="I43" s="121"/>
      <c r="J43" s="141">
        <f t="shared" ref="J43:N43" si="25">SUM(J36:J42)</f>
        <v>1064</v>
      </c>
      <c r="K43" s="141">
        <f t="shared" si="25"/>
        <v>1887.36</v>
      </c>
      <c r="L43" s="141"/>
      <c r="M43" s="141">
        <f>M36</f>
        <v>9697.62</v>
      </c>
      <c r="N43" s="151">
        <f t="shared" si="25"/>
        <v>9697.62</v>
      </c>
      <c r="O43" s="142"/>
      <c r="P43" s="141">
        <f>SUM(P36:P42)</f>
        <v>0</v>
      </c>
      <c r="Q43" s="163"/>
      <c r="R43" s="141">
        <f>SUM(R36:R42)</f>
        <v>1064</v>
      </c>
      <c r="S43" s="142"/>
      <c r="T43" s="156"/>
    </row>
    <row r="44" s="106" customFormat="1" ht="13.8" spans="1:20">
      <c r="A44" s="123"/>
      <c r="B44" s="124" t="s">
        <v>81</v>
      </c>
      <c r="C44" s="123"/>
      <c r="D44" s="123"/>
      <c r="E44" s="124"/>
      <c r="F44" s="124"/>
      <c r="G44" s="124"/>
      <c r="H44" s="124"/>
      <c r="I44" s="124"/>
      <c r="J44" s="152">
        <f>SUMIF($B$30:$B$43,"批次小计",J$30:J$43)</f>
        <v>4527</v>
      </c>
      <c r="K44" s="152">
        <f>SUMIF($B$30:$B$43,"批次小计",K$30:K$43)</f>
        <v>7376.38</v>
      </c>
      <c r="L44" s="152"/>
      <c r="M44" s="152">
        <f>SUMIF($B$30:$B$43,"批次小计",M$30:M$43)</f>
        <v>37040.96</v>
      </c>
      <c r="N44" s="152">
        <f>SUMIF($B$30:$B$43,"批次小计",N$30:N$43)</f>
        <v>37040.96</v>
      </c>
      <c r="O44" s="153"/>
      <c r="P44" s="152">
        <f>SUMIF($B$30:$B$43,"批次小计",P$30:P$43)</f>
        <v>0</v>
      </c>
      <c r="Q44" s="153"/>
      <c r="R44" s="152">
        <f>SUMIF($B$30:$B$43,"批次小计",R$30:R$43)</f>
        <v>4527</v>
      </c>
      <c r="S44" s="153"/>
      <c r="T44" s="156"/>
    </row>
    <row r="45" s="106" customFormat="1" ht="13.8" spans="1:19">
      <c r="A45" s="125"/>
      <c r="B45" s="125"/>
      <c r="C45" s="125"/>
      <c r="D45" s="125"/>
      <c r="E45" s="125"/>
      <c r="F45" s="125"/>
      <c r="G45" s="125"/>
      <c r="H45" s="125"/>
      <c r="I45" s="125"/>
      <c r="J45" s="133"/>
      <c r="K45" s="134"/>
      <c r="L45" s="134"/>
      <c r="M45" s="134"/>
      <c r="N45" s="134"/>
      <c r="O45" s="134"/>
      <c r="P45" s="155"/>
      <c r="Q45" s="155"/>
      <c r="R45" s="134"/>
      <c r="S45" s="134"/>
    </row>
    <row r="46" s="106" customFormat="1" ht="13.8" spans="1:19">
      <c r="A46" s="125"/>
      <c r="B46" s="125"/>
      <c r="C46" s="125"/>
      <c r="D46" s="125"/>
      <c r="E46" s="125"/>
      <c r="F46" s="125"/>
      <c r="G46" s="125"/>
      <c r="H46" s="125"/>
      <c r="I46" s="125"/>
      <c r="J46" s="133"/>
      <c r="K46" s="134"/>
      <c r="L46" s="134"/>
      <c r="M46" s="134"/>
      <c r="N46" s="134"/>
      <c r="O46" s="134"/>
      <c r="P46" s="155"/>
      <c r="Q46" s="155"/>
      <c r="R46" s="134"/>
      <c r="S46" s="134"/>
    </row>
    <row r="47" s="106" customFormat="1" ht="13.8" spans="1:19">
      <c r="A47" s="125"/>
      <c r="B47" s="125"/>
      <c r="C47" s="125"/>
      <c r="D47" s="125"/>
      <c r="E47" s="125"/>
      <c r="F47" s="125"/>
      <c r="G47" s="125"/>
      <c r="H47" s="125"/>
      <c r="I47" s="125"/>
      <c r="J47" s="133"/>
      <c r="K47" s="134"/>
      <c r="L47" s="134"/>
      <c r="M47" s="134"/>
      <c r="N47" s="134"/>
      <c r="O47" s="134"/>
      <c r="P47" s="155"/>
      <c r="Q47" s="155"/>
      <c r="R47" s="134"/>
      <c r="S47" s="134"/>
    </row>
    <row r="48" s="106" customFormat="1" ht="13.8" spans="1:19">
      <c r="A48" s="125"/>
      <c r="B48" s="125"/>
      <c r="C48" s="125"/>
      <c r="D48" s="125"/>
      <c r="E48" s="125"/>
      <c r="F48" s="125"/>
      <c r="G48" s="125"/>
      <c r="H48" s="125"/>
      <c r="I48" s="125"/>
      <c r="J48" s="133"/>
      <c r="K48" s="134"/>
      <c r="L48" s="134"/>
      <c r="M48" s="134"/>
      <c r="N48" s="134"/>
      <c r="O48" s="134"/>
      <c r="P48" s="155"/>
      <c r="Q48" s="155"/>
      <c r="R48" s="134"/>
      <c r="S48" s="134"/>
    </row>
    <row r="49" s="106" customFormat="1" ht="13.8" spans="1:19">
      <c r="A49" s="125"/>
      <c r="B49" s="125"/>
      <c r="C49" s="125"/>
      <c r="D49" s="125"/>
      <c r="E49" s="125"/>
      <c r="F49" s="125"/>
      <c r="G49" s="125"/>
      <c r="H49" s="125"/>
      <c r="I49" s="125"/>
      <c r="J49" s="133"/>
      <c r="K49" s="134"/>
      <c r="L49" s="134"/>
      <c r="M49" s="134"/>
      <c r="N49" s="134"/>
      <c r="O49" s="134"/>
      <c r="P49" s="155"/>
      <c r="Q49" s="155"/>
      <c r="R49" s="134"/>
      <c r="S49" s="134"/>
    </row>
    <row r="50" s="105" customFormat="1" spans="1:258">
      <c r="A50" s="125"/>
      <c r="B50" s="125"/>
      <c r="C50" s="125"/>
      <c r="D50" s="125"/>
      <c r="E50" s="125"/>
      <c r="F50" s="125"/>
      <c r="G50" s="125"/>
      <c r="H50" s="125"/>
      <c r="I50" s="125"/>
      <c r="J50" s="133"/>
      <c r="K50" s="134"/>
      <c r="L50" s="134"/>
      <c r="M50" s="134"/>
      <c r="N50" s="134"/>
      <c r="O50" s="134"/>
      <c r="P50" s="155"/>
      <c r="Q50" s="155"/>
      <c r="R50" s="134"/>
      <c r="S50" s="134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  <c r="AM50" s="106"/>
      <c r="AN50" s="106"/>
      <c r="AO50" s="106"/>
      <c r="AP50" s="106"/>
      <c r="AQ50" s="106"/>
      <c r="AR50" s="106"/>
      <c r="AS50" s="106"/>
      <c r="AT50" s="106"/>
      <c r="AU50" s="106"/>
      <c r="AV50" s="106"/>
      <c r="AW50" s="106"/>
      <c r="AX50" s="106"/>
      <c r="AY50" s="106"/>
      <c r="AZ50" s="106"/>
      <c r="BA50" s="106"/>
      <c r="BB50" s="106"/>
      <c r="BC50" s="106"/>
      <c r="BD50" s="106"/>
      <c r="BE50" s="106"/>
      <c r="BF50" s="106"/>
      <c r="BG50" s="106"/>
      <c r="BH50" s="106"/>
      <c r="BI50" s="106"/>
      <c r="BJ50" s="106"/>
      <c r="BK50" s="106"/>
      <c r="BL50" s="106"/>
      <c r="BM50" s="106"/>
      <c r="BN50" s="106"/>
      <c r="BO50" s="106"/>
      <c r="BP50" s="106"/>
      <c r="BQ50" s="106"/>
      <c r="BR50" s="106"/>
      <c r="BS50" s="106"/>
      <c r="BT50" s="106"/>
      <c r="BU50" s="106"/>
      <c r="BV50" s="106"/>
      <c r="BW50" s="106"/>
      <c r="BX50" s="106"/>
      <c r="BY50" s="106"/>
      <c r="BZ50" s="106"/>
      <c r="CA50" s="106"/>
      <c r="CB50" s="106"/>
      <c r="CC50" s="106"/>
      <c r="CD50" s="106"/>
      <c r="CE50" s="106"/>
      <c r="CF50" s="106"/>
      <c r="CG50" s="106"/>
      <c r="CH50" s="106"/>
      <c r="CI50" s="106"/>
      <c r="CJ50" s="106"/>
      <c r="CK50" s="106"/>
      <c r="CL50" s="106"/>
      <c r="CM50" s="106"/>
      <c r="CN50" s="106"/>
      <c r="CO50" s="106"/>
      <c r="CP50" s="106"/>
      <c r="CQ50" s="106"/>
      <c r="CR50" s="106"/>
      <c r="CS50" s="106"/>
      <c r="CT50" s="106"/>
      <c r="CU50" s="106"/>
      <c r="CV50" s="106"/>
      <c r="CW50" s="106"/>
      <c r="CX50" s="106"/>
      <c r="CY50" s="106"/>
      <c r="CZ50" s="106"/>
      <c r="DA50" s="106"/>
      <c r="DB50" s="106"/>
      <c r="DC50" s="106"/>
      <c r="DD50" s="106"/>
      <c r="DE50" s="106"/>
      <c r="DF50" s="106"/>
      <c r="DG50" s="106"/>
      <c r="DH50" s="106"/>
      <c r="DI50" s="106"/>
      <c r="DJ50" s="106"/>
      <c r="DK50" s="106"/>
      <c r="DL50" s="106"/>
      <c r="DM50" s="106"/>
      <c r="DN50" s="106"/>
      <c r="DO50" s="106"/>
      <c r="DP50" s="106"/>
      <c r="DQ50" s="106"/>
      <c r="DR50" s="106"/>
      <c r="DS50" s="106"/>
      <c r="DT50" s="106"/>
      <c r="DU50" s="106"/>
      <c r="DV50" s="106"/>
      <c r="DW50" s="106"/>
      <c r="DX50" s="106"/>
      <c r="DY50" s="106"/>
      <c r="DZ50" s="106"/>
      <c r="EA50" s="106"/>
      <c r="EB50" s="106"/>
      <c r="EC50" s="106"/>
      <c r="ED50" s="106"/>
      <c r="EE50" s="106"/>
      <c r="EF50" s="106"/>
      <c r="EG50" s="106"/>
      <c r="EH50" s="106"/>
      <c r="EI50" s="106"/>
      <c r="EJ50" s="106"/>
      <c r="EK50" s="106"/>
      <c r="EL50" s="106"/>
      <c r="EM50" s="106"/>
      <c r="EN50" s="106"/>
      <c r="EO50" s="106"/>
      <c r="EP50" s="106"/>
      <c r="EQ50" s="106"/>
      <c r="ER50" s="106"/>
      <c r="ES50" s="106"/>
      <c r="ET50" s="106"/>
      <c r="EU50" s="106"/>
      <c r="EV50" s="106"/>
      <c r="EW50" s="106"/>
      <c r="EX50" s="106"/>
      <c r="EY50" s="106"/>
      <c r="EZ50" s="106"/>
      <c r="FA50" s="106"/>
      <c r="FB50" s="106"/>
      <c r="FC50" s="106"/>
      <c r="FD50" s="106"/>
      <c r="FE50" s="106"/>
      <c r="FF50" s="106"/>
      <c r="FG50" s="106"/>
      <c r="FH50" s="106"/>
      <c r="FI50" s="106"/>
      <c r="FJ50" s="106"/>
      <c r="FK50" s="106"/>
      <c r="FL50" s="106"/>
      <c r="FM50" s="106"/>
      <c r="FN50" s="106"/>
      <c r="FO50" s="106"/>
      <c r="FP50" s="106"/>
      <c r="FQ50" s="106"/>
      <c r="FR50" s="106"/>
      <c r="FS50" s="106"/>
      <c r="FT50" s="106"/>
      <c r="FU50" s="106"/>
      <c r="FV50" s="106"/>
      <c r="FW50" s="106"/>
      <c r="FX50" s="106"/>
      <c r="FY50" s="106"/>
      <c r="FZ50" s="106"/>
      <c r="GA50" s="106"/>
      <c r="GB50" s="106"/>
      <c r="GC50" s="106"/>
      <c r="GD50" s="106"/>
      <c r="GE50" s="106"/>
      <c r="GF50" s="106"/>
      <c r="GG50" s="106"/>
      <c r="GH50" s="106"/>
      <c r="GI50" s="106"/>
      <c r="GJ50" s="106"/>
      <c r="GK50" s="106"/>
      <c r="GL50" s="106"/>
      <c r="GM50" s="106"/>
      <c r="GN50" s="106"/>
      <c r="GO50" s="106"/>
      <c r="GP50" s="106"/>
      <c r="GQ50" s="106"/>
      <c r="GR50" s="106"/>
      <c r="GS50" s="106"/>
      <c r="GT50" s="106"/>
      <c r="GU50" s="106"/>
      <c r="GV50" s="106"/>
      <c r="GW50" s="106"/>
      <c r="GX50" s="106"/>
      <c r="GY50" s="106"/>
      <c r="GZ50" s="106"/>
      <c r="HA50" s="106"/>
      <c r="HB50" s="106"/>
      <c r="HC50" s="106"/>
      <c r="HD50" s="106"/>
      <c r="HE50" s="106"/>
      <c r="HF50" s="106"/>
      <c r="HG50" s="106"/>
      <c r="HH50" s="106"/>
      <c r="HI50" s="106"/>
      <c r="HJ50" s="106"/>
      <c r="HK50" s="106"/>
      <c r="HL50" s="106"/>
      <c r="HM50" s="106"/>
      <c r="HN50" s="106"/>
      <c r="HO50" s="106"/>
      <c r="HP50" s="106"/>
      <c r="HQ50" s="106"/>
      <c r="HR50" s="106"/>
      <c r="HS50" s="106"/>
      <c r="HT50" s="106"/>
      <c r="HU50" s="106"/>
      <c r="HV50" s="106"/>
      <c r="HW50" s="106"/>
      <c r="HX50" s="106"/>
      <c r="HY50" s="106"/>
      <c r="HZ50" s="106"/>
      <c r="IA50" s="106"/>
      <c r="IB50" s="106"/>
      <c r="IC50" s="106"/>
      <c r="ID50" s="106"/>
      <c r="IE50" s="106"/>
      <c r="IF50" s="106"/>
      <c r="IG50" s="106"/>
      <c r="IH50" s="106"/>
      <c r="II50" s="106"/>
      <c r="IJ50" s="106"/>
      <c r="IK50" s="106"/>
      <c r="IL50" s="106"/>
      <c r="IM50" s="106"/>
      <c r="IN50" s="106"/>
      <c r="IO50" s="106"/>
      <c r="IP50" s="106"/>
      <c r="IQ50" s="106"/>
      <c r="IR50" s="106"/>
      <c r="IS50" s="106"/>
      <c r="IT50" s="106"/>
      <c r="IU50" s="106"/>
      <c r="IV50" s="106"/>
      <c r="IW50" s="106"/>
      <c r="IX50" s="106"/>
    </row>
    <row r="51" s="105" customFormat="1" spans="1:258">
      <c r="A51" s="125"/>
      <c r="B51" s="125"/>
      <c r="C51" s="125"/>
      <c r="D51" s="125"/>
      <c r="E51" s="125"/>
      <c r="F51" s="125"/>
      <c r="G51" s="125"/>
      <c r="H51" s="125"/>
      <c r="I51" s="125"/>
      <c r="J51" s="133"/>
      <c r="K51" s="134"/>
      <c r="L51" s="134"/>
      <c r="M51" s="134"/>
      <c r="N51" s="134"/>
      <c r="O51" s="134"/>
      <c r="P51" s="155"/>
      <c r="Q51" s="155"/>
      <c r="R51" s="134"/>
      <c r="S51" s="134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  <c r="AM51" s="106"/>
      <c r="AN51" s="106"/>
      <c r="AO51" s="106"/>
      <c r="AP51" s="106"/>
      <c r="AQ51" s="106"/>
      <c r="AR51" s="106"/>
      <c r="AS51" s="106"/>
      <c r="AT51" s="106"/>
      <c r="AU51" s="106"/>
      <c r="AV51" s="106"/>
      <c r="AW51" s="106"/>
      <c r="AX51" s="106"/>
      <c r="AY51" s="106"/>
      <c r="AZ51" s="106"/>
      <c r="BA51" s="106"/>
      <c r="BB51" s="106"/>
      <c r="BC51" s="106"/>
      <c r="BD51" s="106"/>
      <c r="BE51" s="106"/>
      <c r="BF51" s="106"/>
      <c r="BG51" s="106"/>
      <c r="BH51" s="106"/>
      <c r="BI51" s="106"/>
      <c r="BJ51" s="106"/>
      <c r="BK51" s="106"/>
      <c r="BL51" s="106"/>
      <c r="BM51" s="106"/>
      <c r="BN51" s="106"/>
      <c r="BO51" s="106"/>
      <c r="BP51" s="106"/>
      <c r="BQ51" s="106"/>
      <c r="BR51" s="106"/>
      <c r="BS51" s="106"/>
      <c r="BT51" s="106"/>
      <c r="BU51" s="106"/>
      <c r="BV51" s="106"/>
      <c r="BW51" s="106"/>
      <c r="BX51" s="106"/>
      <c r="BY51" s="106"/>
      <c r="BZ51" s="106"/>
      <c r="CA51" s="106"/>
      <c r="CB51" s="106"/>
      <c r="CC51" s="106"/>
      <c r="CD51" s="106"/>
      <c r="CE51" s="106"/>
      <c r="CF51" s="106"/>
      <c r="CG51" s="106"/>
      <c r="CH51" s="106"/>
      <c r="CI51" s="106"/>
      <c r="CJ51" s="106"/>
      <c r="CK51" s="106"/>
      <c r="CL51" s="106"/>
      <c r="CM51" s="106"/>
      <c r="CN51" s="106"/>
      <c r="CO51" s="106"/>
      <c r="CP51" s="106"/>
      <c r="CQ51" s="106"/>
      <c r="CR51" s="106"/>
      <c r="CS51" s="106"/>
      <c r="CT51" s="106"/>
      <c r="CU51" s="106"/>
      <c r="CV51" s="106"/>
      <c r="CW51" s="106"/>
      <c r="CX51" s="106"/>
      <c r="CY51" s="106"/>
      <c r="CZ51" s="106"/>
      <c r="DA51" s="106"/>
      <c r="DB51" s="106"/>
      <c r="DC51" s="106"/>
      <c r="DD51" s="106"/>
      <c r="DE51" s="106"/>
      <c r="DF51" s="106"/>
      <c r="DG51" s="106"/>
      <c r="DH51" s="106"/>
      <c r="DI51" s="106"/>
      <c r="DJ51" s="106"/>
      <c r="DK51" s="106"/>
      <c r="DL51" s="106"/>
      <c r="DM51" s="106"/>
      <c r="DN51" s="106"/>
      <c r="DO51" s="106"/>
      <c r="DP51" s="106"/>
      <c r="DQ51" s="106"/>
      <c r="DR51" s="106"/>
      <c r="DS51" s="106"/>
      <c r="DT51" s="106"/>
      <c r="DU51" s="106"/>
      <c r="DV51" s="106"/>
      <c r="DW51" s="106"/>
      <c r="DX51" s="106"/>
      <c r="DY51" s="106"/>
      <c r="DZ51" s="106"/>
      <c r="EA51" s="106"/>
      <c r="EB51" s="106"/>
      <c r="EC51" s="106"/>
      <c r="ED51" s="106"/>
      <c r="EE51" s="106"/>
      <c r="EF51" s="106"/>
      <c r="EG51" s="106"/>
      <c r="EH51" s="106"/>
      <c r="EI51" s="106"/>
      <c r="EJ51" s="106"/>
      <c r="EK51" s="106"/>
      <c r="EL51" s="106"/>
      <c r="EM51" s="106"/>
      <c r="EN51" s="106"/>
      <c r="EO51" s="106"/>
      <c r="EP51" s="106"/>
      <c r="EQ51" s="106"/>
      <c r="ER51" s="106"/>
      <c r="ES51" s="106"/>
      <c r="ET51" s="106"/>
      <c r="EU51" s="106"/>
      <c r="EV51" s="106"/>
      <c r="EW51" s="106"/>
      <c r="EX51" s="106"/>
      <c r="EY51" s="106"/>
      <c r="EZ51" s="106"/>
      <c r="FA51" s="106"/>
      <c r="FB51" s="106"/>
      <c r="FC51" s="106"/>
      <c r="FD51" s="106"/>
      <c r="FE51" s="106"/>
      <c r="FF51" s="106"/>
      <c r="FG51" s="106"/>
      <c r="FH51" s="106"/>
      <c r="FI51" s="106"/>
      <c r="FJ51" s="106"/>
      <c r="FK51" s="106"/>
      <c r="FL51" s="106"/>
      <c r="FM51" s="106"/>
      <c r="FN51" s="106"/>
      <c r="FO51" s="106"/>
      <c r="FP51" s="106"/>
      <c r="FQ51" s="106"/>
      <c r="FR51" s="106"/>
      <c r="FS51" s="106"/>
      <c r="FT51" s="106"/>
      <c r="FU51" s="106"/>
      <c r="FV51" s="106"/>
      <c r="FW51" s="106"/>
      <c r="FX51" s="106"/>
      <c r="FY51" s="106"/>
      <c r="FZ51" s="106"/>
      <c r="GA51" s="106"/>
      <c r="GB51" s="106"/>
      <c r="GC51" s="106"/>
      <c r="GD51" s="106"/>
      <c r="GE51" s="106"/>
      <c r="GF51" s="106"/>
      <c r="GG51" s="106"/>
      <c r="GH51" s="106"/>
      <c r="GI51" s="106"/>
      <c r="GJ51" s="106"/>
      <c r="GK51" s="106"/>
      <c r="GL51" s="106"/>
      <c r="GM51" s="106"/>
      <c r="GN51" s="106"/>
      <c r="GO51" s="106"/>
      <c r="GP51" s="106"/>
      <c r="GQ51" s="106"/>
      <c r="GR51" s="106"/>
      <c r="GS51" s="106"/>
      <c r="GT51" s="106"/>
      <c r="GU51" s="106"/>
      <c r="GV51" s="106"/>
      <c r="GW51" s="106"/>
      <c r="GX51" s="106"/>
      <c r="GY51" s="106"/>
      <c r="GZ51" s="106"/>
      <c r="HA51" s="106"/>
      <c r="HB51" s="106"/>
      <c r="HC51" s="106"/>
      <c r="HD51" s="106"/>
      <c r="HE51" s="106"/>
      <c r="HF51" s="106"/>
      <c r="HG51" s="106"/>
      <c r="HH51" s="106"/>
      <c r="HI51" s="106"/>
      <c r="HJ51" s="106"/>
      <c r="HK51" s="106"/>
      <c r="HL51" s="106"/>
      <c r="HM51" s="106"/>
      <c r="HN51" s="106"/>
      <c r="HO51" s="106"/>
      <c r="HP51" s="106"/>
      <c r="HQ51" s="106"/>
      <c r="HR51" s="106"/>
      <c r="HS51" s="106"/>
      <c r="HT51" s="106"/>
      <c r="HU51" s="106"/>
      <c r="HV51" s="106"/>
      <c r="HW51" s="106"/>
      <c r="HX51" s="106"/>
      <c r="HY51" s="106"/>
      <c r="HZ51" s="106"/>
      <c r="IA51" s="106"/>
      <c r="IB51" s="106"/>
      <c r="IC51" s="106"/>
      <c r="ID51" s="106"/>
      <c r="IE51" s="106"/>
      <c r="IF51" s="106"/>
      <c r="IG51" s="106"/>
      <c r="IH51" s="106"/>
      <c r="II51" s="106"/>
      <c r="IJ51" s="106"/>
      <c r="IK51" s="106"/>
      <c r="IL51" s="106"/>
      <c r="IM51" s="106"/>
      <c r="IN51" s="106"/>
      <c r="IO51" s="106"/>
      <c r="IP51" s="106"/>
      <c r="IQ51" s="106"/>
      <c r="IR51" s="106"/>
      <c r="IS51" s="106"/>
      <c r="IT51" s="106"/>
      <c r="IU51" s="106"/>
      <c r="IV51" s="106"/>
      <c r="IW51" s="106"/>
      <c r="IX51" s="106"/>
    </row>
    <row r="52" s="105" customFormat="1" spans="1:258">
      <c r="A52" s="125"/>
      <c r="B52" s="125"/>
      <c r="C52" s="125"/>
      <c r="D52" s="125"/>
      <c r="E52" s="125"/>
      <c r="F52" s="125"/>
      <c r="G52" s="125"/>
      <c r="H52" s="125"/>
      <c r="I52" s="125"/>
      <c r="J52" s="133"/>
      <c r="K52" s="134"/>
      <c r="L52" s="134"/>
      <c r="M52" s="134"/>
      <c r="N52" s="134"/>
      <c r="O52" s="134"/>
      <c r="P52" s="155"/>
      <c r="Q52" s="155"/>
      <c r="R52" s="134"/>
      <c r="S52" s="134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  <c r="AM52" s="106"/>
      <c r="AN52" s="106"/>
      <c r="AO52" s="106"/>
      <c r="AP52" s="106"/>
      <c r="AQ52" s="106"/>
      <c r="AR52" s="106"/>
      <c r="AS52" s="106"/>
      <c r="AT52" s="106"/>
      <c r="AU52" s="106"/>
      <c r="AV52" s="106"/>
      <c r="AW52" s="106"/>
      <c r="AX52" s="106"/>
      <c r="AY52" s="106"/>
      <c r="AZ52" s="106"/>
      <c r="BA52" s="106"/>
      <c r="BB52" s="106"/>
      <c r="BC52" s="106"/>
      <c r="BD52" s="106"/>
      <c r="BE52" s="106"/>
      <c r="BF52" s="106"/>
      <c r="BG52" s="106"/>
      <c r="BH52" s="106"/>
      <c r="BI52" s="106"/>
      <c r="BJ52" s="106"/>
      <c r="BK52" s="106"/>
      <c r="BL52" s="106"/>
      <c r="BM52" s="106"/>
      <c r="BN52" s="106"/>
      <c r="BO52" s="106"/>
      <c r="BP52" s="106"/>
      <c r="BQ52" s="106"/>
      <c r="BR52" s="106"/>
      <c r="BS52" s="106"/>
      <c r="BT52" s="106"/>
      <c r="BU52" s="106"/>
      <c r="BV52" s="106"/>
      <c r="BW52" s="106"/>
      <c r="BX52" s="106"/>
      <c r="BY52" s="106"/>
      <c r="BZ52" s="106"/>
      <c r="CA52" s="106"/>
      <c r="CB52" s="106"/>
      <c r="CC52" s="106"/>
      <c r="CD52" s="106"/>
      <c r="CE52" s="106"/>
      <c r="CF52" s="106"/>
      <c r="CG52" s="106"/>
      <c r="CH52" s="106"/>
      <c r="CI52" s="106"/>
      <c r="CJ52" s="106"/>
      <c r="CK52" s="106"/>
      <c r="CL52" s="106"/>
      <c r="CM52" s="106"/>
      <c r="CN52" s="106"/>
      <c r="CO52" s="106"/>
      <c r="CP52" s="106"/>
      <c r="CQ52" s="106"/>
      <c r="CR52" s="106"/>
      <c r="CS52" s="106"/>
      <c r="CT52" s="106"/>
      <c r="CU52" s="106"/>
      <c r="CV52" s="106"/>
      <c r="CW52" s="106"/>
      <c r="CX52" s="106"/>
      <c r="CY52" s="106"/>
      <c r="CZ52" s="106"/>
      <c r="DA52" s="106"/>
      <c r="DB52" s="106"/>
      <c r="DC52" s="106"/>
      <c r="DD52" s="106"/>
      <c r="DE52" s="106"/>
      <c r="DF52" s="106"/>
      <c r="DG52" s="106"/>
      <c r="DH52" s="106"/>
      <c r="DI52" s="106"/>
      <c r="DJ52" s="106"/>
      <c r="DK52" s="106"/>
      <c r="DL52" s="106"/>
      <c r="DM52" s="106"/>
      <c r="DN52" s="106"/>
      <c r="DO52" s="106"/>
      <c r="DP52" s="106"/>
      <c r="DQ52" s="106"/>
      <c r="DR52" s="106"/>
      <c r="DS52" s="106"/>
      <c r="DT52" s="106"/>
      <c r="DU52" s="106"/>
      <c r="DV52" s="106"/>
      <c r="DW52" s="106"/>
      <c r="DX52" s="106"/>
      <c r="DY52" s="106"/>
      <c r="DZ52" s="106"/>
      <c r="EA52" s="106"/>
      <c r="EB52" s="106"/>
      <c r="EC52" s="106"/>
      <c r="ED52" s="106"/>
      <c r="EE52" s="106"/>
      <c r="EF52" s="106"/>
      <c r="EG52" s="106"/>
      <c r="EH52" s="106"/>
      <c r="EI52" s="106"/>
      <c r="EJ52" s="106"/>
      <c r="EK52" s="106"/>
      <c r="EL52" s="106"/>
      <c r="EM52" s="106"/>
      <c r="EN52" s="106"/>
      <c r="EO52" s="106"/>
      <c r="EP52" s="106"/>
      <c r="EQ52" s="106"/>
      <c r="ER52" s="106"/>
      <c r="ES52" s="106"/>
      <c r="ET52" s="106"/>
      <c r="EU52" s="106"/>
      <c r="EV52" s="106"/>
      <c r="EW52" s="106"/>
      <c r="EX52" s="106"/>
      <c r="EY52" s="106"/>
      <c r="EZ52" s="106"/>
      <c r="FA52" s="106"/>
      <c r="FB52" s="106"/>
      <c r="FC52" s="106"/>
      <c r="FD52" s="106"/>
      <c r="FE52" s="106"/>
      <c r="FF52" s="106"/>
      <c r="FG52" s="106"/>
      <c r="FH52" s="106"/>
      <c r="FI52" s="106"/>
      <c r="FJ52" s="106"/>
      <c r="FK52" s="106"/>
      <c r="FL52" s="106"/>
      <c r="FM52" s="106"/>
      <c r="FN52" s="106"/>
      <c r="FO52" s="106"/>
      <c r="FP52" s="106"/>
      <c r="FQ52" s="106"/>
      <c r="FR52" s="106"/>
      <c r="FS52" s="106"/>
      <c r="FT52" s="106"/>
      <c r="FU52" s="106"/>
      <c r="FV52" s="106"/>
      <c r="FW52" s="106"/>
      <c r="FX52" s="106"/>
      <c r="FY52" s="106"/>
      <c r="FZ52" s="106"/>
      <c r="GA52" s="106"/>
      <c r="GB52" s="106"/>
      <c r="GC52" s="106"/>
      <c r="GD52" s="106"/>
      <c r="GE52" s="106"/>
      <c r="GF52" s="106"/>
      <c r="GG52" s="106"/>
      <c r="GH52" s="106"/>
      <c r="GI52" s="106"/>
      <c r="GJ52" s="106"/>
      <c r="GK52" s="106"/>
      <c r="GL52" s="106"/>
      <c r="GM52" s="106"/>
      <c r="GN52" s="106"/>
      <c r="GO52" s="106"/>
      <c r="GP52" s="106"/>
      <c r="GQ52" s="106"/>
      <c r="GR52" s="106"/>
      <c r="GS52" s="106"/>
      <c r="GT52" s="106"/>
      <c r="GU52" s="106"/>
      <c r="GV52" s="106"/>
      <c r="GW52" s="106"/>
      <c r="GX52" s="106"/>
      <c r="GY52" s="106"/>
      <c r="GZ52" s="106"/>
      <c r="HA52" s="106"/>
      <c r="HB52" s="106"/>
      <c r="HC52" s="106"/>
      <c r="HD52" s="106"/>
      <c r="HE52" s="106"/>
      <c r="HF52" s="106"/>
      <c r="HG52" s="106"/>
      <c r="HH52" s="106"/>
      <c r="HI52" s="106"/>
      <c r="HJ52" s="106"/>
      <c r="HK52" s="106"/>
      <c r="HL52" s="106"/>
      <c r="HM52" s="106"/>
      <c r="HN52" s="106"/>
      <c r="HO52" s="106"/>
      <c r="HP52" s="106"/>
      <c r="HQ52" s="106"/>
      <c r="HR52" s="106"/>
      <c r="HS52" s="106"/>
      <c r="HT52" s="106"/>
      <c r="HU52" s="106"/>
      <c r="HV52" s="106"/>
      <c r="HW52" s="106"/>
      <c r="HX52" s="106"/>
      <c r="HY52" s="106"/>
      <c r="HZ52" s="106"/>
      <c r="IA52" s="106"/>
      <c r="IB52" s="106"/>
      <c r="IC52" s="106"/>
      <c r="ID52" s="106"/>
      <c r="IE52" s="106"/>
      <c r="IF52" s="106"/>
      <c r="IG52" s="106"/>
      <c r="IH52" s="106"/>
      <c r="II52" s="106"/>
      <c r="IJ52" s="106"/>
      <c r="IK52" s="106"/>
      <c r="IL52" s="106"/>
      <c r="IM52" s="106"/>
      <c r="IN52" s="106"/>
      <c r="IO52" s="106"/>
      <c r="IP52" s="106"/>
      <c r="IQ52" s="106"/>
      <c r="IR52" s="106"/>
      <c r="IS52" s="106"/>
      <c r="IT52" s="106"/>
      <c r="IU52" s="106"/>
      <c r="IV52" s="106"/>
      <c r="IW52" s="106"/>
      <c r="IX52" s="106"/>
    </row>
    <row r="53" s="105" customFormat="1" spans="1:258">
      <c r="A53" s="125"/>
      <c r="B53" s="125"/>
      <c r="C53" s="125"/>
      <c r="D53" s="125"/>
      <c r="E53" s="125"/>
      <c r="F53" s="125"/>
      <c r="G53" s="125"/>
      <c r="H53" s="125"/>
      <c r="I53" s="125"/>
      <c r="J53" s="133"/>
      <c r="K53" s="134"/>
      <c r="L53" s="134"/>
      <c r="M53" s="134"/>
      <c r="N53" s="134"/>
      <c r="O53" s="134"/>
      <c r="P53" s="155"/>
      <c r="Q53" s="155"/>
      <c r="R53" s="134"/>
      <c r="S53" s="134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106"/>
      <c r="AO53" s="106"/>
      <c r="AP53" s="106"/>
      <c r="AQ53" s="106"/>
      <c r="AR53" s="106"/>
      <c r="AS53" s="106"/>
      <c r="AT53" s="106"/>
      <c r="AU53" s="106"/>
      <c r="AV53" s="106"/>
      <c r="AW53" s="106"/>
      <c r="AX53" s="106"/>
      <c r="AY53" s="106"/>
      <c r="AZ53" s="106"/>
      <c r="BA53" s="106"/>
      <c r="BB53" s="106"/>
      <c r="BC53" s="106"/>
      <c r="BD53" s="106"/>
      <c r="BE53" s="106"/>
      <c r="BF53" s="106"/>
      <c r="BG53" s="106"/>
      <c r="BH53" s="106"/>
      <c r="BI53" s="106"/>
      <c r="BJ53" s="106"/>
      <c r="BK53" s="106"/>
      <c r="BL53" s="106"/>
      <c r="BM53" s="106"/>
      <c r="BN53" s="106"/>
      <c r="BO53" s="106"/>
      <c r="BP53" s="106"/>
      <c r="BQ53" s="106"/>
      <c r="BR53" s="106"/>
      <c r="BS53" s="106"/>
      <c r="BT53" s="106"/>
      <c r="BU53" s="106"/>
      <c r="BV53" s="106"/>
      <c r="BW53" s="106"/>
      <c r="BX53" s="106"/>
      <c r="BY53" s="106"/>
      <c r="BZ53" s="106"/>
      <c r="CA53" s="106"/>
      <c r="CB53" s="106"/>
      <c r="CC53" s="106"/>
      <c r="CD53" s="106"/>
      <c r="CE53" s="106"/>
      <c r="CF53" s="106"/>
      <c r="CG53" s="106"/>
      <c r="CH53" s="106"/>
      <c r="CI53" s="106"/>
      <c r="CJ53" s="106"/>
      <c r="CK53" s="106"/>
      <c r="CL53" s="106"/>
      <c r="CM53" s="106"/>
      <c r="CN53" s="106"/>
      <c r="CO53" s="106"/>
      <c r="CP53" s="106"/>
      <c r="CQ53" s="106"/>
      <c r="CR53" s="106"/>
      <c r="CS53" s="106"/>
      <c r="CT53" s="106"/>
      <c r="CU53" s="106"/>
      <c r="CV53" s="106"/>
      <c r="CW53" s="106"/>
      <c r="CX53" s="106"/>
      <c r="CY53" s="106"/>
      <c r="CZ53" s="106"/>
      <c r="DA53" s="106"/>
      <c r="DB53" s="106"/>
      <c r="DC53" s="106"/>
      <c r="DD53" s="106"/>
      <c r="DE53" s="106"/>
      <c r="DF53" s="106"/>
      <c r="DG53" s="106"/>
      <c r="DH53" s="106"/>
      <c r="DI53" s="106"/>
      <c r="DJ53" s="106"/>
      <c r="DK53" s="106"/>
      <c r="DL53" s="106"/>
      <c r="DM53" s="106"/>
      <c r="DN53" s="106"/>
      <c r="DO53" s="106"/>
      <c r="DP53" s="106"/>
      <c r="DQ53" s="106"/>
      <c r="DR53" s="106"/>
      <c r="DS53" s="106"/>
      <c r="DT53" s="106"/>
      <c r="DU53" s="106"/>
      <c r="DV53" s="106"/>
      <c r="DW53" s="106"/>
      <c r="DX53" s="106"/>
      <c r="DY53" s="106"/>
      <c r="DZ53" s="106"/>
      <c r="EA53" s="106"/>
      <c r="EB53" s="106"/>
      <c r="EC53" s="106"/>
      <c r="ED53" s="106"/>
      <c r="EE53" s="106"/>
      <c r="EF53" s="106"/>
      <c r="EG53" s="106"/>
      <c r="EH53" s="106"/>
      <c r="EI53" s="106"/>
      <c r="EJ53" s="106"/>
      <c r="EK53" s="106"/>
      <c r="EL53" s="106"/>
      <c r="EM53" s="106"/>
      <c r="EN53" s="106"/>
      <c r="EO53" s="106"/>
      <c r="EP53" s="106"/>
      <c r="EQ53" s="106"/>
      <c r="ER53" s="106"/>
      <c r="ES53" s="106"/>
      <c r="ET53" s="106"/>
      <c r="EU53" s="106"/>
      <c r="EV53" s="106"/>
      <c r="EW53" s="106"/>
      <c r="EX53" s="106"/>
      <c r="EY53" s="106"/>
      <c r="EZ53" s="106"/>
      <c r="FA53" s="106"/>
      <c r="FB53" s="106"/>
      <c r="FC53" s="106"/>
      <c r="FD53" s="106"/>
      <c r="FE53" s="106"/>
      <c r="FF53" s="106"/>
      <c r="FG53" s="106"/>
      <c r="FH53" s="106"/>
      <c r="FI53" s="106"/>
      <c r="FJ53" s="106"/>
      <c r="FK53" s="106"/>
      <c r="FL53" s="106"/>
      <c r="FM53" s="106"/>
      <c r="FN53" s="106"/>
      <c r="FO53" s="106"/>
      <c r="FP53" s="106"/>
      <c r="FQ53" s="106"/>
      <c r="FR53" s="106"/>
      <c r="FS53" s="106"/>
      <c r="FT53" s="106"/>
      <c r="FU53" s="106"/>
      <c r="FV53" s="106"/>
      <c r="FW53" s="106"/>
      <c r="FX53" s="106"/>
      <c r="FY53" s="106"/>
      <c r="FZ53" s="106"/>
      <c r="GA53" s="106"/>
      <c r="GB53" s="106"/>
      <c r="GC53" s="106"/>
      <c r="GD53" s="106"/>
      <c r="GE53" s="106"/>
      <c r="GF53" s="106"/>
      <c r="GG53" s="106"/>
      <c r="GH53" s="106"/>
      <c r="GI53" s="106"/>
      <c r="GJ53" s="106"/>
      <c r="GK53" s="106"/>
      <c r="GL53" s="106"/>
      <c r="GM53" s="106"/>
      <c r="GN53" s="106"/>
      <c r="GO53" s="106"/>
      <c r="GP53" s="106"/>
      <c r="GQ53" s="106"/>
      <c r="GR53" s="106"/>
      <c r="GS53" s="106"/>
      <c r="GT53" s="106"/>
      <c r="GU53" s="106"/>
      <c r="GV53" s="106"/>
      <c r="GW53" s="106"/>
      <c r="GX53" s="106"/>
      <c r="GY53" s="106"/>
      <c r="GZ53" s="106"/>
      <c r="HA53" s="106"/>
      <c r="HB53" s="106"/>
      <c r="HC53" s="106"/>
      <c r="HD53" s="106"/>
      <c r="HE53" s="106"/>
      <c r="HF53" s="106"/>
      <c r="HG53" s="106"/>
      <c r="HH53" s="106"/>
      <c r="HI53" s="106"/>
      <c r="HJ53" s="106"/>
      <c r="HK53" s="106"/>
      <c r="HL53" s="106"/>
      <c r="HM53" s="106"/>
      <c r="HN53" s="106"/>
      <c r="HO53" s="106"/>
      <c r="HP53" s="106"/>
      <c r="HQ53" s="106"/>
      <c r="HR53" s="106"/>
      <c r="HS53" s="106"/>
      <c r="HT53" s="106"/>
      <c r="HU53" s="106"/>
      <c r="HV53" s="106"/>
      <c r="HW53" s="106"/>
      <c r="HX53" s="106"/>
      <c r="HY53" s="106"/>
      <c r="HZ53" s="106"/>
      <c r="IA53" s="106"/>
      <c r="IB53" s="106"/>
      <c r="IC53" s="106"/>
      <c r="ID53" s="106"/>
      <c r="IE53" s="106"/>
      <c r="IF53" s="106"/>
      <c r="IG53" s="106"/>
      <c r="IH53" s="106"/>
      <c r="II53" s="106"/>
      <c r="IJ53" s="106"/>
      <c r="IK53" s="106"/>
      <c r="IL53" s="106"/>
      <c r="IM53" s="106"/>
      <c r="IN53" s="106"/>
      <c r="IO53" s="106"/>
      <c r="IP53" s="106"/>
      <c r="IQ53" s="106"/>
      <c r="IR53" s="106"/>
      <c r="IS53" s="106"/>
      <c r="IT53" s="106"/>
      <c r="IU53" s="106"/>
      <c r="IV53" s="106"/>
      <c r="IW53" s="106"/>
      <c r="IX53" s="106"/>
    </row>
    <row r="54" s="105" customFormat="1" spans="1:258">
      <c r="A54" s="125"/>
      <c r="B54" s="125"/>
      <c r="C54" s="125"/>
      <c r="D54" s="125"/>
      <c r="E54" s="125"/>
      <c r="F54" s="125"/>
      <c r="G54" s="125"/>
      <c r="H54" s="125"/>
      <c r="I54" s="125"/>
      <c r="J54" s="133"/>
      <c r="K54" s="134"/>
      <c r="L54" s="134"/>
      <c r="M54" s="134"/>
      <c r="N54" s="134"/>
      <c r="O54" s="134"/>
      <c r="P54" s="155"/>
      <c r="Q54" s="155"/>
      <c r="R54" s="134"/>
      <c r="S54" s="134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106"/>
      <c r="AO54" s="106"/>
      <c r="AP54" s="106"/>
      <c r="AQ54" s="106"/>
      <c r="AR54" s="106"/>
      <c r="AS54" s="106"/>
      <c r="AT54" s="106"/>
      <c r="AU54" s="106"/>
      <c r="AV54" s="106"/>
      <c r="AW54" s="106"/>
      <c r="AX54" s="106"/>
      <c r="AY54" s="106"/>
      <c r="AZ54" s="106"/>
      <c r="BA54" s="106"/>
      <c r="BB54" s="106"/>
      <c r="BC54" s="106"/>
      <c r="BD54" s="106"/>
      <c r="BE54" s="106"/>
      <c r="BF54" s="106"/>
      <c r="BG54" s="106"/>
      <c r="BH54" s="106"/>
      <c r="BI54" s="106"/>
      <c r="BJ54" s="106"/>
      <c r="BK54" s="106"/>
      <c r="BL54" s="106"/>
      <c r="BM54" s="106"/>
      <c r="BN54" s="106"/>
      <c r="BO54" s="106"/>
      <c r="BP54" s="106"/>
      <c r="BQ54" s="106"/>
      <c r="BR54" s="106"/>
      <c r="BS54" s="106"/>
      <c r="BT54" s="106"/>
      <c r="BU54" s="106"/>
      <c r="BV54" s="106"/>
      <c r="BW54" s="106"/>
      <c r="BX54" s="106"/>
      <c r="BY54" s="106"/>
      <c r="BZ54" s="106"/>
      <c r="CA54" s="106"/>
      <c r="CB54" s="106"/>
      <c r="CC54" s="106"/>
      <c r="CD54" s="106"/>
      <c r="CE54" s="106"/>
      <c r="CF54" s="106"/>
      <c r="CG54" s="106"/>
      <c r="CH54" s="106"/>
      <c r="CI54" s="106"/>
      <c r="CJ54" s="106"/>
      <c r="CK54" s="106"/>
      <c r="CL54" s="106"/>
      <c r="CM54" s="106"/>
      <c r="CN54" s="106"/>
      <c r="CO54" s="106"/>
      <c r="CP54" s="106"/>
      <c r="CQ54" s="106"/>
      <c r="CR54" s="106"/>
      <c r="CS54" s="106"/>
      <c r="CT54" s="106"/>
      <c r="CU54" s="106"/>
      <c r="CV54" s="106"/>
      <c r="CW54" s="106"/>
      <c r="CX54" s="106"/>
      <c r="CY54" s="106"/>
      <c r="CZ54" s="106"/>
      <c r="DA54" s="106"/>
      <c r="DB54" s="106"/>
      <c r="DC54" s="106"/>
      <c r="DD54" s="106"/>
      <c r="DE54" s="106"/>
      <c r="DF54" s="106"/>
      <c r="DG54" s="106"/>
      <c r="DH54" s="106"/>
      <c r="DI54" s="106"/>
      <c r="DJ54" s="106"/>
      <c r="DK54" s="106"/>
      <c r="DL54" s="106"/>
      <c r="DM54" s="106"/>
      <c r="DN54" s="106"/>
      <c r="DO54" s="106"/>
      <c r="DP54" s="106"/>
      <c r="DQ54" s="106"/>
      <c r="DR54" s="106"/>
      <c r="DS54" s="106"/>
      <c r="DT54" s="106"/>
      <c r="DU54" s="106"/>
      <c r="DV54" s="106"/>
      <c r="DW54" s="106"/>
      <c r="DX54" s="106"/>
      <c r="DY54" s="106"/>
      <c r="DZ54" s="106"/>
      <c r="EA54" s="106"/>
      <c r="EB54" s="106"/>
      <c r="EC54" s="106"/>
      <c r="ED54" s="106"/>
      <c r="EE54" s="106"/>
      <c r="EF54" s="106"/>
      <c r="EG54" s="106"/>
      <c r="EH54" s="106"/>
      <c r="EI54" s="106"/>
      <c r="EJ54" s="106"/>
      <c r="EK54" s="106"/>
      <c r="EL54" s="106"/>
      <c r="EM54" s="106"/>
      <c r="EN54" s="106"/>
      <c r="EO54" s="106"/>
      <c r="EP54" s="106"/>
      <c r="EQ54" s="106"/>
      <c r="ER54" s="106"/>
      <c r="ES54" s="106"/>
      <c r="ET54" s="106"/>
      <c r="EU54" s="106"/>
      <c r="EV54" s="106"/>
      <c r="EW54" s="106"/>
      <c r="EX54" s="106"/>
      <c r="EY54" s="106"/>
      <c r="EZ54" s="106"/>
      <c r="FA54" s="106"/>
      <c r="FB54" s="106"/>
      <c r="FC54" s="106"/>
      <c r="FD54" s="106"/>
      <c r="FE54" s="106"/>
      <c r="FF54" s="106"/>
      <c r="FG54" s="106"/>
      <c r="FH54" s="106"/>
      <c r="FI54" s="106"/>
      <c r="FJ54" s="106"/>
      <c r="FK54" s="106"/>
      <c r="FL54" s="106"/>
      <c r="FM54" s="106"/>
      <c r="FN54" s="106"/>
      <c r="FO54" s="106"/>
      <c r="FP54" s="106"/>
      <c r="FQ54" s="106"/>
      <c r="FR54" s="106"/>
      <c r="FS54" s="106"/>
      <c r="FT54" s="106"/>
      <c r="FU54" s="106"/>
      <c r="FV54" s="106"/>
      <c r="FW54" s="106"/>
      <c r="FX54" s="106"/>
      <c r="FY54" s="106"/>
      <c r="FZ54" s="106"/>
      <c r="GA54" s="106"/>
      <c r="GB54" s="106"/>
      <c r="GC54" s="106"/>
      <c r="GD54" s="106"/>
      <c r="GE54" s="106"/>
      <c r="GF54" s="106"/>
      <c r="GG54" s="106"/>
      <c r="GH54" s="106"/>
      <c r="GI54" s="106"/>
      <c r="GJ54" s="106"/>
      <c r="GK54" s="106"/>
      <c r="GL54" s="106"/>
      <c r="GM54" s="106"/>
      <c r="GN54" s="106"/>
      <c r="GO54" s="106"/>
      <c r="GP54" s="106"/>
      <c r="GQ54" s="106"/>
      <c r="GR54" s="106"/>
      <c r="GS54" s="106"/>
      <c r="GT54" s="106"/>
      <c r="GU54" s="106"/>
      <c r="GV54" s="106"/>
      <c r="GW54" s="106"/>
      <c r="GX54" s="106"/>
      <c r="GY54" s="106"/>
      <c r="GZ54" s="106"/>
      <c r="HA54" s="106"/>
      <c r="HB54" s="106"/>
      <c r="HC54" s="106"/>
      <c r="HD54" s="106"/>
      <c r="HE54" s="106"/>
      <c r="HF54" s="106"/>
      <c r="HG54" s="106"/>
      <c r="HH54" s="106"/>
      <c r="HI54" s="106"/>
      <c r="HJ54" s="106"/>
      <c r="HK54" s="106"/>
      <c r="HL54" s="106"/>
      <c r="HM54" s="106"/>
      <c r="HN54" s="106"/>
      <c r="HO54" s="106"/>
      <c r="HP54" s="106"/>
      <c r="HQ54" s="106"/>
      <c r="HR54" s="106"/>
      <c r="HS54" s="106"/>
      <c r="HT54" s="106"/>
      <c r="HU54" s="106"/>
      <c r="HV54" s="106"/>
      <c r="HW54" s="106"/>
      <c r="HX54" s="106"/>
      <c r="HY54" s="106"/>
      <c r="HZ54" s="106"/>
      <c r="IA54" s="106"/>
      <c r="IB54" s="106"/>
      <c r="IC54" s="106"/>
      <c r="ID54" s="106"/>
      <c r="IE54" s="106"/>
      <c r="IF54" s="106"/>
      <c r="IG54" s="106"/>
      <c r="IH54" s="106"/>
      <c r="II54" s="106"/>
      <c r="IJ54" s="106"/>
      <c r="IK54" s="106"/>
      <c r="IL54" s="106"/>
      <c r="IM54" s="106"/>
      <c r="IN54" s="106"/>
      <c r="IO54" s="106"/>
      <c r="IP54" s="106"/>
      <c r="IQ54" s="106"/>
      <c r="IR54" s="106"/>
      <c r="IS54" s="106"/>
      <c r="IT54" s="106"/>
      <c r="IU54" s="106"/>
      <c r="IV54" s="106"/>
      <c r="IW54" s="106"/>
      <c r="IX54" s="106"/>
    </row>
    <row r="55" s="105" customFormat="1" spans="1:258">
      <c r="A55" s="125"/>
      <c r="B55" s="125"/>
      <c r="C55" s="125"/>
      <c r="D55" s="125"/>
      <c r="E55" s="125"/>
      <c r="F55" s="125"/>
      <c r="G55" s="125"/>
      <c r="H55" s="125"/>
      <c r="I55" s="125"/>
      <c r="J55" s="133"/>
      <c r="K55" s="134"/>
      <c r="L55" s="134"/>
      <c r="M55" s="134"/>
      <c r="N55" s="134"/>
      <c r="O55" s="134"/>
      <c r="P55" s="155"/>
      <c r="Q55" s="155"/>
      <c r="R55" s="134"/>
      <c r="S55" s="134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  <c r="AM55" s="106"/>
      <c r="AN55" s="106"/>
      <c r="AO55" s="106"/>
      <c r="AP55" s="106"/>
      <c r="AQ55" s="106"/>
      <c r="AR55" s="106"/>
      <c r="AS55" s="106"/>
      <c r="AT55" s="106"/>
      <c r="AU55" s="106"/>
      <c r="AV55" s="106"/>
      <c r="AW55" s="106"/>
      <c r="AX55" s="106"/>
      <c r="AY55" s="106"/>
      <c r="AZ55" s="106"/>
      <c r="BA55" s="106"/>
      <c r="BB55" s="106"/>
      <c r="BC55" s="106"/>
      <c r="BD55" s="106"/>
      <c r="BE55" s="106"/>
      <c r="BF55" s="106"/>
      <c r="BG55" s="106"/>
      <c r="BH55" s="106"/>
      <c r="BI55" s="106"/>
      <c r="BJ55" s="106"/>
      <c r="BK55" s="106"/>
      <c r="BL55" s="106"/>
      <c r="BM55" s="106"/>
      <c r="BN55" s="106"/>
      <c r="BO55" s="106"/>
      <c r="BP55" s="106"/>
      <c r="BQ55" s="106"/>
      <c r="BR55" s="106"/>
      <c r="BS55" s="106"/>
      <c r="BT55" s="106"/>
      <c r="BU55" s="106"/>
      <c r="BV55" s="106"/>
      <c r="BW55" s="106"/>
      <c r="BX55" s="106"/>
      <c r="BY55" s="106"/>
      <c r="BZ55" s="106"/>
      <c r="CA55" s="106"/>
      <c r="CB55" s="106"/>
      <c r="CC55" s="106"/>
      <c r="CD55" s="106"/>
      <c r="CE55" s="106"/>
      <c r="CF55" s="106"/>
      <c r="CG55" s="106"/>
      <c r="CH55" s="106"/>
      <c r="CI55" s="106"/>
      <c r="CJ55" s="106"/>
      <c r="CK55" s="106"/>
      <c r="CL55" s="106"/>
      <c r="CM55" s="106"/>
      <c r="CN55" s="106"/>
      <c r="CO55" s="106"/>
      <c r="CP55" s="106"/>
      <c r="CQ55" s="106"/>
      <c r="CR55" s="106"/>
      <c r="CS55" s="106"/>
      <c r="CT55" s="106"/>
      <c r="CU55" s="106"/>
      <c r="CV55" s="106"/>
      <c r="CW55" s="106"/>
      <c r="CX55" s="106"/>
      <c r="CY55" s="106"/>
      <c r="CZ55" s="106"/>
      <c r="DA55" s="106"/>
      <c r="DB55" s="106"/>
      <c r="DC55" s="106"/>
      <c r="DD55" s="106"/>
      <c r="DE55" s="106"/>
      <c r="DF55" s="106"/>
      <c r="DG55" s="106"/>
      <c r="DH55" s="106"/>
      <c r="DI55" s="106"/>
      <c r="DJ55" s="106"/>
      <c r="DK55" s="106"/>
      <c r="DL55" s="106"/>
      <c r="DM55" s="106"/>
      <c r="DN55" s="106"/>
      <c r="DO55" s="106"/>
      <c r="DP55" s="106"/>
      <c r="DQ55" s="106"/>
      <c r="DR55" s="106"/>
      <c r="DS55" s="106"/>
      <c r="DT55" s="106"/>
      <c r="DU55" s="106"/>
      <c r="DV55" s="106"/>
      <c r="DW55" s="106"/>
      <c r="DX55" s="106"/>
      <c r="DY55" s="106"/>
      <c r="DZ55" s="106"/>
      <c r="EA55" s="106"/>
      <c r="EB55" s="106"/>
      <c r="EC55" s="106"/>
      <c r="ED55" s="106"/>
      <c r="EE55" s="106"/>
      <c r="EF55" s="106"/>
      <c r="EG55" s="106"/>
      <c r="EH55" s="106"/>
      <c r="EI55" s="106"/>
      <c r="EJ55" s="106"/>
      <c r="EK55" s="106"/>
      <c r="EL55" s="106"/>
      <c r="EM55" s="106"/>
      <c r="EN55" s="106"/>
      <c r="EO55" s="106"/>
      <c r="EP55" s="106"/>
      <c r="EQ55" s="106"/>
      <c r="ER55" s="106"/>
      <c r="ES55" s="106"/>
      <c r="ET55" s="106"/>
      <c r="EU55" s="106"/>
      <c r="EV55" s="106"/>
      <c r="EW55" s="106"/>
      <c r="EX55" s="106"/>
      <c r="EY55" s="106"/>
      <c r="EZ55" s="106"/>
      <c r="FA55" s="106"/>
      <c r="FB55" s="106"/>
      <c r="FC55" s="106"/>
      <c r="FD55" s="106"/>
      <c r="FE55" s="106"/>
      <c r="FF55" s="106"/>
      <c r="FG55" s="106"/>
      <c r="FH55" s="106"/>
      <c r="FI55" s="106"/>
      <c r="FJ55" s="106"/>
      <c r="FK55" s="106"/>
      <c r="FL55" s="106"/>
      <c r="FM55" s="106"/>
      <c r="FN55" s="106"/>
      <c r="FO55" s="106"/>
      <c r="FP55" s="106"/>
      <c r="FQ55" s="106"/>
      <c r="FR55" s="106"/>
      <c r="FS55" s="106"/>
      <c r="FT55" s="106"/>
      <c r="FU55" s="106"/>
      <c r="FV55" s="106"/>
      <c r="FW55" s="106"/>
      <c r="FX55" s="106"/>
      <c r="FY55" s="106"/>
      <c r="FZ55" s="106"/>
      <c r="GA55" s="106"/>
      <c r="GB55" s="106"/>
      <c r="GC55" s="106"/>
      <c r="GD55" s="106"/>
      <c r="GE55" s="106"/>
      <c r="GF55" s="106"/>
      <c r="GG55" s="106"/>
      <c r="GH55" s="106"/>
      <c r="GI55" s="106"/>
      <c r="GJ55" s="106"/>
      <c r="GK55" s="106"/>
      <c r="GL55" s="106"/>
      <c r="GM55" s="106"/>
      <c r="GN55" s="106"/>
      <c r="GO55" s="106"/>
      <c r="GP55" s="106"/>
      <c r="GQ55" s="106"/>
      <c r="GR55" s="106"/>
      <c r="GS55" s="106"/>
      <c r="GT55" s="106"/>
      <c r="GU55" s="106"/>
      <c r="GV55" s="106"/>
      <c r="GW55" s="106"/>
      <c r="GX55" s="106"/>
      <c r="GY55" s="106"/>
      <c r="GZ55" s="106"/>
      <c r="HA55" s="106"/>
      <c r="HB55" s="106"/>
      <c r="HC55" s="106"/>
      <c r="HD55" s="106"/>
      <c r="HE55" s="106"/>
      <c r="HF55" s="106"/>
      <c r="HG55" s="106"/>
      <c r="HH55" s="106"/>
      <c r="HI55" s="106"/>
      <c r="HJ55" s="106"/>
      <c r="HK55" s="106"/>
      <c r="HL55" s="106"/>
      <c r="HM55" s="106"/>
      <c r="HN55" s="106"/>
      <c r="HO55" s="106"/>
      <c r="HP55" s="106"/>
      <c r="HQ55" s="106"/>
      <c r="HR55" s="106"/>
      <c r="HS55" s="106"/>
      <c r="HT55" s="106"/>
      <c r="HU55" s="106"/>
      <c r="HV55" s="106"/>
      <c r="HW55" s="106"/>
      <c r="HX55" s="106"/>
      <c r="HY55" s="106"/>
      <c r="HZ55" s="106"/>
      <c r="IA55" s="106"/>
      <c r="IB55" s="106"/>
      <c r="IC55" s="106"/>
      <c r="ID55" s="106"/>
      <c r="IE55" s="106"/>
      <c r="IF55" s="106"/>
      <c r="IG55" s="106"/>
      <c r="IH55" s="106"/>
      <c r="II55" s="106"/>
      <c r="IJ55" s="106"/>
      <c r="IK55" s="106"/>
      <c r="IL55" s="106"/>
      <c r="IM55" s="106"/>
      <c r="IN55" s="106"/>
      <c r="IO55" s="106"/>
      <c r="IP55" s="106"/>
      <c r="IQ55" s="106"/>
      <c r="IR55" s="106"/>
      <c r="IS55" s="106"/>
      <c r="IT55" s="106"/>
      <c r="IU55" s="106"/>
      <c r="IV55" s="106"/>
      <c r="IW55" s="106"/>
      <c r="IX55" s="106"/>
    </row>
    <row r="56" s="105" customFormat="1" spans="1:258">
      <c r="A56" s="125"/>
      <c r="B56" s="125"/>
      <c r="C56" s="125"/>
      <c r="D56" s="125"/>
      <c r="E56" s="125"/>
      <c r="F56" s="125"/>
      <c r="G56" s="125"/>
      <c r="H56" s="125"/>
      <c r="I56" s="125"/>
      <c r="J56" s="133"/>
      <c r="K56" s="134"/>
      <c r="L56" s="134"/>
      <c r="M56" s="134"/>
      <c r="N56" s="134"/>
      <c r="O56" s="134"/>
      <c r="P56" s="155"/>
      <c r="Q56" s="155"/>
      <c r="R56" s="134"/>
      <c r="S56" s="134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  <c r="AM56" s="106"/>
      <c r="AN56" s="106"/>
      <c r="AO56" s="106"/>
      <c r="AP56" s="106"/>
      <c r="AQ56" s="106"/>
      <c r="AR56" s="106"/>
      <c r="AS56" s="106"/>
      <c r="AT56" s="106"/>
      <c r="AU56" s="106"/>
      <c r="AV56" s="106"/>
      <c r="AW56" s="106"/>
      <c r="AX56" s="106"/>
      <c r="AY56" s="106"/>
      <c r="AZ56" s="106"/>
      <c r="BA56" s="106"/>
      <c r="BB56" s="106"/>
      <c r="BC56" s="106"/>
      <c r="BD56" s="106"/>
      <c r="BE56" s="106"/>
      <c r="BF56" s="106"/>
      <c r="BG56" s="106"/>
      <c r="BH56" s="106"/>
      <c r="BI56" s="106"/>
      <c r="BJ56" s="106"/>
      <c r="BK56" s="106"/>
      <c r="BL56" s="106"/>
      <c r="BM56" s="106"/>
      <c r="BN56" s="106"/>
      <c r="BO56" s="106"/>
      <c r="BP56" s="106"/>
      <c r="BQ56" s="106"/>
      <c r="BR56" s="106"/>
      <c r="BS56" s="106"/>
      <c r="BT56" s="106"/>
      <c r="BU56" s="106"/>
      <c r="BV56" s="106"/>
      <c r="BW56" s="106"/>
      <c r="BX56" s="106"/>
      <c r="BY56" s="106"/>
      <c r="BZ56" s="106"/>
      <c r="CA56" s="106"/>
      <c r="CB56" s="106"/>
      <c r="CC56" s="106"/>
      <c r="CD56" s="106"/>
      <c r="CE56" s="106"/>
      <c r="CF56" s="106"/>
      <c r="CG56" s="106"/>
      <c r="CH56" s="106"/>
      <c r="CI56" s="106"/>
      <c r="CJ56" s="106"/>
      <c r="CK56" s="106"/>
      <c r="CL56" s="106"/>
      <c r="CM56" s="106"/>
      <c r="CN56" s="106"/>
      <c r="CO56" s="106"/>
      <c r="CP56" s="106"/>
      <c r="CQ56" s="106"/>
      <c r="CR56" s="106"/>
      <c r="CS56" s="106"/>
      <c r="CT56" s="106"/>
      <c r="CU56" s="106"/>
      <c r="CV56" s="106"/>
      <c r="CW56" s="106"/>
      <c r="CX56" s="106"/>
      <c r="CY56" s="106"/>
      <c r="CZ56" s="106"/>
      <c r="DA56" s="106"/>
      <c r="DB56" s="106"/>
      <c r="DC56" s="106"/>
      <c r="DD56" s="106"/>
      <c r="DE56" s="106"/>
      <c r="DF56" s="106"/>
      <c r="DG56" s="106"/>
      <c r="DH56" s="106"/>
      <c r="DI56" s="106"/>
      <c r="DJ56" s="106"/>
      <c r="DK56" s="106"/>
      <c r="DL56" s="106"/>
      <c r="DM56" s="106"/>
      <c r="DN56" s="106"/>
      <c r="DO56" s="106"/>
      <c r="DP56" s="106"/>
      <c r="DQ56" s="106"/>
      <c r="DR56" s="106"/>
      <c r="DS56" s="106"/>
      <c r="DT56" s="106"/>
      <c r="DU56" s="106"/>
      <c r="DV56" s="106"/>
      <c r="DW56" s="106"/>
      <c r="DX56" s="106"/>
      <c r="DY56" s="106"/>
      <c r="DZ56" s="106"/>
      <c r="EA56" s="106"/>
      <c r="EB56" s="106"/>
      <c r="EC56" s="106"/>
      <c r="ED56" s="106"/>
      <c r="EE56" s="106"/>
      <c r="EF56" s="106"/>
      <c r="EG56" s="106"/>
      <c r="EH56" s="106"/>
      <c r="EI56" s="106"/>
      <c r="EJ56" s="106"/>
      <c r="EK56" s="106"/>
      <c r="EL56" s="106"/>
      <c r="EM56" s="106"/>
      <c r="EN56" s="106"/>
      <c r="EO56" s="106"/>
      <c r="EP56" s="106"/>
      <c r="EQ56" s="106"/>
      <c r="ER56" s="106"/>
      <c r="ES56" s="106"/>
      <c r="ET56" s="106"/>
      <c r="EU56" s="106"/>
      <c r="EV56" s="106"/>
      <c r="EW56" s="106"/>
      <c r="EX56" s="106"/>
      <c r="EY56" s="106"/>
      <c r="EZ56" s="106"/>
      <c r="FA56" s="106"/>
      <c r="FB56" s="106"/>
      <c r="FC56" s="106"/>
      <c r="FD56" s="106"/>
      <c r="FE56" s="106"/>
      <c r="FF56" s="106"/>
      <c r="FG56" s="106"/>
      <c r="FH56" s="106"/>
      <c r="FI56" s="106"/>
      <c r="FJ56" s="106"/>
      <c r="FK56" s="106"/>
      <c r="FL56" s="106"/>
      <c r="FM56" s="106"/>
      <c r="FN56" s="106"/>
      <c r="FO56" s="106"/>
      <c r="FP56" s="106"/>
      <c r="FQ56" s="106"/>
      <c r="FR56" s="106"/>
      <c r="FS56" s="106"/>
      <c r="FT56" s="106"/>
      <c r="FU56" s="106"/>
      <c r="FV56" s="106"/>
      <c r="FW56" s="106"/>
      <c r="FX56" s="106"/>
      <c r="FY56" s="106"/>
      <c r="FZ56" s="106"/>
      <c r="GA56" s="106"/>
      <c r="GB56" s="106"/>
      <c r="GC56" s="106"/>
      <c r="GD56" s="106"/>
      <c r="GE56" s="106"/>
      <c r="GF56" s="106"/>
      <c r="GG56" s="106"/>
      <c r="GH56" s="106"/>
      <c r="GI56" s="106"/>
      <c r="GJ56" s="106"/>
      <c r="GK56" s="106"/>
      <c r="GL56" s="106"/>
      <c r="GM56" s="106"/>
      <c r="GN56" s="106"/>
      <c r="GO56" s="106"/>
      <c r="GP56" s="106"/>
      <c r="GQ56" s="106"/>
      <c r="GR56" s="106"/>
      <c r="GS56" s="106"/>
      <c r="GT56" s="106"/>
      <c r="GU56" s="106"/>
      <c r="GV56" s="106"/>
      <c r="GW56" s="106"/>
      <c r="GX56" s="106"/>
      <c r="GY56" s="106"/>
      <c r="GZ56" s="106"/>
      <c r="HA56" s="106"/>
      <c r="HB56" s="106"/>
      <c r="HC56" s="106"/>
      <c r="HD56" s="106"/>
      <c r="HE56" s="106"/>
      <c r="HF56" s="106"/>
      <c r="HG56" s="106"/>
      <c r="HH56" s="106"/>
      <c r="HI56" s="106"/>
      <c r="HJ56" s="106"/>
      <c r="HK56" s="106"/>
      <c r="HL56" s="106"/>
      <c r="HM56" s="106"/>
      <c r="HN56" s="106"/>
      <c r="HO56" s="106"/>
      <c r="HP56" s="106"/>
      <c r="HQ56" s="106"/>
      <c r="HR56" s="106"/>
      <c r="HS56" s="106"/>
      <c r="HT56" s="106"/>
      <c r="HU56" s="106"/>
      <c r="HV56" s="106"/>
      <c r="HW56" s="106"/>
      <c r="HX56" s="106"/>
      <c r="HY56" s="106"/>
      <c r="HZ56" s="106"/>
      <c r="IA56" s="106"/>
      <c r="IB56" s="106"/>
      <c r="IC56" s="106"/>
      <c r="ID56" s="106"/>
      <c r="IE56" s="106"/>
      <c r="IF56" s="106"/>
      <c r="IG56" s="106"/>
      <c r="IH56" s="106"/>
      <c r="II56" s="106"/>
      <c r="IJ56" s="106"/>
      <c r="IK56" s="106"/>
      <c r="IL56" s="106"/>
      <c r="IM56" s="106"/>
      <c r="IN56" s="106"/>
      <c r="IO56" s="106"/>
      <c r="IP56" s="106"/>
      <c r="IQ56" s="106"/>
      <c r="IR56" s="106"/>
      <c r="IS56" s="106"/>
      <c r="IT56" s="106"/>
      <c r="IU56" s="106"/>
      <c r="IV56" s="106"/>
      <c r="IW56" s="106"/>
      <c r="IX56" s="106"/>
    </row>
    <row r="57" s="105" customFormat="1" spans="1:258">
      <c r="A57" s="125"/>
      <c r="B57" s="125"/>
      <c r="C57" s="125"/>
      <c r="D57" s="125"/>
      <c r="E57" s="125"/>
      <c r="F57" s="125"/>
      <c r="G57" s="125"/>
      <c r="H57" s="125"/>
      <c r="I57" s="125"/>
      <c r="J57" s="133"/>
      <c r="K57" s="134"/>
      <c r="L57" s="134"/>
      <c r="M57" s="134"/>
      <c r="N57" s="134"/>
      <c r="O57" s="134"/>
      <c r="P57" s="155"/>
      <c r="Q57" s="155"/>
      <c r="R57" s="134"/>
      <c r="S57" s="134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  <c r="AM57" s="106"/>
      <c r="AN57" s="106"/>
      <c r="AO57" s="106"/>
      <c r="AP57" s="106"/>
      <c r="AQ57" s="106"/>
      <c r="AR57" s="106"/>
      <c r="AS57" s="106"/>
      <c r="AT57" s="106"/>
      <c r="AU57" s="106"/>
      <c r="AV57" s="106"/>
      <c r="AW57" s="106"/>
      <c r="AX57" s="106"/>
      <c r="AY57" s="106"/>
      <c r="AZ57" s="106"/>
      <c r="BA57" s="106"/>
      <c r="BB57" s="106"/>
      <c r="BC57" s="106"/>
      <c r="BD57" s="106"/>
      <c r="BE57" s="106"/>
      <c r="BF57" s="106"/>
      <c r="BG57" s="106"/>
      <c r="BH57" s="106"/>
      <c r="BI57" s="106"/>
      <c r="BJ57" s="106"/>
      <c r="BK57" s="106"/>
      <c r="BL57" s="106"/>
      <c r="BM57" s="106"/>
      <c r="BN57" s="106"/>
      <c r="BO57" s="106"/>
      <c r="BP57" s="106"/>
      <c r="BQ57" s="106"/>
      <c r="BR57" s="106"/>
      <c r="BS57" s="106"/>
      <c r="BT57" s="106"/>
      <c r="BU57" s="106"/>
      <c r="BV57" s="106"/>
      <c r="BW57" s="106"/>
      <c r="BX57" s="106"/>
      <c r="BY57" s="106"/>
      <c r="BZ57" s="106"/>
      <c r="CA57" s="106"/>
      <c r="CB57" s="106"/>
      <c r="CC57" s="106"/>
      <c r="CD57" s="106"/>
      <c r="CE57" s="106"/>
      <c r="CF57" s="106"/>
      <c r="CG57" s="106"/>
      <c r="CH57" s="106"/>
      <c r="CI57" s="106"/>
      <c r="CJ57" s="106"/>
      <c r="CK57" s="106"/>
      <c r="CL57" s="106"/>
      <c r="CM57" s="106"/>
      <c r="CN57" s="106"/>
      <c r="CO57" s="106"/>
      <c r="CP57" s="106"/>
      <c r="CQ57" s="106"/>
      <c r="CR57" s="106"/>
      <c r="CS57" s="106"/>
      <c r="CT57" s="106"/>
      <c r="CU57" s="106"/>
      <c r="CV57" s="106"/>
      <c r="CW57" s="106"/>
      <c r="CX57" s="106"/>
      <c r="CY57" s="106"/>
      <c r="CZ57" s="106"/>
      <c r="DA57" s="106"/>
      <c r="DB57" s="106"/>
      <c r="DC57" s="106"/>
      <c r="DD57" s="106"/>
      <c r="DE57" s="106"/>
      <c r="DF57" s="106"/>
      <c r="DG57" s="106"/>
      <c r="DH57" s="106"/>
      <c r="DI57" s="106"/>
      <c r="DJ57" s="106"/>
      <c r="DK57" s="106"/>
      <c r="DL57" s="106"/>
      <c r="DM57" s="106"/>
      <c r="DN57" s="106"/>
      <c r="DO57" s="106"/>
      <c r="DP57" s="106"/>
      <c r="DQ57" s="106"/>
      <c r="DR57" s="106"/>
      <c r="DS57" s="106"/>
      <c r="DT57" s="106"/>
      <c r="DU57" s="106"/>
      <c r="DV57" s="106"/>
      <c r="DW57" s="106"/>
      <c r="DX57" s="106"/>
      <c r="DY57" s="106"/>
      <c r="DZ57" s="106"/>
      <c r="EA57" s="106"/>
      <c r="EB57" s="106"/>
      <c r="EC57" s="106"/>
      <c r="ED57" s="106"/>
      <c r="EE57" s="106"/>
      <c r="EF57" s="106"/>
      <c r="EG57" s="106"/>
      <c r="EH57" s="106"/>
      <c r="EI57" s="106"/>
      <c r="EJ57" s="106"/>
      <c r="EK57" s="106"/>
      <c r="EL57" s="106"/>
      <c r="EM57" s="106"/>
      <c r="EN57" s="106"/>
      <c r="EO57" s="106"/>
      <c r="EP57" s="106"/>
      <c r="EQ57" s="106"/>
      <c r="ER57" s="106"/>
      <c r="ES57" s="106"/>
      <c r="ET57" s="106"/>
      <c r="EU57" s="106"/>
      <c r="EV57" s="106"/>
      <c r="EW57" s="106"/>
      <c r="EX57" s="106"/>
      <c r="EY57" s="106"/>
      <c r="EZ57" s="106"/>
      <c r="FA57" s="106"/>
      <c r="FB57" s="106"/>
      <c r="FC57" s="106"/>
      <c r="FD57" s="106"/>
      <c r="FE57" s="106"/>
      <c r="FF57" s="106"/>
      <c r="FG57" s="106"/>
      <c r="FH57" s="106"/>
      <c r="FI57" s="106"/>
      <c r="FJ57" s="106"/>
      <c r="FK57" s="106"/>
      <c r="FL57" s="106"/>
      <c r="FM57" s="106"/>
      <c r="FN57" s="106"/>
      <c r="FO57" s="106"/>
      <c r="FP57" s="106"/>
      <c r="FQ57" s="106"/>
      <c r="FR57" s="106"/>
      <c r="FS57" s="106"/>
      <c r="FT57" s="106"/>
      <c r="FU57" s="106"/>
      <c r="FV57" s="106"/>
      <c r="FW57" s="106"/>
      <c r="FX57" s="106"/>
      <c r="FY57" s="106"/>
      <c r="FZ57" s="106"/>
      <c r="GA57" s="106"/>
      <c r="GB57" s="106"/>
      <c r="GC57" s="106"/>
      <c r="GD57" s="106"/>
      <c r="GE57" s="106"/>
      <c r="GF57" s="106"/>
      <c r="GG57" s="106"/>
      <c r="GH57" s="106"/>
      <c r="GI57" s="106"/>
      <c r="GJ57" s="106"/>
      <c r="GK57" s="106"/>
      <c r="GL57" s="106"/>
      <c r="GM57" s="106"/>
      <c r="GN57" s="106"/>
      <c r="GO57" s="106"/>
      <c r="GP57" s="106"/>
      <c r="GQ57" s="106"/>
      <c r="GR57" s="106"/>
      <c r="GS57" s="106"/>
      <c r="GT57" s="106"/>
      <c r="GU57" s="106"/>
      <c r="GV57" s="106"/>
      <c r="GW57" s="106"/>
      <c r="GX57" s="106"/>
      <c r="GY57" s="106"/>
      <c r="GZ57" s="106"/>
      <c r="HA57" s="106"/>
      <c r="HB57" s="106"/>
      <c r="HC57" s="106"/>
      <c r="HD57" s="106"/>
      <c r="HE57" s="106"/>
      <c r="HF57" s="106"/>
      <c r="HG57" s="106"/>
      <c r="HH57" s="106"/>
      <c r="HI57" s="106"/>
      <c r="HJ57" s="106"/>
      <c r="HK57" s="106"/>
      <c r="HL57" s="106"/>
      <c r="HM57" s="106"/>
      <c r="HN57" s="106"/>
      <c r="HO57" s="106"/>
      <c r="HP57" s="106"/>
      <c r="HQ57" s="106"/>
      <c r="HR57" s="106"/>
      <c r="HS57" s="106"/>
      <c r="HT57" s="106"/>
      <c r="HU57" s="106"/>
      <c r="HV57" s="106"/>
      <c r="HW57" s="106"/>
      <c r="HX57" s="106"/>
      <c r="HY57" s="106"/>
      <c r="HZ57" s="106"/>
      <c r="IA57" s="106"/>
      <c r="IB57" s="106"/>
      <c r="IC57" s="106"/>
      <c r="ID57" s="106"/>
      <c r="IE57" s="106"/>
      <c r="IF57" s="106"/>
      <c r="IG57" s="106"/>
      <c r="IH57" s="106"/>
      <c r="II57" s="106"/>
      <c r="IJ57" s="106"/>
      <c r="IK57" s="106"/>
      <c r="IL57" s="106"/>
      <c r="IM57" s="106"/>
      <c r="IN57" s="106"/>
      <c r="IO57" s="106"/>
      <c r="IP57" s="106"/>
      <c r="IQ57" s="106"/>
      <c r="IR57" s="106"/>
      <c r="IS57" s="106"/>
      <c r="IT57" s="106"/>
      <c r="IU57" s="106"/>
      <c r="IV57" s="106"/>
      <c r="IW57" s="106"/>
      <c r="IX57" s="106"/>
    </row>
    <row r="58" s="105" customFormat="1" spans="1:258">
      <c r="A58" s="125"/>
      <c r="B58" s="125"/>
      <c r="C58" s="125"/>
      <c r="D58" s="125"/>
      <c r="E58" s="125"/>
      <c r="F58" s="125"/>
      <c r="G58" s="125"/>
      <c r="H58" s="125"/>
      <c r="I58" s="125"/>
      <c r="J58" s="133"/>
      <c r="K58" s="134"/>
      <c r="L58" s="134"/>
      <c r="M58" s="134"/>
      <c r="N58" s="134"/>
      <c r="O58" s="134"/>
      <c r="P58" s="155"/>
      <c r="Q58" s="155"/>
      <c r="R58" s="134"/>
      <c r="S58" s="134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  <c r="AM58" s="106"/>
      <c r="AN58" s="106"/>
      <c r="AO58" s="106"/>
      <c r="AP58" s="106"/>
      <c r="AQ58" s="106"/>
      <c r="AR58" s="106"/>
      <c r="AS58" s="106"/>
      <c r="AT58" s="106"/>
      <c r="AU58" s="106"/>
      <c r="AV58" s="106"/>
      <c r="AW58" s="106"/>
      <c r="AX58" s="106"/>
      <c r="AY58" s="106"/>
      <c r="AZ58" s="106"/>
      <c r="BA58" s="106"/>
      <c r="BB58" s="106"/>
      <c r="BC58" s="106"/>
      <c r="BD58" s="106"/>
      <c r="BE58" s="106"/>
      <c r="BF58" s="106"/>
      <c r="BG58" s="106"/>
      <c r="BH58" s="106"/>
      <c r="BI58" s="106"/>
      <c r="BJ58" s="106"/>
      <c r="BK58" s="106"/>
      <c r="BL58" s="106"/>
      <c r="BM58" s="106"/>
      <c r="BN58" s="106"/>
      <c r="BO58" s="106"/>
      <c r="BP58" s="106"/>
      <c r="BQ58" s="106"/>
      <c r="BR58" s="106"/>
      <c r="BS58" s="106"/>
      <c r="BT58" s="106"/>
      <c r="BU58" s="106"/>
      <c r="BV58" s="106"/>
      <c r="BW58" s="106"/>
      <c r="BX58" s="106"/>
      <c r="BY58" s="106"/>
      <c r="BZ58" s="106"/>
      <c r="CA58" s="106"/>
      <c r="CB58" s="106"/>
      <c r="CC58" s="106"/>
      <c r="CD58" s="106"/>
      <c r="CE58" s="106"/>
      <c r="CF58" s="106"/>
      <c r="CG58" s="106"/>
      <c r="CH58" s="106"/>
      <c r="CI58" s="106"/>
      <c r="CJ58" s="106"/>
      <c r="CK58" s="106"/>
      <c r="CL58" s="106"/>
      <c r="CM58" s="106"/>
      <c r="CN58" s="106"/>
      <c r="CO58" s="106"/>
      <c r="CP58" s="106"/>
      <c r="CQ58" s="106"/>
      <c r="CR58" s="106"/>
      <c r="CS58" s="106"/>
      <c r="CT58" s="106"/>
      <c r="CU58" s="106"/>
      <c r="CV58" s="106"/>
      <c r="CW58" s="106"/>
      <c r="CX58" s="106"/>
      <c r="CY58" s="106"/>
      <c r="CZ58" s="106"/>
      <c r="DA58" s="106"/>
      <c r="DB58" s="106"/>
      <c r="DC58" s="106"/>
      <c r="DD58" s="106"/>
      <c r="DE58" s="106"/>
      <c r="DF58" s="106"/>
      <c r="DG58" s="106"/>
      <c r="DH58" s="106"/>
      <c r="DI58" s="106"/>
      <c r="DJ58" s="106"/>
      <c r="DK58" s="106"/>
      <c r="DL58" s="106"/>
      <c r="DM58" s="106"/>
      <c r="DN58" s="106"/>
      <c r="DO58" s="106"/>
      <c r="DP58" s="106"/>
      <c r="DQ58" s="106"/>
      <c r="DR58" s="106"/>
      <c r="DS58" s="106"/>
      <c r="DT58" s="106"/>
      <c r="DU58" s="106"/>
      <c r="DV58" s="106"/>
      <c r="DW58" s="106"/>
      <c r="DX58" s="106"/>
      <c r="DY58" s="106"/>
      <c r="DZ58" s="106"/>
      <c r="EA58" s="106"/>
      <c r="EB58" s="106"/>
      <c r="EC58" s="106"/>
      <c r="ED58" s="106"/>
      <c r="EE58" s="106"/>
      <c r="EF58" s="106"/>
      <c r="EG58" s="106"/>
      <c r="EH58" s="106"/>
      <c r="EI58" s="106"/>
      <c r="EJ58" s="106"/>
      <c r="EK58" s="106"/>
      <c r="EL58" s="106"/>
      <c r="EM58" s="106"/>
      <c r="EN58" s="106"/>
      <c r="EO58" s="106"/>
      <c r="EP58" s="106"/>
      <c r="EQ58" s="106"/>
      <c r="ER58" s="106"/>
      <c r="ES58" s="106"/>
      <c r="ET58" s="106"/>
      <c r="EU58" s="106"/>
      <c r="EV58" s="106"/>
      <c r="EW58" s="106"/>
      <c r="EX58" s="106"/>
      <c r="EY58" s="106"/>
      <c r="EZ58" s="106"/>
      <c r="FA58" s="106"/>
      <c r="FB58" s="106"/>
      <c r="FC58" s="106"/>
      <c r="FD58" s="106"/>
      <c r="FE58" s="106"/>
      <c r="FF58" s="106"/>
      <c r="FG58" s="106"/>
      <c r="FH58" s="106"/>
      <c r="FI58" s="106"/>
      <c r="FJ58" s="106"/>
      <c r="FK58" s="106"/>
      <c r="FL58" s="106"/>
      <c r="FM58" s="106"/>
      <c r="FN58" s="106"/>
      <c r="FO58" s="106"/>
      <c r="FP58" s="106"/>
      <c r="FQ58" s="106"/>
      <c r="FR58" s="106"/>
      <c r="FS58" s="106"/>
      <c r="FT58" s="106"/>
      <c r="FU58" s="106"/>
      <c r="FV58" s="106"/>
      <c r="FW58" s="106"/>
      <c r="FX58" s="106"/>
      <c r="FY58" s="106"/>
      <c r="FZ58" s="106"/>
      <c r="GA58" s="106"/>
      <c r="GB58" s="106"/>
      <c r="GC58" s="106"/>
      <c r="GD58" s="106"/>
      <c r="GE58" s="106"/>
      <c r="GF58" s="106"/>
      <c r="GG58" s="106"/>
      <c r="GH58" s="106"/>
      <c r="GI58" s="106"/>
      <c r="GJ58" s="106"/>
      <c r="GK58" s="106"/>
      <c r="GL58" s="106"/>
      <c r="GM58" s="106"/>
      <c r="GN58" s="106"/>
      <c r="GO58" s="106"/>
      <c r="GP58" s="106"/>
      <c r="GQ58" s="106"/>
      <c r="GR58" s="106"/>
      <c r="GS58" s="106"/>
      <c r="GT58" s="106"/>
      <c r="GU58" s="106"/>
      <c r="GV58" s="106"/>
      <c r="GW58" s="106"/>
      <c r="GX58" s="106"/>
      <c r="GY58" s="106"/>
      <c r="GZ58" s="106"/>
      <c r="HA58" s="106"/>
      <c r="HB58" s="106"/>
      <c r="HC58" s="106"/>
      <c r="HD58" s="106"/>
      <c r="HE58" s="106"/>
      <c r="HF58" s="106"/>
      <c r="HG58" s="106"/>
      <c r="HH58" s="106"/>
      <c r="HI58" s="106"/>
      <c r="HJ58" s="106"/>
      <c r="HK58" s="106"/>
      <c r="HL58" s="106"/>
      <c r="HM58" s="106"/>
      <c r="HN58" s="106"/>
      <c r="HO58" s="106"/>
      <c r="HP58" s="106"/>
      <c r="HQ58" s="106"/>
      <c r="HR58" s="106"/>
      <c r="HS58" s="106"/>
      <c r="HT58" s="106"/>
      <c r="HU58" s="106"/>
      <c r="HV58" s="106"/>
      <c r="HW58" s="106"/>
      <c r="HX58" s="106"/>
      <c r="HY58" s="106"/>
      <c r="HZ58" s="106"/>
      <c r="IA58" s="106"/>
      <c r="IB58" s="106"/>
      <c r="IC58" s="106"/>
      <c r="ID58" s="106"/>
      <c r="IE58" s="106"/>
      <c r="IF58" s="106"/>
      <c r="IG58" s="106"/>
      <c r="IH58" s="106"/>
      <c r="II58" s="106"/>
      <c r="IJ58" s="106"/>
      <c r="IK58" s="106"/>
      <c r="IL58" s="106"/>
      <c r="IM58" s="106"/>
      <c r="IN58" s="106"/>
      <c r="IO58" s="106"/>
      <c r="IP58" s="106"/>
      <c r="IQ58" s="106"/>
      <c r="IR58" s="106"/>
      <c r="IS58" s="106"/>
      <c r="IT58" s="106"/>
      <c r="IU58" s="106"/>
      <c r="IV58" s="106"/>
      <c r="IW58" s="106"/>
      <c r="IX58" s="106"/>
    </row>
    <row r="59" s="105" customFormat="1" spans="1:258">
      <c r="A59" s="125"/>
      <c r="B59" s="125"/>
      <c r="C59" s="125"/>
      <c r="D59" s="125"/>
      <c r="E59" s="125"/>
      <c r="F59" s="125"/>
      <c r="G59" s="125"/>
      <c r="H59" s="125"/>
      <c r="I59" s="125"/>
      <c r="J59" s="133"/>
      <c r="K59" s="134"/>
      <c r="L59" s="134"/>
      <c r="M59" s="134"/>
      <c r="N59" s="134"/>
      <c r="O59" s="134"/>
      <c r="P59" s="155"/>
      <c r="Q59" s="155"/>
      <c r="R59" s="134"/>
      <c r="S59" s="134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106"/>
      <c r="AO59" s="106"/>
      <c r="AP59" s="106"/>
      <c r="AQ59" s="106"/>
      <c r="AR59" s="106"/>
      <c r="AS59" s="106"/>
      <c r="AT59" s="106"/>
      <c r="AU59" s="106"/>
      <c r="AV59" s="106"/>
      <c r="AW59" s="106"/>
      <c r="AX59" s="106"/>
      <c r="AY59" s="106"/>
      <c r="AZ59" s="106"/>
      <c r="BA59" s="106"/>
      <c r="BB59" s="106"/>
      <c r="BC59" s="106"/>
      <c r="BD59" s="106"/>
      <c r="BE59" s="106"/>
      <c r="BF59" s="106"/>
      <c r="BG59" s="106"/>
      <c r="BH59" s="106"/>
      <c r="BI59" s="106"/>
      <c r="BJ59" s="106"/>
      <c r="BK59" s="106"/>
      <c r="BL59" s="106"/>
      <c r="BM59" s="106"/>
      <c r="BN59" s="106"/>
      <c r="BO59" s="106"/>
      <c r="BP59" s="106"/>
      <c r="BQ59" s="106"/>
      <c r="BR59" s="106"/>
      <c r="BS59" s="106"/>
      <c r="BT59" s="106"/>
      <c r="BU59" s="106"/>
      <c r="BV59" s="106"/>
      <c r="BW59" s="106"/>
      <c r="BX59" s="106"/>
      <c r="BY59" s="106"/>
      <c r="BZ59" s="106"/>
      <c r="CA59" s="106"/>
      <c r="CB59" s="106"/>
      <c r="CC59" s="106"/>
      <c r="CD59" s="106"/>
      <c r="CE59" s="106"/>
      <c r="CF59" s="106"/>
      <c r="CG59" s="106"/>
      <c r="CH59" s="106"/>
      <c r="CI59" s="106"/>
      <c r="CJ59" s="106"/>
      <c r="CK59" s="106"/>
      <c r="CL59" s="106"/>
      <c r="CM59" s="106"/>
      <c r="CN59" s="106"/>
      <c r="CO59" s="106"/>
      <c r="CP59" s="106"/>
      <c r="CQ59" s="106"/>
      <c r="CR59" s="106"/>
      <c r="CS59" s="106"/>
      <c r="CT59" s="106"/>
      <c r="CU59" s="106"/>
      <c r="CV59" s="106"/>
      <c r="CW59" s="106"/>
      <c r="CX59" s="106"/>
      <c r="CY59" s="106"/>
      <c r="CZ59" s="106"/>
      <c r="DA59" s="106"/>
      <c r="DB59" s="106"/>
      <c r="DC59" s="106"/>
      <c r="DD59" s="106"/>
      <c r="DE59" s="106"/>
      <c r="DF59" s="106"/>
      <c r="DG59" s="106"/>
      <c r="DH59" s="106"/>
      <c r="DI59" s="106"/>
      <c r="DJ59" s="106"/>
      <c r="DK59" s="106"/>
      <c r="DL59" s="106"/>
      <c r="DM59" s="106"/>
      <c r="DN59" s="106"/>
      <c r="DO59" s="106"/>
      <c r="DP59" s="106"/>
      <c r="DQ59" s="106"/>
      <c r="DR59" s="106"/>
      <c r="DS59" s="106"/>
      <c r="DT59" s="106"/>
      <c r="DU59" s="106"/>
      <c r="DV59" s="106"/>
      <c r="DW59" s="106"/>
      <c r="DX59" s="106"/>
      <c r="DY59" s="106"/>
      <c r="DZ59" s="106"/>
      <c r="EA59" s="106"/>
      <c r="EB59" s="106"/>
      <c r="EC59" s="106"/>
      <c r="ED59" s="106"/>
      <c r="EE59" s="106"/>
      <c r="EF59" s="106"/>
      <c r="EG59" s="106"/>
      <c r="EH59" s="106"/>
      <c r="EI59" s="106"/>
      <c r="EJ59" s="106"/>
      <c r="EK59" s="106"/>
      <c r="EL59" s="106"/>
      <c r="EM59" s="106"/>
      <c r="EN59" s="106"/>
      <c r="EO59" s="106"/>
      <c r="EP59" s="106"/>
      <c r="EQ59" s="106"/>
      <c r="ER59" s="106"/>
      <c r="ES59" s="106"/>
      <c r="ET59" s="106"/>
      <c r="EU59" s="106"/>
      <c r="EV59" s="106"/>
      <c r="EW59" s="106"/>
      <c r="EX59" s="106"/>
      <c r="EY59" s="106"/>
      <c r="EZ59" s="106"/>
      <c r="FA59" s="106"/>
      <c r="FB59" s="106"/>
      <c r="FC59" s="106"/>
      <c r="FD59" s="106"/>
      <c r="FE59" s="106"/>
      <c r="FF59" s="106"/>
      <c r="FG59" s="106"/>
      <c r="FH59" s="106"/>
      <c r="FI59" s="106"/>
      <c r="FJ59" s="106"/>
      <c r="FK59" s="106"/>
      <c r="FL59" s="106"/>
      <c r="FM59" s="106"/>
      <c r="FN59" s="106"/>
      <c r="FO59" s="106"/>
      <c r="FP59" s="106"/>
      <c r="FQ59" s="106"/>
      <c r="FR59" s="106"/>
      <c r="FS59" s="106"/>
      <c r="FT59" s="106"/>
      <c r="FU59" s="106"/>
      <c r="FV59" s="106"/>
      <c r="FW59" s="106"/>
      <c r="FX59" s="106"/>
      <c r="FY59" s="106"/>
      <c r="FZ59" s="106"/>
      <c r="GA59" s="106"/>
      <c r="GB59" s="106"/>
      <c r="GC59" s="106"/>
      <c r="GD59" s="106"/>
      <c r="GE59" s="106"/>
      <c r="GF59" s="106"/>
      <c r="GG59" s="106"/>
      <c r="GH59" s="106"/>
      <c r="GI59" s="106"/>
      <c r="GJ59" s="106"/>
      <c r="GK59" s="106"/>
      <c r="GL59" s="106"/>
      <c r="GM59" s="106"/>
      <c r="GN59" s="106"/>
      <c r="GO59" s="106"/>
      <c r="GP59" s="106"/>
      <c r="GQ59" s="106"/>
      <c r="GR59" s="106"/>
      <c r="GS59" s="106"/>
      <c r="GT59" s="106"/>
      <c r="GU59" s="106"/>
      <c r="GV59" s="106"/>
      <c r="GW59" s="106"/>
      <c r="GX59" s="106"/>
      <c r="GY59" s="106"/>
      <c r="GZ59" s="106"/>
      <c r="HA59" s="106"/>
      <c r="HB59" s="106"/>
      <c r="HC59" s="106"/>
      <c r="HD59" s="106"/>
      <c r="HE59" s="106"/>
      <c r="HF59" s="106"/>
      <c r="HG59" s="106"/>
      <c r="HH59" s="106"/>
      <c r="HI59" s="106"/>
      <c r="HJ59" s="106"/>
      <c r="HK59" s="106"/>
      <c r="HL59" s="106"/>
      <c r="HM59" s="106"/>
      <c r="HN59" s="106"/>
      <c r="HO59" s="106"/>
      <c r="HP59" s="106"/>
      <c r="HQ59" s="106"/>
      <c r="HR59" s="106"/>
      <c r="HS59" s="106"/>
      <c r="HT59" s="106"/>
      <c r="HU59" s="106"/>
      <c r="HV59" s="106"/>
      <c r="HW59" s="106"/>
      <c r="HX59" s="106"/>
      <c r="HY59" s="106"/>
      <c r="HZ59" s="106"/>
      <c r="IA59" s="106"/>
      <c r="IB59" s="106"/>
      <c r="IC59" s="106"/>
      <c r="ID59" s="106"/>
      <c r="IE59" s="106"/>
      <c r="IF59" s="106"/>
      <c r="IG59" s="106"/>
      <c r="IH59" s="106"/>
      <c r="II59" s="106"/>
      <c r="IJ59" s="106"/>
      <c r="IK59" s="106"/>
      <c r="IL59" s="106"/>
      <c r="IM59" s="106"/>
      <c r="IN59" s="106"/>
      <c r="IO59" s="106"/>
      <c r="IP59" s="106"/>
      <c r="IQ59" s="106"/>
      <c r="IR59" s="106"/>
      <c r="IS59" s="106"/>
      <c r="IT59" s="106"/>
      <c r="IU59" s="106"/>
      <c r="IV59" s="106"/>
      <c r="IW59" s="106"/>
      <c r="IX59" s="106"/>
    </row>
    <row r="60" s="105" customFormat="1" spans="1:258">
      <c r="A60" s="125"/>
      <c r="B60" s="125"/>
      <c r="C60" s="125"/>
      <c r="D60" s="125"/>
      <c r="E60" s="125"/>
      <c r="F60" s="125"/>
      <c r="G60" s="125"/>
      <c r="H60" s="125"/>
      <c r="I60" s="125"/>
      <c r="J60" s="133"/>
      <c r="K60" s="134"/>
      <c r="L60" s="134"/>
      <c r="M60" s="134"/>
      <c r="N60" s="134"/>
      <c r="O60" s="134"/>
      <c r="P60" s="155"/>
      <c r="Q60" s="155"/>
      <c r="R60" s="134"/>
      <c r="S60" s="134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  <c r="AM60" s="106"/>
      <c r="AN60" s="106"/>
      <c r="AO60" s="106"/>
      <c r="AP60" s="106"/>
      <c r="AQ60" s="106"/>
      <c r="AR60" s="106"/>
      <c r="AS60" s="106"/>
      <c r="AT60" s="106"/>
      <c r="AU60" s="106"/>
      <c r="AV60" s="106"/>
      <c r="AW60" s="106"/>
      <c r="AX60" s="106"/>
      <c r="AY60" s="106"/>
      <c r="AZ60" s="106"/>
      <c r="BA60" s="106"/>
      <c r="BB60" s="106"/>
      <c r="BC60" s="106"/>
      <c r="BD60" s="106"/>
      <c r="BE60" s="106"/>
      <c r="BF60" s="106"/>
      <c r="BG60" s="106"/>
      <c r="BH60" s="106"/>
      <c r="BI60" s="106"/>
      <c r="BJ60" s="106"/>
      <c r="BK60" s="106"/>
      <c r="BL60" s="106"/>
      <c r="BM60" s="106"/>
      <c r="BN60" s="106"/>
      <c r="BO60" s="106"/>
      <c r="BP60" s="106"/>
      <c r="BQ60" s="106"/>
      <c r="BR60" s="106"/>
      <c r="BS60" s="106"/>
      <c r="BT60" s="106"/>
      <c r="BU60" s="106"/>
      <c r="BV60" s="106"/>
      <c r="BW60" s="106"/>
      <c r="BX60" s="106"/>
      <c r="BY60" s="106"/>
      <c r="BZ60" s="106"/>
      <c r="CA60" s="106"/>
      <c r="CB60" s="106"/>
      <c r="CC60" s="106"/>
      <c r="CD60" s="106"/>
      <c r="CE60" s="106"/>
      <c r="CF60" s="106"/>
      <c r="CG60" s="106"/>
      <c r="CH60" s="106"/>
      <c r="CI60" s="106"/>
      <c r="CJ60" s="106"/>
      <c r="CK60" s="106"/>
      <c r="CL60" s="106"/>
      <c r="CM60" s="106"/>
      <c r="CN60" s="106"/>
      <c r="CO60" s="106"/>
      <c r="CP60" s="106"/>
      <c r="CQ60" s="106"/>
      <c r="CR60" s="106"/>
      <c r="CS60" s="106"/>
      <c r="CT60" s="106"/>
      <c r="CU60" s="106"/>
      <c r="CV60" s="106"/>
      <c r="CW60" s="106"/>
      <c r="CX60" s="106"/>
      <c r="CY60" s="106"/>
      <c r="CZ60" s="106"/>
      <c r="DA60" s="106"/>
      <c r="DB60" s="106"/>
      <c r="DC60" s="106"/>
      <c r="DD60" s="106"/>
      <c r="DE60" s="106"/>
      <c r="DF60" s="106"/>
      <c r="DG60" s="106"/>
      <c r="DH60" s="106"/>
      <c r="DI60" s="106"/>
      <c r="DJ60" s="106"/>
      <c r="DK60" s="106"/>
      <c r="DL60" s="106"/>
      <c r="DM60" s="106"/>
      <c r="DN60" s="106"/>
      <c r="DO60" s="106"/>
      <c r="DP60" s="106"/>
      <c r="DQ60" s="106"/>
      <c r="DR60" s="106"/>
      <c r="DS60" s="106"/>
      <c r="DT60" s="106"/>
      <c r="DU60" s="106"/>
      <c r="DV60" s="106"/>
      <c r="DW60" s="106"/>
      <c r="DX60" s="106"/>
      <c r="DY60" s="106"/>
      <c r="DZ60" s="106"/>
      <c r="EA60" s="106"/>
      <c r="EB60" s="106"/>
      <c r="EC60" s="106"/>
      <c r="ED60" s="106"/>
      <c r="EE60" s="106"/>
      <c r="EF60" s="106"/>
      <c r="EG60" s="106"/>
      <c r="EH60" s="106"/>
      <c r="EI60" s="106"/>
      <c r="EJ60" s="106"/>
      <c r="EK60" s="106"/>
      <c r="EL60" s="106"/>
      <c r="EM60" s="106"/>
      <c r="EN60" s="106"/>
      <c r="EO60" s="106"/>
      <c r="EP60" s="106"/>
      <c r="EQ60" s="106"/>
      <c r="ER60" s="106"/>
      <c r="ES60" s="106"/>
      <c r="ET60" s="106"/>
      <c r="EU60" s="106"/>
      <c r="EV60" s="106"/>
      <c r="EW60" s="106"/>
      <c r="EX60" s="106"/>
      <c r="EY60" s="106"/>
      <c r="EZ60" s="106"/>
      <c r="FA60" s="106"/>
      <c r="FB60" s="106"/>
      <c r="FC60" s="106"/>
      <c r="FD60" s="106"/>
      <c r="FE60" s="106"/>
      <c r="FF60" s="106"/>
      <c r="FG60" s="106"/>
      <c r="FH60" s="106"/>
      <c r="FI60" s="106"/>
      <c r="FJ60" s="106"/>
      <c r="FK60" s="106"/>
      <c r="FL60" s="106"/>
      <c r="FM60" s="106"/>
      <c r="FN60" s="106"/>
      <c r="FO60" s="106"/>
      <c r="FP60" s="106"/>
      <c r="FQ60" s="106"/>
      <c r="FR60" s="106"/>
      <c r="FS60" s="106"/>
      <c r="FT60" s="106"/>
      <c r="FU60" s="106"/>
      <c r="FV60" s="106"/>
      <c r="FW60" s="106"/>
      <c r="FX60" s="106"/>
      <c r="FY60" s="106"/>
      <c r="FZ60" s="106"/>
      <c r="GA60" s="106"/>
      <c r="GB60" s="106"/>
      <c r="GC60" s="106"/>
      <c r="GD60" s="106"/>
      <c r="GE60" s="106"/>
      <c r="GF60" s="106"/>
      <c r="GG60" s="106"/>
      <c r="GH60" s="106"/>
      <c r="GI60" s="106"/>
      <c r="GJ60" s="106"/>
      <c r="GK60" s="106"/>
      <c r="GL60" s="106"/>
      <c r="GM60" s="106"/>
      <c r="GN60" s="106"/>
      <c r="GO60" s="106"/>
      <c r="GP60" s="106"/>
      <c r="GQ60" s="106"/>
      <c r="GR60" s="106"/>
      <c r="GS60" s="106"/>
      <c r="GT60" s="106"/>
      <c r="GU60" s="106"/>
      <c r="GV60" s="106"/>
      <c r="GW60" s="106"/>
      <c r="GX60" s="106"/>
      <c r="GY60" s="106"/>
      <c r="GZ60" s="106"/>
      <c r="HA60" s="106"/>
      <c r="HB60" s="106"/>
      <c r="HC60" s="106"/>
      <c r="HD60" s="106"/>
      <c r="HE60" s="106"/>
      <c r="HF60" s="106"/>
      <c r="HG60" s="106"/>
      <c r="HH60" s="106"/>
      <c r="HI60" s="106"/>
      <c r="HJ60" s="106"/>
      <c r="HK60" s="106"/>
      <c r="HL60" s="106"/>
      <c r="HM60" s="106"/>
      <c r="HN60" s="106"/>
      <c r="HO60" s="106"/>
      <c r="HP60" s="106"/>
      <c r="HQ60" s="106"/>
      <c r="HR60" s="106"/>
      <c r="HS60" s="106"/>
      <c r="HT60" s="106"/>
      <c r="HU60" s="106"/>
      <c r="HV60" s="106"/>
      <c r="HW60" s="106"/>
      <c r="HX60" s="106"/>
      <c r="HY60" s="106"/>
      <c r="HZ60" s="106"/>
      <c r="IA60" s="106"/>
      <c r="IB60" s="106"/>
      <c r="IC60" s="106"/>
      <c r="ID60" s="106"/>
      <c r="IE60" s="106"/>
      <c r="IF60" s="106"/>
      <c r="IG60" s="106"/>
      <c r="IH60" s="106"/>
      <c r="II60" s="106"/>
      <c r="IJ60" s="106"/>
      <c r="IK60" s="106"/>
      <c r="IL60" s="106"/>
      <c r="IM60" s="106"/>
      <c r="IN60" s="106"/>
      <c r="IO60" s="106"/>
      <c r="IP60" s="106"/>
      <c r="IQ60" s="106"/>
      <c r="IR60" s="106"/>
      <c r="IS60" s="106"/>
      <c r="IT60" s="106"/>
      <c r="IU60" s="106"/>
      <c r="IV60" s="106"/>
      <c r="IW60" s="106"/>
      <c r="IX60" s="106"/>
    </row>
    <row r="61" s="105" customFormat="1" spans="1:258">
      <c r="A61" s="125"/>
      <c r="B61" s="125"/>
      <c r="C61" s="125"/>
      <c r="D61" s="125"/>
      <c r="E61" s="125"/>
      <c r="F61" s="125"/>
      <c r="G61" s="125"/>
      <c r="H61" s="125"/>
      <c r="I61" s="125"/>
      <c r="J61" s="133"/>
      <c r="K61" s="134"/>
      <c r="L61" s="134"/>
      <c r="M61" s="134"/>
      <c r="N61" s="134"/>
      <c r="O61" s="134"/>
      <c r="P61" s="155"/>
      <c r="Q61" s="155"/>
      <c r="R61" s="134"/>
      <c r="S61" s="134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6"/>
      <c r="AL61" s="106"/>
      <c r="AM61" s="106"/>
      <c r="AN61" s="106"/>
      <c r="AO61" s="106"/>
      <c r="AP61" s="106"/>
      <c r="AQ61" s="106"/>
      <c r="AR61" s="106"/>
      <c r="AS61" s="106"/>
      <c r="AT61" s="106"/>
      <c r="AU61" s="106"/>
      <c r="AV61" s="106"/>
      <c r="AW61" s="106"/>
      <c r="AX61" s="106"/>
      <c r="AY61" s="106"/>
      <c r="AZ61" s="106"/>
      <c r="BA61" s="106"/>
      <c r="BB61" s="106"/>
      <c r="BC61" s="106"/>
      <c r="BD61" s="106"/>
      <c r="BE61" s="106"/>
      <c r="BF61" s="106"/>
      <c r="BG61" s="106"/>
      <c r="BH61" s="106"/>
      <c r="BI61" s="106"/>
      <c r="BJ61" s="106"/>
      <c r="BK61" s="106"/>
      <c r="BL61" s="106"/>
      <c r="BM61" s="106"/>
      <c r="BN61" s="106"/>
      <c r="BO61" s="106"/>
      <c r="BP61" s="106"/>
      <c r="BQ61" s="106"/>
      <c r="BR61" s="106"/>
      <c r="BS61" s="106"/>
      <c r="BT61" s="106"/>
      <c r="BU61" s="106"/>
      <c r="BV61" s="106"/>
      <c r="BW61" s="106"/>
      <c r="BX61" s="106"/>
      <c r="BY61" s="106"/>
      <c r="BZ61" s="106"/>
      <c r="CA61" s="106"/>
      <c r="CB61" s="106"/>
      <c r="CC61" s="106"/>
      <c r="CD61" s="106"/>
      <c r="CE61" s="106"/>
      <c r="CF61" s="106"/>
      <c r="CG61" s="106"/>
      <c r="CH61" s="106"/>
      <c r="CI61" s="106"/>
      <c r="CJ61" s="106"/>
      <c r="CK61" s="106"/>
      <c r="CL61" s="106"/>
      <c r="CM61" s="106"/>
      <c r="CN61" s="106"/>
      <c r="CO61" s="106"/>
      <c r="CP61" s="106"/>
      <c r="CQ61" s="106"/>
      <c r="CR61" s="106"/>
      <c r="CS61" s="106"/>
      <c r="CT61" s="106"/>
      <c r="CU61" s="106"/>
      <c r="CV61" s="106"/>
      <c r="CW61" s="106"/>
      <c r="CX61" s="106"/>
      <c r="CY61" s="106"/>
      <c r="CZ61" s="106"/>
      <c r="DA61" s="106"/>
      <c r="DB61" s="106"/>
      <c r="DC61" s="106"/>
      <c r="DD61" s="106"/>
      <c r="DE61" s="106"/>
      <c r="DF61" s="106"/>
      <c r="DG61" s="106"/>
      <c r="DH61" s="106"/>
      <c r="DI61" s="106"/>
      <c r="DJ61" s="106"/>
      <c r="DK61" s="106"/>
      <c r="DL61" s="106"/>
      <c r="DM61" s="106"/>
      <c r="DN61" s="106"/>
      <c r="DO61" s="106"/>
      <c r="DP61" s="106"/>
      <c r="DQ61" s="106"/>
      <c r="DR61" s="106"/>
      <c r="DS61" s="106"/>
      <c r="DT61" s="106"/>
      <c r="DU61" s="106"/>
      <c r="DV61" s="106"/>
      <c r="DW61" s="106"/>
      <c r="DX61" s="106"/>
      <c r="DY61" s="106"/>
      <c r="DZ61" s="106"/>
      <c r="EA61" s="106"/>
      <c r="EB61" s="106"/>
      <c r="EC61" s="106"/>
      <c r="ED61" s="106"/>
      <c r="EE61" s="106"/>
      <c r="EF61" s="106"/>
      <c r="EG61" s="106"/>
      <c r="EH61" s="106"/>
      <c r="EI61" s="106"/>
      <c r="EJ61" s="106"/>
      <c r="EK61" s="106"/>
      <c r="EL61" s="106"/>
      <c r="EM61" s="106"/>
      <c r="EN61" s="106"/>
      <c r="EO61" s="106"/>
      <c r="EP61" s="106"/>
      <c r="EQ61" s="106"/>
      <c r="ER61" s="106"/>
      <c r="ES61" s="106"/>
      <c r="ET61" s="106"/>
      <c r="EU61" s="106"/>
      <c r="EV61" s="106"/>
      <c r="EW61" s="106"/>
      <c r="EX61" s="106"/>
      <c r="EY61" s="106"/>
      <c r="EZ61" s="106"/>
      <c r="FA61" s="106"/>
      <c r="FB61" s="106"/>
      <c r="FC61" s="106"/>
      <c r="FD61" s="106"/>
      <c r="FE61" s="106"/>
      <c r="FF61" s="106"/>
      <c r="FG61" s="106"/>
      <c r="FH61" s="106"/>
      <c r="FI61" s="106"/>
      <c r="FJ61" s="106"/>
      <c r="FK61" s="106"/>
      <c r="FL61" s="106"/>
      <c r="FM61" s="106"/>
      <c r="FN61" s="106"/>
      <c r="FO61" s="106"/>
      <c r="FP61" s="106"/>
      <c r="FQ61" s="106"/>
      <c r="FR61" s="106"/>
      <c r="FS61" s="106"/>
      <c r="FT61" s="106"/>
      <c r="FU61" s="106"/>
      <c r="FV61" s="106"/>
      <c r="FW61" s="106"/>
      <c r="FX61" s="106"/>
      <c r="FY61" s="106"/>
      <c r="FZ61" s="106"/>
      <c r="GA61" s="106"/>
      <c r="GB61" s="106"/>
      <c r="GC61" s="106"/>
      <c r="GD61" s="106"/>
      <c r="GE61" s="106"/>
      <c r="GF61" s="106"/>
      <c r="GG61" s="106"/>
      <c r="GH61" s="106"/>
      <c r="GI61" s="106"/>
      <c r="GJ61" s="106"/>
      <c r="GK61" s="106"/>
      <c r="GL61" s="106"/>
      <c r="GM61" s="106"/>
      <c r="GN61" s="106"/>
      <c r="GO61" s="106"/>
      <c r="GP61" s="106"/>
      <c r="GQ61" s="106"/>
      <c r="GR61" s="106"/>
      <c r="GS61" s="106"/>
      <c r="GT61" s="106"/>
      <c r="GU61" s="106"/>
      <c r="GV61" s="106"/>
      <c r="GW61" s="106"/>
      <c r="GX61" s="106"/>
      <c r="GY61" s="106"/>
      <c r="GZ61" s="106"/>
      <c r="HA61" s="106"/>
      <c r="HB61" s="106"/>
      <c r="HC61" s="106"/>
      <c r="HD61" s="106"/>
      <c r="HE61" s="106"/>
      <c r="HF61" s="106"/>
      <c r="HG61" s="106"/>
      <c r="HH61" s="106"/>
      <c r="HI61" s="106"/>
      <c r="HJ61" s="106"/>
      <c r="HK61" s="106"/>
      <c r="HL61" s="106"/>
      <c r="HM61" s="106"/>
      <c r="HN61" s="106"/>
      <c r="HO61" s="106"/>
      <c r="HP61" s="106"/>
      <c r="HQ61" s="106"/>
      <c r="HR61" s="106"/>
      <c r="HS61" s="106"/>
      <c r="HT61" s="106"/>
      <c r="HU61" s="106"/>
      <c r="HV61" s="106"/>
      <c r="HW61" s="106"/>
      <c r="HX61" s="106"/>
      <c r="HY61" s="106"/>
      <c r="HZ61" s="106"/>
      <c r="IA61" s="106"/>
      <c r="IB61" s="106"/>
      <c r="IC61" s="106"/>
      <c r="ID61" s="106"/>
      <c r="IE61" s="106"/>
      <c r="IF61" s="106"/>
      <c r="IG61" s="106"/>
      <c r="IH61" s="106"/>
      <c r="II61" s="106"/>
      <c r="IJ61" s="106"/>
      <c r="IK61" s="106"/>
      <c r="IL61" s="106"/>
      <c r="IM61" s="106"/>
      <c r="IN61" s="106"/>
      <c r="IO61" s="106"/>
      <c r="IP61" s="106"/>
      <c r="IQ61" s="106"/>
      <c r="IR61" s="106"/>
      <c r="IS61" s="106"/>
      <c r="IT61" s="106"/>
      <c r="IU61" s="106"/>
      <c r="IV61" s="106"/>
      <c r="IW61" s="106"/>
      <c r="IX61" s="106"/>
    </row>
    <row r="62" s="105" customFormat="1" spans="1:258">
      <c r="A62" s="125"/>
      <c r="B62" s="125"/>
      <c r="C62" s="125"/>
      <c r="D62" s="125"/>
      <c r="E62" s="125"/>
      <c r="F62" s="125"/>
      <c r="G62" s="125"/>
      <c r="H62" s="125"/>
      <c r="I62" s="125"/>
      <c r="J62" s="133"/>
      <c r="K62" s="134"/>
      <c r="L62" s="134"/>
      <c r="M62" s="134"/>
      <c r="N62" s="134"/>
      <c r="O62" s="134"/>
      <c r="P62" s="155"/>
      <c r="Q62" s="155"/>
      <c r="R62" s="134"/>
      <c r="S62" s="134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106"/>
      <c r="AL62" s="106"/>
      <c r="AM62" s="106"/>
      <c r="AN62" s="106"/>
      <c r="AO62" s="106"/>
      <c r="AP62" s="106"/>
      <c r="AQ62" s="106"/>
      <c r="AR62" s="106"/>
      <c r="AS62" s="106"/>
      <c r="AT62" s="106"/>
      <c r="AU62" s="106"/>
      <c r="AV62" s="106"/>
      <c r="AW62" s="106"/>
      <c r="AX62" s="106"/>
      <c r="AY62" s="106"/>
      <c r="AZ62" s="106"/>
      <c r="BA62" s="106"/>
      <c r="BB62" s="106"/>
      <c r="BC62" s="106"/>
      <c r="BD62" s="106"/>
      <c r="BE62" s="106"/>
      <c r="BF62" s="106"/>
      <c r="BG62" s="106"/>
      <c r="BH62" s="106"/>
      <c r="BI62" s="106"/>
      <c r="BJ62" s="106"/>
      <c r="BK62" s="106"/>
      <c r="BL62" s="106"/>
      <c r="BM62" s="106"/>
      <c r="BN62" s="106"/>
      <c r="BO62" s="106"/>
      <c r="BP62" s="106"/>
      <c r="BQ62" s="106"/>
      <c r="BR62" s="106"/>
      <c r="BS62" s="106"/>
      <c r="BT62" s="106"/>
      <c r="BU62" s="106"/>
      <c r="BV62" s="106"/>
      <c r="BW62" s="106"/>
      <c r="BX62" s="106"/>
      <c r="BY62" s="106"/>
      <c r="BZ62" s="106"/>
      <c r="CA62" s="106"/>
      <c r="CB62" s="106"/>
      <c r="CC62" s="106"/>
      <c r="CD62" s="106"/>
      <c r="CE62" s="106"/>
      <c r="CF62" s="106"/>
      <c r="CG62" s="106"/>
      <c r="CH62" s="106"/>
      <c r="CI62" s="106"/>
      <c r="CJ62" s="106"/>
      <c r="CK62" s="106"/>
      <c r="CL62" s="106"/>
      <c r="CM62" s="106"/>
      <c r="CN62" s="106"/>
      <c r="CO62" s="106"/>
      <c r="CP62" s="106"/>
      <c r="CQ62" s="106"/>
      <c r="CR62" s="106"/>
      <c r="CS62" s="106"/>
      <c r="CT62" s="106"/>
      <c r="CU62" s="106"/>
      <c r="CV62" s="106"/>
      <c r="CW62" s="106"/>
      <c r="CX62" s="106"/>
      <c r="CY62" s="106"/>
      <c r="CZ62" s="106"/>
      <c r="DA62" s="106"/>
      <c r="DB62" s="106"/>
      <c r="DC62" s="106"/>
      <c r="DD62" s="106"/>
      <c r="DE62" s="106"/>
      <c r="DF62" s="106"/>
      <c r="DG62" s="106"/>
      <c r="DH62" s="106"/>
      <c r="DI62" s="106"/>
      <c r="DJ62" s="106"/>
      <c r="DK62" s="106"/>
      <c r="DL62" s="106"/>
      <c r="DM62" s="106"/>
      <c r="DN62" s="106"/>
      <c r="DO62" s="106"/>
      <c r="DP62" s="106"/>
      <c r="DQ62" s="106"/>
      <c r="DR62" s="106"/>
      <c r="DS62" s="106"/>
      <c r="DT62" s="106"/>
      <c r="DU62" s="106"/>
      <c r="DV62" s="106"/>
      <c r="DW62" s="106"/>
      <c r="DX62" s="106"/>
      <c r="DY62" s="106"/>
      <c r="DZ62" s="106"/>
      <c r="EA62" s="106"/>
      <c r="EB62" s="106"/>
      <c r="EC62" s="106"/>
      <c r="ED62" s="106"/>
      <c r="EE62" s="106"/>
      <c r="EF62" s="106"/>
      <c r="EG62" s="106"/>
      <c r="EH62" s="106"/>
      <c r="EI62" s="106"/>
      <c r="EJ62" s="106"/>
      <c r="EK62" s="106"/>
      <c r="EL62" s="106"/>
      <c r="EM62" s="106"/>
      <c r="EN62" s="106"/>
      <c r="EO62" s="106"/>
      <c r="EP62" s="106"/>
      <c r="EQ62" s="106"/>
      <c r="ER62" s="106"/>
      <c r="ES62" s="106"/>
      <c r="ET62" s="106"/>
      <c r="EU62" s="106"/>
      <c r="EV62" s="106"/>
      <c r="EW62" s="106"/>
      <c r="EX62" s="106"/>
      <c r="EY62" s="106"/>
      <c r="EZ62" s="106"/>
      <c r="FA62" s="106"/>
      <c r="FB62" s="106"/>
      <c r="FC62" s="106"/>
      <c r="FD62" s="106"/>
      <c r="FE62" s="106"/>
      <c r="FF62" s="106"/>
      <c r="FG62" s="106"/>
      <c r="FH62" s="106"/>
      <c r="FI62" s="106"/>
      <c r="FJ62" s="106"/>
      <c r="FK62" s="106"/>
      <c r="FL62" s="106"/>
      <c r="FM62" s="106"/>
      <c r="FN62" s="106"/>
      <c r="FO62" s="106"/>
      <c r="FP62" s="106"/>
      <c r="FQ62" s="106"/>
      <c r="FR62" s="106"/>
      <c r="FS62" s="106"/>
      <c r="FT62" s="106"/>
      <c r="FU62" s="106"/>
      <c r="FV62" s="106"/>
      <c r="FW62" s="106"/>
      <c r="FX62" s="106"/>
      <c r="FY62" s="106"/>
      <c r="FZ62" s="106"/>
      <c r="GA62" s="106"/>
      <c r="GB62" s="106"/>
      <c r="GC62" s="106"/>
      <c r="GD62" s="106"/>
      <c r="GE62" s="106"/>
      <c r="GF62" s="106"/>
      <c r="GG62" s="106"/>
      <c r="GH62" s="106"/>
      <c r="GI62" s="106"/>
      <c r="GJ62" s="106"/>
      <c r="GK62" s="106"/>
      <c r="GL62" s="106"/>
      <c r="GM62" s="106"/>
      <c r="GN62" s="106"/>
      <c r="GO62" s="106"/>
      <c r="GP62" s="106"/>
      <c r="GQ62" s="106"/>
      <c r="GR62" s="106"/>
      <c r="GS62" s="106"/>
      <c r="GT62" s="106"/>
      <c r="GU62" s="106"/>
      <c r="GV62" s="106"/>
      <c r="GW62" s="106"/>
      <c r="GX62" s="106"/>
      <c r="GY62" s="106"/>
      <c r="GZ62" s="106"/>
      <c r="HA62" s="106"/>
      <c r="HB62" s="106"/>
      <c r="HC62" s="106"/>
      <c r="HD62" s="106"/>
      <c r="HE62" s="106"/>
      <c r="HF62" s="106"/>
      <c r="HG62" s="106"/>
      <c r="HH62" s="106"/>
      <c r="HI62" s="106"/>
      <c r="HJ62" s="106"/>
      <c r="HK62" s="106"/>
      <c r="HL62" s="106"/>
      <c r="HM62" s="106"/>
      <c r="HN62" s="106"/>
      <c r="HO62" s="106"/>
      <c r="HP62" s="106"/>
      <c r="HQ62" s="106"/>
      <c r="HR62" s="106"/>
      <c r="HS62" s="106"/>
      <c r="HT62" s="106"/>
      <c r="HU62" s="106"/>
      <c r="HV62" s="106"/>
      <c r="HW62" s="106"/>
      <c r="HX62" s="106"/>
      <c r="HY62" s="106"/>
      <c r="HZ62" s="106"/>
      <c r="IA62" s="106"/>
      <c r="IB62" s="106"/>
      <c r="IC62" s="106"/>
      <c r="ID62" s="106"/>
      <c r="IE62" s="106"/>
      <c r="IF62" s="106"/>
      <c r="IG62" s="106"/>
      <c r="IH62" s="106"/>
      <c r="II62" s="106"/>
      <c r="IJ62" s="106"/>
      <c r="IK62" s="106"/>
      <c r="IL62" s="106"/>
      <c r="IM62" s="106"/>
      <c r="IN62" s="106"/>
      <c r="IO62" s="106"/>
      <c r="IP62" s="106"/>
      <c r="IQ62" s="106"/>
      <c r="IR62" s="106"/>
      <c r="IS62" s="106"/>
      <c r="IT62" s="106"/>
      <c r="IU62" s="106"/>
      <c r="IV62" s="106"/>
      <c r="IW62" s="106"/>
      <c r="IX62" s="106"/>
    </row>
    <row r="63" s="105" customFormat="1" spans="1:258">
      <c r="A63" s="125"/>
      <c r="B63" s="125"/>
      <c r="C63" s="125"/>
      <c r="D63" s="125"/>
      <c r="E63" s="125"/>
      <c r="F63" s="125"/>
      <c r="G63" s="125"/>
      <c r="H63" s="125"/>
      <c r="I63" s="125"/>
      <c r="J63" s="133"/>
      <c r="K63" s="134"/>
      <c r="L63" s="134"/>
      <c r="M63" s="134"/>
      <c r="N63" s="134"/>
      <c r="O63" s="134"/>
      <c r="P63" s="155"/>
      <c r="Q63" s="155"/>
      <c r="R63" s="134"/>
      <c r="S63" s="134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106"/>
      <c r="AL63" s="106"/>
      <c r="AM63" s="106"/>
      <c r="AN63" s="106"/>
      <c r="AO63" s="106"/>
      <c r="AP63" s="106"/>
      <c r="AQ63" s="106"/>
      <c r="AR63" s="106"/>
      <c r="AS63" s="106"/>
      <c r="AT63" s="106"/>
      <c r="AU63" s="106"/>
      <c r="AV63" s="106"/>
      <c r="AW63" s="106"/>
      <c r="AX63" s="106"/>
      <c r="AY63" s="106"/>
      <c r="AZ63" s="106"/>
      <c r="BA63" s="106"/>
      <c r="BB63" s="106"/>
      <c r="BC63" s="106"/>
      <c r="BD63" s="106"/>
      <c r="BE63" s="106"/>
      <c r="BF63" s="106"/>
      <c r="BG63" s="106"/>
      <c r="BH63" s="106"/>
      <c r="BI63" s="106"/>
      <c r="BJ63" s="106"/>
      <c r="BK63" s="106"/>
      <c r="BL63" s="106"/>
      <c r="BM63" s="106"/>
      <c r="BN63" s="106"/>
      <c r="BO63" s="106"/>
      <c r="BP63" s="106"/>
      <c r="BQ63" s="106"/>
      <c r="BR63" s="106"/>
      <c r="BS63" s="106"/>
      <c r="BT63" s="106"/>
      <c r="BU63" s="106"/>
      <c r="BV63" s="106"/>
      <c r="BW63" s="106"/>
      <c r="BX63" s="106"/>
      <c r="BY63" s="106"/>
      <c r="BZ63" s="106"/>
      <c r="CA63" s="106"/>
      <c r="CB63" s="106"/>
      <c r="CC63" s="106"/>
      <c r="CD63" s="106"/>
      <c r="CE63" s="106"/>
      <c r="CF63" s="106"/>
      <c r="CG63" s="106"/>
      <c r="CH63" s="106"/>
      <c r="CI63" s="106"/>
      <c r="CJ63" s="106"/>
      <c r="CK63" s="106"/>
      <c r="CL63" s="106"/>
      <c r="CM63" s="106"/>
      <c r="CN63" s="106"/>
      <c r="CO63" s="106"/>
      <c r="CP63" s="106"/>
      <c r="CQ63" s="106"/>
      <c r="CR63" s="106"/>
      <c r="CS63" s="106"/>
      <c r="CT63" s="106"/>
      <c r="CU63" s="106"/>
      <c r="CV63" s="106"/>
      <c r="CW63" s="106"/>
      <c r="CX63" s="106"/>
      <c r="CY63" s="106"/>
      <c r="CZ63" s="106"/>
      <c r="DA63" s="106"/>
      <c r="DB63" s="106"/>
      <c r="DC63" s="106"/>
      <c r="DD63" s="106"/>
      <c r="DE63" s="106"/>
      <c r="DF63" s="106"/>
      <c r="DG63" s="106"/>
      <c r="DH63" s="106"/>
      <c r="DI63" s="106"/>
      <c r="DJ63" s="106"/>
      <c r="DK63" s="106"/>
      <c r="DL63" s="106"/>
      <c r="DM63" s="106"/>
      <c r="DN63" s="106"/>
      <c r="DO63" s="106"/>
      <c r="DP63" s="106"/>
      <c r="DQ63" s="106"/>
      <c r="DR63" s="106"/>
      <c r="DS63" s="106"/>
      <c r="DT63" s="106"/>
      <c r="DU63" s="106"/>
      <c r="DV63" s="106"/>
      <c r="DW63" s="106"/>
      <c r="DX63" s="106"/>
      <c r="DY63" s="106"/>
      <c r="DZ63" s="106"/>
      <c r="EA63" s="106"/>
      <c r="EB63" s="106"/>
      <c r="EC63" s="106"/>
      <c r="ED63" s="106"/>
      <c r="EE63" s="106"/>
      <c r="EF63" s="106"/>
      <c r="EG63" s="106"/>
      <c r="EH63" s="106"/>
      <c r="EI63" s="106"/>
      <c r="EJ63" s="106"/>
      <c r="EK63" s="106"/>
      <c r="EL63" s="106"/>
      <c r="EM63" s="106"/>
      <c r="EN63" s="106"/>
      <c r="EO63" s="106"/>
      <c r="EP63" s="106"/>
      <c r="EQ63" s="106"/>
      <c r="ER63" s="106"/>
      <c r="ES63" s="106"/>
      <c r="ET63" s="106"/>
      <c r="EU63" s="106"/>
      <c r="EV63" s="106"/>
      <c r="EW63" s="106"/>
      <c r="EX63" s="106"/>
      <c r="EY63" s="106"/>
      <c r="EZ63" s="106"/>
      <c r="FA63" s="106"/>
      <c r="FB63" s="106"/>
      <c r="FC63" s="106"/>
      <c r="FD63" s="106"/>
      <c r="FE63" s="106"/>
      <c r="FF63" s="106"/>
      <c r="FG63" s="106"/>
      <c r="FH63" s="106"/>
      <c r="FI63" s="106"/>
      <c r="FJ63" s="106"/>
      <c r="FK63" s="106"/>
      <c r="FL63" s="106"/>
      <c r="FM63" s="106"/>
      <c r="FN63" s="106"/>
      <c r="FO63" s="106"/>
      <c r="FP63" s="106"/>
      <c r="FQ63" s="106"/>
      <c r="FR63" s="106"/>
      <c r="FS63" s="106"/>
      <c r="FT63" s="106"/>
      <c r="FU63" s="106"/>
      <c r="FV63" s="106"/>
      <c r="FW63" s="106"/>
      <c r="FX63" s="106"/>
      <c r="FY63" s="106"/>
      <c r="FZ63" s="106"/>
      <c r="GA63" s="106"/>
      <c r="GB63" s="106"/>
      <c r="GC63" s="106"/>
      <c r="GD63" s="106"/>
      <c r="GE63" s="106"/>
      <c r="GF63" s="106"/>
      <c r="GG63" s="106"/>
      <c r="GH63" s="106"/>
      <c r="GI63" s="106"/>
      <c r="GJ63" s="106"/>
      <c r="GK63" s="106"/>
      <c r="GL63" s="106"/>
      <c r="GM63" s="106"/>
      <c r="GN63" s="106"/>
      <c r="GO63" s="106"/>
      <c r="GP63" s="106"/>
      <c r="GQ63" s="106"/>
      <c r="GR63" s="106"/>
      <c r="GS63" s="106"/>
      <c r="GT63" s="106"/>
      <c r="GU63" s="106"/>
      <c r="GV63" s="106"/>
      <c r="GW63" s="106"/>
      <c r="GX63" s="106"/>
      <c r="GY63" s="106"/>
      <c r="GZ63" s="106"/>
      <c r="HA63" s="106"/>
      <c r="HB63" s="106"/>
      <c r="HC63" s="106"/>
      <c r="HD63" s="106"/>
      <c r="HE63" s="106"/>
      <c r="HF63" s="106"/>
      <c r="HG63" s="106"/>
      <c r="HH63" s="106"/>
      <c r="HI63" s="106"/>
      <c r="HJ63" s="106"/>
      <c r="HK63" s="106"/>
      <c r="HL63" s="106"/>
      <c r="HM63" s="106"/>
      <c r="HN63" s="106"/>
      <c r="HO63" s="106"/>
      <c r="HP63" s="106"/>
      <c r="HQ63" s="106"/>
      <c r="HR63" s="106"/>
      <c r="HS63" s="106"/>
      <c r="HT63" s="106"/>
      <c r="HU63" s="106"/>
      <c r="HV63" s="106"/>
      <c r="HW63" s="106"/>
      <c r="HX63" s="106"/>
      <c r="HY63" s="106"/>
      <c r="HZ63" s="106"/>
      <c r="IA63" s="106"/>
      <c r="IB63" s="106"/>
      <c r="IC63" s="106"/>
      <c r="ID63" s="106"/>
      <c r="IE63" s="106"/>
      <c r="IF63" s="106"/>
      <c r="IG63" s="106"/>
      <c r="IH63" s="106"/>
      <c r="II63" s="106"/>
      <c r="IJ63" s="106"/>
      <c r="IK63" s="106"/>
      <c r="IL63" s="106"/>
      <c r="IM63" s="106"/>
      <c r="IN63" s="106"/>
      <c r="IO63" s="106"/>
      <c r="IP63" s="106"/>
      <c r="IQ63" s="106"/>
      <c r="IR63" s="106"/>
      <c r="IS63" s="106"/>
      <c r="IT63" s="106"/>
      <c r="IU63" s="106"/>
      <c r="IV63" s="106"/>
      <c r="IW63" s="106"/>
      <c r="IX63" s="106"/>
    </row>
    <row r="64" s="105" customFormat="1" spans="1:258">
      <c r="A64" s="125"/>
      <c r="B64" s="125"/>
      <c r="C64" s="125"/>
      <c r="D64" s="125"/>
      <c r="E64" s="125"/>
      <c r="F64" s="125"/>
      <c r="G64" s="125"/>
      <c r="H64" s="125"/>
      <c r="I64" s="125"/>
      <c r="J64" s="133"/>
      <c r="K64" s="134"/>
      <c r="L64" s="134"/>
      <c r="M64" s="134"/>
      <c r="N64" s="134"/>
      <c r="O64" s="134"/>
      <c r="P64" s="155"/>
      <c r="Q64" s="155"/>
      <c r="R64" s="134"/>
      <c r="S64" s="134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106"/>
      <c r="AL64" s="106"/>
      <c r="AM64" s="106"/>
      <c r="AN64" s="106"/>
      <c r="AO64" s="106"/>
      <c r="AP64" s="106"/>
      <c r="AQ64" s="106"/>
      <c r="AR64" s="106"/>
      <c r="AS64" s="106"/>
      <c r="AT64" s="106"/>
      <c r="AU64" s="106"/>
      <c r="AV64" s="106"/>
      <c r="AW64" s="106"/>
      <c r="AX64" s="106"/>
      <c r="AY64" s="106"/>
      <c r="AZ64" s="106"/>
      <c r="BA64" s="106"/>
      <c r="BB64" s="106"/>
      <c r="BC64" s="106"/>
      <c r="BD64" s="106"/>
      <c r="BE64" s="106"/>
      <c r="BF64" s="106"/>
      <c r="BG64" s="106"/>
      <c r="BH64" s="106"/>
      <c r="BI64" s="106"/>
      <c r="BJ64" s="106"/>
      <c r="BK64" s="106"/>
      <c r="BL64" s="106"/>
      <c r="BM64" s="106"/>
      <c r="BN64" s="106"/>
      <c r="BO64" s="106"/>
      <c r="BP64" s="106"/>
      <c r="BQ64" s="106"/>
      <c r="BR64" s="106"/>
      <c r="BS64" s="106"/>
      <c r="BT64" s="106"/>
      <c r="BU64" s="106"/>
      <c r="BV64" s="106"/>
      <c r="BW64" s="106"/>
      <c r="BX64" s="106"/>
      <c r="BY64" s="106"/>
      <c r="BZ64" s="106"/>
      <c r="CA64" s="106"/>
      <c r="CB64" s="106"/>
      <c r="CC64" s="106"/>
      <c r="CD64" s="106"/>
      <c r="CE64" s="106"/>
      <c r="CF64" s="106"/>
      <c r="CG64" s="106"/>
      <c r="CH64" s="106"/>
      <c r="CI64" s="106"/>
      <c r="CJ64" s="106"/>
      <c r="CK64" s="106"/>
      <c r="CL64" s="106"/>
      <c r="CM64" s="106"/>
      <c r="CN64" s="106"/>
      <c r="CO64" s="106"/>
      <c r="CP64" s="106"/>
      <c r="CQ64" s="106"/>
      <c r="CR64" s="106"/>
      <c r="CS64" s="106"/>
      <c r="CT64" s="106"/>
      <c r="CU64" s="106"/>
      <c r="CV64" s="106"/>
      <c r="CW64" s="106"/>
      <c r="CX64" s="106"/>
      <c r="CY64" s="106"/>
      <c r="CZ64" s="106"/>
      <c r="DA64" s="106"/>
      <c r="DB64" s="106"/>
      <c r="DC64" s="106"/>
      <c r="DD64" s="106"/>
      <c r="DE64" s="106"/>
      <c r="DF64" s="106"/>
      <c r="DG64" s="106"/>
      <c r="DH64" s="106"/>
      <c r="DI64" s="106"/>
      <c r="DJ64" s="106"/>
      <c r="DK64" s="106"/>
      <c r="DL64" s="106"/>
      <c r="DM64" s="106"/>
      <c r="DN64" s="106"/>
      <c r="DO64" s="106"/>
      <c r="DP64" s="106"/>
      <c r="DQ64" s="106"/>
      <c r="DR64" s="106"/>
      <c r="DS64" s="106"/>
      <c r="DT64" s="106"/>
      <c r="DU64" s="106"/>
      <c r="DV64" s="106"/>
      <c r="DW64" s="106"/>
      <c r="DX64" s="106"/>
      <c r="DY64" s="106"/>
      <c r="DZ64" s="106"/>
      <c r="EA64" s="106"/>
      <c r="EB64" s="106"/>
      <c r="EC64" s="106"/>
      <c r="ED64" s="106"/>
      <c r="EE64" s="106"/>
      <c r="EF64" s="106"/>
      <c r="EG64" s="106"/>
      <c r="EH64" s="106"/>
      <c r="EI64" s="106"/>
      <c r="EJ64" s="106"/>
      <c r="EK64" s="106"/>
      <c r="EL64" s="106"/>
      <c r="EM64" s="106"/>
      <c r="EN64" s="106"/>
      <c r="EO64" s="106"/>
      <c r="EP64" s="106"/>
      <c r="EQ64" s="106"/>
      <c r="ER64" s="106"/>
      <c r="ES64" s="106"/>
      <c r="ET64" s="106"/>
      <c r="EU64" s="106"/>
      <c r="EV64" s="106"/>
      <c r="EW64" s="106"/>
      <c r="EX64" s="106"/>
      <c r="EY64" s="106"/>
      <c r="EZ64" s="106"/>
      <c r="FA64" s="106"/>
      <c r="FB64" s="106"/>
      <c r="FC64" s="106"/>
      <c r="FD64" s="106"/>
      <c r="FE64" s="106"/>
      <c r="FF64" s="106"/>
      <c r="FG64" s="106"/>
      <c r="FH64" s="106"/>
      <c r="FI64" s="106"/>
      <c r="FJ64" s="106"/>
      <c r="FK64" s="106"/>
      <c r="FL64" s="106"/>
      <c r="FM64" s="106"/>
      <c r="FN64" s="106"/>
      <c r="FO64" s="106"/>
      <c r="FP64" s="106"/>
      <c r="FQ64" s="106"/>
      <c r="FR64" s="106"/>
      <c r="FS64" s="106"/>
      <c r="FT64" s="106"/>
      <c r="FU64" s="106"/>
      <c r="FV64" s="106"/>
      <c r="FW64" s="106"/>
      <c r="FX64" s="106"/>
      <c r="FY64" s="106"/>
      <c r="FZ64" s="106"/>
      <c r="GA64" s="106"/>
      <c r="GB64" s="106"/>
      <c r="GC64" s="106"/>
      <c r="GD64" s="106"/>
      <c r="GE64" s="106"/>
      <c r="GF64" s="106"/>
      <c r="GG64" s="106"/>
      <c r="GH64" s="106"/>
      <c r="GI64" s="106"/>
      <c r="GJ64" s="106"/>
      <c r="GK64" s="106"/>
      <c r="GL64" s="106"/>
      <c r="GM64" s="106"/>
      <c r="GN64" s="106"/>
      <c r="GO64" s="106"/>
      <c r="GP64" s="106"/>
      <c r="GQ64" s="106"/>
      <c r="GR64" s="106"/>
      <c r="GS64" s="106"/>
      <c r="GT64" s="106"/>
      <c r="GU64" s="106"/>
      <c r="GV64" s="106"/>
      <c r="GW64" s="106"/>
      <c r="GX64" s="106"/>
      <c r="GY64" s="106"/>
      <c r="GZ64" s="106"/>
      <c r="HA64" s="106"/>
      <c r="HB64" s="106"/>
      <c r="HC64" s="106"/>
      <c r="HD64" s="106"/>
      <c r="HE64" s="106"/>
      <c r="HF64" s="106"/>
      <c r="HG64" s="106"/>
      <c r="HH64" s="106"/>
      <c r="HI64" s="106"/>
      <c r="HJ64" s="106"/>
      <c r="HK64" s="106"/>
      <c r="HL64" s="106"/>
      <c r="HM64" s="106"/>
      <c r="HN64" s="106"/>
      <c r="HO64" s="106"/>
      <c r="HP64" s="106"/>
      <c r="HQ64" s="106"/>
      <c r="HR64" s="106"/>
      <c r="HS64" s="106"/>
      <c r="HT64" s="106"/>
      <c r="HU64" s="106"/>
      <c r="HV64" s="106"/>
      <c r="HW64" s="106"/>
      <c r="HX64" s="106"/>
      <c r="HY64" s="106"/>
      <c r="HZ64" s="106"/>
      <c r="IA64" s="106"/>
      <c r="IB64" s="106"/>
      <c r="IC64" s="106"/>
      <c r="ID64" s="106"/>
      <c r="IE64" s="106"/>
      <c r="IF64" s="106"/>
      <c r="IG64" s="106"/>
      <c r="IH64" s="106"/>
      <c r="II64" s="106"/>
      <c r="IJ64" s="106"/>
      <c r="IK64" s="106"/>
      <c r="IL64" s="106"/>
      <c r="IM64" s="106"/>
      <c r="IN64" s="106"/>
      <c r="IO64" s="106"/>
      <c r="IP64" s="106"/>
      <c r="IQ64" s="106"/>
      <c r="IR64" s="106"/>
      <c r="IS64" s="106"/>
      <c r="IT64" s="106"/>
      <c r="IU64" s="106"/>
      <c r="IV64" s="106"/>
      <c r="IW64" s="106"/>
      <c r="IX64" s="106"/>
    </row>
    <row r="65" s="105" customFormat="1" spans="1:258">
      <c r="A65" s="125"/>
      <c r="B65" s="125"/>
      <c r="C65" s="125"/>
      <c r="D65" s="125"/>
      <c r="E65" s="125"/>
      <c r="F65" s="125"/>
      <c r="G65" s="125"/>
      <c r="H65" s="125"/>
      <c r="I65" s="125"/>
      <c r="J65" s="133"/>
      <c r="K65" s="134"/>
      <c r="L65" s="134"/>
      <c r="M65" s="134"/>
      <c r="N65" s="134"/>
      <c r="O65" s="134"/>
      <c r="P65" s="155"/>
      <c r="Q65" s="155"/>
      <c r="R65" s="134"/>
      <c r="S65" s="134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106"/>
      <c r="AL65" s="106"/>
      <c r="AM65" s="106"/>
      <c r="AN65" s="106"/>
      <c r="AO65" s="106"/>
      <c r="AP65" s="106"/>
      <c r="AQ65" s="106"/>
      <c r="AR65" s="106"/>
      <c r="AS65" s="106"/>
      <c r="AT65" s="106"/>
      <c r="AU65" s="106"/>
      <c r="AV65" s="106"/>
      <c r="AW65" s="106"/>
      <c r="AX65" s="106"/>
      <c r="AY65" s="106"/>
      <c r="AZ65" s="106"/>
      <c r="BA65" s="106"/>
      <c r="BB65" s="106"/>
      <c r="BC65" s="106"/>
      <c r="BD65" s="106"/>
      <c r="BE65" s="106"/>
      <c r="BF65" s="106"/>
      <c r="BG65" s="106"/>
      <c r="BH65" s="106"/>
      <c r="BI65" s="106"/>
      <c r="BJ65" s="106"/>
      <c r="BK65" s="106"/>
      <c r="BL65" s="106"/>
      <c r="BM65" s="106"/>
      <c r="BN65" s="106"/>
      <c r="BO65" s="106"/>
      <c r="BP65" s="106"/>
      <c r="BQ65" s="106"/>
      <c r="BR65" s="106"/>
      <c r="BS65" s="106"/>
      <c r="BT65" s="106"/>
      <c r="BU65" s="106"/>
      <c r="BV65" s="106"/>
      <c r="BW65" s="106"/>
      <c r="BX65" s="106"/>
      <c r="BY65" s="106"/>
      <c r="BZ65" s="106"/>
      <c r="CA65" s="106"/>
      <c r="CB65" s="106"/>
      <c r="CC65" s="106"/>
      <c r="CD65" s="106"/>
      <c r="CE65" s="106"/>
      <c r="CF65" s="106"/>
      <c r="CG65" s="106"/>
      <c r="CH65" s="106"/>
      <c r="CI65" s="106"/>
      <c r="CJ65" s="106"/>
      <c r="CK65" s="106"/>
      <c r="CL65" s="106"/>
      <c r="CM65" s="106"/>
      <c r="CN65" s="106"/>
      <c r="CO65" s="106"/>
      <c r="CP65" s="106"/>
      <c r="CQ65" s="106"/>
      <c r="CR65" s="106"/>
      <c r="CS65" s="106"/>
      <c r="CT65" s="106"/>
      <c r="CU65" s="106"/>
      <c r="CV65" s="106"/>
      <c r="CW65" s="106"/>
      <c r="CX65" s="106"/>
      <c r="CY65" s="106"/>
      <c r="CZ65" s="106"/>
      <c r="DA65" s="106"/>
      <c r="DB65" s="106"/>
      <c r="DC65" s="106"/>
      <c r="DD65" s="106"/>
      <c r="DE65" s="106"/>
      <c r="DF65" s="106"/>
      <c r="DG65" s="106"/>
      <c r="DH65" s="106"/>
      <c r="DI65" s="106"/>
      <c r="DJ65" s="106"/>
      <c r="DK65" s="106"/>
      <c r="DL65" s="106"/>
      <c r="DM65" s="106"/>
      <c r="DN65" s="106"/>
      <c r="DO65" s="106"/>
      <c r="DP65" s="106"/>
      <c r="DQ65" s="106"/>
      <c r="DR65" s="106"/>
      <c r="DS65" s="106"/>
      <c r="DT65" s="106"/>
      <c r="DU65" s="106"/>
      <c r="DV65" s="106"/>
      <c r="DW65" s="106"/>
      <c r="DX65" s="106"/>
      <c r="DY65" s="106"/>
      <c r="DZ65" s="106"/>
      <c r="EA65" s="106"/>
      <c r="EB65" s="106"/>
      <c r="EC65" s="106"/>
      <c r="ED65" s="106"/>
      <c r="EE65" s="106"/>
      <c r="EF65" s="106"/>
      <c r="EG65" s="106"/>
      <c r="EH65" s="106"/>
      <c r="EI65" s="106"/>
      <c r="EJ65" s="106"/>
      <c r="EK65" s="106"/>
      <c r="EL65" s="106"/>
      <c r="EM65" s="106"/>
      <c r="EN65" s="106"/>
      <c r="EO65" s="106"/>
      <c r="EP65" s="106"/>
      <c r="EQ65" s="106"/>
      <c r="ER65" s="106"/>
      <c r="ES65" s="106"/>
      <c r="ET65" s="106"/>
      <c r="EU65" s="106"/>
      <c r="EV65" s="106"/>
      <c r="EW65" s="106"/>
      <c r="EX65" s="106"/>
      <c r="EY65" s="106"/>
      <c r="EZ65" s="106"/>
      <c r="FA65" s="106"/>
      <c r="FB65" s="106"/>
      <c r="FC65" s="106"/>
      <c r="FD65" s="106"/>
      <c r="FE65" s="106"/>
      <c r="FF65" s="106"/>
      <c r="FG65" s="106"/>
      <c r="FH65" s="106"/>
      <c r="FI65" s="106"/>
      <c r="FJ65" s="106"/>
      <c r="FK65" s="106"/>
      <c r="FL65" s="106"/>
      <c r="FM65" s="106"/>
      <c r="FN65" s="106"/>
      <c r="FO65" s="106"/>
      <c r="FP65" s="106"/>
      <c r="FQ65" s="106"/>
      <c r="FR65" s="106"/>
      <c r="FS65" s="106"/>
      <c r="FT65" s="106"/>
      <c r="FU65" s="106"/>
      <c r="FV65" s="106"/>
      <c r="FW65" s="106"/>
      <c r="FX65" s="106"/>
      <c r="FY65" s="106"/>
      <c r="FZ65" s="106"/>
      <c r="GA65" s="106"/>
      <c r="GB65" s="106"/>
      <c r="GC65" s="106"/>
      <c r="GD65" s="106"/>
      <c r="GE65" s="106"/>
      <c r="GF65" s="106"/>
      <c r="GG65" s="106"/>
      <c r="GH65" s="106"/>
      <c r="GI65" s="106"/>
      <c r="GJ65" s="106"/>
      <c r="GK65" s="106"/>
      <c r="GL65" s="106"/>
      <c r="GM65" s="106"/>
      <c r="GN65" s="106"/>
      <c r="GO65" s="106"/>
      <c r="GP65" s="106"/>
      <c r="GQ65" s="106"/>
      <c r="GR65" s="106"/>
      <c r="GS65" s="106"/>
      <c r="GT65" s="106"/>
      <c r="GU65" s="106"/>
      <c r="GV65" s="106"/>
      <c r="GW65" s="106"/>
      <c r="GX65" s="106"/>
      <c r="GY65" s="106"/>
      <c r="GZ65" s="106"/>
      <c r="HA65" s="106"/>
      <c r="HB65" s="106"/>
      <c r="HC65" s="106"/>
      <c r="HD65" s="106"/>
      <c r="HE65" s="106"/>
      <c r="HF65" s="106"/>
      <c r="HG65" s="106"/>
      <c r="HH65" s="106"/>
      <c r="HI65" s="106"/>
      <c r="HJ65" s="106"/>
      <c r="HK65" s="106"/>
      <c r="HL65" s="106"/>
      <c r="HM65" s="106"/>
      <c r="HN65" s="106"/>
      <c r="HO65" s="106"/>
      <c r="HP65" s="106"/>
      <c r="HQ65" s="106"/>
      <c r="HR65" s="106"/>
      <c r="HS65" s="106"/>
      <c r="HT65" s="106"/>
      <c r="HU65" s="106"/>
      <c r="HV65" s="106"/>
      <c r="HW65" s="106"/>
      <c r="HX65" s="106"/>
      <c r="HY65" s="106"/>
      <c r="HZ65" s="106"/>
      <c r="IA65" s="106"/>
      <c r="IB65" s="106"/>
      <c r="IC65" s="106"/>
      <c r="ID65" s="106"/>
      <c r="IE65" s="106"/>
      <c r="IF65" s="106"/>
      <c r="IG65" s="106"/>
      <c r="IH65" s="106"/>
      <c r="II65" s="106"/>
      <c r="IJ65" s="106"/>
      <c r="IK65" s="106"/>
      <c r="IL65" s="106"/>
      <c r="IM65" s="106"/>
      <c r="IN65" s="106"/>
      <c r="IO65" s="106"/>
      <c r="IP65" s="106"/>
      <c r="IQ65" s="106"/>
      <c r="IR65" s="106"/>
      <c r="IS65" s="106"/>
      <c r="IT65" s="106"/>
      <c r="IU65" s="106"/>
      <c r="IV65" s="106"/>
      <c r="IW65" s="106"/>
      <c r="IX65" s="106"/>
    </row>
    <row r="66" s="105" customFormat="1" spans="1:258">
      <c r="A66" s="125"/>
      <c r="B66" s="125"/>
      <c r="C66" s="125"/>
      <c r="D66" s="125"/>
      <c r="E66" s="125"/>
      <c r="F66" s="125"/>
      <c r="G66" s="125"/>
      <c r="H66" s="125"/>
      <c r="I66" s="125"/>
      <c r="J66" s="133"/>
      <c r="K66" s="134"/>
      <c r="L66" s="134"/>
      <c r="M66" s="134"/>
      <c r="N66" s="134"/>
      <c r="O66" s="134"/>
      <c r="P66" s="155"/>
      <c r="Q66" s="155"/>
      <c r="R66" s="134"/>
      <c r="S66" s="134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106"/>
      <c r="AL66" s="106"/>
      <c r="AM66" s="106"/>
      <c r="AN66" s="106"/>
      <c r="AO66" s="106"/>
      <c r="AP66" s="106"/>
      <c r="AQ66" s="106"/>
      <c r="AR66" s="106"/>
      <c r="AS66" s="106"/>
      <c r="AT66" s="106"/>
      <c r="AU66" s="106"/>
      <c r="AV66" s="106"/>
      <c r="AW66" s="106"/>
      <c r="AX66" s="106"/>
      <c r="AY66" s="106"/>
      <c r="AZ66" s="106"/>
      <c r="BA66" s="106"/>
      <c r="BB66" s="106"/>
      <c r="BC66" s="106"/>
      <c r="BD66" s="106"/>
      <c r="BE66" s="106"/>
      <c r="BF66" s="106"/>
      <c r="BG66" s="106"/>
      <c r="BH66" s="106"/>
      <c r="BI66" s="106"/>
      <c r="BJ66" s="106"/>
      <c r="BK66" s="106"/>
      <c r="BL66" s="106"/>
      <c r="BM66" s="106"/>
      <c r="BN66" s="106"/>
      <c r="BO66" s="106"/>
      <c r="BP66" s="106"/>
      <c r="BQ66" s="106"/>
      <c r="BR66" s="106"/>
      <c r="BS66" s="106"/>
      <c r="BT66" s="106"/>
      <c r="BU66" s="106"/>
      <c r="BV66" s="106"/>
      <c r="BW66" s="106"/>
      <c r="BX66" s="106"/>
      <c r="BY66" s="106"/>
      <c r="BZ66" s="106"/>
      <c r="CA66" s="106"/>
      <c r="CB66" s="106"/>
      <c r="CC66" s="106"/>
      <c r="CD66" s="106"/>
      <c r="CE66" s="106"/>
      <c r="CF66" s="106"/>
      <c r="CG66" s="106"/>
      <c r="CH66" s="106"/>
      <c r="CI66" s="106"/>
      <c r="CJ66" s="106"/>
      <c r="CK66" s="106"/>
      <c r="CL66" s="106"/>
      <c r="CM66" s="106"/>
      <c r="CN66" s="106"/>
      <c r="CO66" s="106"/>
      <c r="CP66" s="106"/>
      <c r="CQ66" s="106"/>
      <c r="CR66" s="106"/>
      <c r="CS66" s="106"/>
      <c r="CT66" s="106"/>
      <c r="CU66" s="106"/>
      <c r="CV66" s="106"/>
      <c r="CW66" s="106"/>
      <c r="CX66" s="106"/>
      <c r="CY66" s="106"/>
      <c r="CZ66" s="106"/>
      <c r="DA66" s="106"/>
      <c r="DB66" s="106"/>
      <c r="DC66" s="106"/>
      <c r="DD66" s="106"/>
      <c r="DE66" s="106"/>
      <c r="DF66" s="106"/>
      <c r="DG66" s="106"/>
      <c r="DH66" s="106"/>
      <c r="DI66" s="106"/>
      <c r="DJ66" s="106"/>
      <c r="DK66" s="106"/>
      <c r="DL66" s="106"/>
      <c r="DM66" s="106"/>
      <c r="DN66" s="106"/>
      <c r="DO66" s="106"/>
      <c r="DP66" s="106"/>
      <c r="DQ66" s="106"/>
      <c r="DR66" s="106"/>
      <c r="DS66" s="106"/>
      <c r="DT66" s="106"/>
      <c r="DU66" s="106"/>
      <c r="DV66" s="106"/>
      <c r="DW66" s="106"/>
      <c r="DX66" s="106"/>
      <c r="DY66" s="106"/>
      <c r="DZ66" s="106"/>
      <c r="EA66" s="106"/>
      <c r="EB66" s="106"/>
      <c r="EC66" s="106"/>
      <c r="ED66" s="106"/>
      <c r="EE66" s="106"/>
      <c r="EF66" s="106"/>
      <c r="EG66" s="106"/>
      <c r="EH66" s="106"/>
      <c r="EI66" s="106"/>
      <c r="EJ66" s="106"/>
      <c r="EK66" s="106"/>
      <c r="EL66" s="106"/>
      <c r="EM66" s="106"/>
      <c r="EN66" s="106"/>
      <c r="EO66" s="106"/>
      <c r="EP66" s="106"/>
      <c r="EQ66" s="106"/>
      <c r="ER66" s="106"/>
      <c r="ES66" s="106"/>
      <c r="ET66" s="106"/>
      <c r="EU66" s="106"/>
      <c r="EV66" s="106"/>
      <c r="EW66" s="106"/>
      <c r="EX66" s="106"/>
      <c r="EY66" s="106"/>
      <c r="EZ66" s="106"/>
      <c r="FA66" s="106"/>
      <c r="FB66" s="106"/>
      <c r="FC66" s="106"/>
      <c r="FD66" s="106"/>
      <c r="FE66" s="106"/>
      <c r="FF66" s="106"/>
      <c r="FG66" s="106"/>
      <c r="FH66" s="106"/>
      <c r="FI66" s="106"/>
      <c r="FJ66" s="106"/>
      <c r="FK66" s="106"/>
      <c r="FL66" s="106"/>
      <c r="FM66" s="106"/>
      <c r="FN66" s="106"/>
      <c r="FO66" s="106"/>
      <c r="FP66" s="106"/>
      <c r="FQ66" s="106"/>
      <c r="FR66" s="106"/>
      <c r="FS66" s="106"/>
      <c r="FT66" s="106"/>
      <c r="FU66" s="106"/>
      <c r="FV66" s="106"/>
      <c r="FW66" s="106"/>
      <c r="FX66" s="106"/>
      <c r="FY66" s="106"/>
      <c r="FZ66" s="106"/>
      <c r="GA66" s="106"/>
      <c r="GB66" s="106"/>
      <c r="GC66" s="106"/>
      <c r="GD66" s="106"/>
      <c r="GE66" s="106"/>
      <c r="GF66" s="106"/>
      <c r="GG66" s="106"/>
      <c r="GH66" s="106"/>
      <c r="GI66" s="106"/>
      <c r="GJ66" s="106"/>
      <c r="GK66" s="106"/>
      <c r="GL66" s="106"/>
      <c r="GM66" s="106"/>
      <c r="GN66" s="106"/>
      <c r="GO66" s="106"/>
      <c r="GP66" s="106"/>
      <c r="GQ66" s="106"/>
      <c r="GR66" s="106"/>
      <c r="GS66" s="106"/>
      <c r="GT66" s="106"/>
      <c r="GU66" s="106"/>
      <c r="GV66" s="106"/>
      <c r="GW66" s="106"/>
      <c r="GX66" s="106"/>
      <c r="GY66" s="106"/>
      <c r="GZ66" s="106"/>
      <c r="HA66" s="106"/>
      <c r="HB66" s="106"/>
      <c r="HC66" s="106"/>
      <c r="HD66" s="106"/>
      <c r="HE66" s="106"/>
      <c r="HF66" s="106"/>
      <c r="HG66" s="106"/>
      <c r="HH66" s="106"/>
      <c r="HI66" s="106"/>
      <c r="HJ66" s="106"/>
      <c r="HK66" s="106"/>
      <c r="HL66" s="106"/>
      <c r="HM66" s="106"/>
      <c r="HN66" s="106"/>
      <c r="HO66" s="106"/>
      <c r="HP66" s="106"/>
      <c r="HQ66" s="106"/>
      <c r="HR66" s="106"/>
      <c r="HS66" s="106"/>
      <c r="HT66" s="106"/>
      <c r="HU66" s="106"/>
      <c r="HV66" s="106"/>
      <c r="HW66" s="106"/>
      <c r="HX66" s="106"/>
      <c r="HY66" s="106"/>
      <c r="HZ66" s="106"/>
      <c r="IA66" s="106"/>
      <c r="IB66" s="106"/>
      <c r="IC66" s="106"/>
      <c r="ID66" s="106"/>
      <c r="IE66" s="106"/>
      <c r="IF66" s="106"/>
      <c r="IG66" s="106"/>
      <c r="IH66" s="106"/>
      <c r="II66" s="106"/>
      <c r="IJ66" s="106"/>
      <c r="IK66" s="106"/>
      <c r="IL66" s="106"/>
      <c r="IM66" s="106"/>
      <c r="IN66" s="106"/>
      <c r="IO66" s="106"/>
      <c r="IP66" s="106"/>
      <c r="IQ66" s="106"/>
      <c r="IR66" s="106"/>
      <c r="IS66" s="106"/>
      <c r="IT66" s="106"/>
      <c r="IU66" s="106"/>
      <c r="IV66" s="106"/>
      <c r="IW66" s="106"/>
      <c r="IX66" s="106"/>
    </row>
    <row r="67" s="105" customFormat="1" spans="1:258">
      <c r="A67" s="125"/>
      <c r="B67" s="125"/>
      <c r="C67" s="125"/>
      <c r="D67" s="125"/>
      <c r="E67" s="125"/>
      <c r="F67" s="125"/>
      <c r="G67" s="125"/>
      <c r="H67" s="125"/>
      <c r="I67" s="125"/>
      <c r="J67" s="133"/>
      <c r="K67" s="134"/>
      <c r="L67" s="134"/>
      <c r="M67" s="134"/>
      <c r="N67" s="134"/>
      <c r="O67" s="134"/>
      <c r="P67" s="155"/>
      <c r="Q67" s="155"/>
      <c r="R67" s="134"/>
      <c r="S67" s="134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106"/>
      <c r="AL67" s="106"/>
      <c r="AM67" s="106"/>
      <c r="AN67" s="106"/>
      <c r="AO67" s="106"/>
      <c r="AP67" s="106"/>
      <c r="AQ67" s="106"/>
      <c r="AR67" s="106"/>
      <c r="AS67" s="106"/>
      <c r="AT67" s="106"/>
      <c r="AU67" s="106"/>
      <c r="AV67" s="106"/>
      <c r="AW67" s="106"/>
      <c r="AX67" s="106"/>
      <c r="AY67" s="106"/>
      <c r="AZ67" s="106"/>
      <c r="BA67" s="106"/>
      <c r="BB67" s="106"/>
      <c r="BC67" s="106"/>
      <c r="BD67" s="106"/>
      <c r="BE67" s="106"/>
      <c r="BF67" s="106"/>
      <c r="BG67" s="106"/>
      <c r="BH67" s="106"/>
      <c r="BI67" s="106"/>
      <c r="BJ67" s="106"/>
      <c r="BK67" s="106"/>
      <c r="BL67" s="106"/>
      <c r="BM67" s="106"/>
      <c r="BN67" s="106"/>
      <c r="BO67" s="106"/>
      <c r="BP67" s="106"/>
      <c r="BQ67" s="106"/>
      <c r="BR67" s="106"/>
      <c r="BS67" s="106"/>
      <c r="BT67" s="106"/>
      <c r="BU67" s="106"/>
      <c r="BV67" s="106"/>
      <c r="BW67" s="106"/>
      <c r="BX67" s="106"/>
      <c r="BY67" s="106"/>
      <c r="BZ67" s="106"/>
      <c r="CA67" s="106"/>
      <c r="CB67" s="106"/>
      <c r="CC67" s="106"/>
      <c r="CD67" s="106"/>
      <c r="CE67" s="106"/>
      <c r="CF67" s="106"/>
      <c r="CG67" s="106"/>
      <c r="CH67" s="106"/>
      <c r="CI67" s="106"/>
      <c r="CJ67" s="106"/>
      <c r="CK67" s="106"/>
      <c r="CL67" s="106"/>
      <c r="CM67" s="106"/>
      <c r="CN67" s="106"/>
      <c r="CO67" s="106"/>
      <c r="CP67" s="106"/>
      <c r="CQ67" s="106"/>
      <c r="CR67" s="106"/>
      <c r="CS67" s="106"/>
      <c r="CT67" s="106"/>
      <c r="CU67" s="106"/>
      <c r="CV67" s="106"/>
      <c r="CW67" s="106"/>
      <c r="CX67" s="106"/>
      <c r="CY67" s="106"/>
      <c r="CZ67" s="106"/>
      <c r="DA67" s="106"/>
      <c r="DB67" s="106"/>
      <c r="DC67" s="106"/>
      <c r="DD67" s="106"/>
      <c r="DE67" s="106"/>
      <c r="DF67" s="106"/>
      <c r="DG67" s="106"/>
      <c r="DH67" s="106"/>
      <c r="DI67" s="106"/>
      <c r="DJ67" s="106"/>
      <c r="DK67" s="106"/>
      <c r="DL67" s="106"/>
      <c r="DM67" s="106"/>
      <c r="DN67" s="106"/>
      <c r="DO67" s="106"/>
      <c r="DP67" s="106"/>
      <c r="DQ67" s="106"/>
      <c r="DR67" s="106"/>
      <c r="DS67" s="106"/>
      <c r="DT67" s="106"/>
      <c r="DU67" s="106"/>
      <c r="DV67" s="106"/>
      <c r="DW67" s="106"/>
      <c r="DX67" s="106"/>
      <c r="DY67" s="106"/>
      <c r="DZ67" s="106"/>
      <c r="EA67" s="106"/>
      <c r="EB67" s="106"/>
      <c r="EC67" s="106"/>
      <c r="ED67" s="106"/>
      <c r="EE67" s="106"/>
      <c r="EF67" s="106"/>
      <c r="EG67" s="106"/>
      <c r="EH67" s="106"/>
      <c r="EI67" s="106"/>
      <c r="EJ67" s="106"/>
      <c r="EK67" s="106"/>
      <c r="EL67" s="106"/>
      <c r="EM67" s="106"/>
      <c r="EN67" s="106"/>
      <c r="EO67" s="106"/>
      <c r="EP67" s="106"/>
      <c r="EQ67" s="106"/>
      <c r="ER67" s="106"/>
      <c r="ES67" s="106"/>
      <c r="ET67" s="106"/>
      <c r="EU67" s="106"/>
      <c r="EV67" s="106"/>
      <c r="EW67" s="106"/>
      <c r="EX67" s="106"/>
      <c r="EY67" s="106"/>
      <c r="EZ67" s="106"/>
      <c r="FA67" s="106"/>
      <c r="FB67" s="106"/>
      <c r="FC67" s="106"/>
      <c r="FD67" s="106"/>
      <c r="FE67" s="106"/>
      <c r="FF67" s="106"/>
      <c r="FG67" s="106"/>
      <c r="FH67" s="106"/>
      <c r="FI67" s="106"/>
      <c r="FJ67" s="106"/>
      <c r="FK67" s="106"/>
      <c r="FL67" s="106"/>
      <c r="FM67" s="106"/>
      <c r="FN67" s="106"/>
      <c r="FO67" s="106"/>
      <c r="FP67" s="106"/>
      <c r="FQ67" s="106"/>
      <c r="FR67" s="106"/>
      <c r="FS67" s="106"/>
      <c r="FT67" s="106"/>
      <c r="FU67" s="106"/>
      <c r="FV67" s="106"/>
      <c r="FW67" s="106"/>
      <c r="FX67" s="106"/>
      <c r="FY67" s="106"/>
      <c r="FZ67" s="106"/>
      <c r="GA67" s="106"/>
      <c r="GB67" s="106"/>
      <c r="GC67" s="106"/>
      <c r="GD67" s="106"/>
      <c r="GE67" s="106"/>
      <c r="GF67" s="106"/>
      <c r="GG67" s="106"/>
      <c r="GH67" s="106"/>
      <c r="GI67" s="106"/>
      <c r="GJ67" s="106"/>
      <c r="GK67" s="106"/>
      <c r="GL67" s="106"/>
      <c r="GM67" s="106"/>
      <c r="GN67" s="106"/>
      <c r="GO67" s="106"/>
      <c r="GP67" s="106"/>
      <c r="GQ67" s="106"/>
      <c r="GR67" s="106"/>
      <c r="GS67" s="106"/>
      <c r="GT67" s="106"/>
      <c r="GU67" s="106"/>
      <c r="GV67" s="106"/>
      <c r="GW67" s="106"/>
      <c r="GX67" s="106"/>
      <c r="GY67" s="106"/>
      <c r="GZ67" s="106"/>
      <c r="HA67" s="106"/>
      <c r="HB67" s="106"/>
      <c r="HC67" s="106"/>
      <c r="HD67" s="106"/>
      <c r="HE67" s="106"/>
      <c r="HF67" s="106"/>
      <c r="HG67" s="106"/>
      <c r="HH67" s="106"/>
      <c r="HI67" s="106"/>
      <c r="HJ67" s="106"/>
      <c r="HK67" s="106"/>
      <c r="HL67" s="106"/>
      <c r="HM67" s="106"/>
      <c r="HN67" s="106"/>
      <c r="HO67" s="106"/>
      <c r="HP67" s="106"/>
      <c r="HQ67" s="106"/>
      <c r="HR67" s="106"/>
      <c r="HS67" s="106"/>
      <c r="HT67" s="106"/>
      <c r="HU67" s="106"/>
      <c r="HV67" s="106"/>
      <c r="HW67" s="106"/>
      <c r="HX67" s="106"/>
      <c r="HY67" s="106"/>
      <c r="HZ67" s="106"/>
      <c r="IA67" s="106"/>
      <c r="IB67" s="106"/>
      <c r="IC67" s="106"/>
      <c r="ID67" s="106"/>
      <c r="IE67" s="106"/>
      <c r="IF67" s="106"/>
      <c r="IG67" s="106"/>
      <c r="IH67" s="106"/>
      <c r="II67" s="106"/>
      <c r="IJ67" s="106"/>
      <c r="IK67" s="106"/>
      <c r="IL67" s="106"/>
      <c r="IM67" s="106"/>
      <c r="IN67" s="106"/>
      <c r="IO67" s="106"/>
      <c r="IP67" s="106"/>
      <c r="IQ67" s="106"/>
      <c r="IR67" s="106"/>
      <c r="IS67" s="106"/>
      <c r="IT67" s="106"/>
      <c r="IU67" s="106"/>
      <c r="IV67" s="106"/>
      <c r="IW67" s="106"/>
      <c r="IX67" s="106"/>
    </row>
    <row r="68" s="105" customFormat="1" spans="1:258">
      <c r="A68" s="125"/>
      <c r="B68" s="125"/>
      <c r="C68" s="125"/>
      <c r="D68" s="125"/>
      <c r="E68" s="125"/>
      <c r="F68" s="125"/>
      <c r="G68" s="125"/>
      <c r="H68" s="125"/>
      <c r="I68" s="125"/>
      <c r="J68" s="133"/>
      <c r="K68" s="134"/>
      <c r="L68" s="134"/>
      <c r="M68" s="134"/>
      <c r="N68" s="134"/>
      <c r="O68" s="134"/>
      <c r="P68" s="155"/>
      <c r="Q68" s="155"/>
      <c r="R68" s="134"/>
      <c r="S68" s="134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106"/>
      <c r="AL68" s="106"/>
      <c r="AM68" s="106"/>
      <c r="AN68" s="106"/>
      <c r="AO68" s="106"/>
      <c r="AP68" s="106"/>
      <c r="AQ68" s="106"/>
      <c r="AR68" s="106"/>
      <c r="AS68" s="106"/>
      <c r="AT68" s="106"/>
      <c r="AU68" s="106"/>
      <c r="AV68" s="106"/>
      <c r="AW68" s="106"/>
      <c r="AX68" s="106"/>
      <c r="AY68" s="106"/>
      <c r="AZ68" s="106"/>
      <c r="BA68" s="106"/>
      <c r="BB68" s="106"/>
      <c r="BC68" s="106"/>
      <c r="BD68" s="106"/>
      <c r="BE68" s="106"/>
      <c r="BF68" s="106"/>
      <c r="BG68" s="106"/>
      <c r="BH68" s="106"/>
      <c r="BI68" s="106"/>
      <c r="BJ68" s="106"/>
      <c r="BK68" s="106"/>
      <c r="BL68" s="106"/>
      <c r="BM68" s="106"/>
      <c r="BN68" s="106"/>
      <c r="BO68" s="106"/>
      <c r="BP68" s="106"/>
      <c r="BQ68" s="106"/>
      <c r="BR68" s="106"/>
      <c r="BS68" s="106"/>
      <c r="BT68" s="106"/>
      <c r="BU68" s="106"/>
      <c r="BV68" s="106"/>
      <c r="BW68" s="106"/>
      <c r="BX68" s="106"/>
      <c r="BY68" s="106"/>
      <c r="BZ68" s="106"/>
      <c r="CA68" s="106"/>
      <c r="CB68" s="106"/>
      <c r="CC68" s="106"/>
      <c r="CD68" s="106"/>
      <c r="CE68" s="106"/>
      <c r="CF68" s="106"/>
      <c r="CG68" s="106"/>
      <c r="CH68" s="106"/>
      <c r="CI68" s="106"/>
      <c r="CJ68" s="106"/>
      <c r="CK68" s="106"/>
      <c r="CL68" s="106"/>
      <c r="CM68" s="106"/>
      <c r="CN68" s="106"/>
      <c r="CO68" s="106"/>
      <c r="CP68" s="106"/>
      <c r="CQ68" s="106"/>
      <c r="CR68" s="106"/>
      <c r="CS68" s="106"/>
      <c r="CT68" s="106"/>
      <c r="CU68" s="106"/>
      <c r="CV68" s="106"/>
      <c r="CW68" s="106"/>
      <c r="CX68" s="106"/>
      <c r="CY68" s="106"/>
      <c r="CZ68" s="106"/>
      <c r="DA68" s="106"/>
      <c r="DB68" s="106"/>
      <c r="DC68" s="106"/>
      <c r="DD68" s="106"/>
      <c r="DE68" s="106"/>
      <c r="DF68" s="106"/>
      <c r="DG68" s="106"/>
      <c r="DH68" s="106"/>
      <c r="DI68" s="106"/>
      <c r="DJ68" s="106"/>
      <c r="DK68" s="106"/>
      <c r="DL68" s="106"/>
      <c r="DM68" s="106"/>
      <c r="DN68" s="106"/>
      <c r="DO68" s="106"/>
      <c r="DP68" s="106"/>
      <c r="DQ68" s="106"/>
      <c r="DR68" s="106"/>
      <c r="DS68" s="106"/>
      <c r="DT68" s="106"/>
      <c r="DU68" s="106"/>
      <c r="DV68" s="106"/>
      <c r="DW68" s="106"/>
      <c r="DX68" s="106"/>
      <c r="DY68" s="106"/>
      <c r="DZ68" s="106"/>
      <c r="EA68" s="106"/>
      <c r="EB68" s="106"/>
      <c r="EC68" s="106"/>
      <c r="ED68" s="106"/>
      <c r="EE68" s="106"/>
      <c r="EF68" s="106"/>
      <c r="EG68" s="106"/>
      <c r="EH68" s="106"/>
      <c r="EI68" s="106"/>
      <c r="EJ68" s="106"/>
      <c r="EK68" s="106"/>
      <c r="EL68" s="106"/>
      <c r="EM68" s="106"/>
      <c r="EN68" s="106"/>
      <c r="EO68" s="106"/>
      <c r="EP68" s="106"/>
      <c r="EQ68" s="106"/>
      <c r="ER68" s="106"/>
      <c r="ES68" s="106"/>
      <c r="ET68" s="106"/>
      <c r="EU68" s="106"/>
      <c r="EV68" s="106"/>
      <c r="EW68" s="106"/>
      <c r="EX68" s="106"/>
      <c r="EY68" s="106"/>
      <c r="EZ68" s="106"/>
      <c r="FA68" s="106"/>
      <c r="FB68" s="106"/>
      <c r="FC68" s="106"/>
      <c r="FD68" s="106"/>
      <c r="FE68" s="106"/>
      <c r="FF68" s="106"/>
      <c r="FG68" s="106"/>
      <c r="FH68" s="106"/>
      <c r="FI68" s="106"/>
      <c r="FJ68" s="106"/>
      <c r="FK68" s="106"/>
      <c r="FL68" s="106"/>
      <c r="FM68" s="106"/>
      <c r="FN68" s="106"/>
      <c r="FO68" s="106"/>
      <c r="FP68" s="106"/>
      <c r="FQ68" s="106"/>
      <c r="FR68" s="106"/>
      <c r="FS68" s="106"/>
      <c r="FT68" s="106"/>
      <c r="FU68" s="106"/>
      <c r="FV68" s="106"/>
      <c r="FW68" s="106"/>
      <c r="FX68" s="106"/>
      <c r="FY68" s="106"/>
      <c r="FZ68" s="106"/>
      <c r="GA68" s="106"/>
      <c r="GB68" s="106"/>
      <c r="GC68" s="106"/>
      <c r="GD68" s="106"/>
      <c r="GE68" s="106"/>
      <c r="GF68" s="106"/>
      <c r="GG68" s="106"/>
      <c r="GH68" s="106"/>
      <c r="GI68" s="106"/>
      <c r="GJ68" s="106"/>
      <c r="GK68" s="106"/>
      <c r="GL68" s="106"/>
      <c r="GM68" s="106"/>
      <c r="GN68" s="106"/>
      <c r="GO68" s="106"/>
      <c r="GP68" s="106"/>
      <c r="GQ68" s="106"/>
      <c r="GR68" s="106"/>
      <c r="GS68" s="106"/>
      <c r="GT68" s="106"/>
      <c r="GU68" s="106"/>
      <c r="GV68" s="106"/>
      <c r="GW68" s="106"/>
      <c r="GX68" s="106"/>
      <c r="GY68" s="106"/>
      <c r="GZ68" s="106"/>
      <c r="HA68" s="106"/>
      <c r="HB68" s="106"/>
      <c r="HC68" s="106"/>
      <c r="HD68" s="106"/>
      <c r="HE68" s="106"/>
      <c r="HF68" s="106"/>
      <c r="HG68" s="106"/>
      <c r="HH68" s="106"/>
      <c r="HI68" s="106"/>
      <c r="HJ68" s="106"/>
      <c r="HK68" s="106"/>
      <c r="HL68" s="106"/>
      <c r="HM68" s="106"/>
      <c r="HN68" s="106"/>
      <c r="HO68" s="106"/>
      <c r="HP68" s="106"/>
      <c r="HQ68" s="106"/>
      <c r="HR68" s="106"/>
      <c r="HS68" s="106"/>
      <c r="HT68" s="106"/>
      <c r="HU68" s="106"/>
      <c r="HV68" s="106"/>
      <c r="HW68" s="106"/>
      <c r="HX68" s="106"/>
      <c r="HY68" s="106"/>
      <c r="HZ68" s="106"/>
      <c r="IA68" s="106"/>
      <c r="IB68" s="106"/>
      <c r="IC68" s="106"/>
      <c r="ID68" s="106"/>
      <c r="IE68" s="106"/>
      <c r="IF68" s="106"/>
      <c r="IG68" s="106"/>
      <c r="IH68" s="106"/>
      <c r="II68" s="106"/>
      <c r="IJ68" s="106"/>
      <c r="IK68" s="106"/>
      <c r="IL68" s="106"/>
      <c r="IM68" s="106"/>
      <c r="IN68" s="106"/>
      <c r="IO68" s="106"/>
      <c r="IP68" s="106"/>
      <c r="IQ68" s="106"/>
      <c r="IR68" s="106"/>
      <c r="IS68" s="106"/>
      <c r="IT68" s="106"/>
      <c r="IU68" s="106"/>
      <c r="IV68" s="106"/>
      <c r="IW68" s="106"/>
      <c r="IX68" s="106"/>
    </row>
    <row r="69" s="105" customFormat="1" spans="1:258">
      <c r="A69" s="125"/>
      <c r="B69" s="125"/>
      <c r="C69" s="125"/>
      <c r="D69" s="125"/>
      <c r="E69" s="125"/>
      <c r="F69" s="125"/>
      <c r="G69" s="125"/>
      <c r="H69" s="125"/>
      <c r="I69" s="125"/>
      <c r="J69" s="133"/>
      <c r="K69" s="134"/>
      <c r="L69" s="134"/>
      <c r="M69" s="134"/>
      <c r="N69" s="134"/>
      <c r="O69" s="134"/>
      <c r="P69" s="155"/>
      <c r="Q69" s="155"/>
      <c r="R69" s="134"/>
      <c r="S69" s="134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106"/>
      <c r="AL69" s="106"/>
      <c r="AM69" s="106"/>
      <c r="AN69" s="106"/>
      <c r="AO69" s="106"/>
      <c r="AP69" s="106"/>
      <c r="AQ69" s="106"/>
      <c r="AR69" s="106"/>
      <c r="AS69" s="106"/>
      <c r="AT69" s="106"/>
      <c r="AU69" s="106"/>
      <c r="AV69" s="106"/>
      <c r="AW69" s="106"/>
      <c r="AX69" s="106"/>
      <c r="AY69" s="106"/>
      <c r="AZ69" s="106"/>
      <c r="BA69" s="106"/>
      <c r="BB69" s="106"/>
      <c r="BC69" s="106"/>
      <c r="BD69" s="106"/>
      <c r="BE69" s="106"/>
      <c r="BF69" s="106"/>
      <c r="BG69" s="106"/>
      <c r="BH69" s="106"/>
      <c r="BI69" s="106"/>
      <c r="BJ69" s="106"/>
      <c r="BK69" s="106"/>
      <c r="BL69" s="106"/>
      <c r="BM69" s="106"/>
      <c r="BN69" s="106"/>
      <c r="BO69" s="106"/>
      <c r="BP69" s="106"/>
      <c r="BQ69" s="106"/>
      <c r="BR69" s="106"/>
      <c r="BS69" s="106"/>
      <c r="BT69" s="106"/>
      <c r="BU69" s="106"/>
      <c r="BV69" s="106"/>
      <c r="BW69" s="106"/>
      <c r="BX69" s="106"/>
      <c r="BY69" s="106"/>
      <c r="BZ69" s="106"/>
      <c r="CA69" s="106"/>
      <c r="CB69" s="106"/>
      <c r="CC69" s="106"/>
      <c r="CD69" s="106"/>
      <c r="CE69" s="106"/>
      <c r="CF69" s="106"/>
      <c r="CG69" s="106"/>
      <c r="CH69" s="106"/>
      <c r="CI69" s="106"/>
      <c r="CJ69" s="106"/>
      <c r="CK69" s="106"/>
      <c r="CL69" s="106"/>
      <c r="CM69" s="106"/>
      <c r="CN69" s="106"/>
      <c r="CO69" s="106"/>
      <c r="CP69" s="106"/>
      <c r="CQ69" s="106"/>
      <c r="CR69" s="106"/>
      <c r="CS69" s="106"/>
      <c r="CT69" s="106"/>
      <c r="CU69" s="106"/>
      <c r="CV69" s="106"/>
      <c r="CW69" s="106"/>
      <c r="CX69" s="106"/>
      <c r="CY69" s="106"/>
      <c r="CZ69" s="106"/>
      <c r="DA69" s="106"/>
      <c r="DB69" s="106"/>
      <c r="DC69" s="106"/>
      <c r="DD69" s="106"/>
      <c r="DE69" s="106"/>
      <c r="DF69" s="106"/>
      <c r="DG69" s="106"/>
      <c r="DH69" s="106"/>
      <c r="DI69" s="106"/>
      <c r="DJ69" s="106"/>
      <c r="DK69" s="106"/>
      <c r="DL69" s="106"/>
      <c r="DM69" s="106"/>
      <c r="DN69" s="106"/>
      <c r="DO69" s="106"/>
      <c r="DP69" s="106"/>
      <c r="DQ69" s="106"/>
      <c r="DR69" s="106"/>
      <c r="DS69" s="106"/>
      <c r="DT69" s="106"/>
      <c r="DU69" s="106"/>
      <c r="DV69" s="106"/>
      <c r="DW69" s="106"/>
      <c r="DX69" s="106"/>
      <c r="DY69" s="106"/>
      <c r="DZ69" s="106"/>
      <c r="EA69" s="106"/>
      <c r="EB69" s="106"/>
      <c r="EC69" s="106"/>
      <c r="ED69" s="106"/>
      <c r="EE69" s="106"/>
      <c r="EF69" s="106"/>
      <c r="EG69" s="106"/>
      <c r="EH69" s="106"/>
      <c r="EI69" s="106"/>
      <c r="EJ69" s="106"/>
      <c r="EK69" s="106"/>
      <c r="EL69" s="106"/>
      <c r="EM69" s="106"/>
      <c r="EN69" s="106"/>
      <c r="EO69" s="106"/>
      <c r="EP69" s="106"/>
      <c r="EQ69" s="106"/>
      <c r="ER69" s="106"/>
      <c r="ES69" s="106"/>
      <c r="ET69" s="106"/>
      <c r="EU69" s="106"/>
      <c r="EV69" s="106"/>
      <c r="EW69" s="106"/>
      <c r="EX69" s="106"/>
      <c r="EY69" s="106"/>
      <c r="EZ69" s="106"/>
      <c r="FA69" s="106"/>
      <c r="FB69" s="106"/>
      <c r="FC69" s="106"/>
      <c r="FD69" s="106"/>
      <c r="FE69" s="106"/>
      <c r="FF69" s="106"/>
      <c r="FG69" s="106"/>
      <c r="FH69" s="106"/>
      <c r="FI69" s="106"/>
      <c r="FJ69" s="106"/>
      <c r="FK69" s="106"/>
      <c r="FL69" s="106"/>
      <c r="FM69" s="106"/>
      <c r="FN69" s="106"/>
      <c r="FO69" s="106"/>
      <c r="FP69" s="106"/>
      <c r="FQ69" s="106"/>
      <c r="FR69" s="106"/>
      <c r="FS69" s="106"/>
      <c r="FT69" s="106"/>
      <c r="FU69" s="106"/>
      <c r="FV69" s="106"/>
      <c r="FW69" s="106"/>
      <c r="FX69" s="106"/>
      <c r="FY69" s="106"/>
      <c r="FZ69" s="106"/>
      <c r="GA69" s="106"/>
      <c r="GB69" s="106"/>
      <c r="GC69" s="106"/>
      <c r="GD69" s="106"/>
      <c r="GE69" s="106"/>
      <c r="GF69" s="106"/>
      <c r="GG69" s="106"/>
      <c r="GH69" s="106"/>
      <c r="GI69" s="106"/>
      <c r="GJ69" s="106"/>
      <c r="GK69" s="106"/>
      <c r="GL69" s="106"/>
      <c r="GM69" s="106"/>
      <c r="GN69" s="106"/>
      <c r="GO69" s="106"/>
      <c r="GP69" s="106"/>
      <c r="GQ69" s="106"/>
      <c r="GR69" s="106"/>
      <c r="GS69" s="106"/>
      <c r="GT69" s="106"/>
      <c r="GU69" s="106"/>
      <c r="GV69" s="106"/>
      <c r="GW69" s="106"/>
      <c r="GX69" s="106"/>
      <c r="GY69" s="106"/>
      <c r="GZ69" s="106"/>
      <c r="HA69" s="106"/>
      <c r="HB69" s="106"/>
      <c r="HC69" s="106"/>
      <c r="HD69" s="106"/>
      <c r="HE69" s="106"/>
      <c r="HF69" s="106"/>
      <c r="HG69" s="106"/>
      <c r="HH69" s="106"/>
      <c r="HI69" s="106"/>
      <c r="HJ69" s="106"/>
      <c r="HK69" s="106"/>
      <c r="HL69" s="106"/>
      <c r="HM69" s="106"/>
      <c r="HN69" s="106"/>
      <c r="HO69" s="106"/>
      <c r="HP69" s="106"/>
      <c r="HQ69" s="106"/>
      <c r="HR69" s="106"/>
      <c r="HS69" s="106"/>
      <c r="HT69" s="106"/>
      <c r="HU69" s="106"/>
      <c r="HV69" s="106"/>
      <c r="HW69" s="106"/>
      <c r="HX69" s="106"/>
      <c r="HY69" s="106"/>
      <c r="HZ69" s="106"/>
      <c r="IA69" s="106"/>
      <c r="IB69" s="106"/>
      <c r="IC69" s="106"/>
      <c r="ID69" s="106"/>
      <c r="IE69" s="106"/>
      <c r="IF69" s="106"/>
      <c r="IG69" s="106"/>
      <c r="IH69" s="106"/>
      <c r="II69" s="106"/>
      <c r="IJ69" s="106"/>
      <c r="IK69" s="106"/>
      <c r="IL69" s="106"/>
      <c r="IM69" s="106"/>
      <c r="IN69" s="106"/>
      <c r="IO69" s="106"/>
      <c r="IP69" s="106"/>
      <c r="IQ69" s="106"/>
      <c r="IR69" s="106"/>
      <c r="IS69" s="106"/>
      <c r="IT69" s="106"/>
      <c r="IU69" s="106"/>
      <c r="IV69" s="106"/>
      <c r="IW69" s="106"/>
      <c r="IX69" s="106"/>
    </row>
    <row r="70" s="105" customFormat="1" spans="1:258">
      <c r="A70" s="125"/>
      <c r="B70" s="125"/>
      <c r="C70" s="125"/>
      <c r="D70" s="125"/>
      <c r="E70" s="125"/>
      <c r="F70" s="125"/>
      <c r="G70" s="125"/>
      <c r="H70" s="125"/>
      <c r="I70" s="125"/>
      <c r="J70" s="133"/>
      <c r="K70" s="134"/>
      <c r="L70" s="134"/>
      <c r="M70" s="134"/>
      <c r="N70" s="134"/>
      <c r="O70" s="134"/>
      <c r="P70" s="155"/>
      <c r="Q70" s="155"/>
      <c r="R70" s="134"/>
      <c r="S70" s="134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106"/>
      <c r="AL70" s="106"/>
      <c r="AM70" s="106"/>
      <c r="AN70" s="106"/>
      <c r="AO70" s="106"/>
      <c r="AP70" s="106"/>
      <c r="AQ70" s="106"/>
      <c r="AR70" s="106"/>
      <c r="AS70" s="106"/>
      <c r="AT70" s="106"/>
      <c r="AU70" s="106"/>
      <c r="AV70" s="106"/>
      <c r="AW70" s="106"/>
      <c r="AX70" s="106"/>
      <c r="AY70" s="106"/>
      <c r="AZ70" s="106"/>
      <c r="BA70" s="106"/>
      <c r="BB70" s="106"/>
      <c r="BC70" s="106"/>
      <c r="BD70" s="106"/>
      <c r="BE70" s="106"/>
      <c r="BF70" s="106"/>
      <c r="BG70" s="106"/>
      <c r="BH70" s="106"/>
      <c r="BI70" s="106"/>
      <c r="BJ70" s="106"/>
      <c r="BK70" s="106"/>
      <c r="BL70" s="106"/>
      <c r="BM70" s="106"/>
      <c r="BN70" s="106"/>
      <c r="BO70" s="106"/>
      <c r="BP70" s="106"/>
      <c r="BQ70" s="106"/>
      <c r="BR70" s="106"/>
      <c r="BS70" s="106"/>
      <c r="BT70" s="106"/>
      <c r="BU70" s="106"/>
      <c r="BV70" s="106"/>
      <c r="BW70" s="106"/>
      <c r="BX70" s="106"/>
      <c r="BY70" s="106"/>
      <c r="BZ70" s="106"/>
      <c r="CA70" s="106"/>
      <c r="CB70" s="106"/>
      <c r="CC70" s="106"/>
      <c r="CD70" s="106"/>
      <c r="CE70" s="106"/>
      <c r="CF70" s="106"/>
      <c r="CG70" s="106"/>
      <c r="CH70" s="106"/>
      <c r="CI70" s="106"/>
      <c r="CJ70" s="106"/>
      <c r="CK70" s="106"/>
      <c r="CL70" s="106"/>
      <c r="CM70" s="106"/>
      <c r="CN70" s="106"/>
      <c r="CO70" s="106"/>
      <c r="CP70" s="106"/>
      <c r="CQ70" s="106"/>
      <c r="CR70" s="106"/>
      <c r="CS70" s="106"/>
      <c r="CT70" s="106"/>
      <c r="CU70" s="106"/>
      <c r="CV70" s="106"/>
      <c r="CW70" s="106"/>
      <c r="CX70" s="106"/>
      <c r="CY70" s="106"/>
      <c r="CZ70" s="106"/>
      <c r="DA70" s="106"/>
      <c r="DB70" s="106"/>
      <c r="DC70" s="106"/>
      <c r="DD70" s="106"/>
      <c r="DE70" s="106"/>
      <c r="DF70" s="106"/>
      <c r="DG70" s="106"/>
      <c r="DH70" s="106"/>
      <c r="DI70" s="106"/>
      <c r="DJ70" s="106"/>
      <c r="DK70" s="106"/>
      <c r="DL70" s="106"/>
      <c r="DM70" s="106"/>
      <c r="DN70" s="106"/>
      <c r="DO70" s="106"/>
      <c r="DP70" s="106"/>
      <c r="DQ70" s="106"/>
      <c r="DR70" s="106"/>
      <c r="DS70" s="106"/>
      <c r="DT70" s="106"/>
      <c r="DU70" s="106"/>
      <c r="DV70" s="106"/>
      <c r="DW70" s="106"/>
      <c r="DX70" s="106"/>
      <c r="DY70" s="106"/>
      <c r="DZ70" s="106"/>
      <c r="EA70" s="106"/>
      <c r="EB70" s="106"/>
      <c r="EC70" s="106"/>
      <c r="ED70" s="106"/>
      <c r="EE70" s="106"/>
      <c r="EF70" s="106"/>
      <c r="EG70" s="106"/>
      <c r="EH70" s="106"/>
      <c r="EI70" s="106"/>
      <c r="EJ70" s="106"/>
      <c r="EK70" s="106"/>
      <c r="EL70" s="106"/>
      <c r="EM70" s="106"/>
      <c r="EN70" s="106"/>
      <c r="EO70" s="106"/>
      <c r="EP70" s="106"/>
      <c r="EQ70" s="106"/>
      <c r="ER70" s="106"/>
      <c r="ES70" s="106"/>
      <c r="ET70" s="106"/>
      <c r="EU70" s="106"/>
      <c r="EV70" s="106"/>
      <c r="EW70" s="106"/>
      <c r="EX70" s="106"/>
      <c r="EY70" s="106"/>
      <c r="EZ70" s="106"/>
      <c r="FA70" s="106"/>
      <c r="FB70" s="106"/>
      <c r="FC70" s="106"/>
      <c r="FD70" s="106"/>
      <c r="FE70" s="106"/>
      <c r="FF70" s="106"/>
      <c r="FG70" s="106"/>
      <c r="FH70" s="106"/>
      <c r="FI70" s="106"/>
      <c r="FJ70" s="106"/>
      <c r="FK70" s="106"/>
      <c r="FL70" s="106"/>
      <c r="FM70" s="106"/>
      <c r="FN70" s="106"/>
      <c r="FO70" s="106"/>
      <c r="FP70" s="106"/>
      <c r="FQ70" s="106"/>
      <c r="FR70" s="106"/>
      <c r="FS70" s="106"/>
      <c r="FT70" s="106"/>
      <c r="FU70" s="106"/>
      <c r="FV70" s="106"/>
      <c r="FW70" s="106"/>
      <c r="FX70" s="106"/>
      <c r="FY70" s="106"/>
      <c r="FZ70" s="106"/>
      <c r="GA70" s="106"/>
      <c r="GB70" s="106"/>
      <c r="GC70" s="106"/>
      <c r="GD70" s="106"/>
      <c r="GE70" s="106"/>
      <c r="GF70" s="106"/>
      <c r="GG70" s="106"/>
      <c r="GH70" s="106"/>
      <c r="GI70" s="106"/>
      <c r="GJ70" s="106"/>
      <c r="GK70" s="106"/>
      <c r="GL70" s="106"/>
      <c r="GM70" s="106"/>
      <c r="GN70" s="106"/>
      <c r="GO70" s="106"/>
      <c r="GP70" s="106"/>
      <c r="GQ70" s="106"/>
      <c r="GR70" s="106"/>
      <c r="GS70" s="106"/>
      <c r="GT70" s="106"/>
      <c r="GU70" s="106"/>
      <c r="GV70" s="106"/>
      <c r="GW70" s="106"/>
      <c r="GX70" s="106"/>
      <c r="GY70" s="106"/>
      <c r="GZ70" s="106"/>
      <c r="HA70" s="106"/>
      <c r="HB70" s="106"/>
      <c r="HC70" s="106"/>
      <c r="HD70" s="106"/>
      <c r="HE70" s="106"/>
      <c r="HF70" s="106"/>
      <c r="HG70" s="106"/>
      <c r="HH70" s="106"/>
      <c r="HI70" s="106"/>
      <c r="HJ70" s="106"/>
      <c r="HK70" s="106"/>
      <c r="HL70" s="106"/>
      <c r="HM70" s="106"/>
      <c r="HN70" s="106"/>
      <c r="HO70" s="106"/>
      <c r="HP70" s="106"/>
      <c r="HQ70" s="106"/>
      <c r="HR70" s="106"/>
      <c r="HS70" s="106"/>
      <c r="HT70" s="106"/>
      <c r="HU70" s="106"/>
      <c r="HV70" s="106"/>
      <c r="HW70" s="106"/>
      <c r="HX70" s="106"/>
      <c r="HY70" s="106"/>
      <c r="HZ70" s="106"/>
      <c r="IA70" s="106"/>
      <c r="IB70" s="106"/>
      <c r="IC70" s="106"/>
      <c r="ID70" s="106"/>
      <c r="IE70" s="106"/>
      <c r="IF70" s="106"/>
      <c r="IG70" s="106"/>
      <c r="IH70" s="106"/>
      <c r="II70" s="106"/>
      <c r="IJ70" s="106"/>
      <c r="IK70" s="106"/>
      <c r="IL70" s="106"/>
      <c r="IM70" s="106"/>
      <c r="IN70" s="106"/>
      <c r="IO70" s="106"/>
      <c r="IP70" s="106"/>
      <c r="IQ70" s="106"/>
      <c r="IR70" s="106"/>
      <c r="IS70" s="106"/>
      <c r="IT70" s="106"/>
      <c r="IU70" s="106"/>
      <c r="IV70" s="106"/>
      <c r="IW70" s="106"/>
      <c r="IX70" s="106"/>
    </row>
    <row r="71" s="105" customFormat="1" spans="1:258">
      <c r="A71" s="125"/>
      <c r="B71" s="125"/>
      <c r="C71" s="125"/>
      <c r="D71" s="125"/>
      <c r="E71" s="125"/>
      <c r="F71" s="125"/>
      <c r="G71" s="125"/>
      <c r="H71" s="125"/>
      <c r="I71" s="125"/>
      <c r="J71" s="133"/>
      <c r="K71" s="134"/>
      <c r="L71" s="134"/>
      <c r="M71" s="134"/>
      <c r="N71" s="134"/>
      <c r="O71" s="134"/>
      <c r="P71" s="155"/>
      <c r="Q71" s="155"/>
      <c r="R71" s="134"/>
      <c r="S71" s="134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  <c r="AI71" s="106"/>
      <c r="AJ71" s="106"/>
      <c r="AK71" s="106"/>
      <c r="AL71" s="106"/>
      <c r="AM71" s="106"/>
      <c r="AN71" s="106"/>
      <c r="AO71" s="106"/>
      <c r="AP71" s="106"/>
      <c r="AQ71" s="106"/>
      <c r="AR71" s="106"/>
      <c r="AS71" s="106"/>
      <c r="AT71" s="106"/>
      <c r="AU71" s="106"/>
      <c r="AV71" s="106"/>
      <c r="AW71" s="106"/>
      <c r="AX71" s="106"/>
      <c r="AY71" s="106"/>
      <c r="AZ71" s="106"/>
      <c r="BA71" s="106"/>
      <c r="BB71" s="106"/>
      <c r="BC71" s="106"/>
      <c r="BD71" s="106"/>
      <c r="BE71" s="106"/>
      <c r="BF71" s="106"/>
      <c r="BG71" s="106"/>
      <c r="BH71" s="106"/>
      <c r="BI71" s="106"/>
      <c r="BJ71" s="106"/>
      <c r="BK71" s="106"/>
      <c r="BL71" s="106"/>
      <c r="BM71" s="106"/>
      <c r="BN71" s="106"/>
      <c r="BO71" s="106"/>
      <c r="BP71" s="106"/>
      <c r="BQ71" s="106"/>
      <c r="BR71" s="106"/>
      <c r="BS71" s="106"/>
      <c r="BT71" s="106"/>
      <c r="BU71" s="106"/>
      <c r="BV71" s="106"/>
      <c r="BW71" s="106"/>
      <c r="BX71" s="106"/>
      <c r="BY71" s="106"/>
      <c r="BZ71" s="106"/>
      <c r="CA71" s="106"/>
      <c r="CB71" s="106"/>
      <c r="CC71" s="106"/>
      <c r="CD71" s="106"/>
      <c r="CE71" s="106"/>
      <c r="CF71" s="106"/>
      <c r="CG71" s="106"/>
      <c r="CH71" s="106"/>
      <c r="CI71" s="106"/>
      <c r="CJ71" s="106"/>
      <c r="CK71" s="106"/>
      <c r="CL71" s="106"/>
      <c r="CM71" s="106"/>
      <c r="CN71" s="106"/>
      <c r="CO71" s="106"/>
      <c r="CP71" s="106"/>
      <c r="CQ71" s="106"/>
      <c r="CR71" s="106"/>
      <c r="CS71" s="106"/>
      <c r="CT71" s="106"/>
      <c r="CU71" s="106"/>
      <c r="CV71" s="106"/>
      <c r="CW71" s="106"/>
      <c r="CX71" s="106"/>
      <c r="CY71" s="106"/>
      <c r="CZ71" s="106"/>
      <c r="DA71" s="106"/>
      <c r="DB71" s="106"/>
      <c r="DC71" s="106"/>
      <c r="DD71" s="106"/>
      <c r="DE71" s="106"/>
      <c r="DF71" s="106"/>
      <c r="DG71" s="106"/>
      <c r="DH71" s="106"/>
      <c r="DI71" s="106"/>
      <c r="DJ71" s="106"/>
      <c r="DK71" s="106"/>
      <c r="DL71" s="106"/>
      <c r="DM71" s="106"/>
      <c r="DN71" s="106"/>
      <c r="DO71" s="106"/>
      <c r="DP71" s="106"/>
      <c r="DQ71" s="106"/>
      <c r="DR71" s="106"/>
      <c r="DS71" s="106"/>
      <c r="DT71" s="106"/>
      <c r="DU71" s="106"/>
      <c r="DV71" s="106"/>
      <c r="DW71" s="106"/>
      <c r="DX71" s="106"/>
      <c r="DY71" s="106"/>
      <c r="DZ71" s="106"/>
      <c r="EA71" s="106"/>
      <c r="EB71" s="106"/>
      <c r="EC71" s="106"/>
      <c r="ED71" s="106"/>
      <c r="EE71" s="106"/>
      <c r="EF71" s="106"/>
      <c r="EG71" s="106"/>
      <c r="EH71" s="106"/>
      <c r="EI71" s="106"/>
      <c r="EJ71" s="106"/>
      <c r="EK71" s="106"/>
      <c r="EL71" s="106"/>
      <c r="EM71" s="106"/>
      <c r="EN71" s="106"/>
      <c r="EO71" s="106"/>
      <c r="EP71" s="106"/>
      <c r="EQ71" s="106"/>
      <c r="ER71" s="106"/>
      <c r="ES71" s="106"/>
      <c r="ET71" s="106"/>
      <c r="EU71" s="106"/>
      <c r="EV71" s="106"/>
      <c r="EW71" s="106"/>
      <c r="EX71" s="106"/>
      <c r="EY71" s="106"/>
      <c r="EZ71" s="106"/>
      <c r="FA71" s="106"/>
      <c r="FB71" s="106"/>
      <c r="FC71" s="106"/>
      <c r="FD71" s="106"/>
      <c r="FE71" s="106"/>
      <c r="FF71" s="106"/>
      <c r="FG71" s="106"/>
      <c r="FH71" s="106"/>
      <c r="FI71" s="106"/>
      <c r="FJ71" s="106"/>
      <c r="FK71" s="106"/>
      <c r="FL71" s="106"/>
      <c r="FM71" s="106"/>
      <c r="FN71" s="106"/>
      <c r="FO71" s="106"/>
      <c r="FP71" s="106"/>
      <c r="FQ71" s="106"/>
      <c r="FR71" s="106"/>
      <c r="FS71" s="106"/>
      <c r="FT71" s="106"/>
      <c r="FU71" s="106"/>
      <c r="FV71" s="106"/>
      <c r="FW71" s="106"/>
      <c r="FX71" s="106"/>
      <c r="FY71" s="106"/>
      <c r="FZ71" s="106"/>
      <c r="GA71" s="106"/>
      <c r="GB71" s="106"/>
      <c r="GC71" s="106"/>
      <c r="GD71" s="106"/>
      <c r="GE71" s="106"/>
      <c r="GF71" s="106"/>
      <c r="GG71" s="106"/>
      <c r="GH71" s="106"/>
      <c r="GI71" s="106"/>
      <c r="GJ71" s="106"/>
      <c r="GK71" s="106"/>
      <c r="GL71" s="106"/>
      <c r="GM71" s="106"/>
      <c r="GN71" s="106"/>
      <c r="GO71" s="106"/>
      <c r="GP71" s="106"/>
      <c r="GQ71" s="106"/>
      <c r="GR71" s="106"/>
      <c r="GS71" s="106"/>
      <c r="GT71" s="106"/>
      <c r="GU71" s="106"/>
      <c r="GV71" s="106"/>
      <c r="GW71" s="106"/>
      <c r="GX71" s="106"/>
      <c r="GY71" s="106"/>
      <c r="GZ71" s="106"/>
      <c r="HA71" s="106"/>
      <c r="HB71" s="106"/>
      <c r="HC71" s="106"/>
      <c r="HD71" s="106"/>
      <c r="HE71" s="106"/>
      <c r="HF71" s="106"/>
      <c r="HG71" s="106"/>
      <c r="HH71" s="106"/>
      <c r="HI71" s="106"/>
      <c r="HJ71" s="106"/>
      <c r="HK71" s="106"/>
      <c r="HL71" s="106"/>
      <c r="HM71" s="106"/>
      <c r="HN71" s="106"/>
      <c r="HO71" s="106"/>
      <c r="HP71" s="106"/>
      <c r="HQ71" s="106"/>
      <c r="HR71" s="106"/>
      <c r="HS71" s="106"/>
      <c r="HT71" s="106"/>
      <c r="HU71" s="106"/>
      <c r="HV71" s="106"/>
      <c r="HW71" s="106"/>
      <c r="HX71" s="106"/>
      <c r="HY71" s="106"/>
      <c r="HZ71" s="106"/>
      <c r="IA71" s="106"/>
      <c r="IB71" s="106"/>
      <c r="IC71" s="106"/>
      <c r="ID71" s="106"/>
      <c r="IE71" s="106"/>
      <c r="IF71" s="106"/>
      <c r="IG71" s="106"/>
      <c r="IH71" s="106"/>
      <c r="II71" s="106"/>
      <c r="IJ71" s="106"/>
      <c r="IK71" s="106"/>
      <c r="IL71" s="106"/>
      <c r="IM71" s="106"/>
      <c r="IN71" s="106"/>
      <c r="IO71" s="106"/>
      <c r="IP71" s="106"/>
      <c r="IQ71" s="106"/>
      <c r="IR71" s="106"/>
      <c r="IS71" s="106"/>
      <c r="IT71" s="106"/>
      <c r="IU71" s="106"/>
      <c r="IV71" s="106"/>
      <c r="IW71" s="106"/>
      <c r="IX71" s="106"/>
    </row>
    <row r="72" s="105" customFormat="1" spans="1:258">
      <c r="A72" s="125"/>
      <c r="B72" s="125"/>
      <c r="C72" s="125"/>
      <c r="D72" s="125"/>
      <c r="E72" s="125"/>
      <c r="F72" s="125"/>
      <c r="G72" s="125"/>
      <c r="H72" s="125"/>
      <c r="I72" s="125"/>
      <c r="J72" s="133"/>
      <c r="K72" s="134"/>
      <c r="L72" s="134"/>
      <c r="M72" s="134"/>
      <c r="N72" s="134"/>
      <c r="O72" s="134"/>
      <c r="P72" s="155"/>
      <c r="Q72" s="155"/>
      <c r="R72" s="134"/>
      <c r="S72" s="134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06"/>
      <c r="AJ72" s="106"/>
      <c r="AK72" s="106"/>
      <c r="AL72" s="106"/>
      <c r="AM72" s="106"/>
      <c r="AN72" s="106"/>
      <c r="AO72" s="106"/>
      <c r="AP72" s="106"/>
      <c r="AQ72" s="106"/>
      <c r="AR72" s="106"/>
      <c r="AS72" s="106"/>
      <c r="AT72" s="106"/>
      <c r="AU72" s="106"/>
      <c r="AV72" s="106"/>
      <c r="AW72" s="106"/>
      <c r="AX72" s="106"/>
      <c r="AY72" s="106"/>
      <c r="AZ72" s="106"/>
      <c r="BA72" s="106"/>
      <c r="BB72" s="106"/>
      <c r="BC72" s="106"/>
      <c r="BD72" s="106"/>
      <c r="BE72" s="106"/>
      <c r="BF72" s="106"/>
      <c r="BG72" s="106"/>
      <c r="BH72" s="106"/>
      <c r="BI72" s="106"/>
      <c r="BJ72" s="106"/>
      <c r="BK72" s="106"/>
      <c r="BL72" s="106"/>
      <c r="BM72" s="106"/>
      <c r="BN72" s="106"/>
      <c r="BO72" s="106"/>
      <c r="BP72" s="106"/>
      <c r="BQ72" s="106"/>
      <c r="BR72" s="106"/>
      <c r="BS72" s="106"/>
      <c r="BT72" s="106"/>
      <c r="BU72" s="106"/>
      <c r="BV72" s="106"/>
      <c r="BW72" s="106"/>
      <c r="BX72" s="106"/>
      <c r="BY72" s="106"/>
      <c r="BZ72" s="106"/>
      <c r="CA72" s="106"/>
      <c r="CB72" s="106"/>
      <c r="CC72" s="106"/>
      <c r="CD72" s="106"/>
      <c r="CE72" s="106"/>
      <c r="CF72" s="106"/>
      <c r="CG72" s="106"/>
      <c r="CH72" s="106"/>
      <c r="CI72" s="106"/>
      <c r="CJ72" s="106"/>
      <c r="CK72" s="106"/>
      <c r="CL72" s="106"/>
      <c r="CM72" s="106"/>
      <c r="CN72" s="106"/>
      <c r="CO72" s="106"/>
      <c r="CP72" s="106"/>
      <c r="CQ72" s="106"/>
      <c r="CR72" s="106"/>
      <c r="CS72" s="106"/>
      <c r="CT72" s="106"/>
      <c r="CU72" s="106"/>
      <c r="CV72" s="106"/>
      <c r="CW72" s="106"/>
      <c r="CX72" s="106"/>
      <c r="CY72" s="106"/>
      <c r="CZ72" s="106"/>
      <c r="DA72" s="106"/>
      <c r="DB72" s="106"/>
      <c r="DC72" s="106"/>
      <c r="DD72" s="106"/>
      <c r="DE72" s="106"/>
      <c r="DF72" s="106"/>
      <c r="DG72" s="106"/>
      <c r="DH72" s="106"/>
      <c r="DI72" s="106"/>
      <c r="DJ72" s="106"/>
      <c r="DK72" s="106"/>
      <c r="DL72" s="106"/>
      <c r="DM72" s="106"/>
      <c r="DN72" s="106"/>
      <c r="DO72" s="106"/>
      <c r="DP72" s="106"/>
      <c r="DQ72" s="106"/>
      <c r="DR72" s="106"/>
      <c r="DS72" s="106"/>
      <c r="DT72" s="106"/>
      <c r="DU72" s="106"/>
      <c r="DV72" s="106"/>
      <c r="DW72" s="106"/>
      <c r="DX72" s="106"/>
      <c r="DY72" s="106"/>
      <c r="DZ72" s="106"/>
      <c r="EA72" s="106"/>
      <c r="EB72" s="106"/>
      <c r="EC72" s="106"/>
      <c r="ED72" s="106"/>
      <c r="EE72" s="106"/>
      <c r="EF72" s="106"/>
      <c r="EG72" s="106"/>
      <c r="EH72" s="106"/>
      <c r="EI72" s="106"/>
      <c r="EJ72" s="106"/>
      <c r="EK72" s="106"/>
      <c r="EL72" s="106"/>
      <c r="EM72" s="106"/>
      <c r="EN72" s="106"/>
      <c r="EO72" s="106"/>
      <c r="EP72" s="106"/>
      <c r="EQ72" s="106"/>
      <c r="ER72" s="106"/>
      <c r="ES72" s="106"/>
      <c r="ET72" s="106"/>
      <c r="EU72" s="106"/>
      <c r="EV72" s="106"/>
      <c r="EW72" s="106"/>
      <c r="EX72" s="106"/>
      <c r="EY72" s="106"/>
      <c r="EZ72" s="106"/>
      <c r="FA72" s="106"/>
      <c r="FB72" s="106"/>
      <c r="FC72" s="106"/>
      <c r="FD72" s="106"/>
      <c r="FE72" s="106"/>
      <c r="FF72" s="106"/>
      <c r="FG72" s="106"/>
      <c r="FH72" s="106"/>
      <c r="FI72" s="106"/>
      <c r="FJ72" s="106"/>
      <c r="FK72" s="106"/>
      <c r="FL72" s="106"/>
      <c r="FM72" s="106"/>
      <c r="FN72" s="106"/>
      <c r="FO72" s="106"/>
      <c r="FP72" s="106"/>
      <c r="FQ72" s="106"/>
      <c r="FR72" s="106"/>
      <c r="FS72" s="106"/>
      <c r="FT72" s="106"/>
      <c r="FU72" s="106"/>
      <c r="FV72" s="106"/>
      <c r="FW72" s="106"/>
      <c r="FX72" s="106"/>
      <c r="FY72" s="106"/>
      <c r="FZ72" s="106"/>
      <c r="GA72" s="106"/>
      <c r="GB72" s="106"/>
      <c r="GC72" s="106"/>
      <c r="GD72" s="106"/>
      <c r="GE72" s="106"/>
      <c r="GF72" s="106"/>
      <c r="GG72" s="106"/>
      <c r="GH72" s="106"/>
      <c r="GI72" s="106"/>
      <c r="GJ72" s="106"/>
      <c r="GK72" s="106"/>
      <c r="GL72" s="106"/>
      <c r="GM72" s="106"/>
      <c r="GN72" s="106"/>
      <c r="GO72" s="106"/>
      <c r="GP72" s="106"/>
      <c r="GQ72" s="106"/>
      <c r="GR72" s="106"/>
      <c r="GS72" s="106"/>
      <c r="GT72" s="106"/>
      <c r="GU72" s="106"/>
      <c r="GV72" s="106"/>
      <c r="GW72" s="106"/>
      <c r="GX72" s="106"/>
      <c r="GY72" s="106"/>
      <c r="GZ72" s="106"/>
      <c r="HA72" s="106"/>
      <c r="HB72" s="106"/>
      <c r="HC72" s="106"/>
      <c r="HD72" s="106"/>
      <c r="HE72" s="106"/>
      <c r="HF72" s="106"/>
      <c r="HG72" s="106"/>
      <c r="HH72" s="106"/>
      <c r="HI72" s="106"/>
      <c r="HJ72" s="106"/>
      <c r="HK72" s="106"/>
      <c r="HL72" s="106"/>
      <c r="HM72" s="106"/>
      <c r="HN72" s="106"/>
      <c r="HO72" s="106"/>
      <c r="HP72" s="106"/>
      <c r="HQ72" s="106"/>
      <c r="HR72" s="106"/>
      <c r="HS72" s="106"/>
      <c r="HT72" s="106"/>
      <c r="HU72" s="106"/>
      <c r="HV72" s="106"/>
      <c r="HW72" s="106"/>
      <c r="HX72" s="106"/>
      <c r="HY72" s="106"/>
      <c r="HZ72" s="106"/>
      <c r="IA72" s="106"/>
      <c r="IB72" s="106"/>
      <c r="IC72" s="106"/>
      <c r="ID72" s="106"/>
      <c r="IE72" s="106"/>
      <c r="IF72" s="106"/>
      <c r="IG72" s="106"/>
      <c r="IH72" s="106"/>
      <c r="II72" s="106"/>
      <c r="IJ72" s="106"/>
      <c r="IK72" s="106"/>
      <c r="IL72" s="106"/>
      <c r="IM72" s="106"/>
      <c r="IN72" s="106"/>
      <c r="IO72" s="106"/>
      <c r="IP72" s="106"/>
      <c r="IQ72" s="106"/>
      <c r="IR72" s="106"/>
      <c r="IS72" s="106"/>
      <c r="IT72" s="106"/>
      <c r="IU72" s="106"/>
      <c r="IV72" s="106"/>
      <c r="IW72" s="106"/>
      <c r="IX72" s="106"/>
    </row>
    <row r="73" s="105" customFormat="1" spans="1:258">
      <c r="A73" s="125"/>
      <c r="B73" s="125"/>
      <c r="C73" s="125"/>
      <c r="D73" s="125"/>
      <c r="E73" s="125"/>
      <c r="F73" s="125"/>
      <c r="G73" s="125"/>
      <c r="H73" s="125"/>
      <c r="I73" s="125"/>
      <c r="J73" s="133"/>
      <c r="K73" s="134"/>
      <c r="L73" s="134"/>
      <c r="M73" s="134"/>
      <c r="N73" s="134"/>
      <c r="O73" s="134"/>
      <c r="P73" s="155"/>
      <c r="Q73" s="155"/>
      <c r="R73" s="134"/>
      <c r="S73" s="134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  <c r="AI73" s="106"/>
      <c r="AJ73" s="106"/>
      <c r="AK73" s="106"/>
      <c r="AL73" s="106"/>
      <c r="AM73" s="106"/>
      <c r="AN73" s="106"/>
      <c r="AO73" s="106"/>
      <c r="AP73" s="106"/>
      <c r="AQ73" s="106"/>
      <c r="AR73" s="106"/>
      <c r="AS73" s="106"/>
      <c r="AT73" s="106"/>
      <c r="AU73" s="106"/>
      <c r="AV73" s="106"/>
      <c r="AW73" s="106"/>
      <c r="AX73" s="106"/>
      <c r="AY73" s="106"/>
      <c r="AZ73" s="106"/>
      <c r="BA73" s="106"/>
      <c r="BB73" s="106"/>
      <c r="BC73" s="106"/>
      <c r="BD73" s="106"/>
      <c r="BE73" s="106"/>
      <c r="BF73" s="106"/>
      <c r="BG73" s="106"/>
      <c r="BH73" s="106"/>
      <c r="BI73" s="106"/>
      <c r="BJ73" s="106"/>
      <c r="BK73" s="106"/>
      <c r="BL73" s="106"/>
      <c r="BM73" s="106"/>
      <c r="BN73" s="106"/>
      <c r="BO73" s="106"/>
      <c r="BP73" s="106"/>
      <c r="BQ73" s="106"/>
      <c r="BR73" s="106"/>
      <c r="BS73" s="106"/>
      <c r="BT73" s="106"/>
      <c r="BU73" s="106"/>
      <c r="BV73" s="106"/>
      <c r="BW73" s="106"/>
      <c r="BX73" s="106"/>
      <c r="BY73" s="106"/>
      <c r="BZ73" s="106"/>
      <c r="CA73" s="106"/>
      <c r="CB73" s="106"/>
      <c r="CC73" s="106"/>
      <c r="CD73" s="106"/>
      <c r="CE73" s="106"/>
      <c r="CF73" s="106"/>
      <c r="CG73" s="106"/>
      <c r="CH73" s="106"/>
      <c r="CI73" s="106"/>
      <c r="CJ73" s="106"/>
      <c r="CK73" s="106"/>
      <c r="CL73" s="106"/>
      <c r="CM73" s="106"/>
      <c r="CN73" s="106"/>
      <c r="CO73" s="106"/>
      <c r="CP73" s="106"/>
      <c r="CQ73" s="106"/>
      <c r="CR73" s="106"/>
      <c r="CS73" s="106"/>
      <c r="CT73" s="106"/>
      <c r="CU73" s="106"/>
      <c r="CV73" s="106"/>
      <c r="CW73" s="106"/>
      <c r="CX73" s="106"/>
      <c r="CY73" s="106"/>
      <c r="CZ73" s="106"/>
      <c r="DA73" s="106"/>
      <c r="DB73" s="106"/>
      <c r="DC73" s="106"/>
      <c r="DD73" s="106"/>
      <c r="DE73" s="106"/>
      <c r="DF73" s="106"/>
      <c r="DG73" s="106"/>
      <c r="DH73" s="106"/>
      <c r="DI73" s="106"/>
      <c r="DJ73" s="106"/>
      <c r="DK73" s="106"/>
      <c r="DL73" s="106"/>
      <c r="DM73" s="106"/>
      <c r="DN73" s="106"/>
      <c r="DO73" s="106"/>
      <c r="DP73" s="106"/>
      <c r="DQ73" s="106"/>
      <c r="DR73" s="106"/>
      <c r="DS73" s="106"/>
      <c r="DT73" s="106"/>
      <c r="DU73" s="106"/>
      <c r="DV73" s="106"/>
      <c r="DW73" s="106"/>
      <c r="DX73" s="106"/>
      <c r="DY73" s="106"/>
      <c r="DZ73" s="106"/>
      <c r="EA73" s="106"/>
      <c r="EB73" s="106"/>
      <c r="EC73" s="106"/>
      <c r="ED73" s="106"/>
      <c r="EE73" s="106"/>
      <c r="EF73" s="106"/>
      <c r="EG73" s="106"/>
      <c r="EH73" s="106"/>
      <c r="EI73" s="106"/>
      <c r="EJ73" s="106"/>
      <c r="EK73" s="106"/>
      <c r="EL73" s="106"/>
      <c r="EM73" s="106"/>
      <c r="EN73" s="106"/>
      <c r="EO73" s="106"/>
      <c r="EP73" s="106"/>
      <c r="EQ73" s="106"/>
      <c r="ER73" s="106"/>
      <c r="ES73" s="106"/>
      <c r="ET73" s="106"/>
      <c r="EU73" s="106"/>
      <c r="EV73" s="106"/>
      <c r="EW73" s="106"/>
      <c r="EX73" s="106"/>
      <c r="EY73" s="106"/>
      <c r="EZ73" s="106"/>
      <c r="FA73" s="106"/>
      <c r="FB73" s="106"/>
      <c r="FC73" s="106"/>
      <c r="FD73" s="106"/>
      <c r="FE73" s="106"/>
      <c r="FF73" s="106"/>
      <c r="FG73" s="106"/>
      <c r="FH73" s="106"/>
      <c r="FI73" s="106"/>
      <c r="FJ73" s="106"/>
      <c r="FK73" s="106"/>
      <c r="FL73" s="106"/>
      <c r="FM73" s="106"/>
      <c r="FN73" s="106"/>
      <c r="FO73" s="106"/>
      <c r="FP73" s="106"/>
      <c r="FQ73" s="106"/>
      <c r="FR73" s="106"/>
      <c r="FS73" s="106"/>
      <c r="FT73" s="106"/>
      <c r="FU73" s="106"/>
      <c r="FV73" s="106"/>
      <c r="FW73" s="106"/>
      <c r="FX73" s="106"/>
      <c r="FY73" s="106"/>
      <c r="FZ73" s="106"/>
      <c r="GA73" s="106"/>
      <c r="GB73" s="106"/>
      <c r="GC73" s="106"/>
      <c r="GD73" s="106"/>
      <c r="GE73" s="106"/>
      <c r="GF73" s="106"/>
      <c r="GG73" s="106"/>
      <c r="GH73" s="106"/>
      <c r="GI73" s="106"/>
      <c r="GJ73" s="106"/>
      <c r="GK73" s="106"/>
      <c r="GL73" s="106"/>
      <c r="GM73" s="106"/>
      <c r="GN73" s="106"/>
      <c r="GO73" s="106"/>
      <c r="GP73" s="106"/>
      <c r="GQ73" s="106"/>
      <c r="GR73" s="106"/>
      <c r="GS73" s="106"/>
      <c r="GT73" s="106"/>
      <c r="GU73" s="106"/>
      <c r="GV73" s="106"/>
      <c r="GW73" s="106"/>
      <c r="GX73" s="106"/>
      <c r="GY73" s="106"/>
      <c r="GZ73" s="106"/>
      <c r="HA73" s="106"/>
      <c r="HB73" s="106"/>
      <c r="HC73" s="106"/>
      <c r="HD73" s="106"/>
      <c r="HE73" s="106"/>
      <c r="HF73" s="106"/>
      <c r="HG73" s="106"/>
      <c r="HH73" s="106"/>
      <c r="HI73" s="106"/>
      <c r="HJ73" s="106"/>
      <c r="HK73" s="106"/>
      <c r="HL73" s="106"/>
      <c r="HM73" s="106"/>
      <c r="HN73" s="106"/>
      <c r="HO73" s="106"/>
      <c r="HP73" s="106"/>
      <c r="HQ73" s="106"/>
      <c r="HR73" s="106"/>
      <c r="HS73" s="106"/>
      <c r="HT73" s="106"/>
      <c r="HU73" s="106"/>
      <c r="HV73" s="106"/>
      <c r="HW73" s="106"/>
      <c r="HX73" s="106"/>
      <c r="HY73" s="106"/>
      <c r="HZ73" s="106"/>
      <c r="IA73" s="106"/>
      <c r="IB73" s="106"/>
      <c r="IC73" s="106"/>
      <c r="ID73" s="106"/>
      <c r="IE73" s="106"/>
      <c r="IF73" s="106"/>
      <c r="IG73" s="106"/>
      <c r="IH73" s="106"/>
      <c r="II73" s="106"/>
      <c r="IJ73" s="106"/>
      <c r="IK73" s="106"/>
      <c r="IL73" s="106"/>
      <c r="IM73" s="106"/>
      <c r="IN73" s="106"/>
      <c r="IO73" s="106"/>
      <c r="IP73" s="106"/>
      <c r="IQ73" s="106"/>
      <c r="IR73" s="106"/>
      <c r="IS73" s="106"/>
      <c r="IT73" s="106"/>
      <c r="IU73" s="106"/>
      <c r="IV73" s="106"/>
      <c r="IW73" s="106"/>
      <c r="IX73" s="106"/>
    </row>
    <row r="74" s="105" customFormat="1" spans="1:258">
      <c r="A74" s="125"/>
      <c r="B74" s="125"/>
      <c r="C74" s="125"/>
      <c r="D74" s="125"/>
      <c r="E74" s="125"/>
      <c r="F74" s="125"/>
      <c r="G74" s="125"/>
      <c r="H74" s="125"/>
      <c r="I74" s="125"/>
      <c r="J74" s="133"/>
      <c r="K74" s="134"/>
      <c r="L74" s="134"/>
      <c r="M74" s="134"/>
      <c r="N74" s="134"/>
      <c r="O74" s="134"/>
      <c r="P74" s="155"/>
      <c r="Q74" s="155"/>
      <c r="R74" s="134"/>
      <c r="S74" s="134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  <c r="AM74" s="106"/>
      <c r="AN74" s="106"/>
      <c r="AO74" s="106"/>
      <c r="AP74" s="106"/>
      <c r="AQ74" s="106"/>
      <c r="AR74" s="106"/>
      <c r="AS74" s="106"/>
      <c r="AT74" s="106"/>
      <c r="AU74" s="106"/>
      <c r="AV74" s="106"/>
      <c r="AW74" s="106"/>
      <c r="AX74" s="106"/>
      <c r="AY74" s="106"/>
      <c r="AZ74" s="106"/>
      <c r="BA74" s="106"/>
      <c r="BB74" s="106"/>
      <c r="BC74" s="106"/>
      <c r="BD74" s="106"/>
      <c r="BE74" s="106"/>
      <c r="BF74" s="106"/>
      <c r="BG74" s="106"/>
      <c r="BH74" s="106"/>
      <c r="BI74" s="106"/>
      <c r="BJ74" s="106"/>
      <c r="BK74" s="106"/>
      <c r="BL74" s="106"/>
      <c r="BM74" s="106"/>
      <c r="BN74" s="106"/>
      <c r="BO74" s="106"/>
      <c r="BP74" s="106"/>
      <c r="BQ74" s="106"/>
      <c r="BR74" s="106"/>
      <c r="BS74" s="106"/>
      <c r="BT74" s="106"/>
      <c r="BU74" s="106"/>
      <c r="BV74" s="106"/>
      <c r="BW74" s="106"/>
      <c r="BX74" s="106"/>
      <c r="BY74" s="106"/>
      <c r="BZ74" s="106"/>
      <c r="CA74" s="106"/>
      <c r="CB74" s="106"/>
      <c r="CC74" s="106"/>
      <c r="CD74" s="106"/>
      <c r="CE74" s="106"/>
      <c r="CF74" s="106"/>
      <c r="CG74" s="106"/>
      <c r="CH74" s="106"/>
      <c r="CI74" s="106"/>
      <c r="CJ74" s="106"/>
      <c r="CK74" s="106"/>
      <c r="CL74" s="106"/>
      <c r="CM74" s="106"/>
      <c r="CN74" s="106"/>
      <c r="CO74" s="106"/>
      <c r="CP74" s="106"/>
      <c r="CQ74" s="106"/>
      <c r="CR74" s="106"/>
      <c r="CS74" s="106"/>
      <c r="CT74" s="106"/>
      <c r="CU74" s="106"/>
      <c r="CV74" s="106"/>
      <c r="CW74" s="106"/>
      <c r="CX74" s="106"/>
      <c r="CY74" s="106"/>
      <c r="CZ74" s="106"/>
      <c r="DA74" s="106"/>
      <c r="DB74" s="106"/>
      <c r="DC74" s="106"/>
      <c r="DD74" s="106"/>
      <c r="DE74" s="106"/>
      <c r="DF74" s="106"/>
      <c r="DG74" s="106"/>
      <c r="DH74" s="106"/>
      <c r="DI74" s="106"/>
      <c r="DJ74" s="106"/>
      <c r="DK74" s="106"/>
      <c r="DL74" s="106"/>
      <c r="DM74" s="106"/>
      <c r="DN74" s="106"/>
      <c r="DO74" s="106"/>
      <c r="DP74" s="106"/>
      <c r="DQ74" s="106"/>
      <c r="DR74" s="106"/>
      <c r="DS74" s="106"/>
      <c r="DT74" s="106"/>
      <c r="DU74" s="106"/>
      <c r="DV74" s="106"/>
      <c r="DW74" s="106"/>
      <c r="DX74" s="106"/>
      <c r="DY74" s="106"/>
      <c r="DZ74" s="106"/>
      <c r="EA74" s="106"/>
      <c r="EB74" s="106"/>
      <c r="EC74" s="106"/>
      <c r="ED74" s="106"/>
      <c r="EE74" s="106"/>
      <c r="EF74" s="106"/>
      <c r="EG74" s="106"/>
      <c r="EH74" s="106"/>
      <c r="EI74" s="106"/>
      <c r="EJ74" s="106"/>
      <c r="EK74" s="106"/>
      <c r="EL74" s="106"/>
      <c r="EM74" s="106"/>
      <c r="EN74" s="106"/>
      <c r="EO74" s="106"/>
      <c r="EP74" s="106"/>
      <c r="EQ74" s="106"/>
      <c r="ER74" s="106"/>
      <c r="ES74" s="106"/>
      <c r="ET74" s="106"/>
      <c r="EU74" s="106"/>
      <c r="EV74" s="106"/>
      <c r="EW74" s="106"/>
      <c r="EX74" s="106"/>
      <c r="EY74" s="106"/>
      <c r="EZ74" s="106"/>
      <c r="FA74" s="106"/>
      <c r="FB74" s="106"/>
      <c r="FC74" s="106"/>
      <c r="FD74" s="106"/>
      <c r="FE74" s="106"/>
      <c r="FF74" s="106"/>
      <c r="FG74" s="106"/>
      <c r="FH74" s="106"/>
      <c r="FI74" s="106"/>
      <c r="FJ74" s="106"/>
      <c r="FK74" s="106"/>
      <c r="FL74" s="106"/>
      <c r="FM74" s="106"/>
      <c r="FN74" s="106"/>
      <c r="FO74" s="106"/>
      <c r="FP74" s="106"/>
      <c r="FQ74" s="106"/>
      <c r="FR74" s="106"/>
      <c r="FS74" s="106"/>
      <c r="FT74" s="106"/>
      <c r="FU74" s="106"/>
      <c r="FV74" s="106"/>
      <c r="FW74" s="106"/>
      <c r="FX74" s="106"/>
      <c r="FY74" s="106"/>
      <c r="FZ74" s="106"/>
      <c r="GA74" s="106"/>
      <c r="GB74" s="106"/>
      <c r="GC74" s="106"/>
      <c r="GD74" s="106"/>
      <c r="GE74" s="106"/>
      <c r="GF74" s="106"/>
      <c r="GG74" s="106"/>
      <c r="GH74" s="106"/>
      <c r="GI74" s="106"/>
      <c r="GJ74" s="106"/>
      <c r="GK74" s="106"/>
      <c r="GL74" s="106"/>
      <c r="GM74" s="106"/>
      <c r="GN74" s="106"/>
      <c r="GO74" s="106"/>
      <c r="GP74" s="106"/>
      <c r="GQ74" s="106"/>
      <c r="GR74" s="106"/>
      <c r="GS74" s="106"/>
      <c r="GT74" s="106"/>
      <c r="GU74" s="106"/>
      <c r="GV74" s="106"/>
      <c r="GW74" s="106"/>
      <c r="GX74" s="106"/>
      <c r="GY74" s="106"/>
      <c r="GZ74" s="106"/>
      <c r="HA74" s="106"/>
      <c r="HB74" s="106"/>
      <c r="HC74" s="106"/>
      <c r="HD74" s="106"/>
      <c r="HE74" s="106"/>
      <c r="HF74" s="106"/>
      <c r="HG74" s="106"/>
      <c r="HH74" s="106"/>
      <c r="HI74" s="106"/>
      <c r="HJ74" s="106"/>
      <c r="HK74" s="106"/>
      <c r="HL74" s="106"/>
      <c r="HM74" s="106"/>
      <c r="HN74" s="106"/>
      <c r="HO74" s="106"/>
      <c r="HP74" s="106"/>
      <c r="HQ74" s="106"/>
      <c r="HR74" s="106"/>
      <c r="HS74" s="106"/>
      <c r="HT74" s="106"/>
      <c r="HU74" s="106"/>
      <c r="HV74" s="106"/>
      <c r="HW74" s="106"/>
      <c r="HX74" s="106"/>
      <c r="HY74" s="106"/>
      <c r="HZ74" s="106"/>
      <c r="IA74" s="106"/>
      <c r="IB74" s="106"/>
      <c r="IC74" s="106"/>
      <c r="ID74" s="106"/>
      <c r="IE74" s="106"/>
      <c r="IF74" s="106"/>
      <c r="IG74" s="106"/>
      <c r="IH74" s="106"/>
      <c r="II74" s="106"/>
      <c r="IJ74" s="106"/>
      <c r="IK74" s="106"/>
      <c r="IL74" s="106"/>
      <c r="IM74" s="106"/>
      <c r="IN74" s="106"/>
      <c r="IO74" s="106"/>
      <c r="IP74" s="106"/>
      <c r="IQ74" s="106"/>
      <c r="IR74" s="106"/>
      <c r="IS74" s="106"/>
      <c r="IT74" s="106"/>
      <c r="IU74" s="106"/>
      <c r="IV74" s="106"/>
      <c r="IW74" s="106"/>
      <c r="IX74" s="106"/>
    </row>
    <row r="75" s="105" customFormat="1" spans="1:258">
      <c r="A75" s="125"/>
      <c r="B75" s="125"/>
      <c r="C75" s="125"/>
      <c r="D75" s="125"/>
      <c r="E75" s="125"/>
      <c r="F75" s="125"/>
      <c r="G75" s="125"/>
      <c r="H75" s="125"/>
      <c r="I75" s="125"/>
      <c r="J75" s="133"/>
      <c r="K75" s="134"/>
      <c r="L75" s="134"/>
      <c r="M75" s="134"/>
      <c r="N75" s="134"/>
      <c r="O75" s="134"/>
      <c r="P75" s="155"/>
      <c r="Q75" s="155"/>
      <c r="R75" s="134"/>
      <c r="S75" s="134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  <c r="AK75" s="106"/>
      <c r="AL75" s="106"/>
      <c r="AM75" s="106"/>
      <c r="AN75" s="106"/>
      <c r="AO75" s="106"/>
      <c r="AP75" s="106"/>
      <c r="AQ75" s="106"/>
      <c r="AR75" s="106"/>
      <c r="AS75" s="106"/>
      <c r="AT75" s="106"/>
      <c r="AU75" s="106"/>
      <c r="AV75" s="106"/>
      <c r="AW75" s="106"/>
      <c r="AX75" s="106"/>
      <c r="AY75" s="106"/>
      <c r="AZ75" s="106"/>
      <c r="BA75" s="106"/>
      <c r="BB75" s="106"/>
      <c r="BC75" s="106"/>
      <c r="BD75" s="106"/>
      <c r="BE75" s="106"/>
      <c r="BF75" s="106"/>
      <c r="BG75" s="106"/>
      <c r="BH75" s="106"/>
      <c r="BI75" s="106"/>
      <c r="BJ75" s="106"/>
      <c r="BK75" s="106"/>
      <c r="BL75" s="106"/>
      <c r="BM75" s="106"/>
      <c r="BN75" s="106"/>
      <c r="BO75" s="106"/>
      <c r="BP75" s="106"/>
      <c r="BQ75" s="106"/>
      <c r="BR75" s="106"/>
      <c r="BS75" s="106"/>
      <c r="BT75" s="106"/>
      <c r="BU75" s="106"/>
      <c r="BV75" s="106"/>
      <c r="BW75" s="106"/>
      <c r="BX75" s="106"/>
      <c r="BY75" s="106"/>
      <c r="BZ75" s="106"/>
      <c r="CA75" s="106"/>
      <c r="CB75" s="106"/>
      <c r="CC75" s="106"/>
      <c r="CD75" s="106"/>
      <c r="CE75" s="106"/>
      <c r="CF75" s="106"/>
      <c r="CG75" s="106"/>
      <c r="CH75" s="106"/>
      <c r="CI75" s="106"/>
      <c r="CJ75" s="106"/>
      <c r="CK75" s="106"/>
      <c r="CL75" s="106"/>
      <c r="CM75" s="106"/>
      <c r="CN75" s="106"/>
      <c r="CO75" s="106"/>
      <c r="CP75" s="106"/>
      <c r="CQ75" s="106"/>
      <c r="CR75" s="106"/>
      <c r="CS75" s="106"/>
      <c r="CT75" s="106"/>
      <c r="CU75" s="106"/>
      <c r="CV75" s="106"/>
      <c r="CW75" s="106"/>
      <c r="CX75" s="106"/>
      <c r="CY75" s="106"/>
      <c r="CZ75" s="106"/>
      <c r="DA75" s="106"/>
      <c r="DB75" s="106"/>
      <c r="DC75" s="106"/>
      <c r="DD75" s="106"/>
      <c r="DE75" s="106"/>
      <c r="DF75" s="106"/>
      <c r="DG75" s="106"/>
      <c r="DH75" s="106"/>
      <c r="DI75" s="106"/>
      <c r="DJ75" s="106"/>
      <c r="DK75" s="106"/>
      <c r="DL75" s="106"/>
      <c r="DM75" s="106"/>
      <c r="DN75" s="106"/>
      <c r="DO75" s="106"/>
      <c r="DP75" s="106"/>
      <c r="DQ75" s="106"/>
      <c r="DR75" s="106"/>
      <c r="DS75" s="106"/>
      <c r="DT75" s="106"/>
      <c r="DU75" s="106"/>
      <c r="DV75" s="106"/>
      <c r="DW75" s="106"/>
      <c r="DX75" s="106"/>
      <c r="DY75" s="106"/>
      <c r="DZ75" s="106"/>
      <c r="EA75" s="106"/>
      <c r="EB75" s="106"/>
      <c r="EC75" s="106"/>
      <c r="ED75" s="106"/>
      <c r="EE75" s="106"/>
      <c r="EF75" s="106"/>
      <c r="EG75" s="106"/>
      <c r="EH75" s="106"/>
      <c r="EI75" s="106"/>
      <c r="EJ75" s="106"/>
      <c r="EK75" s="106"/>
      <c r="EL75" s="106"/>
      <c r="EM75" s="106"/>
      <c r="EN75" s="106"/>
      <c r="EO75" s="106"/>
      <c r="EP75" s="106"/>
      <c r="EQ75" s="106"/>
      <c r="ER75" s="106"/>
      <c r="ES75" s="106"/>
      <c r="ET75" s="106"/>
      <c r="EU75" s="106"/>
      <c r="EV75" s="106"/>
      <c r="EW75" s="106"/>
      <c r="EX75" s="106"/>
      <c r="EY75" s="106"/>
      <c r="EZ75" s="106"/>
      <c r="FA75" s="106"/>
      <c r="FB75" s="106"/>
      <c r="FC75" s="106"/>
      <c r="FD75" s="106"/>
      <c r="FE75" s="106"/>
      <c r="FF75" s="106"/>
      <c r="FG75" s="106"/>
      <c r="FH75" s="106"/>
      <c r="FI75" s="106"/>
      <c r="FJ75" s="106"/>
      <c r="FK75" s="106"/>
      <c r="FL75" s="106"/>
      <c r="FM75" s="106"/>
      <c r="FN75" s="106"/>
      <c r="FO75" s="106"/>
      <c r="FP75" s="106"/>
      <c r="FQ75" s="106"/>
      <c r="FR75" s="106"/>
      <c r="FS75" s="106"/>
      <c r="FT75" s="106"/>
      <c r="FU75" s="106"/>
      <c r="FV75" s="106"/>
      <c r="FW75" s="106"/>
      <c r="FX75" s="106"/>
      <c r="FY75" s="106"/>
      <c r="FZ75" s="106"/>
      <c r="GA75" s="106"/>
      <c r="GB75" s="106"/>
      <c r="GC75" s="106"/>
      <c r="GD75" s="106"/>
      <c r="GE75" s="106"/>
      <c r="GF75" s="106"/>
      <c r="GG75" s="106"/>
      <c r="GH75" s="106"/>
      <c r="GI75" s="106"/>
      <c r="GJ75" s="106"/>
      <c r="GK75" s="106"/>
      <c r="GL75" s="106"/>
      <c r="GM75" s="106"/>
      <c r="GN75" s="106"/>
      <c r="GO75" s="106"/>
      <c r="GP75" s="106"/>
      <c r="GQ75" s="106"/>
      <c r="GR75" s="106"/>
      <c r="GS75" s="106"/>
      <c r="GT75" s="106"/>
      <c r="GU75" s="106"/>
      <c r="GV75" s="106"/>
      <c r="GW75" s="106"/>
      <c r="GX75" s="106"/>
      <c r="GY75" s="106"/>
      <c r="GZ75" s="106"/>
      <c r="HA75" s="106"/>
      <c r="HB75" s="106"/>
      <c r="HC75" s="106"/>
      <c r="HD75" s="106"/>
      <c r="HE75" s="106"/>
      <c r="HF75" s="106"/>
      <c r="HG75" s="106"/>
      <c r="HH75" s="106"/>
      <c r="HI75" s="106"/>
      <c r="HJ75" s="106"/>
      <c r="HK75" s="106"/>
      <c r="HL75" s="106"/>
      <c r="HM75" s="106"/>
      <c r="HN75" s="106"/>
      <c r="HO75" s="106"/>
      <c r="HP75" s="106"/>
      <c r="HQ75" s="106"/>
      <c r="HR75" s="106"/>
      <c r="HS75" s="106"/>
      <c r="HT75" s="106"/>
      <c r="HU75" s="106"/>
      <c r="HV75" s="106"/>
      <c r="HW75" s="106"/>
      <c r="HX75" s="106"/>
      <c r="HY75" s="106"/>
      <c r="HZ75" s="106"/>
      <c r="IA75" s="106"/>
      <c r="IB75" s="106"/>
      <c r="IC75" s="106"/>
      <c r="ID75" s="106"/>
      <c r="IE75" s="106"/>
      <c r="IF75" s="106"/>
      <c r="IG75" s="106"/>
      <c r="IH75" s="106"/>
      <c r="II75" s="106"/>
      <c r="IJ75" s="106"/>
      <c r="IK75" s="106"/>
      <c r="IL75" s="106"/>
      <c r="IM75" s="106"/>
      <c r="IN75" s="106"/>
      <c r="IO75" s="106"/>
      <c r="IP75" s="106"/>
      <c r="IQ75" s="106"/>
      <c r="IR75" s="106"/>
      <c r="IS75" s="106"/>
      <c r="IT75" s="106"/>
      <c r="IU75" s="106"/>
      <c r="IV75" s="106"/>
      <c r="IW75" s="106"/>
      <c r="IX75" s="106"/>
    </row>
    <row r="76" s="105" customFormat="1" spans="1:258">
      <c r="A76" s="125"/>
      <c r="B76" s="125"/>
      <c r="C76" s="125"/>
      <c r="D76" s="125"/>
      <c r="E76" s="125"/>
      <c r="F76" s="125"/>
      <c r="G76" s="125"/>
      <c r="H76" s="125"/>
      <c r="I76" s="125"/>
      <c r="J76" s="133"/>
      <c r="K76" s="134"/>
      <c r="L76" s="134"/>
      <c r="M76" s="134"/>
      <c r="N76" s="134"/>
      <c r="O76" s="134"/>
      <c r="P76" s="155"/>
      <c r="Q76" s="155"/>
      <c r="R76" s="134"/>
      <c r="S76" s="134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  <c r="AK76" s="106"/>
      <c r="AL76" s="106"/>
      <c r="AM76" s="106"/>
      <c r="AN76" s="106"/>
      <c r="AO76" s="106"/>
      <c r="AP76" s="106"/>
      <c r="AQ76" s="106"/>
      <c r="AR76" s="106"/>
      <c r="AS76" s="106"/>
      <c r="AT76" s="106"/>
      <c r="AU76" s="106"/>
      <c r="AV76" s="106"/>
      <c r="AW76" s="106"/>
      <c r="AX76" s="106"/>
      <c r="AY76" s="106"/>
      <c r="AZ76" s="106"/>
      <c r="BA76" s="106"/>
      <c r="BB76" s="106"/>
      <c r="BC76" s="106"/>
      <c r="BD76" s="106"/>
      <c r="BE76" s="106"/>
      <c r="BF76" s="106"/>
      <c r="BG76" s="106"/>
      <c r="BH76" s="106"/>
      <c r="BI76" s="106"/>
      <c r="BJ76" s="106"/>
      <c r="BK76" s="106"/>
      <c r="BL76" s="106"/>
      <c r="BM76" s="106"/>
      <c r="BN76" s="106"/>
      <c r="BO76" s="106"/>
      <c r="BP76" s="106"/>
      <c r="BQ76" s="106"/>
      <c r="BR76" s="106"/>
      <c r="BS76" s="106"/>
      <c r="BT76" s="106"/>
      <c r="BU76" s="106"/>
      <c r="BV76" s="106"/>
      <c r="BW76" s="106"/>
      <c r="BX76" s="106"/>
      <c r="BY76" s="106"/>
      <c r="BZ76" s="106"/>
      <c r="CA76" s="106"/>
      <c r="CB76" s="106"/>
      <c r="CC76" s="106"/>
      <c r="CD76" s="106"/>
      <c r="CE76" s="106"/>
      <c r="CF76" s="106"/>
      <c r="CG76" s="106"/>
      <c r="CH76" s="106"/>
      <c r="CI76" s="106"/>
      <c r="CJ76" s="106"/>
      <c r="CK76" s="106"/>
      <c r="CL76" s="106"/>
      <c r="CM76" s="106"/>
      <c r="CN76" s="106"/>
      <c r="CO76" s="106"/>
      <c r="CP76" s="106"/>
      <c r="CQ76" s="106"/>
      <c r="CR76" s="106"/>
      <c r="CS76" s="106"/>
      <c r="CT76" s="106"/>
      <c r="CU76" s="106"/>
      <c r="CV76" s="106"/>
      <c r="CW76" s="106"/>
      <c r="CX76" s="106"/>
      <c r="CY76" s="106"/>
      <c r="CZ76" s="106"/>
      <c r="DA76" s="106"/>
      <c r="DB76" s="106"/>
      <c r="DC76" s="106"/>
      <c r="DD76" s="106"/>
      <c r="DE76" s="106"/>
      <c r="DF76" s="106"/>
      <c r="DG76" s="106"/>
      <c r="DH76" s="106"/>
      <c r="DI76" s="106"/>
      <c r="DJ76" s="106"/>
      <c r="DK76" s="106"/>
      <c r="DL76" s="106"/>
      <c r="DM76" s="106"/>
      <c r="DN76" s="106"/>
      <c r="DO76" s="106"/>
      <c r="DP76" s="106"/>
      <c r="DQ76" s="106"/>
      <c r="DR76" s="106"/>
      <c r="DS76" s="106"/>
      <c r="DT76" s="106"/>
      <c r="DU76" s="106"/>
      <c r="DV76" s="106"/>
      <c r="DW76" s="106"/>
      <c r="DX76" s="106"/>
      <c r="DY76" s="106"/>
      <c r="DZ76" s="106"/>
      <c r="EA76" s="106"/>
      <c r="EB76" s="106"/>
      <c r="EC76" s="106"/>
      <c r="ED76" s="106"/>
      <c r="EE76" s="106"/>
      <c r="EF76" s="106"/>
      <c r="EG76" s="106"/>
      <c r="EH76" s="106"/>
      <c r="EI76" s="106"/>
      <c r="EJ76" s="106"/>
      <c r="EK76" s="106"/>
      <c r="EL76" s="106"/>
      <c r="EM76" s="106"/>
      <c r="EN76" s="106"/>
      <c r="EO76" s="106"/>
      <c r="EP76" s="106"/>
      <c r="EQ76" s="106"/>
      <c r="ER76" s="106"/>
      <c r="ES76" s="106"/>
      <c r="ET76" s="106"/>
      <c r="EU76" s="106"/>
      <c r="EV76" s="106"/>
      <c r="EW76" s="106"/>
      <c r="EX76" s="106"/>
      <c r="EY76" s="106"/>
      <c r="EZ76" s="106"/>
      <c r="FA76" s="106"/>
      <c r="FB76" s="106"/>
      <c r="FC76" s="106"/>
      <c r="FD76" s="106"/>
      <c r="FE76" s="106"/>
      <c r="FF76" s="106"/>
      <c r="FG76" s="106"/>
      <c r="FH76" s="106"/>
      <c r="FI76" s="106"/>
      <c r="FJ76" s="106"/>
      <c r="FK76" s="106"/>
      <c r="FL76" s="106"/>
      <c r="FM76" s="106"/>
      <c r="FN76" s="106"/>
      <c r="FO76" s="106"/>
      <c r="FP76" s="106"/>
      <c r="FQ76" s="106"/>
      <c r="FR76" s="106"/>
      <c r="FS76" s="106"/>
      <c r="FT76" s="106"/>
      <c r="FU76" s="106"/>
      <c r="FV76" s="106"/>
      <c r="FW76" s="106"/>
      <c r="FX76" s="106"/>
      <c r="FY76" s="106"/>
      <c r="FZ76" s="106"/>
      <c r="GA76" s="106"/>
      <c r="GB76" s="106"/>
      <c r="GC76" s="106"/>
      <c r="GD76" s="106"/>
      <c r="GE76" s="106"/>
      <c r="GF76" s="106"/>
      <c r="GG76" s="106"/>
      <c r="GH76" s="106"/>
      <c r="GI76" s="106"/>
      <c r="GJ76" s="106"/>
      <c r="GK76" s="106"/>
      <c r="GL76" s="106"/>
      <c r="GM76" s="106"/>
      <c r="GN76" s="106"/>
      <c r="GO76" s="106"/>
      <c r="GP76" s="106"/>
      <c r="GQ76" s="106"/>
      <c r="GR76" s="106"/>
      <c r="GS76" s="106"/>
      <c r="GT76" s="106"/>
      <c r="GU76" s="106"/>
      <c r="GV76" s="106"/>
      <c r="GW76" s="106"/>
      <c r="GX76" s="106"/>
      <c r="GY76" s="106"/>
      <c r="GZ76" s="106"/>
      <c r="HA76" s="106"/>
      <c r="HB76" s="106"/>
      <c r="HC76" s="106"/>
      <c r="HD76" s="106"/>
      <c r="HE76" s="106"/>
      <c r="HF76" s="106"/>
      <c r="HG76" s="106"/>
      <c r="HH76" s="106"/>
      <c r="HI76" s="106"/>
      <c r="HJ76" s="106"/>
      <c r="HK76" s="106"/>
      <c r="HL76" s="106"/>
      <c r="HM76" s="106"/>
      <c r="HN76" s="106"/>
      <c r="HO76" s="106"/>
      <c r="HP76" s="106"/>
      <c r="HQ76" s="106"/>
      <c r="HR76" s="106"/>
      <c r="HS76" s="106"/>
      <c r="HT76" s="106"/>
      <c r="HU76" s="106"/>
      <c r="HV76" s="106"/>
      <c r="HW76" s="106"/>
      <c r="HX76" s="106"/>
      <c r="HY76" s="106"/>
      <c r="HZ76" s="106"/>
      <c r="IA76" s="106"/>
      <c r="IB76" s="106"/>
      <c r="IC76" s="106"/>
      <c r="ID76" s="106"/>
      <c r="IE76" s="106"/>
      <c r="IF76" s="106"/>
      <c r="IG76" s="106"/>
      <c r="IH76" s="106"/>
      <c r="II76" s="106"/>
      <c r="IJ76" s="106"/>
      <c r="IK76" s="106"/>
      <c r="IL76" s="106"/>
      <c r="IM76" s="106"/>
      <c r="IN76" s="106"/>
      <c r="IO76" s="106"/>
      <c r="IP76" s="106"/>
      <c r="IQ76" s="106"/>
      <c r="IR76" s="106"/>
      <c r="IS76" s="106"/>
      <c r="IT76" s="106"/>
      <c r="IU76" s="106"/>
      <c r="IV76" s="106"/>
      <c r="IW76" s="106"/>
      <c r="IX76" s="106"/>
    </row>
    <row r="77" s="105" customFormat="1" spans="1:258">
      <c r="A77" s="125"/>
      <c r="B77" s="125"/>
      <c r="C77" s="125"/>
      <c r="D77" s="125"/>
      <c r="E77" s="125"/>
      <c r="F77" s="125"/>
      <c r="G77" s="125"/>
      <c r="H77" s="125"/>
      <c r="I77" s="125"/>
      <c r="J77" s="133"/>
      <c r="K77" s="134"/>
      <c r="L77" s="134"/>
      <c r="M77" s="134"/>
      <c r="N77" s="134"/>
      <c r="O77" s="134"/>
      <c r="P77" s="155"/>
      <c r="Q77" s="155"/>
      <c r="R77" s="134"/>
      <c r="S77" s="134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  <c r="AI77" s="106"/>
      <c r="AJ77" s="106"/>
      <c r="AK77" s="106"/>
      <c r="AL77" s="106"/>
      <c r="AM77" s="106"/>
      <c r="AN77" s="106"/>
      <c r="AO77" s="106"/>
      <c r="AP77" s="106"/>
      <c r="AQ77" s="106"/>
      <c r="AR77" s="106"/>
      <c r="AS77" s="106"/>
      <c r="AT77" s="106"/>
      <c r="AU77" s="106"/>
      <c r="AV77" s="106"/>
      <c r="AW77" s="106"/>
      <c r="AX77" s="106"/>
      <c r="AY77" s="106"/>
      <c r="AZ77" s="106"/>
      <c r="BA77" s="106"/>
      <c r="BB77" s="106"/>
      <c r="BC77" s="106"/>
      <c r="BD77" s="106"/>
      <c r="BE77" s="106"/>
      <c r="BF77" s="106"/>
      <c r="BG77" s="106"/>
      <c r="BH77" s="106"/>
      <c r="BI77" s="106"/>
      <c r="BJ77" s="106"/>
      <c r="BK77" s="106"/>
      <c r="BL77" s="106"/>
      <c r="BM77" s="106"/>
      <c r="BN77" s="106"/>
      <c r="BO77" s="106"/>
      <c r="BP77" s="106"/>
      <c r="BQ77" s="106"/>
      <c r="BR77" s="106"/>
      <c r="BS77" s="106"/>
      <c r="BT77" s="106"/>
      <c r="BU77" s="106"/>
      <c r="BV77" s="106"/>
      <c r="BW77" s="106"/>
      <c r="BX77" s="106"/>
      <c r="BY77" s="106"/>
      <c r="BZ77" s="106"/>
      <c r="CA77" s="106"/>
      <c r="CB77" s="106"/>
      <c r="CC77" s="106"/>
      <c r="CD77" s="106"/>
      <c r="CE77" s="106"/>
      <c r="CF77" s="106"/>
      <c r="CG77" s="106"/>
      <c r="CH77" s="106"/>
      <c r="CI77" s="106"/>
      <c r="CJ77" s="106"/>
      <c r="CK77" s="106"/>
      <c r="CL77" s="106"/>
      <c r="CM77" s="106"/>
      <c r="CN77" s="106"/>
      <c r="CO77" s="106"/>
      <c r="CP77" s="106"/>
      <c r="CQ77" s="106"/>
      <c r="CR77" s="106"/>
      <c r="CS77" s="106"/>
      <c r="CT77" s="106"/>
      <c r="CU77" s="106"/>
      <c r="CV77" s="106"/>
      <c r="CW77" s="106"/>
      <c r="CX77" s="106"/>
      <c r="CY77" s="106"/>
      <c r="CZ77" s="106"/>
      <c r="DA77" s="106"/>
      <c r="DB77" s="106"/>
      <c r="DC77" s="106"/>
      <c r="DD77" s="106"/>
      <c r="DE77" s="106"/>
      <c r="DF77" s="106"/>
      <c r="DG77" s="106"/>
      <c r="DH77" s="106"/>
      <c r="DI77" s="106"/>
      <c r="DJ77" s="106"/>
      <c r="DK77" s="106"/>
      <c r="DL77" s="106"/>
      <c r="DM77" s="106"/>
      <c r="DN77" s="106"/>
      <c r="DO77" s="106"/>
      <c r="DP77" s="106"/>
      <c r="DQ77" s="106"/>
      <c r="DR77" s="106"/>
      <c r="DS77" s="106"/>
      <c r="DT77" s="106"/>
      <c r="DU77" s="106"/>
      <c r="DV77" s="106"/>
      <c r="DW77" s="106"/>
      <c r="DX77" s="106"/>
      <c r="DY77" s="106"/>
      <c r="DZ77" s="106"/>
      <c r="EA77" s="106"/>
      <c r="EB77" s="106"/>
      <c r="EC77" s="106"/>
      <c r="ED77" s="106"/>
      <c r="EE77" s="106"/>
      <c r="EF77" s="106"/>
      <c r="EG77" s="106"/>
      <c r="EH77" s="106"/>
      <c r="EI77" s="106"/>
      <c r="EJ77" s="106"/>
      <c r="EK77" s="106"/>
      <c r="EL77" s="106"/>
      <c r="EM77" s="106"/>
      <c r="EN77" s="106"/>
      <c r="EO77" s="106"/>
      <c r="EP77" s="106"/>
      <c r="EQ77" s="106"/>
      <c r="ER77" s="106"/>
      <c r="ES77" s="106"/>
      <c r="ET77" s="106"/>
      <c r="EU77" s="106"/>
      <c r="EV77" s="106"/>
      <c r="EW77" s="106"/>
      <c r="EX77" s="106"/>
      <c r="EY77" s="106"/>
      <c r="EZ77" s="106"/>
      <c r="FA77" s="106"/>
      <c r="FB77" s="106"/>
      <c r="FC77" s="106"/>
      <c r="FD77" s="106"/>
      <c r="FE77" s="106"/>
      <c r="FF77" s="106"/>
      <c r="FG77" s="106"/>
      <c r="FH77" s="106"/>
      <c r="FI77" s="106"/>
      <c r="FJ77" s="106"/>
      <c r="FK77" s="106"/>
      <c r="FL77" s="106"/>
      <c r="FM77" s="106"/>
      <c r="FN77" s="106"/>
      <c r="FO77" s="106"/>
      <c r="FP77" s="106"/>
      <c r="FQ77" s="106"/>
      <c r="FR77" s="106"/>
      <c r="FS77" s="106"/>
      <c r="FT77" s="106"/>
      <c r="FU77" s="106"/>
      <c r="FV77" s="106"/>
      <c r="FW77" s="106"/>
      <c r="FX77" s="106"/>
      <c r="FY77" s="106"/>
      <c r="FZ77" s="106"/>
      <c r="GA77" s="106"/>
      <c r="GB77" s="106"/>
      <c r="GC77" s="106"/>
      <c r="GD77" s="106"/>
      <c r="GE77" s="106"/>
      <c r="GF77" s="106"/>
      <c r="GG77" s="106"/>
      <c r="GH77" s="106"/>
      <c r="GI77" s="106"/>
      <c r="GJ77" s="106"/>
      <c r="GK77" s="106"/>
      <c r="GL77" s="106"/>
      <c r="GM77" s="106"/>
      <c r="GN77" s="106"/>
      <c r="GO77" s="106"/>
      <c r="GP77" s="106"/>
      <c r="GQ77" s="106"/>
      <c r="GR77" s="106"/>
      <c r="GS77" s="106"/>
      <c r="GT77" s="106"/>
      <c r="GU77" s="106"/>
      <c r="GV77" s="106"/>
      <c r="GW77" s="106"/>
      <c r="GX77" s="106"/>
      <c r="GY77" s="106"/>
      <c r="GZ77" s="106"/>
      <c r="HA77" s="106"/>
      <c r="HB77" s="106"/>
      <c r="HC77" s="106"/>
      <c r="HD77" s="106"/>
      <c r="HE77" s="106"/>
      <c r="HF77" s="106"/>
      <c r="HG77" s="106"/>
      <c r="HH77" s="106"/>
      <c r="HI77" s="106"/>
      <c r="HJ77" s="106"/>
      <c r="HK77" s="106"/>
      <c r="HL77" s="106"/>
      <c r="HM77" s="106"/>
      <c r="HN77" s="106"/>
      <c r="HO77" s="106"/>
      <c r="HP77" s="106"/>
      <c r="HQ77" s="106"/>
      <c r="HR77" s="106"/>
      <c r="HS77" s="106"/>
      <c r="HT77" s="106"/>
      <c r="HU77" s="106"/>
      <c r="HV77" s="106"/>
      <c r="HW77" s="106"/>
      <c r="HX77" s="106"/>
      <c r="HY77" s="106"/>
      <c r="HZ77" s="106"/>
      <c r="IA77" s="106"/>
      <c r="IB77" s="106"/>
      <c r="IC77" s="106"/>
      <c r="ID77" s="106"/>
      <c r="IE77" s="106"/>
      <c r="IF77" s="106"/>
      <c r="IG77" s="106"/>
      <c r="IH77" s="106"/>
      <c r="II77" s="106"/>
      <c r="IJ77" s="106"/>
      <c r="IK77" s="106"/>
      <c r="IL77" s="106"/>
      <c r="IM77" s="106"/>
      <c r="IN77" s="106"/>
      <c r="IO77" s="106"/>
      <c r="IP77" s="106"/>
      <c r="IQ77" s="106"/>
      <c r="IR77" s="106"/>
      <c r="IS77" s="106"/>
      <c r="IT77" s="106"/>
      <c r="IU77" s="106"/>
      <c r="IV77" s="106"/>
      <c r="IW77" s="106"/>
      <c r="IX77" s="106"/>
    </row>
    <row r="78" s="105" customFormat="1" spans="1:258">
      <c r="A78" s="125"/>
      <c r="B78" s="125"/>
      <c r="C78" s="125"/>
      <c r="D78" s="125"/>
      <c r="E78" s="125"/>
      <c r="F78" s="125"/>
      <c r="G78" s="125"/>
      <c r="H78" s="125"/>
      <c r="I78" s="125"/>
      <c r="J78" s="133"/>
      <c r="K78" s="134"/>
      <c r="L78" s="134"/>
      <c r="M78" s="134"/>
      <c r="N78" s="134"/>
      <c r="O78" s="134"/>
      <c r="P78" s="155"/>
      <c r="Q78" s="155"/>
      <c r="R78" s="134"/>
      <c r="S78" s="134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  <c r="AM78" s="106"/>
      <c r="AN78" s="106"/>
      <c r="AO78" s="106"/>
      <c r="AP78" s="106"/>
      <c r="AQ78" s="106"/>
      <c r="AR78" s="106"/>
      <c r="AS78" s="106"/>
      <c r="AT78" s="106"/>
      <c r="AU78" s="106"/>
      <c r="AV78" s="106"/>
      <c r="AW78" s="106"/>
      <c r="AX78" s="106"/>
      <c r="AY78" s="106"/>
      <c r="AZ78" s="106"/>
      <c r="BA78" s="106"/>
      <c r="BB78" s="106"/>
      <c r="BC78" s="106"/>
      <c r="BD78" s="106"/>
      <c r="BE78" s="106"/>
      <c r="BF78" s="106"/>
      <c r="BG78" s="106"/>
      <c r="BH78" s="106"/>
      <c r="BI78" s="106"/>
      <c r="BJ78" s="106"/>
      <c r="BK78" s="106"/>
      <c r="BL78" s="106"/>
      <c r="BM78" s="106"/>
      <c r="BN78" s="106"/>
      <c r="BO78" s="106"/>
      <c r="BP78" s="106"/>
      <c r="BQ78" s="106"/>
      <c r="BR78" s="106"/>
      <c r="BS78" s="106"/>
      <c r="BT78" s="106"/>
      <c r="BU78" s="106"/>
      <c r="BV78" s="106"/>
      <c r="BW78" s="106"/>
      <c r="BX78" s="106"/>
      <c r="BY78" s="106"/>
      <c r="BZ78" s="106"/>
      <c r="CA78" s="106"/>
      <c r="CB78" s="106"/>
      <c r="CC78" s="106"/>
      <c r="CD78" s="106"/>
      <c r="CE78" s="106"/>
      <c r="CF78" s="106"/>
      <c r="CG78" s="106"/>
      <c r="CH78" s="106"/>
      <c r="CI78" s="106"/>
      <c r="CJ78" s="106"/>
      <c r="CK78" s="106"/>
      <c r="CL78" s="106"/>
      <c r="CM78" s="106"/>
      <c r="CN78" s="106"/>
      <c r="CO78" s="106"/>
      <c r="CP78" s="106"/>
      <c r="CQ78" s="106"/>
      <c r="CR78" s="106"/>
      <c r="CS78" s="106"/>
      <c r="CT78" s="106"/>
      <c r="CU78" s="106"/>
      <c r="CV78" s="106"/>
      <c r="CW78" s="106"/>
      <c r="CX78" s="106"/>
      <c r="CY78" s="106"/>
      <c r="CZ78" s="106"/>
      <c r="DA78" s="106"/>
      <c r="DB78" s="106"/>
      <c r="DC78" s="106"/>
      <c r="DD78" s="106"/>
      <c r="DE78" s="106"/>
      <c r="DF78" s="106"/>
      <c r="DG78" s="106"/>
      <c r="DH78" s="106"/>
      <c r="DI78" s="106"/>
      <c r="DJ78" s="106"/>
      <c r="DK78" s="106"/>
      <c r="DL78" s="106"/>
      <c r="DM78" s="106"/>
      <c r="DN78" s="106"/>
      <c r="DO78" s="106"/>
      <c r="DP78" s="106"/>
      <c r="DQ78" s="106"/>
      <c r="DR78" s="106"/>
      <c r="DS78" s="106"/>
      <c r="DT78" s="106"/>
      <c r="DU78" s="106"/>
      <c r="DV78" s="106"/>
      <c r="DW78" s="106"/>
      <c r="DX78" s="106"/>
      <c r="DY78" s="106"/>
      <c r="DZ78" s="106"/>
      <c r="EA78" s="106"/>
      <c r="EB78" s="106"/>
      <c r="EC78" s="106"/>
      <c r="ED78" s="106"/>
      <c r="EE78" s="106"/>
      <c r="EF78" s="106"/>
      <c r="EG78" s="106"/>
      <c r="EH78" s="106"/>
      <c r="EI78" s="106"/>
      <c r="EJ78" s="106"/>
      <c r="EK78" s="106"/>
      <c r="EL78" s="106"/>
      <c r="EM78" s="106"/>
      <c r="EN78" s="106"/>
      <c r="EO78" s="106"/>
      <c r="EP78" s="106"/>
      <c r="EQ78" s="106"/>
      <c r="ER78" s="106"/>
      <c r="ES78" s="106"/>
      <c r="ET78" s="106"/>
      <c r="EU78" s="106"/>
      <c r="EV78" s="106"/>
      <c r="EW78" s="106"/>
      <c r="EX78" s="106"/>
      <c r="EY78" s="106"/>
      <c r="EZ78" s="106"/>
      <c r="FA78" s="106"/>
      <c r="FB78" s="106"/>
      <c r="FC78" s="106"/>
      <c r="FD78" s="106"/>
      <c r="FE78" s="106"/>
      <c r="FF78" s="106"/>
      <c r="FG78" s="106"/>
      <c r="FH78" s="106"/>
      <c r="FI78" s="106"/>
      <c r="FJ78" s="106"/>
      <c r="FK78" s="106"/>
      <c r="FL78" s="106"/>
      <c r="FM78" s="106"/>
      <c r="FN78" s="106"/>
      <c r="FO78" s="106"/>
      <c r="FP78" s="106"/>
      <c r="FQ78" s="106"/>
      <c r="FR78" s="106"/>
      <c r="FS78" s="106"/>
      <c r="FT78" s="106"/>
      <c r="FU78" s="106"/>
      <c r="FV78" s="106"/>
      <c r="FW78" s="106"/>
      <c r="FX78" s="106"/>
      <c r="FY78" s="106"/>
      <c r="FZ78" s="106"/>
      <c r="GA78" s="106"/>
      <c r="GB78" s="106"/>
      <c r="GC78" s="106"/>
      <c r="GD78" s="106"/>
      <c r="GE78" s="106"/>
      <c r="GF78" s="106"/>
      <c r="GG78" s="106"/>
      <c r="GH78" s="106"/>
      <c r="GI78" s="106"/>
      <c r="GJ78" s="106"/>
      <c r="GK78" s="106"/>
      <c r="GL78" s="106"/>
      <c r="GM78" s="106"/>
      <c r="GN78" s="106"/>
      <c r="GO78" s="106"/>
      <c r="GP78" s="106"/>
      <c r="GQ78" s="106"/>
      <c r="GR78" s="106"/>
      <c r="GS78" s="106"/>
      <c r="GT78" s="106"/>
      <c r="GU78" s="106"/>
      <c r="GV78" s="106"/>
      <c r="GW78" s="106"/>
      <c r="GX78" s="106"/>
      <c r="GY78" s="106"/>
      <c r="GZ78" s="106"/>
      <c r="HA78" s="106"/>
      <c r="HB78" s="106"/>
      <c r="HC78" s="106"/>
      <c r="HD78" s="106"/>
      <c r="HE78" s="106"/>
      <c r="HF78" s="106"/>
      <c r="HG78" s="106"/>
      <c r="HH78" s="106"/>
      <c r="HI78" s="106"/>
      <c r="HJ78" s="106"/>
      <c r="HK78" s="106"/>
      <c r="HL78" s="106"/>
      <c r="HM78" s="106"/>
      <c r="HN78" s="106"/>
      <c r="HO78" s="106"/>
      <c r="HP78" s="106"/>
      <c r="HQ78" s="106"/>
      <c r="HR78" s="106"/>
      <c r="HS78" s="106"/>
      <c r="HT78" s="106"/>
      <c r="HU78" s="106"/>
      <c r="HV78" s="106"/>
      <c r="HW78" s="106"/>
      <c r="HX78" s="106"/>
      <c r="HY78" s="106"/>
      <c r="HZ78" s="106"/>
      <c r="IA78" s="106"/>
      <c r="IB78" s="106"/>
      <c r="IC78" s="106"/>
      <c r="ID78" s="106"/>
      <c r="IE78" s="106"/>
      <c r="IF78" s="106"/>
      <c r="IG78" s="106"/>
      <c r="IH78" s="106"/>
      <c r="II78" s="106"/>
      <c r="IJ78" s="106"/>
      <c r="IK78" s="106"/>
      <c r="IL78" s="106"/>
      <c r="IM78" s="106"/>
      <c r="IN78" s="106"/>
      <c r="IO78" s="106"/>
      <c r="IP78" s="106"/>
      <c r="IQ78" s="106"/>
      <c r="IR78" s="106"/>
      <c r="IS78" s="106"/>
      <c r="IT78" s="106"/>
      <c r="IU78" s="106"/>
      <c r="IV78" s="106"/>
      <c r="IW78" s="106"/>
      <c r="IX78" s="106"/>
    </row>
    <row r="79" s="105" customFormat="1" spans="1:258">
      <c r="A79" s="125"/>
      <c r="B79" s="125"/>
      <c r="C79" s="125"/>
      <c r="D79" s="125"/>
      <c r="E79" s="125"/>
      <c r="F79" s="125"/>
      <c r="G79" s="125"/>
      <c r="H79" s="125"/>
      <c r="I79" s="125"/>
      <c r="J79" s="133"/>
      <c r="K79" s="134"/>
      <c r="L79" s="134"/>
      <c r="M79" s="134"/>
      <c r="N79" s="134"/>
      <c r="O79" s="134"/>
      <c r="P79" s="155"/>
      <c r="Q79" s="155"/>
      <c r="R79" s="134"/>
      <c r="S79" s="134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106"/>
      <c r="AJ79" s="106"/>
      <c r="AK79" s="106"/>
      <c r="AL79" s="106"/>
      <c r="AM79" s="106"/>
      <c r="AN79" s="106"/>
      <c r="AO79" s="106"/>
      <c r="AP79" s="106"/>
      <c r="AQ79" s="106"/>
      <c r="AR79" s="106"/>
      <c r="AS79" s="106"/>
      <c r="AT79" s="106"/>
      <c r="AU79" s="106"/>
      <c r="AV79" s="106"/>
      <c r="AW79" s="106"/>
      <c r="AX79" s="106"/>
      <c r="AY79" s="106"/>
      <c r="AZ79" s="106"/>
      <c r="BA79" s="106"/>
      <c r="BB79" s="106"/>
      <c r="BC79" s="106"/>
      <c r="BD79" s="106"/>
      <c r="BE79" s="106"/>
      <c r="BF79" s="106"/>
      <c r="BG79" s="106"/>
      <c r="BH79" s="106"/>
      <c r="BI79" s="106"/>
      <c r="BJ79" s="106"/>
      <c r="BK79" s="106"/>
      <c r="BL79" s="106"/>
      <c r="BM79" s="106"/>
      <c r="BN79" s="106"/>
      <c r="BO79" s="106"/>
      <c r="BP79" s="106"/>
      <c r="BQ79" s="106"/>
      <c r="BR79" s="106"/>
      <c r="BS79" s="106"/>
      <c r="BT79" s="106"/>
      <c r="BU79" s="106"/>
      <c r="BV79" s="106"/>
      <c r="BW79" s="106"/>
      <c r="BX79" s="106"/>
      <c r="BY79" s="106"/>
      <c r="BZ79" s="106"/>
      <c r="CA79" s="106"/>
      <c r="CB79" s="106"/>
      <c r="CC79" s="106"/>
      <c r="CD79" s="106"/>
      <c r="CE79" s="106"/>
      <c r="CF79" s="106"/>
      <c r="CG79" s="106"/>
      <c r="CH79" s="106"/>
      <c r="CI79" s="106"/>
      <c r="CJ79" s="106"/>
      <c r="CK79" s="106"/>
      <c r="CL79" s="106"/>
      <c r="CM79" s="106"/>
      <c r="CN79" s="106"/>
      <c r="CO79" s="106"/>
      <c r="CP79" s="106"/>
      <c r="CQ79" s="106"/>
      <c r="CR79" s="106"/>
      <c r="CS79" s="106"/>
      <c r="CT79" s="106"/>
      <c r="CU79" s="106"/>
      <c r="CV79" s="106"/>
      <c r="CW79" s="106"/>
      <c r="CX79" s="106"/>
      <c r="CY79" s="106"/>
      <c r="CZ79" s="106"/>
      <c r="DA79" s="106"/>
      <c r="DB79" s="106"/>
      <c r="DC79" s="106"/>
      <c r="DD79" s="106"/>
      <c r="DE79" s="106"/>
      <c r="DF79" s="106"/>
      <c r="DG79" s="106"/>
      <c r="DH79" s="106"/>
      <c r="DI79" s="106"/>
      <c r="DJ79" s="106"/>
      <c r="DK79" s="106"/>
      <c r="DL79" s="106"/>
      <c r="DM79" s="106"/>
      <c r="DN79" s="106"/>
      <c r="DO79" s="106"/>
      <c r="DP79" s="106"/>
      <c r="DQ79" s="106"/>
      <c r="DR79" s="106"/>
      <c r="DS79" s="106"/>
      <c r="DT79" s="106"/>
      <c r="DU79" s="106"/>
      <c r="DV79" s="106"/>
      <c r="DW79" s="106"/>
      <c r="DX79" s="106"/>
      <c r="DY79" s="106"/>
      <c r="DZ79" s="106"/>
      <c r="EA79" s="106"/>
      <c r="EB79" s="106"/>
      <c r="EC79" s="106"/>
      <c r="ED79" s="106"/>
      <c r="EE79" s="106"/>
      <c r="EF79" s="106"/>
      <c r="EG79" s="106"/>
      <c r="EH79" s="106"/>
      <c r="EI79" s="106"/>
      <c r="EJ79" s="106"/>
      <c r="EK79" s="106"/>
      <c r="EL79" s="106"/>
      <c r="EM79" s="106"/>
      <c r="EN79" s="106"/>
      <c r="EO79" s="106"/>
      <c r="EP79" s="106"/>
      <c r="EQ79" s="106"/>
      <c r="ER79" s="106"/>
      <c r="ES79" s="106"/>
      <c r="ET79" s="106"/>
      <c r="EU79" s="106"/>
      <c r="EV79" s="106"/>
      <c r="EW79" s="106"/>
      <c r="EX79" s="106"/>
      <c r="EY79" s="106"/>
      <c r="EZ79" s="106"/>
      <c r="FA79" s="106"/>
      <c r="FB79" s="106"/>
      <c r="FC79" s="106"/>
      <c r="FD79" s="106"/>
      <c r="FE79" s="106"/>
      <c r="FF79" s="106"/>
      <c r="FG79" s="106"/>
      <c r="FH79" s="106"/>
      <c r="FI79" s="106"/>
      <c r="FJ79" s="106"/>
      <c r="FK79" s="106"/>
      <c r="FL79" s="106"/>
      <c r="FM79" s="106"/>
      <c r="FN79" s="106"/>
      <c r="FO79" s="106"/>
      <c r="FP79" s="106"/>
      <c r="FQ79" s="106"/>
      <c r="FR79" s="106"/>
      <c r="FS79" s="106"/>
      <c r="FT79" s="106"/>
      <c r="FU79" s="106"/>
      <c r="FV79" s="106"/>
      <c r="FW79" s="106"/>
      <c r="FX79" s="106"/>
      <c r="FY79" s="106"/>
      <c r="FZ79" s="106"/>
      <c r="GA79" s="106"/>
      <c r="GB79" s="106"/>
      <c r="GC79" s="106"/>
      <c r="GD79" s="106"/>
      <c r="GE79" s="106"/>
      <c r="GF79" s="106"/>
      <c r="GG79" s="106"/>
      <c r="GH79" s="106"/>
      <c r="GI79" s="106"/>
      <c r="GJ79" s="106"/>
      <c r="GK79" s="106"/>
      <c r="GL79" s="106"/>
      <c r="GM79" s="106"/>
      <c r="GN79" s="106"/>
      <c r="GO79" s="106"/>
      <c r="GP79" s="106"/>
      <c r="GQ79" s="106"/>
      <c r="GR79" s="106"/>
      <c r="GS79" s="106"/>
      <c r="GT79" s="106"/>
      <c r="GU79" s="106"/>
      <c r="GV79" s="106"/>
      <c r="GW79" s="106"/>
      <c r="GX79" s="106"/>
      <c r="GY79" s="106"/>
      <c r="GZ79" s="106"/>
      <c r="HA79" s="106"/>
      <c r="HB79" s="106"/>
      <c r="HC79" s="106"/>
      <c r="HD79" s="106"/>
      <c r="HE79" s="106"/>
      <c r="HF79" s="106"/>
      <c r="HG79" s="106"/>
      <c r="HH79" s="106"/>
      <c r="HI79" s="106"/>
      <c r="HJ79" s="106"/>
      <c r="HK79" s="106"/>
      <c r="HL79" s="106"/>
      <c r="HM79" s="106"/>
      <c r="HN79" s="106"/>
      <c r="HO79" s="106"/>
      <c r="HP79" s="106"/>
      <c r="HQ79" s="106"/>
      <c r="HR79" s="106"/>
      <c r="HS79" s="106"/>
      <c r="HT79" s="106"/>
      <c r="HU79" s="106"/>
      <c r="HV79" s="106"/>
      <c r="HW79" s="106"/>
      <c r="HX79" s="106"/>
      <c r="HY79" s="106"/>
      <c r="HZ79" s="106"/>
      <c r="IA79" s="106"/>
      <c r="IB79" s="106"/>
      <c r="IC79" s="106"/>
      <c r="ID79" s="106"/>
      <c r="IE79" s="106"/>
      <c r="IF79" s="106"/>
      <c r="IG79" s="106"/>
      <c r="IH79" s="106"/>
      <c r="II79" s="106"/>
      <c r="IJ79" s="106"/>
      <c r="IK79" s="106"/>
      <c r="IL79" s="106"/>
      <c r="IM79" s="106"/>
      <c r="IN79" s="106"/>
      <c r="IO79" s="106"/>
      <c r="IP79" s="106"/>
      <c r="IQ79" s="106"/>
      <c r="IR79" s="106"/>
      <c r="IS79" s="106"/>
      <c r="IT79" s="106"/>
      <c r="IU79" s="106"/>
      <c r="IV79" s="106"/>
      <c r="IW79" s="106"/>
      <c r="IX79" s="106"/>
    </row>
    <row r="80" s="105" customFormat="1" spans="1:258">
      <c r="A80" s="125"/>
      <c r="B80" s="125"/>
      <c r="C80" s="125"/>
      <c r="D80" s="125"/>
      <c r="E80" s="125"/>
      <c r="F80" s="125"/>
      <c r="G80" s="125"/>
      <c r="H80" s="125"/>
      <c r="I80" s="125"/>
      <c r="J80" s="133"/>
      <c r="K80" s="134"/>
      <c r="L80" s="134"/>
      <c r="M80" s="134"/>
      <c r="N80" s="134"/>
      <c r="O80" s="134"/>
      <c r="P80" s="155"/>
      <c r="Q80" s="155"/>
      <c r="R80" s="134"/>
      <c r="S80" s="134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  <c r="AI80" s="106"/>
      <c r="AJ80" s="106"/>
      <c r="AK80" s="106"/>
      <c r="AL80" s="106"/>
      <c r="AM80" s="106"/>
      <c r="AN80" s="106"/>
      <c r="AO80" s="106"/>
      <c r="AP80" s="106"/>
      <c r="AQ80" s="106"/>
      <c r="AR80" s="106"/>
      <c r="AS80" s="106"/>
      <c r="AT80" s="106"/>
      <c r="AU80" s="106"/>
      <c r="AV80" s="106"/>
      <c r="AW80" s="106"/>
      <c r="AX80" s="106"/>
      <c r="AY80" s="106"/>
      <c r="AZ80" s="106"/>
      <c r="BA80" s="106"/>
      <c r="BB80" s="106"/>
      <c r="BC80" s="106"/>
      <c r="BD80" s="106"/>
      <c r="BE80" s="106"/>
      <c r="BF80" s="106"/>
      <c r="BG80" s="106"/>
      <c r="BH80" s="106"/>
      <c r="BI80" s="106"/>
      <c r="BJ80" s="106"/>
      <c r="BK80" s="106"/>
      <c r="BL80" s="106"/>
      <c r="BM80" s="106"/>
      <c r="BN80" s="106"/>
      <c r="BO80" s="106"/>
      <c r="BP80" s="106"/>
      <c r="BQ80" s="106"/>
      <c r="BR80" s="106"/>
      <c r="BS80" s="106"/>
      <c r="BT80" s="106"/>
      <c r="BU80" s="106"/>
      <c r="BV80" s="106"/>
      <c r="BW80" s="106"/>
      <c r="BX80" s="106"/>
      <c r="BY80" s="106"/>
      <c r="BZ80" s="106"/>
      <c r="CA80" s="106"/>
      <c r="CB80" s="106"/>
      <c r="CC80" s="106"/>
      <c r="CD80" s="106"/>
      <c r="CE80" s="106"/>
      <c r="CF80" s="106"/>
      <c r="CG80" s="106"/>
      <c r="CH80" s="106"/>
      <c r="CI80" s="106"/>
      <c r="CJ80" s="106"/>
      <c r="CK80" s="106"/>
      <c r="CL80" s="106"/>
      <c r="CM80" s="106"/>
      <c r="CN80" s="106"/>
      <c r="CO80" s="106"/>
      <c r="CP80" s="106"/>
      <c r="CQ80" s="106"/>
      <c r="CR80" s="106"/>
      <c r="CS80" s="106"/>
      <c r="CT80" s="106"/>
      <c r="CU80" s="106"/>
      <c r="CV80" s="106"/>
      <c r="CW80" s="106"/>
      <c r="CX80" s="106"/>
      <c r="CY80" s="106"/>
      <c r="CZ80" s="106"/>
      <c r="DA80" s="106"/>
      <c r="DB80" s="106"/>
      <c r="DC80" s="106"/>
      <c r="DD80" s="106"/>
      <c r="DE80" s="106"/>
      <c r="DF80" s="106"/>
      <c r="DG80" s="106"/>
      <c r="DH80" s="106"/>
      <c r="DI80" s="106"/>
      <c r="DJ80" s="106"/>
      <c r="DK80" s="106"/>
      <c r="DL80" s="106"/>
      <c r="DM80" s="106"/>
      <c r="DN80" s="106"/>
      <c r="DO80" s="106"/>
      <c r="DP80" s="106"/>
      <c r="DQ80" s="106"/>
      <c r="DR80" s="106"/>
      <c r="DS80" s="106"/>
      <c r="DT80" s="106"/>
      <c r="DU80" s="106"/>
      <c r="DV80" s="106"/>
      <c r="DW80" s="106"/>
      <c r="DX80" s="106"/>
      <c r="DY80" s="106"/>
      <c r="DZ80" s="106"/>
      <c r="EA80" s="106"/>
      <c r="EB80" s="106"/>
      <c r="EC80" s="106"/>
      <c r="ED80" s="106"/>
      <c r="EE80" s="106"/>
      <c r="EF80" s="106"/>
      <c r="EG80" s="106"/>
      <c r="EH80" s="106"/>
      <c r="EI80" s="106"/>
      <c r="EJ80" s="106"/>
      <c r="EK80" s="106"/>
      <c r="EL80" s="106"/>
      <c r="EM80" s="106"/>
      <c r="EN80" s="106"/>
      <c r="EO80" s="106"/>
      <c r="EP80" s="106"/>
      <c r="EQ80" s="106"/>
      <c r="ER80" s="106"/>
      <c r="ES80" s="106"/>
      <c r="ET80" s="106"/>
      <c r="EU80" s="106"/>
      <c r="EV80" s="106"/>
      <c r="EW80" s="106"/>
      <c r="EX80" s="106"/>
      <c r="EY80" s="106"/>
      <c r="EZ80" s="106"/>
      <c r="FA80" s="106"/>
      <c r="FB80" s="106"/>
      <c r="FC80" s="106"/>
      <c r="FD80" s="106"/>
      <c r="FE80" s="106"/>
      <c r="FF80" s="106"/>
      <c r="FG80" s="106"/>
      <c r="FH80" s="106"/>
      <c r="FI80" s="106"/>
      <c r="FJ80" s="106"/>
      <c r="FK80" s="106"/>
      <c r="FL80" s="106"/>
      <c r="FM80" s="106"/>
      <c r="FN80" s="106"/>
      <c r="FO80" s="106"/>
      <c r="FP80" s="106"/>
      <c r="FQ80" s="106"/>
      <c r="FR80" s="106"/>
      <c r="FS80" s="106"/>
      <c r="FT80" s="106"/>
      <c r="FU80" s="106"/>
      <c r="FV80" s="106"/>
      <c r="FW80" s="106"/>
      <c r="FX80" s="106"/>
      <c r="FY80" s="106"/>
      <c r="FZ80" s="106"/>
      <c r="GA80" s="106"/>
      <c r="GB80" s="106"/>
      <c r="GC80" s="106"/>
      <c r="GD80" s="106"/>
      <c r="GE80" s="106"/>
      <c r="GF80" s="106"/>
      <c r="GG80" s="106"/>
      <c r="GH80" s="106"/>
      <c r="GI80" s="106"/>
      <c r="GJ80" s="106"/>
      <c r="GK80" s="106"/>
      <c r="GL80" s="106"/>
      <c r="GM80" s="106"/>
      <c r="GN80" s="106"/>
      <c r="GO80" s="106"/>
      <c r="GP80" s="106"/>
      <c r="GQ80" s="106"/>
      <c r="GR80" s="106"/>
      <c r="GS80" s="106"/>
      <c r="GT80" s="106"/>
      <c r="GU80" s="106"/>
      <c r="GV80" s="106"/>
      <c r="GW80" s="106"/>
      <c r="GX80" s="106"/>
      <c r="GY80" s="106"/>
      <c r="GZ80" s="106"/>
      <c r="HA80" s="106"/>
      <c r="HB80" s="106"/>
      <c r="HC80" s="106"/>
      <c r="HD80" s="106"/>
      <c r="HE80" s="106"/>
      <c r="HF80" s="106"/>
      <c r="HG80" s="106"/>
      <c r="HH80" s="106"/>
      <c r="HI80" s="106"/>
      <c r="HJ80" s="106"/>
      <c r="HK80" s="106"/>
      <c r="HL80" s="106"/>
      <c r="HM80" s="106"/>
      <c r="HN80" s="106"/>
      <c r="HO80" s="106"/>
      <c r="HP80" s="106"/>
      <c r="HQ80" s="106"/>
      <c r="HR80" s="106"/>
      <c r="HS80" s="106"/>
      <c r="HT80" s="106"/>
      <c r="HU80" s="106"/>
      <c r="HV80" s="106"/>
      <c r="HW80" s="106"/>
      <c r="HX80" s="106"/>
      <c r="HY80" s="106"/>
      <c r="HZ80" s="106"/>
      <c r="IA80" s="106"/>
      <c r="IB80" s="106"/>
      <c r="IC80" s="106"/>
      <c r="ID80" s="106"/>
      <c r="IE80" s="106"/>
      <c r="IF80" s="106"/>
      <c r="IG80" s="106"/>
      <c r="IH80" s="106"/>
      <c r="II80" s="106"/>
      <c r="IJ80" s="106"/>
      <c r="IK80" s="106"/>
      <c r="IL80" s="106"/>
      <c r="IM80" s="106"/>
      <c r="IN80" s="106"/>
      <c r="IO80" s="106"/>
      <c r="IP80" s="106"/>
      <c r="IQ80" s="106"/>
      <c r="IR80" s="106"/>
      <c r="IS80" s="106"/>
      <c r="IT80" s="106"/>
      <c r="IU80" s="106"/>
      <c r="IV80" s="106"/>
      <c r="IW80" s="106"/>
      <c r="IX80" s="106"/>
    </row>
    <row r="81" s="105" customFormat="1" spans="1:258">
      <c r="A81" s="125"/>
      <c r="B81" s="125"/>
      <c r="C81" s="125"/>
      <c r="D81" s="125"/>
      <c r="E81" s="125"/>
      <c r="F81" s="125"/>
      <c r="G81" s="125"/>
      <c r="H81" s="125"/>
      <c r="I81" s="125"/>
      <c r="J81" s="133"/>
      <c r="K81" s="134"/>
      <c r="L81" s="134"/>
      <c r="M81" s="134"/>
      <c r="N81" s="134"/>
      <c r="O81" s="134"/>
      <c r="P81" s="155"/>
      <c r="Q81" s="155"/>
      <c r="R81" s="134"/>
      <c r="S81" s="134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  <c r="AH81" s="106"/>
      <c r="AI81" s="106"/>
      <c r="AJ81" s="106"/>
      <c r="AK81" s="106"/>
      <c r="AL81" s="106"/>
      <c r="AM81" s="106"/>
      <c r="AN81" s="106"/>
      <c r="AO81" s="106"/>
      <c r="AP81" s="106"/>
      <c r="AQ81" s="106"/>
      <c r="AR81" s="106"/>
      <c r="AS81" s="106"/>
      <c r="AT81" s="106"/>
      <c r="AU81" s="106"/>
      <c r="AV81" s="106"/>
      <c r="AW81" s="106"/>
      <c r="AX81" s="106"/>
      <c r="AY81" s="106"/>
      <c r="AZ81" s="106"/>
      <c r="BA81" s="106"/>
      <c r="BB81" s="106"/>
      <c r="BC81" s="106"/>
      <c r="BD81" s="106"/>
      <c r="BE81" s="106"/>
      <c r="BF81" s="106"/>
      <c r="BG81" s="106"/>
      <c r="BH81" s="106"/>
      <c r="BI81" s="106"/>
      <c r="BJ81" s="106"/>
      <c r="BK81" s="106"/>
      <c r="BL81" s="106"/>
      <c r="BM81" s="106"/>
      <c r="BN81" s="106"/>
      <c r="BO81" s="106"/>
      <c r="BP81" s="106"/>
      <c r="BQ81" s="106"/>
      <c r="BR81" s="106"/>
      <c r="BS81" s="106"/>
      <c r="BT81" s="106"/>
      <c r="BU81" s="106"/>
      <c r="BV81" s="106"/>
      <c r="BW81" s="106"/>
      <c r="BX81" s="106"/>
      <c r="BY81" s="106"/>
      <c r="BZ81" s="106"/>
      <c r="CA81" s="106"/>
      <c r="CB81" s="106"/>
      <c r="CC81" s="106"/>
      <c r="CD81" s="106"/>
      <c r="CE81" s="106"/>
      <c r="CF81" s="106"/>
      <c r="CG81" s="106"/>
      <c r="CH81" s="106"/>
      <c r="CI81" s="106"/>
      <c r="CJ81" s="106"/>
      <c r="CK81" s="106"/>
      <c r="CL81" s="106"/>
      <c r="CM81" s="106"/>
      <c r="CN81" s="106"/>
      <c r="CO81" s="106"/>
      <c r="CP81" s="106"/>
      <c r="CQ81" s="106"/>
      <c r="CR81" s="106"/>
      <c r="CS81" s="106"/>
      <c r="CT81" s="106"/>
      <c r="CU81" s="106"/>
      <c r="CV81" s="106"/>
      <c r="CW81" s="106"/>
      <c r="CX81" s="106"/>
      <c r="CY81" s="106"/>
      <c r="CZ81" s="106"/>
      <c r="DA81" s="106"/>
      <c r="DB81" s="106"/>
      <c r="DC81" s="106"/>
      <c r="DD81" s="106"/>
      <c r="DE81" s="106"/>
      <c r="DF81" s="106"/>
      <c r="DG81" s="106"/>
      <c r="DH81" s="106"/>
      <c r="DI81" s="106"/>
      <c r="DJ81" s="106"/>
      <c r="DK81" s="106"/>
      <c r="DL81" s="106"/>
      <c r="DM81" s="106"/>
      <c r="DN81" s="106"/>
      <c r="DO81" s="106"/>
      <c r="DP81" s="106"/>
      <c r="DQ81" s="106"/>
      <c r="DR81" s="106"/>
      <c r="DS81" s="106"/>
      <c r="DT81" s="106"/>
      <c r="DU81" s="106"/>
      <c r="DV81" s="106"/>
      <c r="DW81" s="106"/>
      <c r="DX81" s="106"/>
      <c r="DY81" s="106"/>
      <c r="DZ81" s="106"/>
      <c r="EA81" s="106"/>
      <c r="EB81" s="106"/>
      <c r="EC81" s="106"/>
      <c r="ED81" s="106"/>
      <c r="EE81" s="106"/>
      <c r="EF81" s="106"/>
      <c r="EG81" s="106"/>
      <c r="EH81" s="106"/>
      <c r="EI81" s="106"/>
      <c r="EJ81" s="106"/>
      <c r="EK81" s="106"/>
      <c r="EL81" s="106"/>
      <c r="EM81" s="106"/>
      <c r="EN81" s="106"/>
      <c r="EO81" s="106"/>
      <c r="EP81" s="106"/>
      <c r="EQ81" s="106"/>
      <c r="ER81" s="106"/>
      <c r="ES81" s="106"/>
      <c r="ET81" s="106"/>
      <c r="EU81" s="106"/>
      <c r="EV81" s="106"/>
      <c r="EW81" s="106"/>
      <c r="EX81" s="106"/>
      <c r="EY81" s="106"/>
      <c r="EZ81" s="106"/>
      <c r="FA81" s="106"/>
      <c r="FB81" s="106"/>
      <c r="FC81" s="106"/>
      <c r="FD81" s="106"/>
      <c r="FE81" s="106"/>
      <c r="FF81" s="106"/>
      <c r="FG81" s="106"/>
      <c r="FH81" s="106"/>
      <c r="FI81" s="106"/>
      <c r="FJ81" s="106"/>
      <c r="FK81" s="106"/>
      <c r="FL81" s="106"/>
      <c r="FM81" s="106"/>
      <c r="FN81" s="106"/>
      <c r="FO81" s="106"/>
      <c r="FP81" s="106"/>
      <c r="FQ81" s="106"/>
      <c r="FR81" s="106"/>
      <c r="FS81" s="106"/>
      <c r="FT81" s="106"/>
      <c r="FU81" s="106"/>
      <c r="FV81" s="106"/>
      <c r="FW81" s="106"/>
      <c r="FX81" s="106"/>
      <c r="FY81" s="106"/>
      <c r="FZ81" s="106"/>
      <c r="GA81" s="106"/>
      <c r="GB81" s="106"/>
      <c r="GC81" s="106"/>
      <c r="GD81" s="106"/>
      <c r="GE81" s="106"/>
      <c r="GF81" s="106"/>
      <c r="GG81" s="106"/>
      <c r="GH81" s="106"/>
      <c r="GI81" s="106"/>
      <c r="GJ81" s="106"/>
      <c r="GK81" s="106"/>
      <c r="GL81" s="106"/>
      <c r="GM81" s="106"/>
      <c r="GN81" s="106"/>
      <c r="GO81" s="106"/>
      <c r="GP81" s="106"/>
      <c r="GQ81" s="106"/>
      <c r="GR81" s="106"/>
      <c r="GS81" s="106"/>
      <c r="GT81" s="106"/>
      <c r="GU81" s="106"/>
      <c r="GV81" s="106"/>
      <c r="GW81" s="106"/>
      <c r="GX81" s="106"/>
      <c r="GY81" s="106"/>
      <c r="GZ81" s="106"/>
      <c r="HA81" s="106"/>
      <c r="HB81" s="106"/>
      <c r="HC81" s="106"/>
      <c r="HD81" s="106"/>
      <c r="HE81" s="106"/>
      <c r="HF81" s="106"/>
      <c r="HG81" s="106"/>
      <c r="HH81" s="106"/>
      <c r="HI81" s="106"/>
      <c r="HJ81" s="106"/>
      <c r="HK81" s="106"/>
      <c r="HL81" s="106"/>
      <c r="HM81" s="106"/>
      <c r="HN81" s="106"/>
      <c r="HO81" s="106"/>
      <c r="HP81" s="106"/>
      <c r="HQ81" s="106"/>
      <c r="HR81" s="106"/>
      <c r="HS81" s="106"/>
      <c r="HT81" s="106"/>
      <c r="HU81" s="106"/>
      <c r="HV81" s="106"/>
      <c r="HW81" s="106"/>
      <c r="HX81" s="106"/>
      <c r="HY81" s="106"/>
      <c r="HZ81" s="106"/>
      <c r="IA81" s="106"/>
      <c r="IB81" s="106"/>
      <c r="IC81" s="106"/>
      <c r="ID81" s="106"/>
      <c r="IE81" s="106"/>
      <c r="IF81" s="106"/>
      <c r="IG81" s="106"/>
      <c r="IH81" s="106"/>
      <c r="II81" s="106"/>
      <c r="IJ81" s="106"/>
      <c r="IK81" s="106"/>
      <c r="IL81" s="106"/>
      <c r="IM81" s="106"/>
      <c r="IN81" s="106"/>
      <c r="IO81" s="106"/>
      <c r="IP81" s="106"/>
      <c r="IQ81" s="106"/>
      <c r="IR81" s="106"/>
      <c r="IS81" s="106"/>
      <c r="IT81" s="106"/>
      <c r="IU81" s="106"/>
      <c r="IV81" s="106"/>
      <c r="IW81" s="106"/>
      <c r="IX81" s="106"/>
    </row>
    <row r="82" s="105" customFormat="1" spans="1:258">
      <c r="A82" s="125"/>
      <c r="B82" s="125"/>
      <c r="C82" s="125"/>
      <c r="D82" s="125"/>
      <c r="E82" s="125"/>
      <c r="F82" s="125"/>
      <c r="G82" s="125"/>
      <c r="H82" s="125"/>
      <c r="I82" s="125"/>
      <c r="J82" s="133"/>
      <c r="K82" s="134"/>
      <c r="L82" s="134"/>
      <c r="M82" s="134"/>
      <c r="N82" s="134"/>
      <c r="O82" s="134"/>
      <c r="P82" s="155"/>
      <c r="Q82" s="155"/>
      <c r="R82" s="134"/>
      <c r="S82" s="134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106"/>
      <c r="AJ82" s="106"/>
      <c r="AK82" s="106"/>
      <c r="AL82" s="106"/>
      <c r="AM82" s="106"/>
      <c r="AN82" s="106"/>
      <c r="AO82" s="106"/>
      <c r="AP82" s="106"/>
      <c r="AQ82" s="106"/>
      <c r="AR82" s="106"/>
      <c r="AS82" s="106"/>
      <c r="AT82" s="106"/>
      <c r="AU82" s="106"/>
      <c r="AV82" s="106"/>
      <c r="AW82" s="106"/>
      <c r="AX82" s="106"/>
      <c r="AY82" s="106"/>
      <c r="AZ82" s="106"/>
      <c r="BA82" s="106"/>
      <c r="BB82" s="106"/>
      <c r="BC82" s="106"/>
      <c r="BD82" s="106"/>
      <c r="BE82" s="106"/>
      <c r="BF82" s="106"/>
      <c r="BG82" s="106"/>
      <c r="BH82" s="106"/>
      <c r="BI82" s="106"/>
      <c r="BJ82" s="106"/>
      <c r="BK82" s="106"/>
      <c r="BL82" s="106"/>
      <c r="BM82" s="106"/>
      <c r="BN82" s="106"/>
      <c r="BO82" s="106"/>
      <c r="BP82" s="106"/>
      <c r="BQ82" s="106"/>
      <c r="BR82" s="106"/>
      <c r="BS82" s="106"/>
      <c r="BT82" s="106"/>
      <c r="BU82" s="106"/>
      <c r="BV82" s="106"/>
      <c r="BW82" s="106"/>
      <c r="BX82" s="106"/>
      <c r="BY82" s="106"/>
      <c r="BZ82" s="106"/>
      <c r="CA82" s="106"/>
      <c r="CB82" s="106"/>
      <c r="CC82" s="106"/>
      <c r="CD82" s="106"/>
      <c r="CE82" s="106"/>
      <c r="CF82" s="106"/>
      <c r="CG82" s="106"/>
      <c r="CH82" s="106"/>
      <c r="CI82" s="106"/>
      <c r="CJ82" s="106"/>
      <c r="CK82" s="106"/>
      <c r="CL82" s="106"/>
      <c r="CM82" s="106"/>
      <c r="CN82" s="106"/>
      <c r="CO82" s="106"/>
      <c r="CP82" s="106"/>
      <c r="CQ82" s="106"/>
      <c r="CR82" s="106"/>
      <c r="CS82" s="106"/>
      <c r="CT82" s="106"/>
      <c r="CU82" s="106"/>
      <c r="CV82" s="106"/>
      <c r="CW82" s="106"/>
      <c r="CX82" s="106"/>
      <c r="CY82" s="106"/>
      <c r="CZ82" s="106"/>
      <c r="DA82" s="106"/>
      <c r="DB82" s="106"/>
      <c r="DC82" s="106"/>
      <c r="DD82" s="106"/>
      <c r="DE82" s="106"/>
      <c r="DF82" s="106"/>
      <c r="DG82" s="106"/>
      <c r="DH82" s="106"/>
      <c r="DI82" s="106"/>
      <c r="DJ82" s="106"/>
      <c r="DK82" s="106"/>
      <c r="DL82" s="106"/>
      <c r="DM82" s="106"/>
      <c r="DN82" s="106"/>
      <c r="DO82" s="106"/>
      <c r="DP82" s="106"/>
      <c r="DQ82" s="106"/>
      <c r="DR82" s="106"/>
      <c r="DS82" s="106"/>
      <c r="DT82" s="106"/>
      <c r="DU82" s="106"/>
      <c r="DV82" s="106"/>
      <c r="DW82" s="106"/>
      <c r="DX82" s="106"/>
      <c r="DY82" s="106"/>
      <c r="DZ82" s="106"/>
      <c r="EA82" s="106"/>
      <c r="EB82" s="106"/>
      <c r="EC82" s="106"/>
      <c r="ED82" s="106"/>
      <c r="EE82" s="106"/>
      <c r="EF82" s="106"/>
      <c r="EG82" s="106"/>
      <c r="EH82" s="106"/>
      <c r="EI82" s="106"/>
      <c r="EJ82" s="106"/>
      <c r="EK82" s="106"/>
      <c r="EL82" s="106"/>
      <c r="EM82" s="106"/>
      <c r="EN82" s="106"/>
      <c r="EO82" s="106"/>
      <c r="EP82" s="106"/>
      <c r="EQ82" s="106"/>
      <c r="ER82" s="106"/>
      <c r="ES82" s="106"/>
      <c r="ET82" s="106"/>
      <c r="EU82" s="106"/>
      <c r="EV82" s="106"/>
      <c r="EW82" s="106"/>
      <c r="EX82" s="106"/>
      <c r="EY82" s="106"/>
      <c r="EZ82" s="106"/>
      <c r="FA82" s="106"/>
      <c r="FB82" s="106"/>
      <c r="FC82" s="106"/>
      <c r="FD82" s="106"/>
      <c r="FE82" s="106"/>
      <c r="FF82" s="106"/>
      <c r="FG82" s="106"/>
      <c r="FH82" s="106"/>
      <c r="FI82" s="106"/>
      <c r="FJ82" s="106"/>
      <c r="FK82" s="106"/>
      <c r="FL82" s="106"/>
      <c r="FM82" s="106"/>
      <c r="FN82" s="106"/>
      <c r="FO82" s="106"/>
      <c r="FP82" s="106"/>
      <c r="FQ82" s="106"/>
      <c r="FR82" s="106"/>
      <c r="FS82" s="106"/>
      <c r="FT82" s="106"/>
      <c r="FU82" s="106"/>
      <c r="FV82" s="106"/>
      <c r="FW82" s="106"/>
      <c r="FX82" s="106"/>
      <c r="FY82" s="106"/>
      <c r="FZ82" s="106"/>
      <c r="GA82" s="106"/>
      <c r="GB82" s="106"/>
      <c r="GC82" s="106"/>
      <c r="GD82" s="106"/>
      <c r="GE82" s="106"/>
      <c r="GF82" s="106"/>
      <c r="GG82" s="106"/>
      <c r="GH82" s="106"/>
      <c r="GI82" s="106"/>
      <c r="GJ82" s="106"/>
      <c r="GK82" s="106"/>
      <c r="GL82" s="106"/>
      <c r="GM82" s="106"/>
      <c r="GN82" s="106"/>
      <c r="GO82" s="106"/>
      <c r="GP82" s="106"/>
      <c r="GQ82" s="106"/>
      <c r="GR82" s="106"/>
      <c r="GS82" s="106"/>
      <c r="GT82" s="106"/>
      <c r="GU82" s="106"/>
      <c r="GV82" s="106"/>
      <c r="GW82" s="106"/>
      <c r="GX82" s="106"/>
      <c r="GY82" s="106"/>
      <c r="GZ82" s="106"/>
      <c r="HA82" s="106"/>
      <c r="HB82" s="106"/>
      <c r="HC82" s="106"/>
      <c r="HD82" s="106"/>
      <c r="HE82" s="106"/>
      <c r="HF82" s="106"/>
      <c r="HG82" s="106"/>
      <c r="HH82" s="106"/>
      <c r="HI82" s="106"/>
      <c r="HJ82" s="106"/>
      <c r="HK82" s="106"/>
      <c r="HL82" s="106"/>
      <c r="HM82" s="106"/>
      <c r="HN82" s="106"/>
      <c r="HO82" s="106"/>
      <c r="HP82" s="106"/>
      <c r="HQ82" s="106"/>
      <c r="HR82" s="106"/>
      <c r="HS82" s="106"/>
      <c r="HT82" s="106"/>
      <c r="HU82" s="106"/>
      <c r="HV82" s="106"/>
      <c r="HW82" s="106"/>
      <c r="HX82" s="106"/>
      <c r="HY82" s="106"/>
      <c r="HZ82" s="106"/>
      <c r="IA82" s="106"/>
      <c r="IB82" s="106"/>
      <c r="IC82" s="106"/>
      <c r="ID82" s="106"/>
      <c r="IE82" s="106"/>
      <c r="IF82" s="106"/>
      <c r="IG82" s="106"/>
      <c r="IH82" s="106"/>
      <c r="II82" s="106"/>
      <c r="IJ82" s="106"/>
      <c r="IK82" s="106"/>
      <c r="IL82" s="106"/>
      <c r="IM82" s="106"/>
      <c r="IN82" s="106"/>
      <c r="IO82" s="106"/>
      <c r="IP82" s="106"/>
      <c r="IQ82" s="106"/>
      <c r="IR82" s="106"/>
      <c r="IS82" s="106"/>
      <c r="IT82" s="106"/>
      <c r="IU82" s="106"/>
      <c r="IV82" s="106"/>
      <c r="IW82" s="106"/>
      <c r="IX82" s="106"/>
    </row>
    <row r="83" s="105" customFormat="1" spans="1:258">
      <c r="A83" s="125"/>
      <c r="B83" s="125"/>
      <c r="C83" s="125"/>
      <c r="D83" s="125"/>
      <c r="E83" s="125"/>
      <c r="F83" s="125"/>
      <c r="G83" s="125"/>
      <c r="H83" s="125"/>
      <c r="I83" s="125"/>
      <c r="J83" s="133"/>
      <c r="K83" s="134"/>
      <c r="L83" s="134"/>
      <c r="M83" s="134"/>
      <c r="N83" s="134"/>
      <c r="O83" s="134"/>
      <c r="P83" s="155"/>
      <c r="Q83" s="155"/>
      <c r="R83" s="134"/>
      <c r="S83" s="134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06"/>
      <c r="AJ83" s="106"/>
      <c r="AK83" s="106"/>
      <c r="AL83" s="106"/>
      <c r="AM83" s="106"/>
      <c r="AN83" s="106"/>
      <c r="AO83" s="106"/>
      <c r="AP83" s="106"/>
      <c r="AQ83" s="106"/>
      <c r="AR83" s="106"/>
      <c r="AS83" s="106"/>
      <c r="AT83" s="106"/>
      <c r="AU83" s="106"/>
      <c r="AV83" s="106"/>
      <c r="AW83" s="106"/>
      <c r="AX83" s="106"/>
      <c r="AY83" s="106"/>
      <c r="AZ83" s="106"/>
      <c r="BA83" s="106"/>
      <c r="BB83" s="106"/>
      <c r="BC83" s="106"/>
      <c r="BD83" s="106"/>
      <c r="BE83" s="106"/>
      <c r="BF83" s="106"/>
      <c r="BG83" s="106"/>
      <c r="BH83" s="106"/>
      <c r="BI83" s="106"/>
      <c r="BJ83" s="106"/>
      <c r="BK83" s="106"/>
      <c r="BL83" s="106"/>
      <c r="BM83" s="106"/>
      <c r="BN83" s="106"/>
      <c r="BO83" s="106"/>
      <c r="BP83" s="106"/>
      <c r="BQ83" s="106"/>
      <c r="BR83" s="106"/>
      <c r="BS83" s="106"/>
      <c r="BT83" s="106"/>
      <c r="BU83" s="106"/>
      <c r="BV83" s="106"/>
      <c r="BW83" s="106"/>
      <c r="BX83" s="106"/>
      <c r="BY83" s="106"/>
      <c r="BZ83" s="106"/>
      <c r="CA83" s="106"/>
      <c r="CB83" s="106"/>
      <c r="CC83" s="106"/>
      <c r="CD83" s="106"/>
      <c r="CE83" s="106"/>
      <c r="CF83" s="106"/>
      <c r="CG83" s="106"/>
      <c r="CH83" s="106"/>
      <c r="CI83" s="106"/>
      <c r="CJ83" s="106"/>
      <c r="CK83" s="106"/>
      <c r="CL83" s="106"/>
      <c r="CM83" s="106"/>
      <c r="CN83" s="106"/>
      <c r="CO83" s="106"/>
      <c r="CP83" s="106"/>
      <c r="CQ83" s="106"/>
      <c r="CR83" s="106"/>
      <c r="CS83" s="106"/>
      <c r="CT83" s="106"/>
      <c r="CU83" s="106"/>
      <c r="CV83" s="106"/>
      <c r="CW83" s="106"/>
      <c r="CX83" s="106"/>
      <c r="CY83" s="106"/>
      <c r="CZ83" s="106"/>
      <c r="DA83" s="106"/>
      <c r="DB83" s="106"/>
      <c r="DC83" s="106"/>
      <c r="DD83" s="106"/>
      <c r="DE83" s="106"/>
      <c r="DF83" s="106"/>
      <c r="DG83" s="106"/>
      <c r="DH83" s="106"/>
      <c r="DI83" s="106"/>
      <c r="DJ83" s="106"/>
      <c r="DK83" s="106"/>
      <c r="DL83" s="106"/>
      <c r="DM83" s="106"/>
      <c r="DN83" s="106"/>
      <c r="DO83" s="106"/>
      <c r="DP83" s="106"/>
      <c r="DQ83" s="106"/>
      <c r="DR83" s="106"/>
      <c r="DS83" s="106"/>
      <c r="DT83" s="106"/>
      <c r="DU83" s="106"/>
      <c r="DV83" s="106"/>
      <c r="DW83" s="106"/>
      <c r="DX83" s="106"/>
      <c r="DY83" s="106"/>
      <c r="DZ83" s="106"/>
      <c r="EA83" s="106"/>
      <c r="EB83" s="106"/>
      <c r="EC83" s="106"/>
      <c r="ED83" s="106"/>
      <c r="EE83" s="106"/>
      <c r="EF83" s="106"/>
      <c r="EG83" s="106"/>
      <c r="EH83" s="106"/>
      <c r="EI83" s="106"/>
      <c r="EJ83" s="106"/>
      <c r="EK83" s="106"/>
      <c r="EL83" s="106"/>
      <c r="EM83" s="106"/>
      <c r="EN83" s="106"/>
      <c r="EO83" s="106"/>
      <c r="EP83" s="106"/>
      <c r="EQ83" s="106"/>
      <c r="ER83" s="106"/>
      <c r="ES83" s="106"/>
      <c r="ET83" s="106"/>
      <c r="EU83" s="106"/>
      <c r="EV83" s="106"/>
      <c r="EW83" s="106"/>
      <c r="EX83" s="106"/>
      <c r="EY83" s="106"/>
      <c r="EZ83" s="106"/>
      <c r="FA83" s="106"/>
      <c r="FB83" s="106"/>
      <c r="FC83" s="106"/>
      <c r="FD83" s="106"/>
      <c r="FE83" s="106"/>
      <c r="FF83" s="106"/>
      <c r="FG83" s="106"/>
      <c r="FH83" s="106"/>
      <c r="FI83" s="106"/>
      <c r="FJ83" s="106"/>
      <c r="FK83" s="106"/>
      <c r="FL83" s="106"/>
      <c r="FM83" s="106"/>
      <c r="FN83" s="106"/>
      <c r="FO83" s="106"/>
      <c r="FP83" s="106"/>
      <c r="FQ83" s="106"/>
      <c r="FR83" s="106"/>
      <c r="FS83" s="106"/>
      <c r="FT83" s="106"/>
      <c r="FU83" s="106"/>
      <c r="FV83" s="106"/>
      <c r="FW83" s="106"/>
      <c r="FX83" s="106"/>
      <c r="FY83" s="106"/>
      <c r="FZ83" s="106"/>
      <c r="GA83" s="106"/>
      <c r="GB83" s="106"/>
      <c r="GC83" s="106"/>
      <c r="GD83" s="106"/>
      <c r="GE83" s="106"/>
      <c r="GF83" s="106"/>
      <c r="GG83" s="106"/>
      <c r="GH83" s="106"/>
      <c r="GI83" s="106"/>
      <c r="GJ83" s="106"/>
      <c r="GK83" s="106"/>
      <c r="GL83" s="106"/>
      <c r="GM83" s="106"/>
      <c r="GN83" s="106"/>
      <c r="GO83" s="106"/>
      <c r="GP83" s="106"/>
      <c r="GQ83" s="106"/>
      <c r="GR83" s="106"/>
      <c r="GS83" s="106"/>
      <c r="GT83" s="106"/>
      <c r="GU83" s="106"/>
      <c r="GV83" s="106"/>
      <c r="GW83" s="106"/>
      <c r="GX83" s="106"/>
      <c r="GY83" s="106"/>
      <c r="GZ83" s="106"/>
      <c r="HA83" s="106"/>
      <c r="HB83" s="106"/>
      <c r="HC83" s="106"/>
      <c r="HD83" s="106"/>
      <c r="HE83" s="106"/>
      <c r="HF83" s="106"/>
      <c r="HG83" s="106"/>
      <c r="HH83" s="106"/>
      <c r="HI83" s="106"/>
      <c r="HJ83" s="106"/>
      <c r="HK83" s="106"/>
      <c r="HL83" s="106"/>
      <c r="HM83" s="106"/>
      <c r="HN83" s="106"/>
      <c r="HO83" s="106"/>
      <c r="HP83" s="106"/>
      <c r="HQ83" s="106"/>
      <c r="HR83" s="106"/>
      <c r="HS83" s="106"/>
      <c r="HT83" s="106"/>
      <c r="HU83" s="106"/>
      <c r="HV83" s="106"/>
      <c r="HW83" s="106"/>
      <c r="HX83" s="106"/>
      <c r="HY83" s="106"/>
      <c r="HZ83" s="106"/>
      <c r="IA83" s="106"/>
      <c r="IB83" s="106"/>
      <c r="IC83" s="106"/>
      <c r="ID83" s="106"/>
      <c r="IE83" s="106"/>
      <c r="IF83" s="106"/>
      <c r="IG83" s="106"/>
      <c r="IH83" s="106"/>
      <c r="II83" s="106"/>
      <c r="IJ83" s="106"/>
      <c r="IK83" s="106"/>
      <c r="IL83" s="106"/>
      <c r="IM83" s="106"/>
      <c r="IN83" s="106"/>
      <c r="IO83" s="106"/>
      <c r="IP83" s="106"/>
      <c r="IQ83" s="106"/>
      <c r="IR83" s="106"/>
      <c r="IS83" s="106"/>
      <c r="IT83" s="106"/>
      <c r="IU83" s="106"/>
      <c r="IV83" s="106"/>
      <c r="IW83" s="106"/>
      <c r="IX83" s="106"/>
    </row>
    <row r="84" s="105" customFormat="1" spans="1:258">
      <c r="A84" s="125"/>
      <c r="B84" s="125"/>
      <c r="C84" s="125"/>
      <c r="D84" s="125"/>
      <c r="E84" s="125"/>
      <c r="F84" s="125"/>
      <c r="G84" s="125"/>
      <c r="H84" s="125"/>
      <c r="I84" s="125"/>
      <c r="J84" s="133"/>
      <c r="K84" s="134"/>
      <c r="L84" s="134"/>
      <c r="M84" s="134"/>
      <c r="N84" s="134"/>
      <c r="O84" s="134"/>
      <c r="P84" s="155"/>
      <c r="Q84" s="155"/>
      <c r="R84" s="134"/>
      <c r="S84" s="134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106"/>
      <c r="AJ84" s="106"/>
      <c r="AK84" s="106"/>
      <c r="AL84" s="106"/>
      <c r="AM84" s="106"/>
      <c r="AN84" s="106"/>
      <c r="AO84" s="106"/>
      <c r="AP84" s="106"/>
      <c r="AQ84" s="106"/>
      <c r="AR84" s="106"/>
      <c r="AS84" s="106"/>
      <c r="AT84" s="106"/>
      <c r="AU84" s="106"/>
      <c r="AV84" s="106"/>
      <c r="AW84" s="106"/>
      <c r="AX84" s="106"/>
      <c r="AY84" s="106"/>
      <c r="AZ84" s="106"/>
      <c r="BA84" s="106"/>
      <c r="BB84" s="106"/>
      <c r="BC84" s="106"/>
      <c r="BD84" s="106"/>
      <c r="BE84" s="106"/>
      <c r="BF84" s="106"/>
      <c r="BG84" s="106"/>
      <c r="BH84" s="106"/>
      <c r="BI84" s="106"/>
      <c r="BJ84" s="106"/>
      <c r="BK84" s="106"/>
      <c r="BL84" s="106"/>
      <c r="BM84" s="106"/>
      <c r="BN84" s="106"/>
      <c r="BO84" s="106"/>
      <c r="BP84" s="106"/>
      <c r="BQ84" s="106"/>
      <c r="BR84" s="106"/>
      <c r="BS84" s="106"/>
      <c r="BT84" s="106"/>
      <c r="BU84" s="106"/>
      <c r="BV84" s="106"/>
      <c r="BW84" s="106"/>
      <c r="BX84" s="106"/>
      <c r="BY84" s="106"/>
      <c r="BZ84" s="106"/>
      <c r="CA84" s="106"/>
      <c r="CB84" s="106"/>
      <c r="CC84" s="106"/>
      <c r="CD84" s="106"/>
      <c r="CE84" s="106"/>
      <c r="CF84" s="106"/>
      <c r="CG84" s="106"/>
      <c r="CH84" s="106"/>
      <c r="CI84" s="106"/>
      <c r="CJ84" s="106"/>
      <c r="CK84" s="106"/>
      <c r="CL84" s="106"/>
      <c r="CM84" s="106"/>
      <c r="CN84" s="106"/>
      <c r="CO84" s="106"/>
      <c r="CP84" s="106"/>
      <c r="CQ84" s="106"/>
      <c r="CR84" s="106"/>
      <c r="CS84" s="106"/>
      <c r="CT84" s="106"/>
      <c r="CU84" s="106"/>
      <c r="CV84" s="106"/>
      <c r="CW84" s="106"/>
      <c r="CX84" s="106"/>
      <c r="CY84" s="106"/>
      <c r="CZ84" s="106"/>
      <c r="DA84" s="106"/>
      <c r="DB84" s="106"/>
      <c r="DC84" s="106"/>
      <c r="DD84" s="106"/>
      <c r="DE84" s="106"/>
      <c r="DF84" s="106"/>
      <c r="DG84" s="106"/>
      <c r="DH84" s="106"/>
      <c r="DI84" s="106"/>
      <c r="DJ84" s="106"/>
      <c r="DK84" s="106"/>
      <c r="DL84" s="106"/>
      <c r="DM84" s="106"/>
      <c r="DN84" s="106"/>
      <c r="DO84" s="106"/>
      <c r="DP84" s="106"/>
      <c r="DQ84" s="106"/>
      <c r="DR84" s="106"/>
      <c r="DS84" s="106"/>
      <c r="DT84" s="106"/>
      <c r="DU84" s="106"/>
      <c r="DV84" s="106"/>
      <c r="DW84" s="106"/>
      <c r="DX84" s="106"/>
      <c r="DY84" s="106"/>
      <c r="DZ84" s="106"/>
      <c r="EA84" s="106"/>
      <c r="EB84" s="106"/>
      <c r="EC84" s="106"/>
      <c r="ED84" s="106"/>
      <c r="EE84" s="106"/>
      <c r="EF84" s="106"/>
      <c r="EG84" s="106"/>
      <c r="EH84" s="106"/>
      <c r="EI84" s="106"/>
      <c r="EJ84" s="106"/>
      <c r="EK84" s="106"/>
      <c r="EL84" s="106"/>
      <c r="EM84" s="106"/>
      <c r="EN84" s="106"/>
      <c r="EO84" s="106"/>
      <c r="EP84" s="106"/>
      <c r="EQ84" s="106"/>
      <c r="ER84" s="106"/>
      <c r="ES84" s="106"/>
      <c r="ET84" s="106"/>
      <c r="EU84" s="106"/>
      <c r="EV84" s="106"/>
      <c r="EW84" s="106"/>
      <c r="EX84" s="106"/>
      <c r="EY84" s="106"/>
      <c r="EZ84" s="106"/>
      <c r="FA84" s="106"/>
      <c r="FB84" s="106"/>
      <c r="FC84" s="106"/>
      <c r="FD84" s="106"/>
      <c r="FE84" s="106"/>
      <c r="FF84" s="106"/>
      <c r="FG84" s="106"/>
      <c r="FH84" s="106"/>
      <c r="FI84" s="106"/>
      <c r="FJ84" s="106"/>
      <c r="FK84" s="106"/>
      <c r="FL84" s="106"/>
      <c r="FM84" s="106"/>
      <c r="FN84" s="106"/>
      <c r="FO84" s="106"/>
      <c r="FP84" s="106"/>
      <c r="FQ84" s="106"/>
      <c r="FR84" s="106"/>
      <c r="FS84" s="106"/>
      <c r="FT84" s="106"/>
      <c r="FU84" s="106"/>
      <c r="FV84" s="106"/>
      <c r="FW84" s="106"/>
      <c r="FX84" s="106"/>
      <c r="FY84" s="106"/>
      <c r="FZ84" s="106"/>
      <c r="GA84" s="106"/>
      <c r="GB84" s="106"/>
      <c r="GC84" s="106"/>
      <c r="GD84" s="106"/>
      <c r="GE84" s="106"/>
      <c r="GF84" s="106"/>
      <c r="GG84" s="106"/>
      <c r="GH84" s="106"/>
      <c r="GI84" s="106"/>
      <c r="GJ84" s="106"/>
      <c r="GK84" s="106"/>
      <c r="GL84" s="106"/>
      <c r="GM84" s="106"/>
      <c r="GN84" s="106"/>
      <c r="GO84" s="106"/>
      <c r="GP84" s="106"/>
      <c r="GQ84" s="106"/>
      <c r="GR84" s="106"/>
      <c r="GS84" s="106"/>
      <c r="GT84" s="106"/>
      <c r="GU84" s="106"/>
      <c r="GV84" s="106"/>
      <c r="GW84" s="106"/>
      <c r="GX84" s="106"/>
      <c r="GY84" s="106"/>
      <c r="GZ84" s="106"/>
      <c r="HA84" s="106"/>
      <c r="HB84" s="106"/>
      <c r="HC84" s="106"/>
      <c r="HD84" s="106"/>
      <c r="HE84" s="106"/>
      <c r="HF84" s="106"/>
      <c r="HG84" s="106"/>
      <c r="HH84" s="106"/>
      <c r="HI84" s="106"/>
      <c r="HJ84" s="106"/>
      <c r="HK84" s="106"/>
      <c r="HL84" s="106"/>
      <c r="HM84" s="106"/>
      <c r="HN84" s="106"/>
      <c r="HO84" s="106"/>
      <c r="HP84" s="106"/>
      <c r="HQ84" s="106"/>
      <c r="HR84" s="106"/>
      <c r="HS84" s="106"/>
      <c r="HT84" s="106"/>
      <c r="HU84" s="106"/>
      <c r="HV84" s="106"/>
      <c r="HW84" s="106"/>
      <c r="HX84" s="106"/>
      <c r="HY84" s="106"/>
      <c r="HZ84" s="106"/>
      <c r="IA84" s="106"/>
      <c r="IB84" s="106"/>
      <c r="IC84" s="106"/>
      <c r="ID84" s="106"/>
      <c r="IE84" s="106"/>
      <c r="IF84" s="106"/>
      <c r="IG84" s="106"/>
      <c r="IH84" s="106"/>
      <c r="II84" s="106"/>
      <c r="IJ84" s="106"/>
      <c r="IK84" s="106"/>
      <c r="IL84" s="106"/>
      <c r="IM84" s="106"/>
      <c r="IN84" s="106"/>
      <c r="IO84" s="106"/>
      <c r="IP84" s="106"/>
      <c r="IQ84" s="106"/>
      <c r="IR84" s="106"/>
      <c r="IS84" s="106"/>
      <c r="IT84" s="106"/>
      <c r="IU84" s="106"/>
      <c r="IV84" s="106"/>
      <c r="IW84" s="106"/>
      <c r="IX84" s="106"/>
    </row>
    <row r="85" s="105" customFormat="1" spans="1:258">
      <c r="A85" s="125"/>
      <c r="B85" s="125"/>
      <c r="C85" s="125"/>
      <c r="D85" s="125"/>
      <c r="E85" s="125"/>
      <c r="F85" s="125"/>
      <c r="G85" s="125"/>
      <c r="H85" s="125"/>
      <c r="I85" s="125"/>
      <c r="J85" s="133"/>
      <c r="K85" s="134"/>
      <c r="L85" s="134"/>
      <c r="M85" s="134"/>
      <c r="N85" s="134"/>
      <c r="O85" s="134"/>
      <c r="P85" s="155"/>
      <c r="Q85" s="155"/>
      <c r="R85" s="134"/>
      <c r="S85" s="134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106"/>
      <c r="AJ85" s="106"/>
      <c r="AK85" s="106"/>
      <c r="AL85" s="106"/>
      <c r="AM85" s="106"/>
      <c r="AN85" s="106"/>
      <c r="AO85" s="106"/>
      <c r="AP85" s="106"/>
      <c r="AQ85" s="106"/>
      <c r="AR85" s="106"/>
      <c r="AS85" s="106"/>
      <c r="AT85" s="106"/>
      <c r="AU85" s="106"/>
      <c r="AV85" s="106"/>
      <c r="AW85" s="106"/>
      <c r="AX85" s="106"/>
      <c r="AY85" s="106"/>
      <c r="AZ85" s="106"/>
      <c r="BA85" s="106"/>
      <c r="BB85" s="106"/>
      <c r="BC85" s="106"/>
      <c r="BD85" s="106"/>
      <c r="BE85" s="106"/>
      <c r="BF85" s="106"/>
      <c r="BG85" s="106"/>
      <c r="BH85" s="106"/>
      <c r="BI85" s="106"/>
      <c r="BJ85" s="106"/>
      <c r="BK85" s="106"/>
      <c r="BL85" s="106"/>
      <c r="BM85" s="106"/>
      <c r="BN85" s="106"/>
      <c r="BO85" s="106"/>
      <c r="BP85" s="106"/>
      <c r="BQ85" s="106"/>
      <c r="BR85" s="106"/>
      <c r="BS85" s="106"/>
      <c r="BT85" s="106"/>
      <c r="BU85" s="106"/>
      <c r="BV85" s="106"/>
      <c r="BW85" s="106"/>
      <c r="BX85" s="106"/>
      <c r="BY85" s="106"/>
      <c r="BZ85" s="106"/>
      <c r="CA85" s="106"/>
      <c r="CB85" s="106"/>
      <c r="CC85" s="106"/>
      <c r="CD85" s="106"/>
      <c r="CE85" s="106"/>
      <c r="CF85" s="106"/>
      <c r="CG85" s="106"/>
      <c r="CH85" s="106"/>
      <c r="CI85" s="106"/>
      <c r="CJ85" s="106"/>
      <c r="CK85" s="106"/>
      <c r="CL85" s="106"/>
      <c r="CM85" s="106"/>
      <c r="CN85" s="106"/>
      <c r="CO85" s="106"/>
      <c r="CP85" s="106"/>
      <c r="CQ85" s="106"/>
      <c r="CR85" s="106"/>
      <c r="CS85" s="106"/>
      <c r="CT85" s="106"/>
      <c r="CU85" s="106"/>
      <c r="CV85" s="106"/>
      <c r="CW85" s="106"/>
      <c r="CX85" s="106"/>
      <c r="CY85" s="106"/>
      <c r="CZ85" s="106"/>
      <c r="DA85" s="106"/>
      <c r="DB85" s="106"/>
      <c r="DC85" s="106"/>
      <c r="DD85" s="106"/>
      <c r="DE85" s="106"/>
      <c r="DF85" s="106"/>
      <c r="DG85" s="106"/>
      <c r="DH85" s="106"/>
      <c r="DI85" s="106"/>
      <c r="DJ85" s="106"/>
      <c r="DK85" s="106"/>
      <c r="DL85" s="106"/>
      <c r="DM85" s="106"/>
      <c r="DN85" s="106"/>
      <c r="DO85" s="106"/>
      <c r="DP85" s="106"/>
      <c r="DQ85" s="106"/>
      <c r="DR85" s="106"/>
      <c r="DS85" s="106"/>
      <c r="DT85" s="106"/>
      <c r="DU85" s="106"/>
      <c r="DV85" s="106"/>
      <c r="DW85" s="106"/>
      <c r="DX85" s="106"/>
      <c r="DY85" s="106"/>
      <c r="DZ85" s="106"/>
      <c r="EA85" s="106"/>
      <c r="EB85" s="106"/>
      <c r="EC85" s="106"/>
      <c r="ED85" s="106"/>
      <c r="EE85" s="106"/>
      <c r="EF85" s="106"/>
      <c r="EG85" s="106"/>
      <c r="EH85" s="106"/>
      <c r="EI85" s="106"/>
      <c r="EJ85" s="106"/>
      <c r="EK85" s="106"/>
      <c r="EL85" s="106"/>
      <c r="EM85" s="106"/>
      <c r="EN85" s="106"/>
      <c r="EO85" s="106"/>
      <c r="EP85" s="106"/>
      <c r="EQ85" s="106"/>
      <c r="ER85" s="106"/>
      <c r="ES85" s="106"/>
      <c r="ET85" s="106"/>
      <c r="EU85" s="106"/>
      <c r="EV85" s="106"/>
      <c r="EW85" s="106"/>
      <c r="EX85" s="106"/>
      <c r="EY85" s="106"/>
      <c r="EZ85" s="106"/>
      <c r="FA85" s="106"/>
      <c r="FB85" s="106"/>
      <c r="FC85" s="106"/>
      <c r="FD85" s="106"/>
      <c r="FE85" s="106"/>
      <c r="FF85" s="106"/>
      <c r="FG85" s="106"/>
      <c r="FH85" s="106"/>
      <c r="FI85" s="106"/>
      <c r="FJ85" s="106"/>
      <c r="FK85" s="106"/>
      <c r="FL85" s="106"/>
      <c r="FM85" s="106"/>
      <c r="FN85" s="106"/>
      <c r="FO85" s="106"/>
      <c r="FP85" s="106"/>
      <c r="FQ85" s="106"/>
      <c r="FR85" s="106"/>
      <c r="FS85" s="106"/>
      <c r="FT85" s="106"/>
      <c r="FU85" s="106"/>
      <c r="FV85" s="106"/>
      <c r="FW85" s="106"/>
      <c r="FX85" s="106"/>
      <c r="FY85" s="106"/>
      <c r="FZ85" s="106"/>
      <c r="GA85" s="106"/>
      <c r="GB85" s="106"/>
      <c r="GC85" s="106"/>
      <c r="GD85" s="106"/>
      <c r="GE85" s="106"/>
      <c r="GF85" s="106"/>
      <c r="GG85" s="106"/>
      <c r="GH85" s="106"/>
      <c r="GI85" s="106"/>
      <c r="GJ85" s="106"/>
      <c r="GK85" s="106"/>
      <c r="GL85" s="106"/>
      <c r="GM85" s="106"/>
      <c r="GN85" s="106"/>
      <c r="GO85" s="106"/>
      <c r="GP85" s="106"/>
      <c r="GQ85" s="106"/>
      <c r="GR85" s="106"/>
      <c r="GS85" s="106"/>
      <c r="GT85" s="106"/>
      <c r="GU85" s="106"/>
      <c r="GV85" s="106"/>
      <c r="GW85" s="106"/>
      <c r="GX85" s="106"/>
      <c r="GY85" s="106"/>
      <c r="GZ85" s="106"/>
      <c r="HA85" s="106"/>
      <c r="HB85" s="106"/>
      <c r="HC85" s="106"/>
      <c r="HD85" s="106"/>
      <c r="HE85" s="106"/>
      <c r="HF85" s="106"/>
      <c r="HG85" s="106"/>
      <c r="HH85" s="106"/>
      <c r="HI85" s="106"/>
      <c r="HJ85" s="106"/>
      <c r="HK85" s="106"/>
      <c r="HL85" s="106"/>
      <c r="HM85" s="106"/>
      <c r="HN85" s="106"/>
      <c r="HO85" s="106"/>
      <c r="HP85" s="106"/>
      <c r="HQ85" s="106"/>
      <c r="HR85" s="106"/>
      <c r="HS85" s="106"/>
      <c r="HT85" s="106"/>
      <c r="HU85" s="106"/>
      <c r="HV85" s="106"/>
      <c r="HW85" s="106"/>
      <c r="HX85" s="106"/>
      <c r="HY85" s="106"/>
      <c r="HZ85" s="106"/>
      <c r="IA85" s="106"/>
      <c r="IB85" s="106"/>
      <c r="IC85" s="106"/>
      <c r="ID85" s="106"/>
      <c r="IE85" s="106"/>
      <c r="IF85" s="106"/>
      <c r="IG85" s="106"/>
      <c r="IH85" s="106"/>
      <c r="II85" s="106"/>
      <c r="IJ85" s="106"/>
      <c r="IK85" s="106"/>
      <c r="IL85" s="106"/>
      <c r="IM85" s="106"/>
      <c r="IN85" s="106"/>
      <c r="IO85" s="106"/>
      <c r="IP85" s="106"/>
      <c r="IQ85" s="106"/>
      <c r="IR85" s="106"/>
      <c r="IS85" s="106"/>
      <c r="IT85" s="106"/>
      <c r="IU85" s="106"/>
      <c r="IV85" s="106"/>
      <c r="IW85" s="106"/>
      <c r="IX85" s="106"/>
    </row>
    <row r="86" s="105" customFormat="1" spans="1:258">
      <c r="A86" s="125"/>
      <c r="B86" s="125"/>
      <c r="C86" s="125"/>
      <c r="D86" s="125"/>
      <c r="E86" s="125"/>
      <c r="F86" s="125"/>
      <c r="G86" s="125"/>
      <c r="H86" s="125"/>
      <c r="I86" s="125"/>
      <c r="J86" s="133"/>
      <c r="K86" s="134"/>
      <c r="L86" s="134"/>
      <c r="M86" s="134"/>
      <c r="N86" s="134"/>
      <c r="O86" s="134"/>
      <c r="P86" s="155"/>
      <c r="Q86" s="155"/>
      <c r="R86" s="134"/>
      <c r="S86" s="134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  <c r="AI86" s="106"/>
      <c r="AJ86" s="106"/>
      <c r="AK86" s="106"/>
      <c r="AL86" s="106"/>
      <c r="AM86" s="106"/>
      <c r="AN86" s="106"/>
      <c r="AO86" s="106"/>
      <c r="AP86" s="106"/>
      <c r="AQ86" s="106"/>
      <c r="AR86" s="106"/>
      <c r="AS86" s="106"/>
      <c r="AT86" s="106"/>
      <c r="AU86" s="106"/>
      <c r="AV86" s="106"/>
      <c r="AW86" s="106"/>
      <c r="AX86" s="106"/>
      <c r="AY86" s="106"/>
      <c r="AZ86" s="106"/>
      <c r="BA86" s="106"/>
      <c r="BB86" s="106"/>
      <c r="BC86" s="106"/>
      <c r="BD86" s="106"/>
      <c r="BE86" s="106"/>
      <c r="BF86" s="106"/>
      <c r="BG86" s="106"/>
      <c r="BH86" s="106"/>
      <c r="BI86" s="106"/>
      <c r="BJ86" s="106"/>
      <c r="BK86" s="106"/>
      <c r="BL86" s="106"/>
      <c r="BM86" s="106"/>
      <c r="BN86" s="106"/>
      <c r="BO86" s="106"/>
      <c r="BP86" s="106"/>
      <c r="BQ86" s="106"/>
      <c r="BR86" s="106"/>
      <c r="BS86" s="106"/>
      <c r="BT86" s="106"/>
      <c r="BU86" s="106"/>
      <c r="BV86" s="106"/>
      <c r="BW86" s="106"/>
      <c r="BX86" s="106"/>
      <c r="BY86" s="106"/>
      <c r="BZ86" s="106"/>
      <c r="CA86" s="106"/>
      <c r="CB86" s="106"/>
      <c r="CC86" s="106"/>
      <c r="CD86" s="106"/>
      <c r="CE86" s="106"/>
      <c r="CF86" s="106"/>
      <c r="CG86" s="106"/>
      <c r="CH86" s="106"/>
      <c r="CI86" s="106"/>
      <c r="CJ86" s="106"/>
      <c r="CK86" s="106"/>
      <c r="CL86" s="106"/>
      <c r="CM86" s="106"/>
      <c r="CN86" s="106"/>
      <c r="CO86" s="106"/>
      <c r="CP86" s="106"/>
      <c r="CQ86" s="106"/>
      <c r="CR86" s="106"/>
      <c r="CS86" s="106"/>
      <c r="CT86" s="106"/>
      <c r="CU86" s="106"/>
      <c r="CV86" s="106"/>
      <c r="CW86" s="106"/>
      <c r="CX86" s="106"/>
      <c r="CY86" s="106"/>
      <c r="CZ86" s="106"/>
      <c r="DA86" s="106"/>
      <c r="DB86" s="106"/>
      <c r="DC86" s="106"/>
      <c r="DD86" s="106"/>
      <c r="DE86" s="106"/>
      <c r="DF86" s="106"/>
      <c r="DG86" s="106"/>
      <c r="DH86" s="106"/>
      <c r="DI86" s="106"/>
      <c r="DJ86" s="106"/>
      <c r="DK86" s="106"/>
      <c r="DL86" s="106"/>
      <c r="DM86" s="106"/>
      <c r="DN86" s="106"/>
      <c r="DO86" s="106"/>
      <c r="DP86" s="106"/>
      <c r="DQ86" s="106"/>
      <c r="DR86" s="106"/>
      <c r="DS86" s="106"/>
      <c r="DT86" s="106"/>
      <c r="DU86" s="106"/>
      <c r="DV86" s="106"/>
      <c r="DW86" s="106"/>
      <c r="DX86" s="106"/>
      <c r="DY86" s="106"/>
      <c r="DZ86" s="106"/>
      <c r="EA86" s="106"/>
      <c r="EB86" s="106"/>
      <c r="EC86" s="106"/>
      <c r="ED86" s="106"/>
      <c r="EE86" s="106"/>
      <c r="EF86" s="106"/>
      <c r="EG86" s="106"/>
      <c r="EH86" s="106"/>
      <c r="EI86" s="106"/>
      <c r="EJ86" s="106"/>
      <c r="EK86" s="106"/>
      <c r="EL86" s="106"/>
      <c r="EM86" s="106"/>
      <c r="EN86" s="106"/>
      <c r="EO86" s="106"/>
      <c r="EP86" s="106"/>
      <c r="EQ86" s="106"/>
      <c r="ER86" s="106"/>
      <c r="ES86" s="106"/>
      <c r="ET86" s="106"/>
      <c r="EU86" s="106"/>
      <c r="EV86" s="106"/>
      <c r="EW86" s="106"/>
      <c r="EX86" s="106"/>
      <c r="EY86" s="106"/>
      <c r="EZ86" s="106"/>
      <c r="FA86" s="106"/>
      <c r="FB86" s="106"/>
      <c r="FC86" s="106"/>
      <c r="FD86" s="106"/>
      <c r="FE86" s="106"/>
      <c r="FF86" s="106"/>
      <c r="FG86" s="106"/>
      <c r="FH86" s="106"/>
      <c r="FI86" s="106"/>
      <c r="FJ86" s="106"/>
      <c r="FK86" s="106"/>
      <c r="FL86" s="106"/>
      <c r="FM86" s="106"/>
      <c r="FN86" s="106"/>
      <c r="FO86" s="106"/>
      <c r="FP86" s="106"/>
      <c r="FQ86" s="106"/>
      <c r="FR86" s="106"/>
      <c r="FS86" s="106"/>
      <c r="FT86" s="106"/>
      <c r="FU86" s="106"/>
      <c r="FV86" s="106"/>
      <c r="FW86" s="106"/>
      <c r="FX86" s="106"/>
      <c r="FY86" s="106"/>
      <c r="FZ86" s="106"/>
      <c r="GA86" s="106"/>
      <c r="GB86" s="106"/>
      <c r="GC86" s="106"/>
      <c r="GD86" s="106"/>
      <c r="GE86" s="106"/>
      <c r="GF86" s="106"/>
      <c r="GG86" s="106"/>
      <c r="GH86" s="106"/>
      <c r="GI86" s="106"/>
      <c r="GJ86" s="106"/>
      <c r="GK86" s="106"/>
      <c r="GL86" s="106"/>
      <c r="GM86" s="106"/>
      <c r="GN86" s="106"/>
      <c r="GO86" s="106"/>
      <c r="GP86" s="106"/>
      <c r="GQ86" s="106"/>
      <c r="GR86" s="106"/>
      <c r="GS86" s="106"/>
      <c r="GT86" s="106"/>
      <c r="GU86" s="106"/>
      <c r="GV86" s="106"/>
      <c r="GW86" s="106"/>
      <c r="GX86" s="106"/>
      <c r="GY86" s="106"/>
      <c r="GZ86" s="106"/>
      <c r="HA86" s="106"/>
      <c r="HB86" s="106"/>
      <c r="HC86" s="106"/>
      <c r="HD86" s="106"/>
      <c r="HE86" s="106"/>
      <c r="HF86" s="106"/>
      <c r="HG86" s="106"/>
      <c r="HH86" s="106"/>
      <c r="HI86" s="106"/>
      <c r="HJ86" s="106"/>
      <c r="HK86" s="106"/>
      <c r="HL86" s="106"/>
      <c r="HM86" s="106"/>
      <c r="HN86" s="106"/>
      <c r="HO86" s="106"/>
      <c r="HP86" s="106"/>
      <c r="HQ86" s="106"/>
      <c r="HR86" s="106"/>
      <c r="HS86" s="106"/>
      <c r="HT86" s="106"/>
      <c r="HU86" s="106"/>
      <c r="HV86" s="106"/>
      <c r="HW86" s="106"/>
      <c r="HX86" s="106"/>
      <c r="HY86" s="106"/>
      <c r="HZ86" s="106"/>
      <c r="IA86" s="106"/>
      <c r="IB86" s="106"/>
      <c r="IC86" s="106"/>
      <c r="ID86" s="106"/>
      <c r="IE86" s="106"/>
      <c r="IF86" s="106"/>
      <c r="IG86" s="106"/>
      <c r="IH86" s="106"/>
      <c r="II86" s="106"/>
      <c r="IJ86" s="106"/>
      <c r="IK86" s="106"/>
      <c r="IL86" s="106"/>
      <c r="IM86" s="106"/>
      <c r="IN86" s="106"/>
      <c r="IO86" s="106"/>
      <c r="IP86" s="106"/>
      <c r="IQ86" s="106"/>
      <c r="IR86" s="106"/>
      <c r="IS86" s="106"/>
      <c r="IT86" s="106"/>
      <c r="IU86" s="106"/>
      <c r="IV86" s="106"/>
      <c r="IW86" s="106"/>
      <c r="IX86" s="106"/>
    </row>
    <row r="87" s="105" customFormat="1" spans="1:258">
      <c r="A87" s="125"/>
      <c r="B87" s="125"/>
      <c r="C87" s="125"/>
      <c r="D87" s="125"/>
      <c r="E87" s="125"/>
      <c r="F87" s="125"/>
      <c r="G87" s="125"/>
      <c r="H87" s="125"/>
      <c r="I87" s="125"/>
      <c r="J87" s="133"/>
      <c r="K87" s="134"/>
      <c r="L87" s="134"/>
      <c r="M87" s="134"/>
      <c r="N87" s="134"/>
      <c r="O87" s="134"/>
      <c r="P87" s="155"/>
      <c r="Q87" s="155"/>
      <c r="R87" s="134"/>
      <c r="S87" s="134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  <c r="AI87" s="106"/>
      <c r="AJ87" s="106"/>
      <c r="AK87" s="106"/>
      <c r="AL87" s="106"/>
      <c r="AM87" s="106"/>
      <c r="AN87" s="106"/>
      <c r="AO87" s="106"/>
      <c r="AP87" s="106"/>
      <c r="AQ87" s="106"/>
      <c r="AR87" s="106"/>
      <c r="AS87" s="106"/>
      <c r="AT87" s="106"/>
      <c r="AU87" s="106"/>
      <c r="AV87" s="106"/>
      <c r="AW87" s="106"/>
      <c r="AX87" s="106"/>
      <c r="AY87" s="106"/>
      <c r="AZ87" s="106"/>
      <c r="BA87" s="106"/>
      <c r="BB87" s="106"/>
      <c r="BC87" s="106"/>
      <c r="BD87" s="106"/>
      <c r="BE87" s="106"/>
      <c r="BF87" s="106"/>
      <c r="BG87" s="106"/>
      <c r="BH87" s="106"/>
      <c r="BI87" s="106"/>
      <c r="BJ87" s="106"/>
      <c r="BK87" s="106"/>
      <c r="BL87" s="106"/>
      <c r="BM87" s="106"/>
      <c r="BN87" s="106"/>
      <c r="BO87" s="106"/>
      <c r="BP87" s="106"/>
      <c r="BQ87" s="106"/>
      <c r="BR87" s="106"/>
      <c r="BS87" s="106"/>
      <c r="BT87" s="106"/>
      <c r="BU87" s="106"/>
      <c r="BV87" s="106"/>
      <c r="BW87" s="106"/>
      <c r="BX87" s="106"/>
      <c r="BY87" s="106"/>
      <c r="BZ87" s="106"/>
      <c r="CA87" s="106"/>
      <c r="CB87" s="106"/>
      <c r="CC87" s="106"/>
      <c r="CD87" s="106"/>
      <c r="CE87" s="106"/>
      <c r="CF87" s="106"/>
      <c r="CG87" s="106"/>
      <c r="CH87" s="106"/>
      <c r="CI87" s="106"/>
      <c r="CJ87" s="106"/>
      <c r="CK87" s="106"/>
      <c r="CL87" s="106"/>
      <c r="CM87" s="106"/>
      <c r="CN87" s="106"/>
      <c r="CO87" s="106"/>
      <c r="CP87" s="106"/>
      <c r="CQ87" s="106"/>
      <c r="CR87" s="106"/>
      <c r="CS87" s="106"/>
      <c r="CT87" s="106"/>
      <c r="CU87" s="106"/>
      <c r="CV87" s="106"/>
      <c r="CW87" s="106"/>
      <c r="CX87" s="106"/>
      <c r="CY87" s="106"/>
      <c r="CZ87" s="106"/>
      <c r="DA87" s="106"/>
      <c r="DB87" s="106"/>
      <c r="DC87" s="106"/>
      <c r="DD87" s="106"/>
      <c r="DE87" s="106"/>
      <c r="DF87" s="106"/>
      <c r="DG87" s="106"/>
      <c r="DH87" s="106"/>
      <c r="DI87" s="106"/>
      <c r="DJ87" s="106"/>
      <c r="DK87" s="106"/>
      <c r="DL87" s="106"/>
      <c r="DM87" s="106"/>
      <c r="DN87" s="106"/>
      <c r="DO87" s="106"/>
      <c r="DP87" s="106"/>
      <c r="DQ87" s="106"/>
      <c r="DR87" s="106"/>
      <c r="DS87" s="106"/>
      <c r="DT87" s="106"/>
      <c r="DU87" s="106"/>
      <c r="DV87" s="106"/>
      <c r="DW87" s="106"/>
      <c r="DX87" s="106"/>
      <c r="DY87" s="106"/>
      <c r="DZ87" s="106"/>
      <c r="EA87" s="106"/>
      <c r="EB87" s="106"/>
      <c r="EC87" s="106"/>
      <c r="ED87" s="106"/>
      <c r="EE87" s="106"/>
      <c r="EF87" s="106"/>
      <c r="EG87" s="106"/>
      <c r="EH87" s="106"/>
      <c r="EI87" s="106"/>
      <c r="EJ87" s="106"/>
      <c r="EK87" s="106"/>
      <c r="EL87" s="106"/>
      <c r="EM87" s="106"/>
      <c r="EN87" s="106"/>
      <c r="EO87" s="106"/>
      <c r="EP87" s="106"/>
      <c r="EQ87" s="106"/>
      <c r="ER87" s="106"/>
      <c r="ES87" s="106"/>
      <c r="ET87" s="106"/>
      <c r="EU87" s="106"/>
      <c r="EV87" s="106"/>
      <c r="EW87" s="106"/>
      <c r="EX87" s="106"/>
      <c r="EY87" s="106"/>
      <c r="EZ87" s="106"/>
      <c r="FA87" s="106"/>
      <c r="FB87" s="106"/>
      <c r="FC87" s="106"/>
      <c r="FD87" s="106"/>
      <c r="FE87" s="106"/>
      <c r="FF87" s="106"/>
      <c r="FG87" s="106"/>
      <c r="FH87" s="106"/>
      <c r="FI87" s="106"/>
      <c r="FJ87" s="106"/>
      <c r="FK87" s="106"/>
      <c r="FL87" s="106"/>
      <c r="FM87" s="106"/>
      <c r="FN87" s="106"/>
      <c r="FO87" s="106"/>
      <c r="FP87" s="106"/>
      <c r="FQ87" s="106"/>
      <c r="FR87" s="106"/>
      <c r="FS87" s="106"/>
      <c r="FT87" s="106"/>
      <c r="FU87" s="106"/>
      <c r="FV87" s="106"/>
      <c r="FW87" s="106"/>
      <c r="FX87" s="106"/>
      <c r="FY87" s="106"/>
      <c r="FZ87" s="106"/>
      <c r="GA87" s="106"/>
      <c r="GB87" s="106"/>
      <c r="GC87" s="106"/>
      <c r="GD87" s="106"/>
      <c r="GE87" s="106"/>
      <c r="GF87" s="106"/>
      <c r="GG87" s="106"/>
      <c r="GH87" s="106"/>
      <c r="GI87" s="106"/>
      <c r="GJ87" s="106"/>
      <c r="GK87" s="106"/>
      <c r="GL87" s="106"/>
      <c r="GM87" s="106"/>
      <c r="GN87" s="106"/>
      <c r="GO87" s="106"/>
      <c r="GP87" s="106"/>
      <c r="GQ87" s="106"/>
      <c r="GR87" s="106"/>
      <c r="GS87" s="106"/>
      <c r="GT87" s="106"/>
      <c r="GU87" s="106"/>
      <c r="GV87" s="106"/>
      <c r="GW87" s="106"/>
      <c r="GX87" s="106"/>
      <c r="GY87" s="106"/>
      <c r="GZ87" s="106"/>
      <c r="HA87" s="106"/>
      <c r="HB87" s="106"/>
      <c r="HC87" s="106"/>
      <c r="HD87" s="106"/>
      <c r="HE87" s="106"/>
      <c r="HF87" s="106"/>
      <c r="HG87" s="106"/>
      <c r="HH87" s="106"/>
      <c r="HI87" s="106"/>
      <c r="HJ87" s="106"/>
      <c r="HK87" s="106"/>
      <c r="HL87" s="106"/>
      <c r="HM87" s="106"/>
      <c r="HN87" s="106"/>
      <c r="HO87" s="106"/>
      <c r="HP87" s="106"/>
      <c r="HQ87" s="106"/>
      <c r="HR87" s="106"/>
      <c r="HS87" s="106"/>
      <c r="HT87" s="106"/>
      <c r="HU87" s="106"/>
      <c r="HV87" s="106"/>
      <c r="HW87" s="106"/>
      <c r="HX87" s="106"/>
      <c r="HY87" s="106"/>
      <c r="HZ87" s="106"/>
      <c r="IA87" s="106"/>
      <c r="IB87" s="106"/>
      <c r="IC87" s="106"/>
      <c r="ID87" s="106"/>
      <c r="IE87" s="106"/>
      <c r="IF87" s="106"/>
      <c r="IG87" s="106"/>
      <c r="IH87" s="106"/>
      <c r="II87" s="106"/>
      <c r="IJ87" s="106"/>
      <c r="IK87" s="106"/>
      <c r="IL87" s="106"/>
      <c r="IM87" s="106"/>
      <c r="IN87" s="106"/>
      <c r="IO87" s="106"/>
      <c r="IP87" s="106"/>
      <c r="IQ87" s="106"/>
      <c r="IR87" s="106"/>
      <c r="IS87" s="106"/>
      <c r="IT87" s="106"/>
      <c r="IU87" s="106"/>
      <c r="IV87" s="106"/>
      <c r="IW87" s="106"/>
      <c r="IX87" s="106"/>
    </row>
    <row r="88" s="105" customFormat="1" spans="1:258">
      <c r="A88" s="125"/>
      <c r="B88" s="125"/>
      <c r="C88" s="125"/>
      <c r="D88" s="125"/>
      <c r="E88" s="125"/>
      <c r="F88" s="125"/>
      <c r="G88" s="125"/>
      <c r="H88" s="125"/>
      <c r="I88" s="125"/>
      <c r="J88" s="133"/>
      <c r="K88" s="134"/>
      <c r="L88" s="134"/>
      <c r="M88" s="134"/>
      <c r="N88" s="134"/>
      <c r="O88" s="134"/>
      <c r="P88" s="155"/>
      <c r="Q88" s="155"/>
      <c r="R88" s="134"/>
      <c r="S88" s="134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  <c r="AI88" s="106"/>
      <c r="AJ88" s="106"/>
      <c r="AK88" s="106"/>
      <c r="AL88" s="106"/>
      <c r="AM88" s="106"/>
      <c r="AN88" s="106"/>
      <c r="AO88" s="106"/>
      <c r="AP88" s="106"/>
      <c r="AQ88" s="106"/>
      <c r="AR88" s="106"/>
      <c r="AS88" s="106"/>
      <c r="AT88" s="106"/>
      <c r="AU88" s="106"/>
      <c r="AV88" s="106"/>
      <c r="AW88" s="106"/>
      <c r="AX88" s="106"/>
      <c r="AY88" s="106"/>
      <c r="AZ88" s="106"/>
      <c r="BA88" s="106"/>
      <c r="BB88" s="106"/>
      <c r="BC88" s="106"/>
      <c r="BD88" s="106"/>
      <c r="BE88" s="106"/>
      <c r="BF88" s="106"/>
      <c r="BG88" s="106"/>
      <c r="BH88" s="106"/>
      <c r="BI88" s="106"/>
      <c r="BJ88" s="106"/>
      <c r="BK88" s="106"/>
      <c r="BL88" s="106"/>
      <c r="BM88" s="106"/>
      <c r="BN88" s="106"/>
      <c r="BO88" s="106"/>
      <c r="BP88" s="106"/>
      <c r="BQ88" s="106"/>
      <c r="BR88" s="106"/>
      <c r="BS88" s="106"/>
      <c r="BT88" s="106"/>
      <c r="BU88" s="106"/>
      <c r="BV88" s="106"/>
      <c r="BW88" s="106"/>
      <c r="BX88" s="106"/>
      <c r="BY88" s="106"/>
      <c r="BZ88" s="106"/>
      <c r="CA88" s="106"/>
      <c r="CB88" s="106"/>
      <c r="CC88" s="106"/>
      <c r="CD88" s="106"/>
      <c r="CE88" s="106"/>
      <c r="CF88" s="106"/>
      <c r="CG88" s="106"/>
      <c r="CH88" s="106"/>
      <c r="CI88" s="106"/>
      <c r="CJ88" s="106"/>
      <c r="CK88" s="106"/>
      <c r="CL88" s="106"/>
      <c r="CM88" s="106"/>
      <c r="CN88" s="106"/>
      <c r="CO88" s="106"/>
      <c r="CP88" s="106"/>
      <c r="CQ88" s="106"/>
      <c r="CR88" s="106"/>
      <c r="CS88" s="106"/>
      <c r="CT88" s="106"/>
      <c r="CU88" s="106"/>
      <c r="CV88" s="106"/>
      <c r="CW88" s="106"/>
      <c r="CX88" s="106"/>
      <c r="CY88" s="106"/>
      <c r="CZ88" s="106"/>
      <c r="DA88" s="106"/>
      <c r="DB88" s="106"/>
      <c r="DC88" s="106"/>
      <c r="DD88" s="106"/>
      <c r="DE88" s="106"/>
      <c r="DF88" s="106"/>
      <c r="DG88" s="106"/>
      <c r="DH88" s="106"/>
      <c r="DI88" s="106"/>
      <c r="DJ88" s="106"/>
      <c r="DK88" s="106"/>
      <c r="DL88" s="106"/>
      <c r="DM88" s="106"/>
      <c r="DN88" s="106"/>
      <c r="DO88" s="106"/>
      <c r="DP88" s="106"/>
      <c r="DQ88" s="106"/>
      <c r="DR88" s="106"/>
      <c r="DS88" s="106"/>
      <c r="DT88" s="106"/>
      <c r="DU88" s="106"/>
      <c r="DV88" s="106"/>
      <c r="DW88" s="106"/>
      <c r="DX88" s="106"/>
      <c r="DY88" s="106"/>
      <c r="DZ88" s="106"/>
      <c r="EA88" s="106"/>
      <c r="EB88" s="106"/>
      <c r="EC88" s="106"/>
      <c r="ED88" s="106"/>
      <c r="EE88" s="106"/>
      <c r="EF88" s="106"/>
      <c r="EG88" s="106"/>
      <c r="EH88" s="106"/>
      <c r="EI88" s="106"/>
      <c r="EJ88" s="106"/>
      <c r="EK88" s="106"/>
      <c r="EL88" s="106"/>
      <c r="EM88" s="106"/>
      <c r="EN88" s="106"/>
      <c r="EO88" s="106"/>
      <c r="EP88" s="106"/>
      <c r="EQ88" s="106"/>
      <c r="ER88" s="106"/>
      <c r="ES88" s="106"/>
      <c r="ET88" s="106"/>
      <c r="EU88" s="106"/>
      <c r="EV88" s="106"/>
      <c r="EW88" s="106"/>
      <c r="EX88" s="106"/>
      <c r="EY88" s="106"/>
      <c r="EZ88" s="106"/>
      <c r="FA88" s="106"/>
      <c r="FB88" s="106"/>
      <c r="FC88" s="106"/>
      <c r="FD88" s="106"/>
      <c r="FE88" s="106"/>
      <c r="FF88" s="106"/>
      <c r="FG88" s="106"/>
      <c r="FH88" s="106"/>
      <c r="FI88" s="106"/>
      <c r="FJ88" s="106"/>
      <c r="FK88" s="106"/>
      <c r="FL88" s="106"/>
      <c r="FM88" s="106"/>
      <c r="FN88" s="106"/>
      <c r="FO88" s="106"/>
      <c r="FP88" s="106"/>
      <c r="FQ88" s="106"/>
      <c r="FR88" s="106"/>
      <c r="FS88" s="106"/>
      <c r="FT88" s="106"/>
      <c r="FU88" s="106"/>
      <c r="FV88" s="106"/>
      <c r="FW88" s="106"/>
      <c r="FX88" s="106"/>
      <c r="FY88" s="106"/>
      <c r="FZ88" s="106"/>
      <c r="GA88" s="106"/>
      <c r="GB88" s="106"/>
      <c r="GC88" s="106"/>
      <c r="GD88" s="106"/>
      <c r="GE88" s="106"/>
      <c r="GF88" s="106"/>
      <c r="GG88" s="106"/>
      <c r="GH88" s="106"/>
      <c r="GI88" s="106"/>
      <c r="GJ88" s="106"/>
      <c r="GK88" s="106"/>
      <c r="GL88" s="106"/>
      <c r="GM88" s="106"/>
      <c r="GN88" s="106"/>
      <c r="GO88" s="106"/>
      <c r="GP88" s="106"/>
      <c r="GQ88" s="106"/>
      <c r="GR88" s="106"/>
      <c r="GS88" s="106"/>
      <c r="GT88" s="106"/>
      <c r="GU88" s="106"/>
      <c r="GV88" s="106"/>
      <c r="GW88" s="106"/>
      <c r="GX88" s="106"/>
      <c r="GY88" s="106"/>
      <c r="GZ88" s="106"/>
      <c r="HA88" s="106"/>
      <c r="HB88" s="106"/>
      <c r="HC88" s="106"/>
      <c r="HD88" s="106"/>
      <c r="HE88" s="106"/>
      <c r="HF88" s="106"/>
      <c r="HG88" s="106"/>
      <c r="HH88" s="106"/>
      <c r="HI88" s="106"/>
      <c r="HJ88" s="106"/>
      <c r="HK88" s="106"/>
      <c r="HL88" s="106"/>
      <c r="HM88" s="106"/>
      <c r="HN88" s="106"/>
      <c r="HO88" s="106"/>
      <c r="HP88" s="106"/>
      <c r="HQ88" s="106"/>
      <c r="HR88" s="106"/>
      <c r="HS88" s="106"/>
      <c r="HT88" s="106"/>
      <c r="HU88" s="106"/>
      <c r="HV88" s="106"/>
      <c r="HW88" s="106"/>
      <c r="HX88" s="106"/>
      <c r="HY88" s="106"/>
      <c r="HZ88" s="106"/>
      <c r="IA88" s="106"/>
      <c r="IB88" s="106"/>
      <c r="IC88" s="106"/>
      <c r="ID88" s="106"/>
      <c r="IE88" s="106"/>
      <c r="IF88" s="106"/>
      <c r="IG88" s="106"/>
      <c r="IH88" s="106"/>
      <c r="II88" s="106"/>
      <c r="IJ88" s="106"/>
      <c r="IK88" s="106"/>
      <c r="IL88" s="106"/>
      <c r="IM88" s="106"/>
      <c r="IN88" s="106"/>
      <c r="IO88" s="106"/>
      <c r="IP88" s="106"/>
      <c r="IQ88" s="106"/>
      <c r="IR88" s="106"/>
      <c r="IS88" s="106"/>
      <c r="IT88" s="106"/>
      <c r="IU88" s="106"/>
      <c r="IV88" s="106"/>
      <c r="IW88" s="106"/>
      <c r="IX88" s="106"/>
    </row>
    <row r="89" s="105" customFormat="1" spans="1:258">
      <c r="A89" s="125"/>
      <c r="B89" s="125"/>
      <c r="C89" s="125"/>
      <c r="D89" s="125"/>
      <c r="E89" s="125"/>
      <c r="F89" s="125"/>
      <c r="G89" s="125"/>
      <c r="H89" s="125"/>
      <c r="I89" s="125"/>
      <c r="J89" s="133"/>
      <c r="K89" s="134"/>
      <c r="L89" s="134"/>
      <c r="M89" s="134"/>
      <c r="N89" s="134"/>
      <c r="O89" s="134"/>
      <c r="P89" s="155"/>
      <c r="Q89" s="155"/>
      <c r="R89" s="134"/>
      <c r="S89" s="134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  <c r="AI89" s="106"/>
      <c r="AJ89" s="106"/>
      <c r="AK89" s="106"/>
      <c r="AL89" s="106"/>
      <c r="AM89" s="106"/>
      <c r="AN89" s="106"/>
      <c r="AO89" s="106"/>
      <c r="AP89" s="106"/>
      <c r="AQ89" s="106"/>
      <c r="AR89" s="106"/>
      <c r="AS89" s="106"/>
      <c r="AT89" s="106"/>
      <c r="AU89" s="106"/>
      <c r="AV89" s="106"/>
      <c r="AW89" s="106"/>
      <c r="AX89" s="106"/>
      <c r="AY89" s="106"/>
      <c r="AZ89" s="106"/>
      <c r="BA89" s="106"/>
      <c r="BB89" s="106"/>
      <c r="BC89" s="106"/>
      <c r="BD89" s="106"/>
      <c r="BE89" s="106"/>
      <c r="BF89" s="106"/>
      <c r="BG89" s="106"/>
      <c r="BH89" s="106"/>
      <c r="BI89" s="106"/>
      <c r="BJ89" s="106"/>
      <c r="BK89" s="106"/>
      <c r="BL89" s="106"/>
      <c r="BM89" s="106"/>
      <c r="BN89" s="106"/>
      <c r="BO89" s="106"/>
      <c r="BP89" s="106"/>
      <c r="BQ89" s="106"/>
      <c r="BR89" s="106"/>
      <c r="BS89" s="106"/>
      <c r="BT89" s="106"/>
      <c r="BU89" s="106"/>
      <c r="BV89" s="106"/>
      <c r="BW89" s="106"/>
      <c r="BX89" s="106"/>
      <c r="BY89" s="106"/>
      <c r="BZ89" s="106"/>
      <c r="CA89" s="106"/>
      <c r="CB89" s="106"/>
      <c r="CC89" s="106"/>
      <c r="CD89" s="106"/>
      <c r="CE89" s="106"/>
      <c r="CF89" s="106"/>
      <c r="CG89" s="106"/>
      <c r="CH89" s="106"/>
      <c r="CI89" s="106"/>
      <c r="CJ89" s="106"/>
      <c r="CK89" s="106"/>
      <c r="CL89" s="106"/>
      <c r="CM89" s="106"/>
      <c r="CN89" s="106"/>
      <c r="CO89" s="106"/>
      <c r="CP89" s="106"/>
      <c r="CQ89" s="106"/>
      <c r="CR89" s="106"/>
      <c r="CS89" s="106"/>
      <c r="CT89" s="106"/>
      <c r="CU89" s="106"/>
      <c r="CV89" s="106"/>
      <c r="CW89" s="106"/>
      <c r="CX89" s="106"/>
      <c r="CY89" s="106"/>
      <c r="CZ89" s="106"/>
      <c r="DA89" s="106"/>
      <c r="DB89" s="106"/>
      <c r="DC89" s="106"/>
      <c r="DD89" s="106"/>
      <c r="DE89" s="106"/>
      <c r="DF89" s="106"/>
      <c r="DG89" s="106"/>
      <c r="DH89" s="106"/>
      <c r="DI89" s="106"/>
      <c r="DJ89" s="106"/>
      <c r="DK89" s="106"/>
      <c r="DL89" s="106"/>
      <c r="DM89" s="106"/>
      <c r="DN89" s="106"/>
      <c r="DO89" s="106"/>
      <c r="DP89" s="106"/>
      <c r="DQ89" s="106"/>
      <c r="DR89" s="106"/>
      <c r="DS89" s="106"/>
      <c r="DT89" s="106"/>
      <c r="DU89" s="106"/>
      <c r="DV89" s="106"/>
      <c r="DW89" s="106"/>
      <c r="DX89" s="106"/>
      <c r="DY89" s="106"/>
      <c r="DZ89" s="106"/>
      <c r="EA89" s="106"/>
      <c r="EB89" s="106"/>
      <c r="EC89" s="106"/>
      <c r="ED89" s="106"/>
      <c r="EE89" s="106"/>
      <c r="EF89" s="106"/>
      <c r="EG89" s="106"/>
      <c r="EH89" s="106"/>
      <c r="EI89" s="106"/>
      <c r="EJ89" s="106"/>
      <c r="EK89" s="106"/>
      <c r="EL89" s="106"/>
      <c r="EM89" s="106"/>
      <c r="EN89" s="106"/>
      <c r="EO89" s="106"/>
      <c r="EP89" s="106"/>
      <c r="EQ89" s="106"/>
      <c r="ER89" s="106"/>
      <c r="ES89" s="106"/>
      <c r="ET89" s="106"/>
      <c r="EU89" s="106"/>
      <c r="EV89" s="106"/>
      <c r="EW89" s="106"/>
      <c r="EX89" s="106"/>
      <c r="EY89" s="106"/>
      <c r="EZ89" s="106"/>
      <c r="FA89" s="106"/>
      <c r="FB89" s="106"/>
      <c r="FC89" s="106"/>
      <c r="FD89" s="106"/>
      <c r="FE89" s="106"/>
      <c r="FF89" s="106"/>
      <c r="FG89" s="106"/>
      <c r="FH89" s="106"/>
      <c r="FI89" s="106"/>
      <c r="FJ89" s="106"/>
      <c r="FK89" s="106"/>
      <c r="FL89" s="106"/>
      <c r="FM89" s="106"/>
      <c r="FN89" s="106"/>
      <c r="FO89" s="106"/>
      <c r="FP89" s="106"/>
      <c r="FQ89" s="106"/>
      <c r="FR89" s="106"/>
      <c r="FS89" s="106"/>
      <c r="FT89" s="106"/>
      <c r="FU89" s="106"/>
      <c r="FV89" s="106"/>
      <c r="FW89" s="106"/>
      <c r="FX89" s="106"/>
      <c r="FY89" s="106"/>
      <c r="FZ89" s="106"/>
      <c r="GA89" s="106"/>
      <c r="GB89" s="106"/>
      <c r="GC89" s="106"/>
      <c r="GD89" s="106"/>
      <c r="GE89" s="106"/>
      <c r="GF89" s="106"/>
      <c r="GG89" s="106"/>
      <c r="GH89" s="106"/>
      <c r="GI89" s="106"/>
      <c r="GJ89" s="106"/>
      <c r="GK89" s="106"/>
      <c r="GL89" s="106"/>
      <c r="GM89" s="106"/>
      <c r="GN89" s="106"/>
      <c r="GO89" s="106"/>
      <c r="GP89" s="106"/>
      <c r="GQ89" s="106"/>
      <c r="GR89" s="106"/>
      <c r="GS89" s="106"/>
      <c r="GT89" s="106"/>
      <c r="GU89" s="106"/>
      <c r="GV89" s="106"/>
      <c r="GW89" s="106"/>
      <c r="GX89" s="106"/>
      <c r="GY89" s="106"/>
      <c r="GZ89" s="106"/>
      <c r="HA89" s="106"/>
      <c r="HB89" s="106"/>
      <c r="HC89" s="106"/>
      <c r="HD89" s="106"/>
      <c r="HE89" s="106"/>
      <c r="HF89" s="106"/>
      <c r="HG89" s="106"/>
      <c r="HH89" s="106"/>
      <c r="HI89" s="106"/>
      <c r="HJ89" s="106"/>
      <c r="HK89" s="106"/>
      <c r="HL89" s="106"/>
      <c r="HM89" s="106"/>
      <c r="HN89" s="106"/>
      <c r="HO89" s="106"/>
      <c r="HP89" s="106"/>
      <c r="HQ89" s="106"/>
      <c r="HR89" s="106"/>
      <c r="HS89" s="106"/>
      <c r="HT89" s="106"/>
      <c r="HU89" s="106"/>
      <c r="HV89" s="106"/>
      <c r="HW89" s="106"/>
      <c r="HX89" s="106"/>
      <c r="HY89" s="106"/>
      <c r="HZ89" s="106"/>
      <c r="IA89" s="106"/>
      <c r="IB89" s="106"/>
      <c r="IC89" s="106"/>
      <c r="ID89" s="106"/>
      <c r="IE89" s="106"/>
      <c r="IF89" s="106"/>
      <c r="IG89" s="106"/>
      <c r="IH89" s="106"/>
      <c r="II89" s="106"/>
      <c r="IJ89" s="106"/>
      <c r="IK89" s="106"/>
      <c r="IL89" s="106"/>
      <c r="IM89" s="106"/>
      <c r="IN89" s="106"/>
      <c r="IO89" s="106"/>
      <c r="IP89" s="106"/>
      <c r="IQ89" s="106"/>
      <c r="IR89" s="106"/>
      <c r="IS89" s="106"/>
      <c r="IT89" s="106"/>
      <c r="IU89" s="106"/>
      <c r="IV89" s="106"/>
      <c r="IW89" s="106"/>
      <c r="IX89" s="106"/>
    </row>
    <row r="90" s="105" customFormat="1" spans="1:258">
      <c r="A90" s="125"/>
      <c r="B90" s="125"/>
      <c r="C90" s="125"/>
      <c r="D90" s="125"/>
      <c r="E90" s="125"/>
      <c r="F90" s="125"/>
      <c r="G90" s="125"/>
      <c r="H90" s="125"/>
      <c r="I90" s="125"/>
      <c r="J90" s="133"/>
      <c r="K90" s="134"/>
      <c r="L90" s="134"/>
      <c r="M90" s="134"/>
      <c r="N90" s="134"/>
      <c r="O90" s="134"/>
      <c r="P90" s="155"/>
      <c r="Q90" s="155"/>
      <c r="R90" s="134"/>
      <c r="S90" s="134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106"/>
      <c r="AJ90" s="106"/>
      <c r="AK90" s="106"/>
      <c r="AL90" s="106"/>
      <c r="AM90" s="106"/>
      <c r="AN90" s="106"/>
      <c r="AO90" s="106"/>
      <c r="AP90" s="106"/>
      <c r="AQ90" s="106"/>
      <c r="AR90" s="106"/>
      <c r="AS90" s="106"/>
      <c r="AT90" s="106"/>
      <c r="AU90" s="106"/>
      <c r="AV90" s="106"/>
      <c r="AW90" s="106"/>
      <c r="AX90" s="106"/>
      <c r="AY90" s="106"/>
      <c r="AZ90" s="106"/>
      <c r="BA90" s="106"/>
      <c r="BB90" s="106"/>
      <c r="BC90" s="106"/>
      <c r="BD90" s="106"/>
      <c r="BE90" s="106"/>
      <c r="BF90" s="106"/>
      <c r="BG90" s="106"/>
      <c r="BH90" s="106"/>
      <c r="BI90" s="106"/>
      <c r="BJ90" s="106"/>
      <c r="BK90" s="106"/>
      <c r="BL90" s="106"/>
      <c r="BM90" s="106"/>
      <c r="BN90" s="106"/>
      <c r="BO90" s="106"/>
      <c r="BP90" s="106"/>
      <c r="BQ90" s="106"/>
      <c r="BR90" s="106"/>
      <c r="BS90" s="106"/>
      <c r="BT90" s="106"/>
      <c r="BU90" s="106"/>
      <c r="BV90" s="106"/>
      <c r="BW90" s="106"/>
      <c r="BX90" s="106"/>
      <c r="BY90" s="106"/>
      <c r="BZ90" s="106"/>
      <c r="CA90" s="106"/>
      <c r="CB90" s="106"/>
      <c r="CC90" s="106"/>
      <c r="CD90" s="106"/>
      <c r="CE90" s="106"/>
      <c r="CF90" s="106"/>
      <c r="CG90" s="106"/>
      <c r="CH90" s="106"/>
      <c r="CI90" s="106"/>
      <c r="CJ90" s="106"/>
      <c r="CK90" s="106"/>
      <c r="CL90" s="106"/>
      <c r="CM90" s="106"/>
      <c r="CN90" s="106"/>
      <c r="CO90" s="106"/>
      <c r="CP90" s="106"/>
      <c r="CQ90" s="106"/>
      <c r="CR90" s="106"/>
      <c r="CS90" s="106"/>
      <c r="CT90" s="106"/>
      <c r="CU90" s="106"/>
      <c r="CV90" s="106"/>
      <c r="CW90" s="106"/>
      <c r="CX90" s="106"/>
      <c r="CY90" s="106"/>
      <c r="CZ90" s="106"/>
      <c r="DA90" s="106"/>
      <c r="DB90" s="106"/>
      <c r="DC90" s="106"/>
      <c r="DD90" s="106"/>
      <c r="DE90" s="106"/>
      <c r="DF90" s="106"/>
      <c r="DG90" s="106"/>
      <c r="DH90" s="106"/>
      <c r="DI90" s="106"/>
      <c r="DJ90" s="106"/>
      <c r="DK90" s="106"/>
      <c r="DL90" s="106"/>
      <c r="DM90" s="106"/>
      <c r="DN90" s="106"/>
      <c r="DO90" s="106"/>
      <c r="DP90" s="106"/>
      <c r="DQ90" s="106"/>
      <c r="DR90" s="106"/>
      <c r="DS90" s="106"/>
      <c r="DT90" s="106"/>
      <c r="DU90" s="106"/>
      <c r="DV90" s="106"/>
      <c r="DW90" s="106"/>
      <c r="DX90" s="106"/>
      <c r="DY90" s="106"/>
      <c r="DZ90" s="106"/>
      <c r="EA90" s="106"/>
      <c r="EB90" s="106"/>
      <c r="EC90" s="106"/>
      <c r="ED90" s="106"/>
      <c r="EE90" s="106"/>
      <c r="EF90" s="106"/>
      <c r="EG90" s="106"/>
      <c r="EH90" s="106"/>
      <c r="EI90" s="106"/>
      <c r="EJ90" s="106"/>
      <c r="EK90" s="106"/>
      <c r="EL90" s="106"/>
      <c r="EM90" s="106"/>
      <c r="EN90" s="106"/>
      <c r="EO90" s="106"/>
      <c r="EP90" s="106"/>
      <c r="EQ90" s="106"/>
      <c r="ER90" s="106"/>
      <c r="ES90" s="106"/>
      <c r="ET90" s="106"/>
      <c r="EU90" s="106"/>
      <c r="EV90" s="106"/>
      <c r="EW90" s="106"/>
      <c r="EX90" s="106"/>
      <c r="EY90" s="106"/>
      <c r="EZ90" s="106"/>
      <c r="FA90" s="106"/>
      <c r="FB90" s="106"/>
      <c r="FC90" s="106"/>
      <c r="FD90" s="106"/>
      <c r="FE90" s="106"/>
      <c r="FF90" s="106"/>
      <c r="FG90" s="106"/>
      <c r="FH90" s="106"/>
      <c r="FI90" s="106"/>
      <c r="FJ90" s="106"/>
      <c r="FK90" s="106"/>
      <c r="FL90" s="106"/>
      <c r="FM90" s="106"/>
      <c r="FN90" s="106"/>
      <c r="FO90" s="106"/>
      <c r="FP90" s="106"/>
      <c r="FQ90" s="106"/>
      <c r="FR90" s="106"/>
      <c r="FS90" s="106"/>
      <c r="FT90" s="106"/>
      <c r="FU90" s="106"/>
      <c r="FV90" s="106"/>
      <c r="FW90" s="106"/>
      <c r="FX90" s="106"/>
      <c r="FY90" s="106"/>
      <c r="FZ90" s="106"/>
      <c r="GA90" s="106"/>
      <c r="GB90" s="106"/>
      <c r="GC90" s="106"/>
      <c r="GD90" s="106"/>
      <c r="GE90" s="106"/>
      <c r="GF90" s="106"/>
      <c r="GG90" s="106"/>
      <c r="GH90" s="106"/>
      <c r="GI90" s="106"/>
      <c r="GJ90" s="106"/>
      <c r="GK90" s="106"/>
      <c r="GL90" s="106"/>
      <c r="GM90" s="106"/>
      <c r="GN90" s="106"/>
      <c r="GO90" s="106"/>
      <c r="GP90" s="106"/>
      <c r="GQ90" s="106"/>
      <c r="GR90" s="106"/>
      <c r="GS90" s="106"/>
      <c r="GT90" s="106"/>
      <c r="GU90" s="106"/>
      <c r="GV90" s="106"/>
      <c r="GW90" s="106"/>
      <c r="GX90" s="106"/>
      <c r="GY90" s="106"/>
      <c r="GZ90" s="106"/>
      <c r="HA90" s="106"/>
      <c r="HB90" s="106"/>
      <c r="HC90" s="106"/>
      <c r="HD90" s="106"/>
      <c r="HE90" s="106"/>
      <c r="HF90" s="106"/>
      <c r="HG90" s="106"/>
      <c r="HH90" s="106"/>
      <c r="HI90" s="106"/>
      <c r="HJ90" s="106"/>
      <c r="HK90" s="106"/>
      <c r="HL90" s="106"/>
      <c r="HM90" s="106"/>
      <c r="HN90" s="106"/>
      <c r="HO90" s="106"/>
      <c r="HP90" s="106"/>
      <c r="HQ90" s="106"/>
      <c r="HR90" s="106"/>
      <c r="HS90" s="106"/>
      <c r="HT90" s="106"/>
      <c r="HU90" s="106"/>
      <c r="HV90" s="106"/>
      <c r="HW90" s="106"/>
      <c r="HX90" s="106"/>
      <c r="HY90" s="106"/>
      <c r="HZ90" s="106"/>
      <c r="IA90" s="106"/>
      <c r="IB90" s="106"/>
      <c r="IC90" s="106"/>
      <c r="ID90" s="106"/>
      <c r="IE90" s="106"/>
      <c r="IF90" s="106"/>
      <c r="IG90" s="106"/>
      <c r="IH90" s="106"/>
      <c r="II90" s="106"/>
      <c r="IJ90" s="106"/>
      <c r="IK90" s="106"/>
      <c r="IL90" s="106"/>
      <c r="IM90" s="106"/>
      <c r="IN90" s="106"/>
      <c r="IO90" s="106"/>
      <c r="IP90" s="106"/>
      <c r="IQ90" s="106"/>
      <c r="IR90" s="106"/>
      <c r="IS90" s="106"/>
      <c r="IT90" s="106"/>
      <c r="IU90" s="106"/>
      <c r="IV90" s="106"/>
      <c r="IW90" s="106"/>
      <c r="IX90" s="106"/>
    </row>
    <row r="91" s="105" customFormat="1" spans="1:258">
      <c r="A91" s="125"/>
      <c r="B91" s="125"/>
      <c r="C91" s="125"/>
      <c r="D91" s="125"/>
      <c r="E91" s="125"/>
      <c r="F91" s="125"/>
      <c r="G91" s="125"/>
      <c r="H91" s="125"/>
      <c r="I91" s="125"/>
      <c r="J91" s="133"/>
      <c r="K91" s="134"/>
      <c r="L91" s="134"/>
      <c r="M91" s="134"/>
      <c r="N91" s="134"/>
      <c r="O91" s="134"/>
      <c r="P91" s="155"/>
      <c r="Q91" s="155"/>
      <c r="R91" s="134"/>
      <c r="S91" s="134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6"/>
      <c r="AH91" s="106"/>
      <c r="AI91" s="106"/>
      <c r="AJ91" s="106"/>
      <c r="AK91" s="106"/>
      <c r="AL91" s="106"/>
      <c r="AM91" s="106"/>
      <c r="AN91" s="106"/>
      <c r="AO91" s="106"/>
      <c r="AP91" s="106"/>
      <c r="AQ91" s="106"/>
      <c r="AR91" s="106"/>
      <c r="AS91" s="106"/>
      <c r="AT91" s="106"/>
      <c r="AU91" s="106"/>
      <c r="AV91" s="106"/>
      <c r="AW91" s="106"/>
      <c r="AX91" s="106"/>
      <c r="AY91" s="106"/>
      <c r="AZ91" s="106"/>
      <c r="BA91" s="106"/>
      <c r="BB91" s="106"/>
      <c r="BC91" s="106"/>
      <c r="BD91" s="106"/>
      <c r="BE91" s="106"/>
      <c r="BF91" s="106"/>
      <c r="BG91" s="106"/>
      <c r="BH91" s="106"/>
      <c r="BI91" s="106"/>
      <c r="BJ91" s="106"/>
      <c r="BK91" s="106"/>
      <c r="BL91" s="106"/>
      <c r="BM91" s="106"/>
      <c r="BN91" s="106"/>
      <c r="BO91" s="106"/>
      <c r="BP91" s="106"/>
      <c r="BQ91" s="106"/>
      <c r="BR91" s="106"/>
      <c r="BS91" s="106"/>
      <c r="BT91" s="106"/>
      <c r="BU91" s="106"/>
      <c r="BV91" s="106"/>
      <c r="BW91" s="106"/>
      <c r="BX91" s="106"/>
      <c r="BY91" s="106"/>
      <c r="BZ91" s="106"/>
      <c r="CA91" s="106"/>
      <c r="CB91" s="106"/>
      <c r="CC91" s="106"/>
      <c r="CD91" s="106"/>
      <c r="CE91" s="106"/>
      <c r="CF91" s="106"/>
      <c r="CG91" s="106"/>
      <c r="CH91" s="106"/>
      <c r="CI91" s="106"/>
      <c r="CJ91" s="106"/>
      <c r="CK91" s="106"/>
      <c r="CL91" s="106"/>
      <c r="CM91" s="106"/>
      <c r="CN91" s="106"/>
      <c r="CO91" s="106"/>
      <c r="CP91" s="106"/>
      <c r="CQ91" s="106"/>
      <c r="CR91" s="106"/>
      <c r="CS91" s="106"/>
      <c r="CT91" s="106"/>
      <c r="CU91" s="106"/>
      <c r="CV91" s="106"/>
      <c r="CW91" s="106"/>
      <c r="CX91" s="106"/>
      <c r="CY91" s="106"/>
      <c r="CZ91" s="106"/>
      <c r="DA91" s="106"/>
      <c r="DB91" s="106"/>
      <c r="DC91" s="106"/>
      <c r="DD91" s="106"/>
      <c r="DE91" s="106"/>
      <c r="DF91" s="106"/>
      <c r="DG91" s="106"/>
      <c r="DH91" s="106"/>
      <c r="DI91" s="106"/>
      <c r="DJ91" s="106"/>
      <c r="DK91" s="106"/>
      <c r="DL91" s="106"/>
      <c r="DM91" s="106"/>
      <c r="DN91" s="106"/>
      <c r="DO91" s="106"/>
      <c r="DP91" s="106"/>
      <c r="DQ91" s="106"/>
      <c r="DR91" s="106"/>
      <c r="DS91" s="106"/>
      <c r="DT91" s="106"/>
      <c r="DU91" s="106"/>
      <c r="DV91" s="106"/>
      <c r="DW91" s="106"/>
      <c r="DX91" s="106"/>
      <c r="DY91" s="106"/>
      <c r="DZ91" s="106"/>
      <c r="EA91" s="106"/>
      <c r="EB91" s="106"/>
      <c r="EC91" s="106"/>
      <c r="ED91" s="106"/>
      <c r="EE91" s="106"/>
      <c r="EF91" s="106"/>
      <c r="EG91" s="106"/>
      <c r="EH91" s="106"/>
      <c r="EI91" s="106"/>
      <c r="EJ91" s="106"/>
      <c r="EK91" s="106"/>
      <c r="EL91" s="106"/>
      <c r="EM91" s="106"/>
      <c r="EN91" s="106"/>
      <c r="EO91" s="106"/>
      <c r="EP91" s="106"/>
      <c r="EQ91" s="106"/>
      <c r="ER91" s="106"/>
      <c r="ES91" s="106"/>
      <c r="ET91" s="106"/>
      <c r="EU91" s="106"/>
      <c r="EV91" s="106"/>
      <c r="EW91" s="106"/>
      <c r="EX91" s="106"/>
      <c r="EY91" s="106"/>
      <c r="EZ91" s="106"/>
      <c r="FA91" s="106"/>
      <c r="FB91" s="106"/>
      <c r="FC91" s="106"/>
      <c r="FD91" s="106"/>
      <c r="FE91" s="106"/>
      <c r="FF91" s="106"/>
      <c r="FG91" s="106"/>
      <c r="FH91" s="106"/>
      <c r="FI91" s="106"/>
      <c r="FJ91" s="106"/>
      <c r="FK91" s="106"/>
      <c r="FL91" s="106"/>
      <c r="FM91" s="106"/>
      <c r="FN91" s="106"/>
      <c r="FO91" s="106"/>
      <c r="FP91" s="106"/>
      <c r="FQ91" s="106"/>
      <c r="FR91" s="106"/>
      <c r="FS91" s="106"/>
      <c r="FT91" s="106"/>
      <c r="FU91" s="106"/>
      <c r="FV91" s="106"/>
      <c r="FW91" s="106"/>
      <c r="FX91" s="106"/>
      <c r="FY91" s="106"/>
      <c r="FZ91" s="106"/>
      <c r="GA91" s="106"/>
      <c r="GB91" s="106"/>
      <c r="GC91" s="106"/>
      <c r="GD91" s="106"/>
      <c r="GE91" s="106"/>
      <c r="GF91" s="106"/>
      <c r="GG91" s="106"/>
      <c r="GH91" s="106"/>
      <c r="GI91" s="106"/>
      <c r="GJ91" s="106"/>
      <c r="GK91" s="106"/>
      <c r="GL91" s="106"/>
      <c r="GM91" s="106"/>
      <c r="GN91" s="106"/>
      <c r="GO91" s="106"/>
      <c r="GP91" s="106"/>
      <c r="GQ91" s="106"/>
      <c r="GR91" s="106"/>
      <c r="GS91" s="106"/>
      <c r="GT91" s="106"/>
      <c r="GU91" s="106"/>
      <c r="GV91" s="106"/>
      <c r="GW91" s="106"/>
      <c r="GX91" s="106"/>
      <c r="GY91" s="106"/>
      <c r="GZ91" s="106"/>
      <c r="HA91" s="106"/>
      <c r="HB91" s="106"/>
      <c r="HC91" s="106"/>
      <c r="HD91" s="106"/>
      <c r="HE91" s="106"/>
      <c r="HF91" s="106"/>
      <c r="HG91" s="106"/>
      <c r="HH91" s="106"/>
      <c r="HI91" s="106"/>
      <c r="HJ91" s="106"/>
      <c r="HK91" s="106"/>
      <c r="HL91" s="106"/>
      <c r="HM91" s="106"/>
      <c r="HN91" s="106"/>
      <c r="HO91" s="106"/>
      <c r="HP91" s="106"/>
      <c r="HQ91" s="106"/>
      <c r="HR91" s="106"/>
      <c r="HS91" s="106"/>
      <c r="HT91" s="106"/>
      <c r="HU91" s="106"/>
      <c r="HV91" s="106"/>
      <c r="HW91" s="106"/>
      <c r="HX91" s="106"/>
      <c r="HY91" s="106"/>
      <c r="HZ91" s="106"/>
      <c r="IA91" s="106"/>
      <c r="IB91" s="106"/>
      <c r="IC91" s="106"/>
      <c r="ID91" s="106"/>
      <c r="IE91" s="106"/>
      <c r="IF91" s="106"/>
      <c r="IG91" s="106"/>
      <c r="IH91" s="106"/>
      <c r="II91" s="106"/>
      <c r="IJ91" s="106"/>
      <c r="IK91" s="106"/>
      <c r="IL91" s="106"/>
      <c r="IM91" s="106"/>
      <c r="IN91" s="106"/>
      <c r="IO91" s="106"/>
      <c r="IP91" s="106"/>
      <c r="IQ91" s="106"/>
      <c r="IR91" s="106"/>
      <c r="IS91" s="106"/>
      <c r="IT91" s="106"/>
      <c r="IU91" s="106"/>
      <c r="IV91" s="106"/>
      <c r="IW91" s="106"/>
      <c r="IX91" s="106"/>
    </row>
    <row r="92" s="105" customFormat="1" spans="1:258">
      <c r="A92" s="125"/>
      <c r="B92" s="125"/>
      <c r="C92" s="125"/>
      <c r="D92" s="125"/>
      <c r="E92" s="125"/>
      <c r="F92" s="125"/>
      <c r="G92" s="125"/>
      <c r="H92" s="125"/>
      <c r="I92" s="125"/>
      <c r="J92" s="133"/>
      <c r="K92" s="134"/>
      <c r="L92" s="134"/>
      <c r="M92" s="134"/>
      <c r="N92" s="134"/>
      <c r="O92" s="134"/>
      <c r="P92" s="155"/>
      <c r="Q92" s="155"/>
      <c r="R92" s="134"/>
      <c r="S92" s="134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  <c r="AI92" s="106"/>
      <c r="AJ92" s="106"/>
      <c r="AK92" s="106"/>
      <c r="AL92" s="106"/>
      <c r="AM92" s="106"/>
      <c r="AN92" s="106"/>
      <c r="AO92" s="106"/>
      <c r="AP92" s="106"/>
      <c r="AQ92" s="106"/>
      <c r="AR92" s="106"/>
      <c r="AS92" s="106"/>
      <c r="AT92" s="106"/>
      <c r="AU92" s="106"/>
      <c r="AV92" s="106"/>
      <c r="AW92" s="106"/>
      <c r="AX92" s="106"/>
      <c r="AY92" s="106"/>
      <c r="AZ92" s="106"/>
      <c r="BA92" s="106"/>
      <c r="BB92" s="106"/>
      <c r="BC92" s="106"/>
      <c r="BD92" s="106"/>
      <c r="BE92" s="106"/>
      <c r="BF92" s="106"/>
      <c r="BG92" s="106"/>
      <c r="BH92" s="106"/>
      <c r="BI92" s="106"/>
      <c r="BJ92" s="106"/>
      <c r="BK92" s="106"/>
      <c r="BL92" s="106"/>
      <c r="BM92" s="106"/>
      <c r="BN92" s="106"/>
      <c r="BO92" s="106"/>
      <c r="BP92" s="106"/>
      <c r="BQ92" s="106"/>
      <c r="BR92" s="106"/>
      <c r="BS92" s="106"/>
      <c r="BT92" s="106"/>
      <c r="BU92" s="106"/>
      <c r="BV92" s="106"/>
      <c r="BW92" s="106"/>
      <c r="BX92" s="106"/>
      <c r="BY92" s="106"/>
      <c r="BZ92" s="106"/>
      <c r="CA92" s="106"/>
      <c r="CB92" s="106"/>
      <c r="CC92" s="106"/>
      <c r="CD92" s="106"/>
      <c r="CE92" s="106"/>
      <c r="CF92" s="106"/>
      <c r="CG92" s="106"/>
      <c r="CH92" s="106"/>
      <c r="CI92" s="106"/>
      <c r="CJ92" s="106"/>
      <c r="CK92" s="106"/>
      <c r="CL92" s="106"/>
      <c r="CM92" s="106"/>
      <c r="CN92" s="106"/>
      <c r="CO92" s="106"/>
      <c r="CP92" s="106"/>
      <c r="CQ92" s="106"/>
      <c r="CR92" s="106"/>
      <c r="CS92" s="106"/>
      <c r="CT92" s="106"/>
      <c r="CU92" s="106"/>
      <c r="CV92" s="106"/>
      <c r="CW92" s="106"/>
      <c r="CX92" s="106"/>
      <c r="CY92" s="106"/>
      <c r="CZ92" s="106"/>
      <c r="DA92" s="106"/>
      <c r="DB92" s="106"/>
      <c r="DC92" s="106"/>
      <c r="DD92" s="106"/>
      <c r="DE92" s="106"/>
      <c r="DF92" s="106"/>
      <c r="DG92" s="106"/>
      <c r="DH92" s="106"/>
      <c r="DI92" s="106"/>
      <c r="DJ92" s="106"/>
      <c r="DK92" s="106"/>
      <c r="DL92" s="106"/>
      <c r="DM92" s="106"/>
      <c r="DN92" s="106"/>
      <c r="DO92" s="106"/>
      <c r="DP92" s="106"/>
      <c r="DQ92" s="106"/>
      <c r="DR92" s="106"/>
      <c r="DS92" s="106"/>
      <c r="DT92" s="106"/>
      <c r="DU92" s="106"/>
      <c r="DV92" s="106"/>
      <c r="DW92" s="106"/>
      <c r="DX92" s="106"/>
      <c r="DY92" s="106"/>
      <c r="DZ92" s="106"/>
      <c r="EA92" s="106"/>
      <c r="EB92" s="106"/>
      <c r="EC92" s="106"/>
      <c r="ED92" s="106"/>
      <c r="EE92" s="106"/>
      <c r="EF92" s="106"/>
      <c r="EG92" s="106"/>
      <c r="EH92" s="106"/>
      <c r="EI92" s="106"/>
      <c r="EJ92" s="106"/>
      <c r="EK92" s="106"/>
      <c r="EL92" s="106"/>
      <c r="EM92" s="106"/>
      <c r="EN92" s="106"/>
      <c r="EO92" s="106"/>
      <c r="EP92" s="106"/>
      <c r="EQ92" s="106"/>
      <c r="ER92" s="106"/>
      <c r="ES92" s="106"/>
      <c r="ET92" s="106"/>
      <c r="EU92" s="106"/>
      <c r="EV92" s="106"/>
      <c r="EW92" s="106"/>
      <c r="EX92" s="106"/>
      <c r="EY92" s="106"/>
      <c r="EZ92" s="106"/>
      <c r="FA92" s="106"/>
      <c r="FB92" s="106"/>
      <c r="FC92" s="106"/>
      <c r="FD92" s="106"/>
      <c r="FE92" s="106"/>
      <c r="FF92" s="106"/>
      <c r="FG92" s="106"/>
      <c r="FH92" s="106"/>
      <c r="FI92" s="106"/>
      <c r="FJ92" s="106"/>
      <c r="FK92" s="106"/>
      <c r="FL92" s="106"/>
      <c r="FM92" s="106"/>
      <c r="FN92" s="106"/>
      <c r="FO92" s="106"/>
      <c r="FP92" s="106"/>
      <c r="FQ92" s="106"/>
      <c r="FR92" s="106"/>
      <c r="FS92" s="106"/>
      <c r="FT92" s="106"/>
      <c r="FU92" s="106"/>
      <c r="FV92" s="106"/>
      <c r="FW92" s="106"/>
      <c r="FX92" s="106"/>
      <c r="FY92" s="106"/>
      <c r="FZ92" s="106"/>
      <c r="GA92" s="106"/>
      <c r="GB92" s="106"/>
      <c r="GC92" s="106"/>
      <c r="GD92" s="106"/>
      <c r="GE92" s="106"/>
      <c r="GF92" s="106"/>
      <c r="GG92" s="106"/>
      <c r="GH92" s="106"/>
      <c r="GI92" s="106"/>
      <c r="GJ92" s="106"/>
      <c r="GK92" s="106"/>
      <c r="GL92" s="106"/>
      <c r="GM92" s="106"/>
      <c r="GN92" s="106"/>
      <c r="GO92" s="106"/>
      <c r="GP92" s="106"/>
      <c r="GQ92" s="106"/>
      <c r="GR92" s="106"/>
      <c r="GS92" s="106"/>
      <c r="GT92" s="106"/>
      <c r="GU92" s="106"/>
      <c r="GV92" s="106"/>
      <c r="GW92" s="106"/>
      <c r="GX92" s="106"/>
      <c r="GY92" s="106"/>
      <c r="GZ92" s="106"/>
      <c r="HA92" s="106"/>
      <c r="HB92" s="106"/>
      <c r="HC92" s="106"/>
      <c r="HD92" s="106"/>
      <c r="HE92" s="106"/>
      <c r="HF92" s="106"/>
      <c r="HG92" s="106"/>
      <c r="HH92" s="106"/>
      <c r="HI92" s="106"/>
      <c r="HJ92" s="106"/>
      <c r="HK92" s="106"/>
      <c r="HL92" s="106"/>
      <c r="HM92" s="106"/>
      <c r="HN92" s="106"/>
      <c r="HO92" s="106"/>
      <c r="HP92" s="106"/>
      <c r="HQ92" s="106"/>
      <c r="HR92" s="106"/>
      <c r="HS92" s="106"/>
      <c r="HT92" s="106"/>
      <c r="HU92" s="106"/>
      <c r="HV92" s="106"/>
      <c r="HW92" s="106"/>
      <c r="HX92" s="106"/>
      <c r="HY92" s="106"/>
      <c r="HZ92" s="106"/>
      <c r="IA92" s="106"/>
      <c r="IB92" s="106"/>
      <c r="IC92" s="106"/>
      <c r="ID92" s="106"/>
      <c r="IE92" s="106"/>
      <c r="IF92" s="106"/>
      <c r="IG92" s="106"/>
      <c r="IH92" s="106"/>
      <c r="II92" s="106"/>
      <c r="IJ92" s="106"/>
      <c r="IK92" s="106"/>
      <c r="IL92" s="106"/>
      <c r="IM92" s="106"/>
      <c r="IN92" s="106"/>
      <c r="IO92" s="106"/>
      <c r="IP92" s="106"/>
      <c r="IQ92" s="106"/>
      <c r="IR92" s="106"/>
      <c r="IS92" s="106"/>
      <c r="IT92" s="106"/>
      <c r="IU92" s="106"/>
      <c r="IV92" s="106"/>
      <c r="IW92" s="106"/>
      <c r="IX92" s="106"/>
    </row>
    <row r="93" s="105" customFormat="1" spans="1:258">
      <c r="A93" s="125"/>
      <c r="B93" s="125"/>
      <c r="C93" s="125"/>
      <c r="D93" s="125"/>
      <c r="E93" s="125"/>
      <c r="F93" s="125"/>
      <c r="G93" s="125"/>
      <c r="H93" s="125"/>
      <c r="I93" s="125"/>
      <c r="J93" s="133"/>
      <c r="K93" s="134"/>
      <c r="L93" s="134"/>
      <c r="M93" s="134"/>
      <c r="N93" s="134"/>
      <c r="O93" s="134"/>
      <c r="P93" s="155"/>
      <c r="Q93" s="155"/>
      <c r="R93" s="134"/>
      <c r="S93" s="134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  <c r="AG93" s="106"/>
      <c r="AH93" s="106"/>
      <c r="AI93" s="106"/>
      <c r="AJ93" s="106"/>
      <c r="AK93" s="106"/>
      <c r="AL93" s="106"/>
      <c r="AM93" s="106"/>
      <c r="AN93" s="106"/>
      <c r="AO93" s="106"/>
      <c r="AP93" s="106"/>
      <c r="AQ93" s="106"/>
      <c r="AR93" s="106"/>
      <c r="AS93" s="106"/>
      <c r="AT93" s="106"/>
      <c r="AU93" s="106"/>
      <c r="AV93" s="106"/>
      <c r="AW93" s="106"/>
      <c r="AX93" s="106"/>
      <c r="AY93" s="106"/>
      <c r="AZ93" s="106"/>
      <c r="BA93" s="106"/>
      <c r="BB93" s="106"/>
      <c r="BC93" s="106"/>
      <c r="BD93" s="106"/>
      <c r="BE93" s="106"/>
      <c r="BF93" s="106"/>
      <c r="BG93" s="106"/>
      <c r="BH93" s="106"/>
      <c r="BI93" s="106"/>
      <c r="BJ93" s="106"/>
      <c r="BK93" s="106"/>
      <c r="BL93" s="106"/>
      <c r="BM93" s="106"/>
      <c r="BN93" s="106"/>
      <c r="BO93" s="106"/>
      <c r="BP93" s="106"/>
      <c r="BQ93" s="106"/>
      <c r="BR93" s="106"/>
      <c r="BS93" s="106"/>
      <c r="BT93" s="106"/>
      <c r="BU93" s="106"/>
      <c r="BV93" s="106"/>
      <c r="BW93" s="106"/>
      <c r="BX93" s="106"/>
      <c r="BY93" s="106"/>
      <c r="BZ93" s="106"/>
      <c r="CA93" s="106"/>
      <c r="CB93" s="106"/>
      <c r="CC93" s="106"/>
      <c r="CD93" s="106"/>
      <c r="CE93" s="106"/>
      <c r="CF93" s="106"/>
      <c r="CG93" s="106"/>
      <c r="CH93" s="106"/>
      <c r="CI93" s="106"/>
      <c r="CJ93" s="106"/>
      <c r="CK93" s="106"/>
      <c r="CL93" s="106"/>
      <c r="CM93" s="106"/>
      <c r="CN93" s="106"/>
      <c r="CO93" s="106"/>
      <c r="CP93" s="106"/>
      <c r="CQ93" s="106"/>
      <c r="CR93" s="106"/>
      <c r="CS93" s="106"/>
      <c r="CT93" s="106"/>
      <c r="CU93" s="106"/>
      <c r="CV93" s="106"/>
      <c r="CW93" s="106"/>
      <c r="CX93" s="106"/>
      <c r="CY93" s="106"/>
      <c r="CZ93" s="106"/>
      <c r="DA93" s="106"/>
      <c r="DB93" s="106"/>
      <c r="DC93" s="106"/>
      <c r="DD93" s="106"/>
      <c r="DE93" s="106"/>
      <c r="DF93" s="106"/>
      <c r="DG93" s="106"/>
      <c r="DH93" s="106"/>
      <c r="DI93" s="106"/>
      <c r="DJ93" s="106"/>
      <c r="DK93" s="106"/>
      <c r="DL93" s="106"/>
      <c r="DM93" s="106"/>
      <c r="DN93" s="106"/>
      <c r="DO93" s="106"/>
      <c r="DP93" s="106"/>
      <c r="DQ93" s="106"/>
      <c r="DR93" s="106"/>
      <c r="DS93" s="106"/>
      <c r="DT93" s="106"/>
      <c r="DU93" s="106"/>
      <c r="DV93" s="106"/>
      <c r="DW93" s="106"/>
      <c r="DX93" s="106"/>
      <c r="DY93" s="106"/>
      <c r="DZ93" s="106"/>
      <c r="EA93" s="106"/>
      <c r="EB93" s="106"/>
      <c r="EC93" s="106"/>
      <c r="ED93" s="106"/>
      <c r="EE93" s="106"/>
      <c r="EF93" s="106"/>
      <c r="EG93" s="106"/>
      <c r="EH93" s="106"/>
      <c r="EI93" s="106"/>
      <c r="EJ93" s="106"/>
      <c r="EK93" s="106"/>
      <c r="EL93" s="106"/>
      <c r="EM93" s="106"/>
      <c r="EN93" s="106"/>
      <c r="EO93" s="106"/>
      <c r="EP93" s="106"/>
      <c r="EQ93" s="106"/>
      <c r="ER93" s="106"/>
      <c r="ES93" s="106"/>
      <c r="ET93" s="106"/>
      <c r="EU93" s="106"/>
      <c r="EV93" s="106"/>
      <c r="EW93" s="106"/>
      <c r="EX93" s="106"/>
      <c r="EY93" s="106"/>
      <c r="EZ93" s="106"/>
      <c r="FA93" s="106"/>
      <c r="FB93" s="106"/>
      <c r="FC93" s="106"/>
      <c r="FD93" s="106"/>
      <c r="FE93" s="106"/>
      <c r="FF93" s="106"/>
      <c r="FG93" s="106"/>
      <c r="FH93" s="106"/>
      <c r="FI93" s="106"/>
      <c r="FJ93" s="106"/>
      <c r="FK93" s="106"/>
      <c r="FL93" s="106"/>
      <c r="FM93" s="106"/>
      <c r="FN93" s="106"/>
      <c r="FO93" s="106"/>
      <c r="FP93" s="106"/>
      <c r="FQ93" s="106"/>
      <c r="FR93" s="106"/>
      <c r="FS93" s="106"/>
      <c r="FT93" s="106"/>
      <c r="FU93" s="106"/>
      <c r="FV93" s="106"/>
      <c r="FW93" s="106"/>
      <c r="FX93" s="106"/>
      <c r="FY93" s="106"/>
      <c r="FZ93" s="106"/>
      <c r="GA93" s="106"/>
      <c r="GB93" s="106"/>
      <c r="GC93" s="106"/>
      <c r="GD93" s="106"/>
      <c r="GE93" s="106"/>
      <c r="GF93" s="106"/>
      <c r="GG93" s="106"/>
      <c r="GH93" s="106"/>
      <c r="GI93" s="106"/>
      <c r="GJ93" s="106"/>
      <c r="GK93" s="106"/>
      <c r="GL93" s="106"/>
      <c r="GM93" s="106"/>
      <c r="GN93" s="106"/>
      <c r="GO93" s="106"/>
      <c r="GP93" s="106"/>
      <c r="GQ93" s="106"/>
      <c r="GR93" s="106"/>
      <c r="GS93" s="106"/>
      <c r="GT93" s="106"/>
      <c r="GU93" s="106"/>
      <c r="GV93" s="106"/>
      <c r="GW93" s="106"/>
      <c r="GX93" s="106"/>
      <c r="GY93" s="106"/>
      <c r="GZ93" s="106"/>
      <c r="HA93" s="106"/>
      <c r="HB93" s="106"/>
      <c r="HC93" s="106"/>
      <c r="HD93" s="106"/>
      <c r="HE93" s="106"/>
      <c r="HF93" s="106"/>
      <c r="HG93" s="106"/>
      <c r="HH93" s="106"/>
      <c r="HI93" s="106"/>
      <c r="HJ93" s="106"/>
      <c r="HK93" s="106"/>
      <c r="HL93" s="106"/>
      <c r="HM93" s="106"/>
      <c r="HN93" s="106"/>
      <c r="HO93" s="106"/>
      <c r="HP93" s="106"/>
      <c r="HQ93" s="106"/>
      <c r="HR93" s="106"/>
      <c r="HS93" s="106"/>
      <c r="HT93" s="106"/>
      <c r="HU93" s="106"/>
      <c r="HV93" s="106"/>
      <c r="HW93" s="106"/>
      <c r="HX93" s="106"/>
      <c r="HY93" s="106"/>
      <c r="HZ93" s="106"/>
      <c r="IA93" s="106"/>
      <c r="IB93" s="106"/>
      <c r="IC93" s="106"/>
      <c r="ID93" s="106"/>
      <c r="IE93" s="106"/>
      <c r="IF93" s="106"/>
      <c r="IG93" s="106"/>
      <c r="IH93" s="106"/>
      <c r="II93" s="106"/>
      <c r="IJ93" s="106"/>
      <c r="IK93" s="106"/>
      <c r="IL93" s="106"/>
      <c r="IM93" s="106"/>
      <c r="IN93" s="106"/>
      <c r="IO93" s="106"/>
      <c r="IP93" s="106"/>
      <c r="IQ93" s="106"/>
      <c r="IR93" s="106"/>
      <c r="IS93" s="106"/>
      <c r="IT93" s="106"/>
      <c r="IU93" s="106"/>
      <c r="IV93" s="106"/>
      <c r="IW93" s="106"/>
      <c r="IX93" s="106"/>
    </row>
    <row r="94" s="105" customFormat="1" spans="1:258">
      <c r="A94" s="125"/>
      <c r="B94" s="125"/>
      <c r="C94" s="125"/>
      <c r="D94" s="125"/>
      <c r="E94" s="125"/>
      <c r="F94" s="125"/>
      <c r="G94" s="125"/>
      <c r="H94" s="125"/>
      <c r="I94" s="125"/>
      <c r="J94" s="133"/>
      <c r="K94" s="134"/>
      <c r="L94" s="134"/>
      <c r="M94" s="134"/>
      <c r="N94" s="134"/>
      <c r="O94" s="134"/>
      <c r="P94" s="155"/>
      <c r="Q94" s="155"/>
      <c r="R94" s="134"/>
      <c r="S94" s="134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6"/>
      <c r="AH94" s="106"/>
      <c r="AI94" s="106"/>
      <c r="AJ94" s="106"/>
      <c r="AK94" s="106"/>
      <c r="AL94" s="106"/>
      <c r="AM94" s="106"/>
      <c r="AN94" s="106"/>
      <c r="AO94" s="106"/>
      <c r="AP94" s="106"/>
      <c r="AQ94" s="106"/>
      <c r="AR94" s="106"/>
      <c r="AS94" s="106"/>
      <c r="AT94" s="106"/>
      <c r="AU94" s="106"/>
      <c r="AV94" s="106"/>
      <c r="AW94" s="106"/>
      <c r="AX94" s="106"/>
      <c r="AY94" s="106"/>
      <c r="AZ94" s="106"/>
      <c r="BA94" s="106"/>
      <c r="BB94" s="106"/>
      <c r="BC94" s="106"/>
      <c r="BD94" s="106"/>
      <c r="BE94" s="106"/>
      <c r="BF94" s="106"/>
      <c r="BG94" s="106"/>
      <c r="BH94" s="106"/>
      <c r="BI94" s="106"/>
      <c r="BJ94" s="106"/>
      <c r="BK94" s="106"/>
      <c r="BL94" s="106"/>
      <c r="BM94" s="106"/>
      <c r="BN94" s="106"/>
      <c r="BO94" s="106"/>
      <c r="BP94" s="106"/>
      <c r="BQ94" s="106"/>
      <c r="BR94" s="106"/>
      <c r="BS94" s="106"/>
      <c r="BT94" s="106"/>
      <c r="BU94" s="106"/>
      <c r="BV94" s="106"/>
      <c r="BW94" s="106"/>
      <c r="BX94" s="106"/>
      <c r="BY94" s="106"/>
      <c r="BZ94" s="106"/>
      <c r="CA94" s="106"/>
      <c r="CB94" s="106"/>
      <c r="CC94" s="106"/>
      <c r="CD94" s="106"/>
      <c r="CE94" s="106"/>
      <c r="CF94" s="106"/>
      <c r="CG94" s="106"/>
      <c r="CH94" s="106"/>
      <c r="CI94" s="106"/>
      <c r="CJ94" s="106"/>
      <c r="CK94" s="106"/>
      <c r="CL94" s="106"/>
      <c r="CM94" s="106"/>
      <c r="CN94" s="106"/>
      <c r="CO94" s="106"/>
      <c r="CP94" s="106"/>
      <c r="CQ94" s="106"/>
      <c r="CR94" s="106"/>
      <c r="CS94" s="106"/>
      <c r="CT94" s="106"/>
      <c r="CU94" s="106"/>
      <c r="CV94" s="106"/>
      <c r="CW94" s="106"/>
      <c r="CX94" s="106"/>
      <c r="CY94" s="106"/>
      <c r="CZ94" s="106"/>
      <c r="DA94" s="106"/>
      <c r="DB94" s="106"/>
      <c r="DC94" s="106"/>
      <c r="DD94" s="106"/>
      <c r="DE94" s="106"/>
      <c r="DF94" s="106"/>
      <c r="DG94" s="106"/>
      <c r="DH94" s="106"/>
      <c r="DI94" s="106"/>
      <c r="DJ94" s="106"/>
      <c r="DK94" s="106"/>
      <c r="DL94" s="106"/>
      <c r="DM94" s="106"/>
      <c r="DN94" s="106"/>
      <c r="DO94" s="106"/>
      <c r="DP94" s="106"/>
      <c r="DQ94" s="106"/>
      <c r="DR94" s="106"/>
      <c r="DS94" s="106"/>
      <c r="DT94" s="106"/>
      <c r="DU94" s="106"/>
      <c r="DV94" s="106"/>
      <c r="DW94" s="106"/>
      <c r="DX94" s="106"/>
      <c r="DY94" s="106"/>
      <c r="DZ94" s="106"/>
      <c r="EA94" s="106"/>
      <c r="EB94" s="106"/>
      <c r="EC94" s="106"/>
      <c r="ED94" s="106"/>
      <c r="EE94" s="106"/>
      <c r="EF94" s="106"/>
      <c r="EG94" s="106"/>
      <c r="EH94" s="106"/>
      <c r="EI94" s="106"/>
      <c r="EJ94" s="106"/>
      <c r="EK94" s="106"/>
      <c r="EL94" s="106"/>
      <c r="EM94" s="106"/>
      <c r="EN94" s="106"/>
      <c r="EO94" s="106"/>
      <c r="EP94" s="106"/>
      <c r="EQ94" s="106"/>
      <c r="ER94" s="106"/>
      <c r="ES94" s="106"/>
      <c r="ET94" s="106"/>
      <c r="EU94" s="106"/>
      <c r="EV94" s="106"/>
      <c r="EW94" s="106"/>
      <c r="EX94" s="106"/>
      <c r="EY94" s="106"/>
      <c r="EZ94" s="106"/>
      <c r="FA94" s="106"/>
      <c r="FB94" s="106"/>
      <c r="FC94" s="106"/>
      <c r="FD94" s="106"/>
      <c r="FE94" s="106"/>
      <c r="FF94" s="106"/>
      <c r="FG94" s="106"/>
      <c r="FH94" s="106"/>
      <c r="FI94" s="106"/>
      <c r="FJ94" s="106"/>
      <c r="FK94" s="106"/>
      <c r="FL94" s="106"/>
      <c r="FM94" s="106"/>
      <c r="FN94" s="106"/>
      <c r="FO94" s="106"/>
      <c r="FP94" s="106"/>
      <c r="FQ94" s="106"/>
      <c r="FR94" s="106"/>
      <c r="FS94" s="106"/>
      <c r="FT94" s="106"/>
      <c r="FU94" s="106"/>
      <c r="FV94" s="106"/>
      <c r="FW94" s="106"/>
      <c r="FX94" s="106"/>
      <c r="FY94" s="106"/>
      <c r="FZ94" s="106"/>
      <c r="GA94" s="106"/>
      <c r="GB94" s="106"/>
      <c r="GC94" s="106"/>
      <c r="GD94" s="106"/>
      <c r="GE94" s="106"/>
      <c r="GF94" s="106"/>
      <c r="GG94" s="106"/>
      <c r="GH94" s="106"/>
      <c r="GI94" s="106"/>
      <c r="GJ94" s="106"/>
      <c r="GK94" s="106"/>
      <c r="GL94" s="106"/>
      <c r="GM94" s="106"/>
      <c r="GN94" s="106"/>
      <c r="GO94" s="106"/>
      <c r="GP94" s="106"/>
      <c r="GQ94" s="106"/>
      <c r="GR94" s="106"/>
      <c r="GS94" s="106"/>
      <c r="GT94" s="106"/>
      <c r="GU94" s="106"/>
      <c r="GV94" s="106"/>
      <c r="GW94" s="106"/>
      <c r="GX94" s="106"/>
      <c r="GY94" s="106"/>
      <c r="GZ94" s="106"/>
      <c r="HA94" s="106"/>
      <c r="HB94" s="106"/>
      <c r="HC94" s="106"/>
      <c r="HD94" s="106"/>
      <c r="HE94" s="106"/>
      <c r="HF94" s="106"/>
      <c r="HG94" s="106"/>
      <c r="HH94" s="106"/>
      <c r="HI94" s="106"/>
      <c r="HJ94" s="106"/>
      <c r="HK94" s="106"/>
      <c r="HL94" s="106"/>
      <c r="HM94" s="106"/>
      <c r="HN94" s="106"/>
      <c r="HO94" s="106"/>
      <c r="HP94" s="106"/>
      <c r="HQ94" s="106"/>
      <c r="HR94" s="106"/>
      <c r="HS94" s="106"/>
      <c r="HT94" s="106"/>
      <c r="HU94" s="106"/>
      <c r="HV94" s="106"/>
      <c r="HW94" s="106"/>
      <c r="HX94" s="106"/>
      <c r="HY94" s="106"/>
      <c r="HZ94" s="106"/>
      <c r="IA94" s="106"/>
      <c r="IB94" s="106"/>
      <c r="IC94" s="106"/>
      <c r="ID94" s="106"/>
      <c r="IE94" s="106"/>
      <c r="IF94" s="106"/>
      <c r="IG94" s="106"/>
      <c r="IH94" s="106"/>
      <c r="II94" s="106"/>
      <c r="IJ94" s="106"/>
      <c r="IK94" s="106"/>
      <c r="IL94" s="106"/>
      <c r="IM94" s="106"/>
      <c r="IN94" s="106"/>
      <c r="IO94" s="106"/>
      <c r="IP94" s="106"/>
      <c r="IQ94" s="106"/>
      <c r="IR94" s="106"/>
      <c r="IS94" s="106"/>
      <c r="IT94" s="106"/>
      <c r="IU94" s="106"/>
      <c r="IV94" s="106"/>
      <c r="IW94" s="106"/>
      <c r="IX94" s="106"/>
    </row>
    <row r="95" s="105" customFormat="1" spans="1:258">
      <c r="A95" s="125"/>
      <c r="B95" s="125"/>
      <c r="C95" s="125"/>
      <c r="D95" s="125"/>
      <c r="E95" s="125"/>
      <c r="F95" s="125"/>
      <c r="G95" s="125"/>
      <c r="H95" s="125"/>
      <c r="I95" s="125"/>
      <c r="J95" s="133"/>
      <c r="K95" s="134"/>
      <c r="L95" s="134"/>
      <c r="M95" s="134"/>
      <c r="N95" s="134"/>
      <c r="O95" s="134"/>
      <c r="P95" s="155"/>
      <c r="Q95" s="155"/>
      <c r="R95" s="134"/>
      <c r="S95" s="134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  <c r="AH95" s="106"/>
      <c r="AI95" s="106"/>
      <c r="AJ95" s="106"/>
      <c r="AK95" s="106"/>
      <c r="AL95" s="106"/>
      <c r="AM95" s="106"/>
      <c r="AN95" s="106"/>
      <c r="AO95" s="106"/>
      <c r="AP95" s="106"/>
      <c r="AQ95" s="106"/>
      <c r="AR95" s="106"/>
      <c r="AS95" s="106"/>
      <c r="AT95" s="106"/>
      <c r="AU95" s="106"/>
      <c r="AV95" s="106"/>
      <c r="AW95" s="106"/>
      <c r="AX95" s="106"/>
      <c r="AY95" s="106"/>
      <c r="AZ95" s="106"/>
      <c r="BA95" s="106"/>
      <c r="BB95" s="106"/>
      <c r="BC95" s="106"/>
      <c r="BD95" s="106"/>
      <c r="BE95" s="106"/>
      <c r="BF95" s="106"/>
      <c r="BG95" s="106"/>
      <c r="BH95" s="106"/>
      <c r="BI95" s="106"/>
      <c r="BJ95" s="106"/>
      <c r="BK95" s="106"/>
      <c r="BL95" s="106"/>
      <c r="BM95" s="106"/>
      <c r="BN95" s="106"/>
      <c r="BO95" s="106"/>
      <c r="BP95" s="106"/>
      <c r="BQ95" s="106"/>
      <c r="BR95" s="106"/>
      <c r="BS95" s="106"/>
      <c r="BT95" s="106"/>
      <c r="BU95" s="106"/>
      <c r="BV95" s="106"/>
      <c r="BW95" s="106"/>
      <c r="BX95" s="106"/>
      <c r="BY95" s="106"/>
      <c r="BZ95" s="106"/>
      <c r="CA95" s="106"/>
      <c r="CB95" s="106"/>
      <c r="CC95" s="106"/>
      <c r="CD95" s="106"/>
      <c r="CE95" s="106"/>
      <c r="CF95" s="106"/>
      <c r="CG95" s="106"/>
      <c r="CH95" s="106"/>
      <c r="CI95" s="106"/>
      <c r="CJ95" s="106"/>
      <c r="CK95" s="106"/>
      <c r="CL95" s="106"/>
      <c r="CM95" s="106"/>
      <c r="CN95" s="106"/>
      <c r="CO95" s="106"/>
      <c r="CP95" s="106"/>
      <c r="CQ95" s="106"/>
      <c r="CR95" s="106"/>
      <c r="CS95" s="106"/>
      <c r="CT95" s="106"/>
      <c r="CU95" s="106"/>
      <c r="CV95" s="106"/>
      <c r="CW95" s="106"/>
      <c r="CX95" s="106"/>
      <c r="CY95" s="106"/>
      <c r="CZ95" s="106"/>
      <c r="DA95" s="106"/>
      <c r="DB95" s="106"/>
      <c r="DC95" s="106"/>
      <c r="DD95" s="106"/>
      <c r="DE95" s="106"/>
      <c r="DF95" s="106"/>
      <c r="DG95" s="106"/>
      <c r="DH95" s="106"/>
      <c r="DI95" s="106"/>
      <c r="DJ95" s="106"/>
      <c r="DK95" s="106"/>
      <c r="DL95" s="106"/>
      <c r="DM95" s="106"/>
      <c r="DN95" s="106"/>
      <c r="DO95" s="106"/>
      <c r="DP95" s="106"/>
      <c r="DQ95" s="106"/>
      <c r="DR95" s="106"/>
      <c r="DS95" s="106"/>
      <c r="DT95" s="106"/>
      <c r="DU95" s="106"/>
      <c r="DV95" s="106"/>
      <c r="DW95" s="106"/>
      <c r="DX95" s="106"/>
      <c r="DY95" s="106"/>
      <c r="DZ95" s="106"/>
      <c r="EA95" s="106"/>
      <c r="EB95" s="106"/>
      <c r="EC95" s="106"/>
      <c r="ED95" s="106"/>
      <c r="EE95" s="106"/>
      <c r="EF95" s="106"/>
      <c r="EG95" s="106"/>
      <c r="EH95" s="106"/>
      <c r="EI95" s="106"/>
      <c r="EJ95" s="106"/>
      <c r="EK95" s="106"/>
      <c r="EL95" s="106"/>
      <c r="EM95" s="106"/>
      <c r="EN95" s="106"/>
      <c r="EO95" s="106"/>
      <c r="EP95" s="106"/>
      <c r="EQ95" s="106"/>
      <c r="ER95" s="106"/>
      <c r="ES95" s="106"/>
      <c r="ET95" s="106"/>
      <c r="EU95" s="106"/>
      <c r="EV95" s="106"/>
      <c r="EW95" s="106"/>
      <c r="EX95" s="106"/>
      <c r="EY95" s="106"/>
      <c r="EZ95" s="106"/>
      <c r="FA95" s="106"/>
      <c r="FB95" s="106"/>
      <c r="FC95" s="106"/>
      <c r="FD95" s="106"/>
      <c r="FE95" s="106"/>
      <c r="FF95" s="106"/>
      <c r="FG95" s="106"/>
      <c r="FH95" s="106"/>
      <c r="FI95" s="106"/>
      <c r="FJ95" s="106"/>
      <c r="FK95" s="106"/>
      <c r="FL95" s="106"/>
      <c r="FM95" s="106"/>
      <c r="FN95" s="106"/>
      <c r="FO95" s="106"/>
      <c r="FP95" s="106"/>
      <c r="FQ95" s="106"/>
      <c r="FR95" s="106"/>
      <c r="FS95" s="106"/>
      <c r="FT95" s="106"/>
      <c r="FU95" s="106"/>
      <c r="FV95" s="106"/>
      <c r="FW95" s="106"/>
      <c r="FX95" s="106"/>
      <c r="FY95" s="106"/>
      <c r="FZ95" s="106"/>
      <c r="GA95" s="106"/>
      <c r="GB95" s="106"/>
      <c r="GC95" s="106"/>
      <c r="GD95" s="106"/>
      <c r="GE95" s="106"/>
      <c r="GF95" s="106"/>
      <c r="GG95" s="106"/>
      <c r="GH95" s="106"/>
      <c r="GI95" s="106"/>
      <c r="GJ95" s="106"/>
      <c r="GK95" s="106"/>
      <c r="GL95" s="106"/>
      <c r="GM95" s="106"/>
      <c r="GN95" s="106"/>
      <c r="GO95" s="106"/>
      <c r="GP95" s="106"/>
      <c r="GQ95" s="106"/>
      <c r="GR95" s="106"/>
      <c r="GS95" s="106"/>
      <c r="GT95" s="106"/>
      <c r="GU95" s="106"/>
      <c r="GV95" s="106"/>
      <c r="GW95" s="106"/>
      <c r="GX95" s="106"/>
      <c r="GY95" s="106"/>
      <c r="GZ95" s="106"/>
      <c r="HA95" s="106"/>
      <c r="HB95" s="106"/>
      <c r="HC95" s="106"/>
      <c r="HD95" s="106"/>
      <c r="HE95" s="106"/>
      <c r="HF95" s="106"/>
      <c r="HG95" s="106"/>
      <c r="HH95" s="106"/>
      <c r="HI95" s="106"/>
      <c r="HJ95" s="106"/>
      <c r="HK95" s="106"/>
      <c r="HL95" s="106"/>
      <c r="HM95" s="106"/>
      <c r="HN95" s="106"/>
      <c r="HO95" s="106"/>
      <c r="HP95" s="106"/>
      <c r="HQ95" s="106"/>
      <c r="HR95" s="106"/>
      <c r="HS95" s="106"/>
      <c r="HT95" s="106"/>
      <c r="HU95" s="106"/>
      <c r="HV95" s="106"/>
      <c r="HW95" s="106"/>
      <c r="HX95" s="106"/>
      <c r="HY95" s="106"/>
      <c r="HZ95" s="106"/>
      <c r="IA95" s="106"/>
      <c r="IB95" s="106"/>
      <c r="IC95" s="106"/>
      <c r="ID95" s="106"/>
      <c r="IE95" s="106"/>
      <c r="IF95" s="106"/>
      <c r="IG95" s="106"/>
      <c r="IH95" s="106"/>
      <c r="II95" s="106"/>
      <c r="IJ95" s="106"/>
      <c r="IK95" s="106"/>
      <c r="IL95" s="106"/>
      <c r="IM95" s="106"/>
      <c r="IN95" s="106"/>
      <c r="IO95" s="106"/>
      <c r="IP95" s="106"/>
      <c r="IQ95" s="106"/>
      <c r="IR95" s="106"/>
      <c r="IS95" s="106"/>
      <c r="IT95" s="106"/>
      <c r="IU95" s="106"/>
      <c r="IV95" s="106"/>
      <c r="IW95" s="106"/>
      <c r="IX95" s="106"/>
    </row>
    <row r="96" s="105" customFormat="1" spans="1:258">
      <c r="A96" s="125"/>
      <c r="B96" s="125"/>
      <c r="C96" s="125"/>
      <c r="D96" s="125"/>
      <c r="E96" s="125"/>
      <c r="F96" s="125"/>
      <c r="G96" s="125"/>
      <c r="H96" s="125"/>
      <c r="I96" s="125"/>
      <c r="J96" s="133"/>
      <c r="K96" s="134"/>
      <c r="L96" s="134"/>
      <c r="M96" s="134"/>
      <c r="N96" s="134"/>
      <c r="O96" s="134"/>
      <c r="P96" s="155"/>
      <c r="Q96" s="155"/>
      <c r="R96" s="134"/>
      <c r="S96" s="134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  <c r="AI96" s="106"/>
      <c r="AJ96" s="106"/>
      <c r="AK96" s="106"/>
      <c r="AL96" s="106"/>
      <c r="AM96" s="106"/>
      <c r="AN96" s="106"/>
      <c r="AO96" s="106"/>
      <c r="AP96" s="106"/>
      <c r="AQ96" s="106"/>
      <c r="AR96" s="106"/>
      <c r="AS96" s="106"/>
      <c r="AT96" s="106"/>
      <c r="AU96" s="106"/>
      <c r="AV96" s="106"/>
      <c r="AW96" s="106"/>
      <c r="AX96" s="106"/>
      <c r="AY96" s="106"/>
      <c r="AZ96" s="106"/>
      <c r="BA96" s="106"/>
      <c r="BB96" s="106"/>
      <c r="BC96" s="106"/>
      <c r="BD96" s="106"/>
      <c r="BE96" s="106"/>
      <c r="BF96" s="106"/>
      <c r="BG96" s="106"/>
      <c r="BH96" s="106"/>
      <c r="BI96" s="106"/>
      <c r="BJ96" s="106"/>
      <c r="BK96" s="106"/>
      <c r="BL96" s="106"/>
      <c r="BM96" s="106"/>
      <c r="BN96" s="106"/>
      <c r="BO96" s="106"/>
      <c r="BP96" s="106"/>
      <c r="BQ96" s="106"/>
      <c r="BR96" s="106"/>
      <c r="BS96" s="106"/>
      <c r="BT96" s="106"/>
      <c r="BU96" s="106"/>
      <c r="BV96" s="106"/>
      <c r="BW96" s="106"/>
      <c r="BX96" s="106"/>
      <c r="BY96" s="106"/>
      <c r="BZ96" s="106"/>
      <c r="CA96" s="106"/>
      <c r="CB96" s="106"/>
      <c r="CC96" s="106"/>
      <c r="CD96" s="106"/>
      <c r="CE96" s="106"/>
      <c r="CF96" s="106"/>
      <c r="CG96" s="106"/>
      <c r="CH96" s="106"/>
      <c r="CI96" s="106"/>
      <c r="CJ96" s="106"/>
      <c r="CK96" s="106"/>
      <c r="CL96" s="106"/>
      <c r="CM96" s="106"/>
      <c r="CN96" s="106"/>
      <c r="CO96" s="106"/>
      <c r="CP96" s="106"/>
      <c r="CQ96" s="106"/>
      <c r="CR96" s="106"/>
      <c r="CS96" s="106"/>
      <c r="CT96" s="106"/>
      <c r="CU96" s="106"/>
      <c r="CV96" s="106"/>
      <c r="CW96" s="106"/>
      <c r="CX96" s="106"/>
      <c r="CY96" s="106"/>
      <c r="CZ96" s="106"/>
      <c r="DA96" s="106"/>
      <c r="DB96" s="106"/>
      <c r="DC96" s="106"/>
      <c r="DD96" s="106"/>
      <c r="DE96" s="106"/>
      <c r="DF96" s="106"/>
      <c r="DG96" s="106"/>
      <c r="DH96" s="106"/>
      <c r="DI96" s="106"/>
      <c r="DJ96" s="106"/>
      <c r="DK96" s="106"/>
      <c r="DL96" s="106"/>
      <c r="DM96" s="106"/>
      <c r="DN96" s="106"/>
      <c r="DO96" s="106"/>
      <c r="DP96" s="106"/>
      <c r="DQ96" s="106"/>
      <c r="DR96" s="106"/>
      <c r="DS96" s="106"/>
      <c r="DT96" s="106"/>
      <c r="DU96" s="106"/>
      <c r="DV96" s="106"/>
      <c r="DW96" s="106"/>
      <c r="DX96" s="106"/>
      <c r="DY96" s="106"/>
      <c r="DZ96" s="106"/>
      <c r="EA96" s="106"/>
      <c r="EB96" s="106"/>
      <c r="EC96" s="106"/>
      <c r="ED96" s="106"/>
      <c r="EE96" s="106"/>
      <c r="EF96" s="106"/>
      <c r="EG96" s="106"/>
      <c r="EH96" s="106"/>
      <c r="EI96" s="106"/>
      <c r="EJ96" s="106"/>
      <c r="EK96" s="106"/>
      <c r="EL96" s="106"/>
      <c r="EM96" s="106"/>
      <c r="EN96" s="106"/>
      <c r="EO96" s="106"/>
      <c r="EP96" s="106"/>
      <c r="EQ96" s="106"/>
      <c r="ER96" s="106"/>
      <c r="ES96" s="106"/>
      <c r="ET96" s="106"/>
      <c r="EU96" s="106"/>
      <c r="EV96" s="106"/>
      <c r="EW96" s="106"/>
      <c r="EX96" s="106"/>
      <c r="EY96" s="106"/>
      <c r="EZ96" s="106"/>
      <c r="FA96" s="106"/>
      <c r="FB96" s="106"/>
      <c r="FC96" s="106"/>
      <c r="FD96" s="106"/>
      <c r="FE96" s="106"/>
      <c r="FF96" s="106"/>
      <c r="FG96" s="106"/>
      <c r="FH96" s="106"/>
      <c r="FI96" s="106"/>
      <c r="FJ96" s="106"/>
      <c r="FK96" s="106"/>
      <c r="FL96" s="106"/>
      <c r="FM96" s="106"/>
      <c r="FN96" s="106"/>
      <c r="FO96" s="106"/>
      <c r="FP96" s="106"/>
      <c r="FQ96" s="106"/>
      <c r="FR96" s="106"/>
      <c r="FS96" s="106"/>
      <c r="FT96" s="106"/>
      <c r="FU96" s="106"/>
      <c r="FV96" s="106"/>
      <c r="FW96" s="106"/>
      <c r="FX96" s="106"/>
      <c r="FY96" s="106"/>
      <c r="FZ96" s="106"/>
      <c r="GA96" s="106"/>
      <c r="GB96" s="106"/>
      <c r="GC96" s="106"/>
      <c r="GD96" s="106"/>
      <c r="GE96" s="106"/>
      <c r="GF96" s="106"/>
      <c r="GG96" s="106"/>
      <c r="GH96" s="106"/>
      <c r="GI96" s="106"/>
      <c r="GJ96" s="106"/>
      <c r="GK96" s="106"/>
      <c r="GL96" s="106"/>
      <c r="GM96" s="106"/>
      <c r="GN96" s="106"/>
      <c r="GO96" s="106"/>
      <c r="GP96" s="106"/>
      <c r="GQ96" s="106"/>
      <c r="GR96" s="106"/>
      <c r="GS96" s="106"/>
      <c r="GT96" s="106"/>
      <c r="GU96" s="106"/>
      <c r="GV96" s="106"/>
      <c r="GW96" s="106"/>
      <c r="GX96" s="106"/>
      <c r="GY96" s="106"/>
      <c r="GZ96" s="106"/>
      <c r="HA96" s="106"/>
      <c r="HB96" s="106"/>
      <c r="HC96" s="106"/>
      <c r="HD96" s="106"/>
      <c r="HE96" s="106"/>
      <c r="HF96" s="106"/>
      <c r="HG96" s="106"/>
      <c r="HH96" s="106"/>
      <c r="HI96" s="106"/>
      <c r="HJ96" s="106"/>
      <c r="HK96" s="106"/>
      <c r="HL96" s="106"/>
      <c r="HM96" s="106"/>
      <c r="HN96" s="106"/>
      <c r="HO96" s="106"/>
      <c r="HP96" s="106"/>
      <c r="HQ96" s="106"/>
      <c r="HR96" s="106"/>
      <c r="HS96" s="106"/>
      <c r="HT96" s="106"/>
      <c r="HU96" s="106"/>
      <c r="HV96" s="106"/>
      <c r="HW96" s="106"/>
      <c r="HX96" s="106"/>
      <c r="HY96" s="106"/>
      <c r="HZ96" s="106"/>
      <c r="IA96" s="106"/>
      <c r="IB96" s="106"/>
      <c r="IC96" s="106"/>
      <c r="ID96" s="106"/>
      <c r="IE96" s="106"/>
      <c r="IF96" s="106"/>
      <c r="IG96" s="106"/>
      <c r="IH96" s="106"/>
      <c r="II96" s="106"/>
      <c r="IJ96" s="106"/>
      <c r="IK96" s="106"/>
      <c r="IL96" s="106"/>
      <c r="IM96" s="106"/>
      <c r="IN96" s="106"/>
      <c r="IO96" s="106"/>
      <c r="IP96" s="106"/>
      <c r="IQ96" s="106"/>
      <c r="IR96" s="106"/>
      <c r="IS96" s="106"/>
      <c r="IT96" s="106"/>
      <c r="IU96" s="106"/>
      <c r="IV96" s="106"/>
      <c r="IW96" s="106"/>
      <c r="IX96" s="106"/>
    </row>
    <row r="97" s="105" customFormat="1" spans="1:258">
      <c r="A97" s="125"/>
      <c r="B97" s="125"/>
      <c r="C97" s="125"/>
      <c r="D97" s="125"/>
      <c r="E97" s="125"/>
      <c r="F97" s="125"/>
      <c r="G97" s="125"/>
      <c r="H97" s="125"/>
      <c r="I97" s="125"/>
      <c r="J97" s="133"/>
      <c r="K97" s="134"/>
      <c r="L97" s="134"/>
      <c r="M97" s="134"/>
      <c r="N97" s="134"/>
      <c r="O97" s="134"/>
      <c r="P97" s="155"/>
      <c r="Q97" s="155"/>
      <c r="R97" s="134"/>
      <c r="S97" s="134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  <c r="AI97" s="106"/>
      <c r="AJ97" s="106"/>
      <c r="AK97" s="106"/>
      <c r="AL97" s="106"/>
      <c r="AM97" s="106"/>
      <c r="AN97" s="106"/>
      <c r="AO97" s="106"/>
      <c r="AP97" s="106"/>
      <c r="AQ97" s="106"/>
      <c r="AR97" s="106"/>
      <c r="AS97" s="106"/>
      <c r="AT97" s="106"/>
      <c r="AU97" s="106"/>
      <c r="AV97" s="106"/>
      <c r="AW97" s="106"/>
      <c r="AX97" s="106"/>
      <c r="AY97" s="106"/>
      <c r="AZ97" s="106"/>
      <c r="BA97" s="106"/>
      <c r="BB97" s="106"/>
      <c r="BC97" s="106"/>
      <c r="BD97" s="106"/>
      <c r="BE97" s="106"/>
      <c r="BF97" s="106"/>
      <c r="BG97" s="106"/>
      <c r="BH97" s="106"/>
      <c r="BI97" s="106"/>
      <c r="BJ97" s="106"/>
      <c r="BK97" s="106"/>
      <c r="BL97" s="106"/>
      <c r="BM97" s="106"/>
      <c r="BN97" s="106"/>
      <c r="BO97" s="106"/>
      <c r="BP97" s="106"/>
      <c r="BQ97" s="106"/>
      <c r="BR97" s="106"/>
      <c r="BS97" s="106"/>
      <c r="BT97" s="106"/>
      <c r="BU97" s="106"/>
      <c r="BV97" s="106"/>
      <c r="BW97" s="106"/>
      <c r="BX97" s="106"/>
      <c r="BY97" s="106"/>
      <c r="BZ97" s="106"/>
      <c r="CA97" s="106"/>
      <c r="CB97" s="106"/>
      <c r="CC97" s="106"/>
      <c r="CD97" s="106"/>
      <c r="CE97" s="106"/>
      <c r="CF97" s="106"/>
      <c r="CG97" s="106"/>
      <c r="CH97" s="106"/>
      <c r="CI97" s="106"/>
      <c r="CJ97" s="106"/>
      <c r="CK97" s="106"/>
      <c r="CL97" s="106"/>
      <c r="CM97" s="106"/>
      <c r="CN97" s="106"/>
      <c r="CO97" s="106"/>
      <c r="CP97" s="106"/>
      <c r="CQ97" s="106"/>
      <c r="CR97" s="106"/>
      <c r="CS97" s="106"/>
      <c r="CT97" s="106"/>
      <c r="CU97" s="106"/>
      <c r="CV97" s="106"/>
      <c r="CW97" s="106"/>
      <c r="CX97" s="106"/>
      <c r="CY97" s="106"/>
      <c r="CZ97" s="106"/>
      <c r="DA97" s="106"/>
      <c r="DB97" s="106"/>
      <c r="DC97" s="106"/>
      <c r="DD97" s="106"/>
      <c r="DE97" s="106"/>
      <c r="DF97" s="106"/>
      <c r="DG97" s="106"/>
      <c r="DH97" s="106"/>
      <c r="DI97" s="106"/>
      <c r="DJ97" s="106"/>
      <c r="DK97" s="106"/>
      <c r="DL97" s="106"/>
      <c r="DM97" s="106"/>
      <c r="DN97" s="106"/>
      <c r="DO97" s="106"/>
      <c r="DP97" s="106"/>
      <c r="DQ97" s="106"/>
      <c r="DR97" s="106"/>
      <c r="DS97" s="106"/>
      <c r="DT97" s="106"/>
      <c r="DU97" s="106"/>
      <c r="DV97" s="106"/>
      <c r="DW97" s="106"/>
      <c r="DX97" s="106"/>
      <c r="DY97" s="106"/>
      <c r="DZ97" s="106"/>
      <c r="EA97" s="106"/>
      <c r="EB97" s="106"/>
      <c r="EC97" s="106"/>
      <c r="ED97" s="106"/>
      <c r="EE97" s="106"/>
      <c r="EF97" s="106"/>
      <c r="EG97" s="106"/>
      <c r="EH97" s="106"/>
      <c r="EI97" s="106"/>
      <c r="EJ97" s="106"/>
      <c r="EK97" s="106"/>
      <c r="EL97" s="106"/>
      <c r="EM97" s="106"/>
      <c r="EN97" s="106"/>
      <c r="EO97" s="106"/>
      <c r="EP97" s="106"/>
      <c r="EQ97" s="106"/>
      <c r="ER97" s="106"/>
      <c r="ES97" s="106"/>
      <c r="ET97" s="106"/>
      <c r="EU97" s="106"/>
      <c r="EV97" s="106"/>
      <c r="EW97" s="106"/>
      <c r="EX97" s="106"/>
      <c r="EY97" s="106"/>
      <c r="EZ97" s="106"/>
      <c r="FA97" s="106"/>
      <c r="FB97" s="106"/>
      <c r="FC97" s="106"/>
      <c r="FD97" s="106"/>
      <c r="FE97" s="106"/>
      <c r="FF97" s="106"/>
      <c r="FG97" s="106"/>
      <c r="FH97" s="106"/>
      <c r="FI97" s="106"/>
      <c r="FJ97" s="106"/>
      <c r="FK97" s="106"/>
      <c r="FL97" s="106"/>
      <c r="FM97" s="106"/>
      <c r="FN97" s="106"/>
      <c r="FO97" s="106"/>
      <c r="FP97" s="106"/>
      <c r="FQ97" s="106"/>
      <c r="FR97" s="106"/>
      <c r="FS97" s="106"/>
      <c r="FT97" s="106"/>
      <c r="FU97" s="106"/>
      <c r="FV97" s="106"/>
      <c r="FW97" s="106"/>
      <c r="FX97" s="106"/>
      <c r="FY97" s="106"/>
      <c r="FZ97" s="106"/>
      <c r="GA97" s="106"/>
      <c r="GB97" s="106"/>
      <c r="GC97" s="106"/>
      <c r="GD97" s="106"/>
      <c r="GE97" s="106"/>
      <c r="GF97" s="106"/>
      <c r="GG97" s="106"/>
      <c r="GH97" s="106"/>
      <c r="GI97" s="106"/>
      <c r="GJ97" s="106"/>
      <c r="GK97" s="106"/>
      <c r="GL97" s="106"/>
      <c r="GM97" s="106"/>
      <c r="GN97" s="106"/>
      <c r="GO97" s="106"/>
      <c r="GP97" s="106"/>
      <c r="GQ97" s="106"/>
      <c r="GR97" s="106"/>
      <c r="GS97" s="106"/>
      <c r="GT97" s="106"/>
      <c r="GU97" s="106"/>
      <c r="GV97" s="106"/>
      <c r="GW97" s="106"/>
      <c r="GX97" s="106"/>
      <c r="GY97" s="106"/>
      <c r="GZ97" s="106"/>
      <c r="HA97" s="106"/>
      <c r="HB97" s="106"/>
      <c r="HC97" s="106"/>
      <c r="HD97" s="106"/>
      <c r="HE97" s="106"/>
      <c r="HF97" s="106"/>
      <c r="HG97" s="106"/>
      <c r="HH97" s="106"/>
      <c r="HI97" s="106"/>
      <c r="HJ97" s="106"/>
      <c r="HK97" s="106"/>
      <c r="HL97" s="106"/>
      <c r="HM97" s="106"/>
      <c r="HN97" s="106"/>
      <c r="HO97" s="106"/>
      <c r="HP97" s="106"/>
      <c r="HQ97" s="106"/>
      <c r="HR97" s="106"/>
      <c r="HS97" s="106"/>
      <c r="HT97" s="106"/>
      <c r="HU97" s="106"/>
      <c r="HV97" s="106"/>
      <c r="HW97" s="106"/>
      <c r="HX97" s="106"/>
      <c r="HY97" s="106"/>
      <c r="HZ97" s="106"/>
      <c r="IA97" s="106"/>
      <c r="IB97" s="106"/>
      <c r="IC97" s="106"/>
      <c r="ID97" s="106"/>
      <c r="IE97" s="106"/>
      <c r="IF97" s="106"/>
      <c r="IG97" s="106"/>
      <c r="IH97" s="106"/>
      <c r="II97" s="106"/>
      <c r="IJ97" s="106"/>
      <c r="IK97" s="106"/>
      <c r="IL97" s="106"/>
      <c r="IM97" s="106"/>
      <c r="IN97" s="106"/>
      <c r="IO97" s="106"/>
      <c r="IP97" s="106"/>
      <c r="IQ97" s="106"/>
      <c r="IR97" s="106"/>
      <c r="IS97" s="106"/>
      <c r="IT97" s="106"/>
      <c r="IU97" s="106"/>
      <c r="IV97" s="106"/>
      <c r="IW97" s="106"/>
      <c r="IX97" s="106"/>
    </row>
    <row r="98" s="105" customFormat="1" spans="1:258">
      <c r="A98" s="125"/>
      <c r="B98" s="125"/>
      <c r="C98" s="125"/>
      <c r="D98" s="125"/>
      <c r="E98" s="125"/>
      <c r="F98" s="125"/>
      <c r="G98" s="125"/>
      <c r="H98" s="125"/>
      <c r="I98" s="125"/>
      <c r="J98" s="133"/>
      <c r="K98" s="134"/>
      <c r="L98" s="134"/>
      <c r="M98" s="134"/>
      <c r="N98" s="134"/>
      <c r="O98" s="134"/>
      <c r="P98" s="155"/>
      <c r="Q98" s="155"/>
      <c r="R98" s="134"/>
      <c r="S98" s="134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  <c r="AM98" s="106"/>
      <c r="AN98" s="106"/>
      <c r="AO98" s="106"/>
      <c r="AP98" s="106"/>
      <c r="AQ98" s="106"/>
      <c r="AR98" s="106"/>
      <c r="AS98" s="106"/>
      <c r="AT98" s="106"/>
      <c r="AU98" s="106"/>
      <c r="AV98" s="106"/>
      <c r="AW98" s="106"/>
      <c r="AX98" s="106"/>
      <c r="AY98" s="106"/>
      <c r="AZ98" s="106"/>
      <c r="BA98" s="106"/>
      <c r="BB98" s="106"/>
      <c r="BC98" s="106"/>
      <c r="BD98" s="106"/>
      <c r="BE98" s="106"/>
      <c r="BF98" s="106"/>
      <c r="BG98" s="106"/>
      <c r="BH98" s="106"/>
      <c r="BI98" s="106"/>
      <c r="BJ98" s="106"/>
      <c r="BK98" s="106"/>
      <c r="BL98" s="106"/>
      <c r="BM98" s="106"/>
      <c r="BN98" s="106"/>
      <c r="BO98" s="106"/>
      <c r="BP98" s="106"/>
      <c r="BQ98" s="106"/>
      <c r="BR98" s="106"/>
      <c r="BS98" s="106"/>
      <c r="BT98" s="106"/>
      <c r="BU98" s="106"/>
      <c r="BV98" s="106"/>
      <c r="BW98" s="106"/>
      <c r="BX98" s="106"/>
      <c r="BY98" s="106"/>
      <c r="BZ98" s="106"/>
      <c r="CA98" s="106"/>
      <c r="CB98" s="106"/>
      <c r="CC98" s="106"/>
      <c r="CD98" s="106"/>
      <c r="CE98" s="106"/>
      <c r="CF98" s="106"/>
      <c r="CG98" s="106"/>
      <c r="CH98" s="106"/>
      <c r="CI98" s="106"/>
      <c r="CJ98" s="106"/>
      <c r="CK98" s="106"/>
      <c r="CL98" s="106"/>
      <c r="CM98" s="106"/>
      <c r="CN98" s="106"/>
      <c r="CO98" s="106"/>
      <c r="CP98" s="106"/>
      <c r="CQ98" s="106"/>
      <c r="CR98" s="106"/>
      <c r="CS98" s="106"/>
      <c r="CT98" s="106"/>
      <c r="CU98" s="106"/>
      <c r="CV98" s="106"/>
      <c r="CW98" s="106"/>
      <c r="CX98" s="106"/>
      <c r="CY98" s="106"/>
      <c r="CZ98" s="106"/>
      <c r="DA98" s="106"/>
      <c r="DB98" s="106"/>
      <c r="DC98" s="106"/>
      <c r="DD98" s="106"/>
      <c r="DE98" s="106"/>
      <c r="DF98" s="106"/>
      <c r="DG98" s="106"/>
      <c r="DH98" s="106"/>
      <c r="DI98" s="106"/>
      <c r="DJ98" s="106"/>
      <c r="DK98" s="106"/>
      <c r="DL98" s="106"/>
      <c r="DM98" s="106"/>
      <c r="DN98" s="106"/>
      <c r="DO98" s="106"/>
      <c r="DP98" s="106"/>
      <c r="DQ98" s="106"/>
      <c r="DR98" s="106"/>
      <c r="DS98" s="106"/>
      <c r="DT98" s="106"/>
      <c r="DU98" s="106"/>
      <c r="DV98" s="106"/>
      <c r="DW98" s="106"/>
      <c r="DX98" s="106"/>
      <c r="DY98" s="106"/>
      <c r="DZ98" s="106"/>
      <c r="EA98" s="106"/>
      <c r="EB98" s="106"/>
      <c r="EC98" s="106"/>
      <c r="ED98" s="106"/>
      <c r="EE98" s="106"/>
      <c r="EF98" s="106"/>
      <c r="EG98" s="106"/>
      <c r="EH98" s="106"/>
      <c r="EI98" s="106"/>
      <c r="EJ98" s="106"/>
      <c r="EK98" s="106"/>
      <c r="EL98" s="106"/>
      <c r="EM98" s="106"/>
      <c r="EN98" s="106"/>
      <c r="EO98" s="106"/>
      <c r="EP98" s="106"/>
      <c r="EQ98" s="106"/>
      <c r="ER98" s="106"/>
      <c r="ES98" s="106"/>
      <c r="ET98" s="106"/>
      <c r="EU98" s="106"/>
      <c r="EV98" s="106"/>
      <c r="EW98" s="106"/>
      <c r="EX98" s="106"/>
      <c r="EY98" s="106"/>
      <c r="EZ98" s="106"/>
      <c r="FA98" s="106"/>
      <c r="FB98" s="106"/>
      <c r="FC98" s="106"/>
      <c r="FD98" s="106"/>
      <c r="FE98" s="106"/>
      <c r="FF98" s="106"/>
      <c r="FG98" s="106"/>
      <c r="FH98" s="106"/>
      <c r="FI98" s="106"/>
      <c r="FJ98" s="106"/>
      <c r="FK98" s="106"/>
      <c r="FL98" s="106"/>
      <c r="FM98" s="106"/>
      <c r="FN98" s="106"/>
      <c r="FO98" s="106"/>
      <c r="FP98" s="106"/>
      <c r="FQ98" s="106"/>
      <c r="FR98" s="106"/>
      <c r="FS98" s="106"/>
      <c r="FT98" s="106"/>
      <c r="FU98" s="106"/>
      <c r="FV98" s="106"/>
      <c r="FW98" s="106"/>
      <c r="FX98" s="106"/>
      <c r="FY98" s="106"/>
      <c r="FZ98" s="106"/>
      <c r="GA98" s="106"/>
      <c r="GB98" s="106"/>
      <c r="GC98" s="106"/>
      <c r="GD98" s="106"/>
      <c r="GE98" s="106"/>
      <c r="GF98" s="106"/>
      <c r="GG98" s="106"/>
      <c r="GH98" s="106"/>
      <c r="GI98" s="106"/>
      <c r="GJ98" s="106"/>
      <c r="GK98" s="106"/>
      <c r="GL98" s="106"/>
      <c r="GM98" s="106"/>
      <c r="GN98" s="106"/>
      <c r="GO98" s="106"/>
      <c r="GP98" s="106"/>
      <c r="GQ98" s="106"/>
      <c r="GR98" s="106"/>
      <c r="GS98" s="106"/>
      <c r="GT98" s="106"/>
      <c r="GU98" s="106"/>
      <c r="GV98" s="106"/>
      <c r="GW98" s="106"/>
      <c r="GX98" s="106"/>
      <c r="GY98" s="106"/>
      <c r="GZ98" s="106"/>
      <c r="HA98" s="106"/>
      <c r="HB98" s="106"/>
      <c r="HC98" s="106"/>
      <c r="HD98" s="106"/>
      <c r="HE98" s="106"/>
      <c r="HF98" s="106"/>
      <c r="HG98" s="106"/>
      <c r="HH98" s="106"/>
      <c r="HI98" s="106"/>
      <c r="HJ98" s="106"/>
      <c r="HK98" s="106"/>
      <c r="HL98" s="106"/>
      <c r="HM98" s="106"/>
      <c r="HN98" s="106"/>
      <c r="HO98" s="106"/>
      <c r="HP98" s="106"/>
      <c r="HQ98" s="106"/>
      <c r="HR98" s="106"/>
      <c r="HS98" s="106"/>
      <c r="HT98" s="106"/>
      <c r="HU98" s="106"/>
      <c r="HV98" s="106"/>
      <c r="HW98" s="106"/>
      <c r="HX98" s="106"/>
      <c r="HY98" s="106"/>
      <c r="HZ98" s="106"/>
      <c r="IA98" s="106"/>
      <c r="IB98" s="106"/>
      <c r="IC98" s="106"/>
      <c r="ID98" s="106"/>
      <c r="IE98" s="106"/>
      <c r="IF98" s="106"/>
      <c r="IG98" s="106"/>
      <c r="IH98" s="106"/>
      <c r="II98" s="106"/>
      <c r="IJ98" s="106"/>
      <c r="IK98" s="106"/>
      <c r="IL98" s="106"/>
      <c r="IM98" s="106"/>
      <c r="IN98" s="106"/>
      <c r="IO98" s="106"/>
      <c r="IP98" s="106"/>
      <c r="IQ98" s="106"/>
      <c r="IR98" s="106"/>
      <c r="IS98" s="106"/>
      <c r="IT98" s="106"/>
      <c r="IU98" s="106"/>
      <c r="IV98" s="106"/>
      <c r="IW98" s="106"/>
      <c r="IX98" s="106"/>
    </row>
    <row r="99" s="105" customFormat="1" spans="1:258">
      <c r="A99" s="125"/>
      <c r="B99" s="125"/>
      <c r="C99" s="125"/>
      <c r="D99" s="125"/>
      <c r="E99" s="125"/>
      <c r="F99" s="125"/>
      <c r="G99" s="125"/>
      <c r="H99" s="125"/>
      <c r="I99" s="125"/>
      <c r="J99" s="133"/>
      <c r="K99" s="134"/>
      <c r="L99" s="134"/>
      <c r="M99" s="134"/>
      <c r="N99" s="134"/>
      <c r="O99" s="134"/>
      <c r="P99" s="155"/>
      <c r="Q99" s="155"/>
      <c r="R99" s="134"/>
      <c r="S99" s="134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  <c r="AI99" s="106"/>
      <c r="AJ99" s="106"/>
      <c r="AK99" s="106"/>
      <c r="AL99" s="106"/>
      <c r="AM99" s="106"/>
      <c r="AN99" s="106"/>
      <c r="AO99" s="106"/>
      <c r="AP99" s="106"/>
      <c r="AQ99" s="106"/>
      <c r="AR99" s="106"/>
      <c r="AS99" s="106"/>
      <c r="AT99" s="106"/>
      <c r="AU99" s="106"/>
      <c r="AV99" s="106"/>
      <c r="AW99" s="106"/>
      <c r="AX99" s="106"/>
      <c r="AY99" s="106"/>
      <c r="AZ99" s="106"/>
      <c r="BA99" s="106"/>
      <c r="BB99" s="106"/>
      <c r="BC99" s="106"/>
      <c r="BD99" s="106"/>
      <c r="BE99" s="106"/>
      <c r="BF99" s="106"/>
      <c r="BG99" s="106"/>
      <c r="BH99" s="106"/>
      <c r="BI99" s="106"/>
      <c r="BJ99" s="106"/>
      <c r="BK99" s="106"/>
      <c r="BL99" s="106"/>
      <c r="BM99" s="106"/>
      <c r="BN99" s="106"/>
      <c r="BO99" s="106"/>
      <c r="BP99" s="106"/>
      <c r="BQ99" s="106"/>
      <c r="BR99" s="106"/>
      <c r="BS99" s="106"/>
      <c r="BT99" s="106"/>
      <c r="BU99" s="106"/>
      <c r="BV99" s="106"/>
      <c r="BW99" s="106"/>
      <c r="BX99" s="106"/>
      <c r="BY99" s="106"/>
      <c r="BZ99" s="106"/>
      <c r="CA99" s="106"/>
      <c r="CB99" s="106"/>
      <c r="CC99" s="106"/>
      <c r="CD99" s="106"/>
      <c r="CE99" s="106"/>
      <c r="CF99" s="106"/>
      <c r="CG99" s="106"/>
      <c r="CH99" s="106"/>
      <c r="CI99" s="106"/>
      <c r="CJ99" s="106"/>
      <c r="CK99" s="106"/>
      <c r="CL99" s="106"/>
      <c r="CM99" s="106"/>
      <c r="CN99" s="106"/>
      <c r="CO99" s="106"/>
      <c r="CP99" s="106"/>
      <c r="CQ99" s="106"/>
      <c r="CR99" s="106"/>
      <c r="CS99" s="106"/>
      <c r="CT99" s="106"/>
      <c r="CU99" s="106"/>
      <c r="CV99" s="106"/>
      <c r="CW99" s="106"/>
      <c r="CX99" s="106"/>
      <c r="CY99" s="106"/>
      <c r="CZ99" s="106"/>
      <c r="DA99" s="106"/>
      <c r="DB99" s="106"/>
      <c r="DC99" s="106"/>
      <c r="DD99" s="106"/>
      <c r="DE99" s="106"/>
      <c r="DF99" s="106"/>
      <c r="DG99" s="106"/>
      <c r="DH99" s="106"/>
      <c r="DI99" s="106"/>
      <c r="DJ99" s="106"/>
      <c r="DK99" s="106"/>
      <c r="DL99" s="106"/>
      <c r="DM99" s="106"/>
      <c r="DN99" s="106"/>
      <c r="DO99" s="106"/>
      <c r="DP99" s="106"/>
      <c r="DQ99" s="106"/>
      <c r="DR99" s="106"/>
      <c r="DS99" s="106"/>
      <c r="DT99" s="106"/>
      <c r="DU99" s="106"/>
      <c r="DV99" s="106"/>
      <c r="DW99" s="106"/>
      <c r="DX99" s="106"/>
      <c r="DY99" s="106"/>
      <c r="DZ99" s="106"/>
      <c r="EA99" s="106"/>
      <c r="EB99" s="106"/>
      <c r="EC99" s="106"/>
      <c r="ED99" s="106"/>
      <c r="EE99" s="106"/>
      <c r="EF99" s="106"/>
      <c r="EG99" s="106"/>
      <c r="EH99" s="106"/>
      <c r="EI99" s="106"/>
      <c r="EJ99" s="106"/>
      <c r="EK99" s="106"/>
      <c r="EL99" s="106"/>
      <c r="EM99" s="106"/>
      <c r="EN99" s="106"/>
      <c r="EO99" s="106"/>
      <c r="EP99" s="106"/>
      <c r="EQ99" s="106"/>
      <c r="ER99" s="106"/>
      <c r="ES99" s="106"/>
      <c r="ET99" s="106"/>
      <c r="EU99" s="106"/>
      <c r="EV99" s="106"/>
      <c r="EW99" s="106"/>
      <c r="EX99" s="106"/>
      <c r="EY99" s="106"/>
      <c r="EZ99" s="106"/>
      <c r="FA99" s="106"/>
      <c r="FB99" s="106"/>
      <c r="FC99" s="106"/>
      <c r="FD99" s="106"/>
      <c r="FE99" s="106"/>
      <c r="FF99" s="106"/>
      <c r="FG99" s="106"/>
      <c r="FH99" s="106"/>
      <c r="FI99" s="106"/>
      <c r="FJ99" s="106"/>
      <c r="FK99" s="106"/>
      <c r="FL99" s="106"/>
      <c r="FM99" s="106"/>
      <c r="FN99" s="106"/>
      <c r="FO99" s="106"/>
      <c r="FP99" s="106"/>
      <c r="FQ99" s="106"/>
      <c r="FR99" s="106"/>
      <c r="FS99" s="106"/>
      <c r="FT99" s="106"/>
      <c r="FU99" s="106"/>
      <c r="FV99" s="106"/>
      <c r="FW99" s="106"/>
      <c r="FX99" s="106"/>
      <c r="FY99" s="106"/>
      <c r="FZ99" s="106"/>
      <c r="GA99" s="106"/>
      <c r="GB99" s="106"/>
      <c r="GC99" s="106"/>
      <c r="GD99" s="106"/>
      <c r="GE99" s="106"/>
      <c r="GF99" s="106"/>
      <c r="GG99" s="106"/>
      <c r="GH99" s="106"/>
      <c r="GI99" s="106"/>
      <c r="GJ99" s="106"/>
      <c r="GK99" s="106"/>
      <c r="GL99" s="106"/>
      <c r="GM99" s="106"/>
      <c r="GN99" s="106"/>
      <c r="GO99" s="106"/>
      <c r="GP99" s="106"/>
      <c r="GQ99" s="106"/>
      <c r="GR99" s="106"/>
      <c r="GS99" s="106"/>
      <c r="GT99" s="106"/>
      <c r="GU99" s="106"/>
      <c r="GV99" s="106"/>
      <c r="GW99" s="106"/>
      <c r="GX99" s="106"/>
      <c r="GY99" s="106"/>
      <c r="GZ99" s="106"/>
      <c r="HA99" s="106"/>
      <c r="HB99" s="106"/>
      <c r="HC99" s="106"/>
      <c r="HD99" s="106"/>
      <c r="HE99" s="106"/>
      <c r="HF99" s="106"/>
      <c r="HG99" s="106"/>
      <c r="HH99" s="106"/>
      <c r="HI99" s="106"/>
      <c r="HJ99" s="106"/>
      <c r="HK99" s="106"/>
      <c r="HL99" s="106"/>
      <c r="HM99" s="106"/>
      <c r="HN99" s="106"/>
      <c r="HO99" s="106"/>
      <c r="HP99" s="106"/>
      <c r="HQ99" s="106"/>
      <c r="HR99" s="106"/>
      <c r="HS99" s="106"/>
      <c r="HT99" s="106"/>
      <c r="HU99" s="106"/>
      <c r="HV99" s="106"/>
      <c r="HW99" s="106"/>
      <c r="HX99" s="106"/>
      <c r="HY99" s="106"/>
      <c r="HZ99" s="106"/>
      <c r="IA99" s="106"/>
      <c r="IB99" s="106"/>
      <c r="IC99" s="106"/>
      <c r="ID99" s="106"/>
      <c r="IE99" s="106"/>
      <c r="IF99" s="106"/>
      <c r="IG99" s="106"/>
      <c r="IH99" s="106"/>
      <c r="II99" s="106"/>
      <c r="IJ99" s="106"/>
      <c r="IK99" s="106"/>
      <c r="IL99" s="106"/>
      <c r="IM99" s="106"/>
      <c r="IN99" s="106"/>
      <c r="IO99" s="106"/>
      <c r="IP99" s="106"/>
      <c r="IQ99" s="106"/>
      <c r="IR99" s="106"/>
      <c r="IS99" s="106"/>
      <c r="IT99" s="106"/>
      <c r="IU99" s="106"/>
      <c r="IV99" s="106"/>
      <c r="IW99" s="106"/>
      <c r="IX99" s="106"/>
    </row>
    <row r="100" s="105" customFormat="1" spans="1:258">
      <c r="A100" s="125"/>
      <c r="B100" s="125"/>
      <c r="C100" s="125"/>
      <c r="D100" s="125"/>
      <c r="E100" s="125"/>
      <c r="F100" s="125"/>
      <c r="G100" s="125"/>
      <c r="H100" s="125"/>
      <c r="I100" s="125"/>
      <c r="J100" s="133"/>
      <c r="K100" s="134"/>
      <c r="L100" s="134"/>
      <c r="M100" s="134"/>
      <c r="N100" s="134"/>
      <c r="O100" s="134"/>
      <c r="P100" s="155"/>
      <c r="Q100" s="155"/>
      <c r="R100" s="134"/>
      <c r="S100" s="134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  <c r="AI100" s="106"/>
      <c r="AJ100" s="106"/>
      <c r="AK100" s="106"/>
      <c r="AL100" s="106"/>
      <c r="AM100" s="106"/>
      <c r="AN100" s="106"/>
      <c r="AO100" s="106"/>
      <c r="AP100" s="106"/>
      <c r="AQ100" s="106"/>
      <c r="AR100" s="106"/>
      <c r="AS100" s="106"/>
      <c r="AT100" s="106"/>
      <c r="AU100" s="106"/>
      <c r="AV100" s="106"/>
      <c r="AW100" s="106"/>
      <c r="AX100" s="106"/>
      <c r="AY100" s="106"/>
      <c r="AZ100" s="106"/>
      <c r="BA100" s="106"/>
      <c r="BB100" s="106"/>
      <c r="BC100" s="106"/>
      <c r="BD100" s="106"/>
      <c r="BE100" s="106"/>
      <c r="BF100" s="106"/>
      <c r="BG100" s="106"/>
      <c r="BH100" s="106"/>
      <c r="BI100" s="106"/>
      <c r="BJ100" s="106"/>
      <c r="BK100" s="106"/>
      <c r="BL100" s="106"/>
      <c r="BM100" s="106"/>
      <c r="BN100" s="106"/>
      <c r="BO100" s="106"/>
      <c r="BP100" s="106"/>
      <c r="BQ100" s="106"/>
      <c r="BR100" s="106"/>
      <c r="BS100" s="106"/>
      <c r="BT100" s="106"/>
      <c r="BU100" s="106"/>
      <c r="BV100" s="106"/>
      <c r="BW100" s="106"/>
      <c r="BX100" s="106"/>
      <c r="BY100" s="106"/>
      <c r="BZ100" s="106"/>
      <c r="CA100" s="106"/>
      <c r="CB100" s="106"/>
      <c r="CC100" s="106"/>
      <c r="CD100" s="106"/>
      <c r="CE100" s="106"/>
      <c r="CF100" s="106"/>
      <c r="CG100" s="106"/>
      <c r="CH100" s="106"/>
      <c r="CI100" s="106"/>
      <c r="CJ100" s="106"/>
      <c r="CK100" s="106"/>
      <c r="CL100" s="106"/>
      <c r="CM100" s="106"/>
      <c r="CN100" s="106"/>
      <c r="CO100" s="106"/>
      <c r="CP100" s="106"/>
      <c r="CQ100" s="106"/>
      <c r="CR100" s="106"/>
      <c r="CS100" s="106"/>
      <c r="CT100" s="106"/>
      <c r="CU100" s="106"/>
      <c r="CV100" s="106"/>
      <c r="CW100" s="106"/>
      <c r="CX100" s="106"/>
      <c r="CY100" s="106"/>
      <c r="CZ100" s="106"/>
      <c r="DA100" s="106"/>
      <c r="DB100" s="106"/>
      <c r="DC100" s="106"/>
      <c r="DD100" s="106"/>
      <c r="DE100" s="106"/>
      <c r="DF100" s="106"/>
      <c r="DG100" s="106"/>
      <c r="DH100" s="106"/>
      <c r="DI100" s="106"/>
      <c r="DJ100" s="106"/>
      <c r="DK100" s="106"/>
      <c r="DL100" s="106"/>
      <c r="DM100" s="106"/>
      <c r="DN100" s="106"/>
      <c r="DO100" s="106"/>
      <c r="DP100" s="106"/>
      <c r="DQ100" s="106"/>
      <c r="DR100" s="106"/>
      <c r="DS100" s="106"/>
      <c r="DT100" s="106"/>
      <c r="DU100" s="106"/>
      <c r="DV100" s="106"/>
      <c r="DW100" s="106"/>
      <c r="DX100" s="106"/>
      <c r="DY100" s="106"/>
      <c r="DZ100" s="106"/>
      <c r="EA100" s="106"/>
      <c r="EB100" s="106"/>
      <c r="EC100" s="106"/>
      <c r="ED100" s="106"/>
      <c r="EE100" s="106"/>
      <c r="EF100" s="106"/>
      <c r="EG100" s="106"/>
      <c r="EH100" s="106"/>
      <c r="EI100" s="106"/>
      <c r="EJ100" s="106"/>
      <c r="EK100" s="106"/>
      <c r="EL100" s="106"/>
      <c r="EM100" s="106"/>
      <c r="EN100" s="106"/>
      <c r="EO100" s="106"/>
      <c r="EP100" s="106"/>
      <c r="EQ100" s="106"/>
      <c r="ER100" s="106"/>
      <c r="ES100" s="106"/>
      <c r="ET100" s="106"/>
      <c r="EU100" s="106"/>
      <c r="EV100" s="106"/>
      <c r="EW100" s="106"/>
      <c r="EX100" s="106"/>
      <c r="EY100" s="106"/>
      <c r="EZ100" s="106"/>
      <c r="FA100" s="106"/>
      <c r="FB100" s="106"/>
      <c r="FC100" s="106"/>
      <c r="FD100" s="106"/>
      <c r="FE100" s="106"/>
      <c r="FF100" s="106"/>
      <c r="FG100" s="106"/>
      <c r="FH100" s="106"/>
      <c r="FI100" s="106"/>
      <c r="FJ100" s="106"/>
      <c r="FK100" s="106"/>
      <c r="FL100" s="106"/>
      <c r="FM100" s="106"/>
      <c r="FN100" s="106"/>
      <c r="FO100" s="106"/>
      <c r="FP100" s="106"/>
      <c r="FQ100" s="106"/>
      <c r="FR100" s="106"/>
      <c r="FS100" s="106"/>
      <c r="FT100" s="106"/>
      <c r="FU100" s="106"/>
      <c r="FV100" s="106"/>
      <c r="FW100" s="106"/>
      <c r="FX100" s="106"/>
      <c r="FY100" s="106"/>
      <c r="FZ100" s="106"/>
      <c r="GA100" s="106"/>
      <c r="GB100" s="106"/>
      <c r="GC100" s="106"/>
      <c r="GD100" s="106"/>
      <c r="GE100" s="106"/>
      <c r="GF100" s="106"/>
      <c r="GG100" s="106"/>
      <c r="GH100" s="106"/>
      <c r="GI100" s="106"/>
      <c r="GJ100" s="106"/>
      <c r="GK100" s="106"/>
      <c r="GL100" s="106"/>
      <c r="GM100" s="106"/>
      <c r="GN100" s="106"/>
      <c r="GO100" s="106"/>
      <c r="GP100" s="106"/>
      <c r="GQ100" s="106"/>
      <c r="GR100" s="106"/>
      <c r="GS100" s="106"/>
      <c r="GT100" s="106"/>
      <c r="GU100" s="106"/>
      <c r="GV100" s="106"/>
      <c r="GW100" s="106"/>
      <c r="GX100" s="106"/>
      <c r="GY100" s="106"/>
      <c r="GZ100" s="106"/>
      <c r="HA100" s="106"/>
      <c r="HB100" s="106"/>
      <c r="HC100" s="106"/>
      <c r="HD100" s="106"/>
      <c r="HE100" s="106"/>
      <c r="HF100" s="106"/>
      <c r="HG100" s="106"/>
      <c r="HH100" s="106"/>
      <c r="HI100" s="106"/>
      <c r="HJ100" s="106"/>
      <c r="HK100" s="106"/>
      <c r="HL100" s="106"/>
      <c r="HM100" s="106"/>
      <c r="HN100" s="106"/>
      <c r="HO100" s="106"/>
      <c r="HP100" s="106"/>
      <c r="HQ100" s="106"/>
      <c r="HR100" s="106"/>
      <c r="HS100" s="106"/>
      <c r="HT100" s="106"/>
      <c r="HU100" s="106"/>
      <c r="HV100" s="106"/>
      <c r="HW100" s="106"/>
      <c r="HX100" s="106"/>
      <c r="HY100" s="106"/>
      <c r="HZ100" s="106"/>
      <c r="IA100" s="106"/>
      <c r="IB100" s="106"/>
      <c r="IC100" s="106"/>
      <c r="ID100" s="106"/>
      <c r="IE100" s="106"/>
      <c r="IF100" s="106"/>
      <c r="IG100" s="106"/>
      <c r="IH100" s="106"/>
      <c r="II100" s="106"/>
      <c r="IJ100" s="106"/>
      <c r="IK100" s="106"/>
      <c r="IL100" s="106"/>
      <c r="IM100" s="106"/>
      <c r="IN100" s="106"/>
      <c r="IO100" s="106"/>
      <c r="IP100" s="106"/>
      <c r="IQ100" s="106"/>
      <c r="IR100" s="106"/>
      <c r="IS100" s="106"/>
      <c r="IT100" s="106"/>
      <c r="IU100" s="106"/>
      <c r="IV100" s="106"/>
      <c r="IW100" s="106"/>
      <c r="IX100" s="106"/>
    </row>
    <row r="101" s="105" customFormat="1" spans="1:258">
      <c r="A101" s="125"/>
      <c r="B101" s="125"/>
      <c r="C101" s="125"/>
      <c r="D101" s="125"/>
      <c r="E101" s="125"/>
      <c r="F101" s="125"/>
      <c r="G101" s="125"/>
      <c r="H101" s="125"/>
      <c r="I101" s="125"/>
      <c r="J101" s="133"/>
      <c r="K101" s="134"/>
      <c r="L101" s="134"/>
      <c r="M101" s="134"/>
      <c r="N101" s="134"/>
      <c r="O101" s="134"/>
      <c r="P101" s="155"/>
      <c r="Q101" s="155"/>
      <c r="R101" s="134"/>
      <c r="S101" s="134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  <c r="AH101" s="106"/>
      <c r="AI101" s="106"/>
      <c r="AJ101" s="106"/>
      <c r="AK101" s="106"/>
      <c r="AL101" s="106"/>
      <c r="AM101" s="106"/>
      <c r="AN101" s="106"/>
      <c r="AO101" s="106"/>
      <c r="AP101" s="106"/>
      <c r="AQ101" s="106"/>
      <c r="AR101" s="106"/>
      <c r="AS101" s="106"/>
      <c r="AT101" s="106"/>
      <c r="AU101" s="106"/>
      <c r="AV101" s="106"/>
      <c r="AW101" s="106"/>
      <c r="AX101" s="106"/>
      <c r="AY101" s="106"/>
      <c r="AZ101" s="106"/>
      <c r="BA101" s="106"/>
      <c r="BB101" s="106"/>
      <c r="BC101" s="106"/>
      <c r="BD101" s="106"/>
      <c r="BE101" s="106"/>
      <c r="BF101" s="106"/>
      <c r="BG101" s="106"/>
      <c r="BH101" s="106"/>
      <c r="BI101" s="106"/>
      <c r="BJ101" s="106"/>
      <c r="BK101" s="106"/>
      <c r="BL101" s="106"/>
      <c r="BM101" s="106"/>
      <c r="BN101" s="106"/>
      <c r="BO101" s="106"/>
      <c r="BP101" s="106"/>
      <c r="BQ101" s="106"/>
      <c r="BR101" s="106"/>
      <c r="BS101" s="106"/>
      <c r="BT101" s="106"/>
      <c r="BU101" s="106"/>
      <c r="BV101" s="106"/>
      <c r="BW101" s="106"/>
      <c r="BX101" s="106"/>
      <c r="BY101" s="106"/>
      <c r="BZ101" s="106"/>
      <c r="CA101" s="106"/>
      <c r="CB101" s="106"/>
      <c r="CC101" s="106"/>
      <c r="CD101" s="106"/>
      <c r="CE101" s="106"/>
      <c r="CF101" s="106"/>
      <c r="CG101" s="106"/>
      <c r="CH101" s="106"/>
      <c r="CI101" s="106"/>
      <c r="CJ101" s="106"/>
      <c r="CK101" s="106"/>
      <c r="CL101" s="106"/>
      <c r="CM101" s="106"/>
      <c r="CN101" s="106"/>
      <c r="CO101" s="106"/>
      <c r="CP101" s="106"/>
      <c r="CQ101" s="106"/>
      <c r="CR101" s="106"/>
      <c r="CS101" s="106"/>
      <c r="CT101" s="106"/>
      <c r="CU101" s="106"/>
      <c r="CV101" s="106"/>
      <c r="CW101" s="106"/>
      <c r="CX101" s="106"/>
      <c r="CY101" s="106"/>
      <c r="CZ101" s="106"/>
      <c r="DA101" s="106"/>
      <c r="DB101" s="106"/>
      <c r="DC101" s="106"/>
      <c r="DD101" s="106"/>
      <c r="DE101" s="106"/>
      <c r="DF101" s="106"/>
      <c r="DG101" s="106"/>
      <c r="DH101" s="106"/>
      <c r="DI101" s="106"/>
      <c r="DJ101" s="106"/>
      <c r="DK101" s="106"/>
      <c r="DL101" s="106"/>
      <c r="DM101" s="106"/>
      <c r="DN101" s="106"/>
      <c r="DO101" s="106"/>
      <c r="DP101" s="106"/>
      <c r="DQ101" s="106"/>
      <c r="DR101" s="106"/>
      <c r="DS101" s="106"/>
      <c r="DT101" s="106"/>
      <c r="DU101" s="106"/>
      <c r="DV101" s="106"/>
      <c r="DW101" s="106"/>
      <c r="DX101" s="106"/>
      <c r="DY101" s="106"/>
      <c r="DZ101" s="106"/>
      <c r="EA101" s="106"/>
      <c r="EB101" s="106"/>
      <c r="EC101" s="106"/>
      <c r="ED101" s="106"/>
      <c r="EE101" s="106"/>
      <c r="EF101" s="106"/>
      <c r="EG101" s="106"/>
      <c r="EH101" s="106"/>
      <c r="EI101" s="106"/>
      <c r="EJ101" s="106"/>
      <c r="EK101" s="106"/>
      <c r="EL101" s="106"/>
      <c r="EM101" s="106"/>
      <c r="EN101" s="106"/>
      <c r="EO101" s="106"/>
      <c r="EP101" s="106"/>
      <c r="EQ101" s="106"/>
      <c r="ER101" s="106"/>
      <c r="ES101" s="106"/>
      <c r="ET101" s="106"/>
      <c r="EU101" s="106"/>
      <c r="EV101" s="106"/>
      <c r="EW101" s="106"/>
      <c r="EX101" s="106"/>
      <c r="EY101" s="106"/>
      <c r="EZ101" s="106"/>
      <c r="FA101" s="106"/>
      <c r="FB101" s="106"/>
      <c r="FC101" s="106"/>
      <c r="FD101" s="106"/>
      <c r="FE101" s="106"/>
      <c r="FF101" s="106"/>
      <c r="FG101" s="106"/>
      <c r="FH101" s="106"/>
      <c r="FI101" s="106"/>
      <c r="FJ101" s="106"/>
      <c r="FK101" s="106"/>
      <c r="FL101" s="106"/>
      <c r="FM101" s="106"/>
      <c r="FN101" s="106"/>
      <c r="FO101" s="106"/>
      <c r="FP101" s="106"/>
      <c r="FQ101" s="106"/>
      <c r="FR101" s="106"/>
      <c r="FS101" s="106"/>
      <c r="FT101" s="106"/>
      <c r="FU101" s="106"/>
      <c r="FV101" s="106"/>
      <c r="FW101" s="106"/>
      <c r="FX101" s="106"/>
      <c r="FY101" s="106"/>
      <c r="FZ101" s="106"/>
      <c r="GA101" s="106"/>
      <c r="GB101" s="106"/>
      <c r="GC101" s="106"/>
      <c r="GD101" s="106"/>
      <c r="GE101" s="106"/>
      <c r="GF101" s="106"/>
      <c r="GG101" s="106"/>
      <c r="GH101" s="106"/>
      <c r="GI101" s="106"/>
      <c r="GJ101" s="106"/>
      <c r="GK101" s="106"/>
      <c r="GL101" s="106"/>
      <c r="GM101" s="106"/>
      <c r="GN101" s="106"/>
      <c r="GO101" s="106"/>
      <c r="GP101" s="106"/>
      <c r="GQ101" s="106"/>
      <c r="GR101" s="106"/>
      <c r="GS101" s="106"/>
      <c r="GT101" s="106"/>
      <c r="GU101" s="106"/>
      <c r="GV101" s="106"/>
      <c r="GW101" s="106"/>
      <c r="GX101" s="106"/>
      <c r="GY101" s="106"/>
      <c r="GZ101" s="106"/>
      <c r="HA101" s="106"/>
      <c r="HB101" s="106"/>
      <c r="HC101" s="106"/>
      <c r="HD101" s="106"/>
      <c r="HE101" s="106"/>
      <c r="HF101" s="106"/>
      <c r="HG101" s="106"/>
      <c r="HH101" s="106"/>
      <c r="HI101" s="106"/>
      <c r="HJ101" s="106"/>
      <c r="HK101" s="106"/>
      <c r="HL101" s="106"/>
      <c r="HM101" s="106"/>
      <c r="HN101" s="106"/>
      <c r="HO101" s="106"/>
      <c r="HP101" s="106"/>
      <c r="HQ101" s="106"/>
      <c r="HR101" s="106"/>
      <c r="HS101" s="106"/>
      <c r="HT101" s="106"/>
      <c r="HU101" s="106"/>
      <c r="HV101" s="106"/>
      <c r="HW101" s="106"/>
      <c r="HX101" s="106"/>
      <c r="HY101" s="106"/>
      <c r="HZ101" s="106"/>
      <c r="IA101" s="106"/>
      <c r="IB101" s="106"/>
      <c r="IC101" s="106"/>
      <c r="ID101" s="106"/>
      <c r="IE101" s="106"/>
      <c r="IF101" s="106"/>
      <c r="IG101" s="106"/>
      <c r="IH101" s="106"/>
      <c r="II101" s="106"/>
      <c r="IJ101" s="106"/>
      <c r="IK101" s="106"/>
      <c r="IL101" s="106"/>
      <c r="IM101" s="106"/>
      <c r="IN101" s="106"/>
      <c r="IO101" s="106"/>
      <c r="IP101" s="106"/>
      <c r="IQ101" s="106"/>
      <c r="IR101" s="106"/>
      <c r="IS101" s="106"/>
      <c r="IT101" s="106"/>
      <c r="IU101" s="106"/>
      <c r="IV101" s="106"/>
      <c r="IW101" s="106"/>
      <c r="IX101" s="106"/>
    </row>
    <row r="102" s="105" customFormat="1" spans="1:258">
      <c r="A102" s="125"/>
      <c r="B102" s="125"/>
      <c r="C102" s="125"/>
      <c r="D102" s="125"/>
      <c r="E102" s="125"/>
      <c r="F102" s="125"/>
      <c r="G102" s="125"/>
      <c r="H102" s="125"/>
      <c r="I102" s="125"/>
      <c r="J102" s="133"/>
      <c r="K102" s="134"/>
      <c r="L102" s="134"/>
      <c r="M102" s="134"/>
      <c r="N102" s="134"/>
      <c r="O102" s="134"/>
      <c r="P102" s="155"/>
      <c r="Q102" s="155"/>
      <c r="R102" s="134"/>
      <c r="S102" s="134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  <c r="AI102" s="106"/>
      <c r="AJ102" s="106"/>
      <c r="AK102" s="106"/>
      <c r="AL102" s="106"/>
      <c r="AM102" s="106"/>
      <c r="AN102" s="106"/>
      <c r="AO102" s="106"/>
      <c r="AP102" s="106"/>
      <c r="AQ102" s="106"/>
      <c r="AR102" s="106"/>
      <c r="AS102" s="106"/>
      <c r="AT102" s="106"/>
      <c r="AU102" s="106"/>
      <c r="AV102" s="106"/>
      <c r="AW102" s="106"/>
      <c r="AX102" s="106"/>
      <c r="AY102" s="106"/>
      <c r="AZ102" s="106"/>
      <c r="BA102" s="106"/>
      <c r="BB102" s="106"/>
      <c r="BC102" s="106"/>
      <c r="BD102" s="106"/>
      <c r="BE102" s="106"/>
      <c r="BF102" s="106"/>
      <c r="BG102" s="106"/>
      <c r="BH102" s="106"/>
      <c r="BI102" s="106"/>
      <c r="BJ102" s="106"/>
      <c r="BK102" s="106"/>
      <c r="BL102" s="106"/>
      <c r="BM102" s="106"/>
      <c r="BN102" s="106"/>
      <c r="BO102" s="106"/>
      <c r="BP102" s="106"/>
      <c r="BQ102" s="106"/>
      <c r="BR102" s="106"/>
      <c r="BS102" s="106"/>
      <c r="BT102" s="106"/>
      <c r="BU102" s="106"/>
      <c r="BV102" s="106"/>
      <c r="BW102" s="106"/>
      <c r="BX102" s="106"/>
      <c r="BY102" s="106"/>
      <c r="BZ102" s="106"/>
      <c r="CA102" s="106"/>
      <c r="CB102" s="106"/>
      <c r="CC102" s="106"/>
      <c r="CD102" s="106"/>
      <c r="CE102" s="106"/>
      <c r="CF102" s="106"/>
      <c r="CG102" s="106"/>
      <c r="CH102" s="106"/>
      <c r="CI102" s="106"/>
      <c r="CJ102" s="106"/>
      <c r="CK102" s="106"/>
      <c r="CL102" s="106"/>
      <c r="CM102" s="106"/>
      <c r="CN102" s="106"/>
      <c r="CO102" s="106"/>
      <c r="CP102" s="106"/>
      <c r="CQ102" s="106"/>
      <c r="CR102" s="106"/>
      <c r="CS102" s="106"/>
      <c r="CT102" s="106"/>
      <c r="CU102" s="106"/>
      <c r="CV102" s="106"/>
      <c r="CW102" s="106"/>
      <c r="CX102" s="106"/>
      <c r="CY102" s="106"/>
      <c r="CZ102" s="106"/>
      <c r="DA102" s="106"/>
      <c r="DB102" s="106"/>
      <c r="DC102" s="106"/>
      <c r="DD102" s="106"/>
      <c r="DE102" s="106"/>
      <c r="DF102" s="106"/>
      <c r="DG102" s="106"/>
      <c r="DH102" s="106"/>
      <c r="DI102" s="106"/>
      <c r="DJ102" s="106"/>
      <c r="DK102" s="106"/>
      <c r="DL102" s="106"/>
      <c r="DM102" s="106"/>
      <c r="DN102" s="106"/>
      <c r="DO102" s="106"/>
      <c r="DP102" s="106"/>
      <c r="DQ102" s="106"/>
      <c r="DR102" s="106"/>
      <c r="DS102" s="106"/>
      <c r="DT102" s="106"/>
      <c r="DU102" s="106"/>
      <c r="DV102" s="106"/>
      <c r="DW102" s="106"/>
      <c r="DX102" s="106"/>
      <c r="DY102" s="106"/>
      <c r="DZ102" s="106"/>
      <c r="EA102" s="106"/>
      <c r="EB102" s="106"/>
      <c r="EC102" s="106"/>
      <c r="ED102" s="106"/>
      <c r="EE102" s="106"/>
      <c r="EF102" s="106"/>
      <c r="EG102" s="106"/>
      <c r="EH102" s="106"/>
      <c r="EI102" s="106"/>
      <c r="EJ102" s="106"/>
      <c r="EK102" s="106"/>
      <c r="EL102" s="106"/>
      <c r="EM102" s="106"/>
      <c r="EN102" s="106"/>
      <c r="EO102" s="106"/>
      <c r="EP102" s="106"/>
      <c r="EQ102" s="106"/>
      <c r="ER102" s="106"/>
      <c r="ES102" s="106"/>
      <c r="ET102" s="106"/>
      <c r="EU102" s="106"/>
      <c r="EV102" s="106"/>
      <c r="EW102" s="106"/>
      <c r="EX102" s="106"/>
      <c r="EY102" s="106"/>
      <c r="EZ102" s="106"/>
      <c r="FA102" s="106"/>
      <c r="FB102" s="106"/>
      <c r="FC102" s="106"/>
      <c r="FD102" s="106"/>
      <c r="FE102" s="106"/>
      <c r="FF102" s="106"/>
      <c r="FG102" s="106"/>
      <c r="FH102" s="106"/>
      <c r="FI102" s="106"/>
      <c r="FJ102" s="106"/>
      <c r="FK102" s="106"/>
      <c r="FL102" s="106"/>
      <c r="FM102" s="106"/>
      <c r="FN102" s="106"/>
      <c r="FO102" s="106"/>
      <c r="FP102" s="106"/>
      <c r="FQ102" s="106"/>
      <c r="FR102" s="106"/>
      <c r="FS102" s="106"/>
      <c r="FT102" s="106"/>
      <c r="FU102" s="106"/>
      <c r="FV102" s="106"/>
      <c r="FW102" s="106"/>
      <c r="FX102" s="106"/>
      <c r="FY102" s="106"/>
      <c r="FZ102" s="106"/>
      <c r="GA102" s="106"/>
      <c r="GB102" s="106"/>
      <c r="GC102" s="106"/>
      <c r="GD102" s="106"/>
      <c r="GE102" s="106"/>
      <c r="GF102" s="106"/>
      <c r="GG102" s="106"/>
      <c r="GH102" s="106"/>
      <c r="GI102" s="106"/>
      <c r="GJ102" s="106"/>
      <c r="GK102" s="106"/>
      <c r="GL102" s="106"/>
      <c r="GM102" s="106"/>
      <c r="GN102" s="106"/>
      <c r="GO102" s="106"/>
      <c r="GP102" s="106"/>
      <c r="GQ102" s="106"/>
      <c r="GR102" s="106"/>
      <c r="GS102" s="106"/>
      <c r="GT102" s="106"/>
      <c r="GU102" s="106"/>
      <c r="GV102" s="106"/>
      <c r="GW102" s="106"/>
      <c r="GX102" s="106"/>
      <c r="GY102" s="106"/>
      <c r="GZ102" s="106"/>
      <c r="HA102" s="106"/>
      <c r="HB102" s="106"/>
      <c r="HC102" s="106"/>
      <c r="HD102" s="106"/>
      <c r="HE102" s="106"/>
      <c r="HF102" s="106"/>
      <c r="HG102" s="106"/>
      <c r="HH102" s="106"/>
      <c r="HI102" s="106"/>
      <c r="HJ102" s="106"/>
      <c r="HK102" s="106"/>
      <c r="HL102" s="106"/>
      <c r="HM102" s="106"/>
      <c r="HN102" s="106"/>
      <c r="HO102" s="106"/>
      <c r="HP102" s="106"/>
      <c r="HQ102" s="106"/>
      <c r="HR102" s="106"/>
      <c r="HS102" s="106"/>
      <c r="HT102" s="106"/>
      <c r="HU102" s="106"/>
      <c r="HV102" s="106"/>
      <c r="HW102" s="106"/>
      <c r="HX102" s="106"/>
      <c r="HY102" s="106"/>
      <c r="HZ102" s="106"/>
      <c r="IA102" s="106"/>
      <c r="IB102" s="106"/>
      <c r="IC102" s="106"/>
      <c r="ID102" s="106"/>
      <c r="IE102" s="106"/>
      <c r="IF102" s="106"/>
      <c r="IG102" s="106"/>
      <c r="IH102" s="106"/>
      <c r="II102" s="106"/>
      <c r="IJ102" s="106"/>
      <c r="IK102" s="106"/>
      <c r="IL102" s="106"/>
      <c r="IM102" s="106"/>
      <c r="IN102" s="106"/>
      <c r="IO102" s="106"/>
      <c r="IP102" s="106"/>
      <c r="IQ102" s="106"/>
      <c r="IR102" s="106"/>
      <c r="IS102" s="106"/>
      <c r="IT102" s="106"/>
      <c r="IU102" s="106"/>
      <c r="IV102" s="106"/>
      <c r="IW102" s="106"/>
      <c r="IX102" s="106"/>
    </row>
    <row r="103" s="105" customFormat="1" spans="1:258">
      <c r="A103" s="125"/>
      <c r="B103" s="125"/>
      <c r="C103" s="125"/>
      <c r="D103" s="125"/>
      <c r="E103" s="125"/>
      <c r="F103" s="125"/>
      <c r="G103" s="125"/>
      <c r="H103" s="125"/>
      <c r="I103" s="125"/>
      <c r="J103" s="133"/>
      <c r="K103" s="134"/>
      <c r="L103" s="134"/>
      <c r="M103" s="134"/>
      <c r="N103" s="134"/>
      <c r="O103" s="134"/>
      <c r="P103" s="155"/>
      <c r="Q103" s="155"/>
      <c r="R103" s="134"/>
      <c r="S103" s="134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  <c r="AF103" s="106"/>
      <c r="AG103" s="106"/>
      <c r="AH103" s="106"/>
      <c r="AI103" s="106"/>
      <c r="AJ103" s="106"/>
      <c r="AK103" s="106"/>
      <c r="AL103" s="106"/>
      <c r="AM103" s="106"/>
      <c r="AN103" s="106"/>
      <c r="AO103" s="106"/>
      <c r="AP103" s="106"/>
      <c r="AQ103" s="106"/>
      <c r="AR103" s="106"/>
      <c r="AS103" s="106"/>
      <c r="AT103" s="106"/>
      <c r="AU103" s="106"/>
      <c r="AV103" s="106"/>
      <c r="AW103" s="106"/>
      <c r="AX103" s="106"/>
      <c r="AY103" s="106"/>
      <c r="AZ103" s="106"/>
      <c r="BA103" s="106"/>
      <c r="BB103" s="106"/>
      <c r="BC103" s="106"/>
      <c r="BD103" s="106"/>
      <c r="BE103" s="106"/>
      <c r="BF103" s="106"/>
      <c r="BG103" s="106"/>
      <c r="BH103" s="106"/>
      <c r="BI103" s="106"/>
      <c r="BJ103" s="106"/>
      <c r="BK103" s="106"/>
      <c r="BL103" s="106"/>
      <c r="BM103" s="106"/>
      <c r="BN103" s="106"/>
      <c r="BO103" s="106"/>
      <c r="BP103" s="106"/>
      <c r="BQ103" s="106"/>
      <c r="BR103" s="106"/>
      <c r="BS103" s="106"/>
      <c r="BT103" s="106"/>
      <c r="BU103" s="106"/>
      <c r="BV103" s="106"/>
      <c r="BW103" s="106"/>
      <c r="BX103" s="106"/>
      <c r="BY103" s="106"/>
      <c r="BZ103" s="106"/>
      <c r="CA103" s="106"/>
      <c r="CB103" s="106"/>
      <c r="CC103" s="106"/>
      <c r="CD103" s="106"/>
      <c r="CE103" s="106"/>
      <c r="CF103" s="106"/>
      <c r="CG103" s="106"/>
      <c r="CH103" s="106"/>
      <c r="CI103" s="106"/>
      <c r="CJ103" s="106"/>
      <c r="CK103" s="106"/>
      <c r="CL103" s="106"/>
      <c r="CM103" s="106"/>
      <c r="CN103" s="106"/>
      <c r="CO103" s="106"/>
      <c r="CP103" s="106"/>
      <c r="CQ103" s="106"/>
      <c r="CR103" s="106"/>
      <c r="CS103" s="106"/>
      <c r="CT103" s="106"/>
      <c r="CU103" s="106"/>
      <c r="CV103" s="106"/>
      <c r="CW103" s="106"/>
      <c r="CX103" s="106"/>
      <c r="CY103" s="106"/>
      <c r="CZ103" s="106"/>
      <c r="DA103" s="106"/>
      <c r="DB103" s="106"/>
      <c r="DC103" s="106"/>
      <c r="DD103" s="106"/>
      <c r="DE103" s="106"/>
      <c r="DF103" s="106"/>
      <c r="DG103" s="106"/>
      <c r="DH103" s="106"/>
      <c r="DI103" s="106"/>
      <c r="DJ103" s="106"/>
      <c r="DK103" s="106"/>
      <c r="DL103" s="106"/>
      <c r="DM103" s="106"/>
      <c r="DN103" s="106"/>
      <c r="DO103" s="106"/>
      <c r="DP103" s="106"/>
      <c r="DQ103" s="106"/>
      <c r="DR103" s="106"/>
      <c r="DS103" s="106"/>
      <c r="DT103" s="106"/>
      <c r="DU103" s="106"/>
      <c r="DV103" s="106"/>
      <c r="DW103" s="106"/>
      <c r="DX103" s="106"/>
      <c r="DY103" s="106"/>
      <c r="DZ103" s="106"/>
      <c r="EA103" s="106"/>
      <c r="EB103" s="106"/>
      <c r="EC103" s="106"/>
      <c r="ED103" s="106"/>
      <c r="EE103" s="106"/>
      <c r="EF103" s="106"/>
      <c r="EG103" s="106"/>
      <c r="EH103" s="106"/>
      <c r="EI103" s="106"/>
      <c r="EJ103" s="106"/>
      <c r="EK103" s="106"/>
      <c r="EL103" s="106"/>
      <c r="EM103" s="106"/>
      <c r="EN103" s="106"/>
      <c r="EO103" s="106"/>
      <c r="EP103" s="106"/>
      <c r="EQ103" s="106"/>
      <c r="ER103" s="106"/>
      <c r="ES103" s="106"/>
      <c r="ET103" s="106"/>
      <c r="EU103" s="106"/>
      <c r="EV103" s="106"/>
      <c r="EW103" s="106"/>
      <c r="EX103" s="106"/>
      <c r="EY103" s="106"/>
      <c r="EZ103" s="106"/>
      <c r="FA103" s="106"/>
      <c r="FB103" s="106"/>
      <c r="FC103" s="106"/>
      <c r="FD103" s="106"/>
      <c r="FE103" s="106"/>
      <c r="FF103" s="106"/>
      <c r="FG103" s="106"/>
      <c r="FH103" s="106"/>
      <c r="FI103" s="106"/>
      <c r="FJ103" s="106"/>
      <c r="FK103" s="106"/>
      <c r="FL103" s="106"/>
      <c r="FM103" s="106"/>
      <c r="FN103" s="106"/>
      <c r="FO103" s="106"/>
      <c r="FP103" s="106"/>
      <c r="FQ103" s="106"/>
      <c r="FR103" s="106"/>
      <c r="FS103" s="106"/>
      <c r="FT103" s="106"/>
      <c r="FU103" s="106"/>
      <c r="FV103" s="106"/>
      <c r="FW103" s="106"/>
      <c r="FX103" s="106"/>
      <c r="FY103" s="106"/>
      <c r="FZ103" s="106"/>
      <c r="GA103" s="106"/>
      <c r="GB103" s="106"/>
      <c r="GC103" s="106"/>
      <c r="GD103" s="106"/>
      <c r="GE103" s="106"/>
      <c r="GF103" s="106"/>
      <c r="GG103" s="106"/>
      <c r="GH103" s="106"/>
      <c r="GI103" s="106"/>
      <c r="GJ103" s="106"/>
      <c r="GK103" s="106"/>
      <c r="GL103" s="106"/>
      <c r="GM103" s="106"/>
      <c r="GN103" s="106"/>
      <c r="GO103" s="106"/>
      <c r="GP103" s="106"/>
      <c r="GQ103" s="106"/>
      <c r="GR103" s="106"/>
      <c r="GS103" s="106"/>
      <c r="GT103" s="106"/>
      <c r="GU103" s="106"/>
      <c r="GV103" s="106"/>
      <c r="GW103" s="106"/>
      <c r="GX103" s="106"/>
      <c r="GY103" s="106"/>
      <c r="GZ103" s="106"/>
      <c r="HA103" s="106"/>
      <c r="HB103" s="106"/>
      <c r="HC103" s="106"/>
      <c r="HD103" s="106"/>
      <c r="HE103" s="106"/>
      <c r="HF103" s="106"/>
      <c r="HG103" s="106"/>
      <c r="HH103" s="106"/>
      <c r="HI103" s="106"/>
      <c r="HJ103" s="106"/>
      <c r="HK103" s="106"/>
      <c r="HL103" s="106"/>
      <c r="HM103" s="106"/>
      <c r="HN103" s="106"/>
      <c r="HO103" s="106"/>
      <c r="HP103" s="106"/>
      <c r="HQ103" s="106"/>
      <c r="HR103" s="106"/>
      <c r="HS103" s="106"/>
      <c r="HT103" s="106"/>
      <c r="HU103" s="106"/>
      <c r="HV103" s="106"/>
      <c r="HW103" s="106"/>
      <c r="HX103" s="106"/>
      <c r="HY103" s="106"/>
      <c r="HZ103" s="106"/>
      <c r="IA103" s="106"/>
      <c r="IB103" s="106"/>
      <c r="IC103" s="106"/>
      <c r="ID103" s="106"/>
      <c r="IE103" s="106"/>
      <c r="IF103" s="106"/>
      <c r="IG103" s="106"/>
      <c r="IH103" s="106"/>
      <c r="II103" s="106"/>
      <c r="IJ103" s="106"/>
      <c r="IK103" s="106"/>
      <c r="IL103" s="106"/>
      <c r="IM103" s="106"/>
      <c r="IN103" s="106"/>
      <c r="IO103" s="106"/>
      <c r="IP103" s="106"/>
      <c r="IQ103" s="106"/>
      <c r="IR103" s="106"/>
      <c r="IS103" s="106"/>
      <c r="IT103" s="106"/>
      <c r="IU103" s="106"/>
      <c r="IV103" s="106"/>
      <c r="IW103" s="106"/>
      <c r="IX103" s="106"/>
    </row>
  </sheetData>
  <mergeCells count="19">
    <mergeCell ref="A2:S2"/>
    <mergeCell ref="J4:O4"/>
    <mergeCell ref="P4:Q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M7:M13"/>
    <mergeCell ref="M15:M20"/>
    <mergeCell ref="M22:M27"/>
    <mergeCell ref="M30:M34"/>
    <mergeCell ref="M36:M42"/>
    <mergeCell ref="R4:R5"/>
    <mergeCell ref="S4:S5"/>
  </mergeCells>
  <conditionalFormatting sqref="C7">
    <cfRule type="duplicateValues" dxfId="0" priority="44"/>
    <cfRule type="duplicateValues" dxfId="0" priority="43"/>
  </conditionalFormatting>
  <conditionalFormatting sqref="C12">
    <cfRule type="duplicateValues" dxfId="0" priority="10"/>
    <cfRule type="duplicateValues" dxfId="0" priority="9"/>
  </conditionalFormatting>
  <conditionalFormatting sqref="C13">
    <cfRule type="duplicateValues" dxfId="0" priority="22"/>
    <cfRule type="duplicateValues" dxfId="0" priority="21"/>
  </conditionalFormatting>
  <conditionalFormatting sqref="D13">
    <cfRule type="duplicateValues" dxfId="0" priority="24"/>
    <cfRule type="duplicateValues" dxfId="0" priority="23"/>
  </conditionalFormatting>
  <conditionalFormatting sqref="R13">
    <cfRule type="cellIs" dxfId="1" priority="30" operator="lessThan">
      <formula>0</formula>
    </cfRule>
    <cfRule type="cellIs" dxfId="2" priority="29" operator="greaterThan">
      <formula>0</formula>
    </cfRule>
    <cfRule type="cellIs" dxfId="3" priority="28" operator="greaterThan">
      <formula>4</formula>
    </cfRule>
    <cfRule type="cellIs" dxfId="4" priority="27" operator="greaterThan">
      <formula>0</formula>
    </cfRule>
    <cfRule type="cellIs" dxfId="5" priority="26" operator="greaterThan">
      <formula>0</formula>
    </cfRule>
    <cfRule type="cellIs" dxfId="6" priority="25" operator="greaterThan">
      <formula>0</formula>
    </cfRule>
  </conditionalFormatting>
  <conditionalFormatting sqref="C14:D14">
    <cfRule type="duplicateValues" dxfId="0" priority="68"/>
    <cfRule type="duplicateValues" dxfId="0" priority="67"/>
  </conditionalFormatting>
  <conditionalFormatting sqref="C16">
    <cfRule type="duplicateValues" dxfId="0" priority="34"/>
    <cfRule type="duplicateValues" dxfId="0" priority="33"/>
  </conditionalFormatting>
  <conditionalFormatting sqref="D16">
    <cfRule type="duplicateValues" dxfId="0" priority="36"/>
    <cfRule type="duplicateValues" dxfId="0" priority="35"/>
  </conditionalFormatting>
  <conditionalFormatting sqref="R16">
    <cfRule type="cellIs" dxfId="1" priority="42" operator="lessThan">
      <formula>0</formula>
    </cfRule>
    <cfRule type="cellIs" dxfId="2" priority="41" operator="greaterThan">
      <formula>0</formula>
    </cfRule>
    <cfRule type="cellIs" dxfId="3" priority="40" operator="greaterThan">
      <formula>4</formula>
    </cfRule>
    <cfRule type="cellIs" dxfId="4" priority="39" operator="greaterThan">
      <formula>0</formula>
    </cfRule>
    <cfRule type="cellIs" dxfId="5" priority="38" operator="greaterThan">
      <formula>0</formula>
    </cfRule>
    <cfRule type="cellIs" dxfId="6" priority="37" operator="greaterThan">
      <formula>0</formula>
    </cfRule>
  </conditionalFormatting>
  <conditionalFormatting sqref="C18">
    <cfRule type="duplicateValues" dxfId="0" priority="20"/>
    <cfRule type="duplicateValues" dxfId="0" priority="19"/>
  </conditionalFormatting>
  <conditionalFormatting sqref="C19">
    <cfRule type="duplicateValues" dxfId="0" priority="18"/>
    <cfRule type="duplicateValues" dxfId="0" priority="17"/>
  </conditionalFormatting>
  <conditionalFormatting sqref="C21:D21">
    <cfRule type="duplicateValues" dxfId="0" priority="54"/>
    <cfRule type="duplicateValues" dxfId="0" priority="53"/>
  </conditionalFormatting>
  <conditionalFormatting sqref="C23">
    <cfRule type="duplicateValues" dxfId="0" priority="12"/>
    <cfRule type="duplicateValues" dxfId="0" priority="11"/>
  </conditionalFormatting>
  <conditionalFormatting sqref="C25">
    <cfRule type="duplicateValues" dxfId="0" priority="16"/>
    <cfRule type="duplicateValues" dxfId="0" priority="15"/>
  </conditionalFormatting>
  <conditionalFormatting sqref="C26">
    <cfRule type="duplicateValues" dxfId="0" priority="50"/>
    <cfRule type="duplicateValues" dxfId="0" priority="49"/>
  </conditionalFormatting>
  <conditionalFormatting sqref="C27">
    <cfRule type="duplicateValues" dxfId="0" priority="46"/>
    <cfRule type="duplicateValues" dxfId="0" priority="45"/>
  </conditionalFormatting>
  <conditionalFormatting sqref="A29">
    <cfRule type="duplicateValues" dxfId="0" priority="8"/>
    <cfRule type="duplicateValues" dxfId="0" priority="7"/>
  </conditionalFormatting>
  <conditionalFormatting sqref="C32">
    <cfRule type="duplicateValues" dxfId="0" priority="32"/>
    <cfRule type="duplicateValues" dxfId="0" priority="31"/>
  </conditionalFormatting>
  <conditionalFormatting sqref="A35">
    <cfRule type="duplicateValues" dxfId="0" priority="6"/>
    <cfRule type="duplicateValues" dxfId="0" priority="5"/>
  </conditionalFormatting>
  <conditionalFormatting sqref="C35:D35">
    <cfRule type="duplicateValues" dxfId="0" priority="52"/>
    <cfRule type="duplicateValues" dxfId="0" priority="51"/>
  </conditionalFormatting>
  <conditionalFormatting sqref="C39">
    <cfRule type="duplicateValues" dxfId="0" priority="14"/>
    <cfRule type="duplicateValues" dxfId="0" priority="13"/>
  </conditionalFormatting>
  <conditionalFormatting sqref="C42">
    <cfRule type="duplicateValues" dxfId="0" priority="48"/>
    <cfRule type="duplicateValues" dxfId="0" priority="47"/>
  </conditionalFormatting>
  <conditionalFormatting sqref="A43">
    <cfRule type="duplicateValues" dxfId="0" priority="2"/>
    <cfRule type="duplicateValues" dxfId="0" priority="1"/>
  </conditionalFormatting>
  <conditionalFormatting sqref="C43:D43">
    <cfRule type="duplicateValues" dxfId="0" priority="70"/>
    <cfRule type="duplicateValues" dxfId="0" priority="69"/>
  </conditionalFormatting>
  <conditionalFormatting sqref="A44">
    <cfRule type="duplicateValues" dxfId="0" priority="4"/>
    <cfRule type="duplicateValues" dxfId="0" priority="3"/>
  </conditionalFormatting>
  <conditionalFormatting sqref="C44:D44">
    <cfRule type="duplicateValues" dxfId="0" priority="72"/>
    <cfRule type="duplicateValues" dxfId="0" priority="71"/>
  </conditionalFormatting>
  <conditionalFormatting sqref="R24:R27">
    <cfRule type="cellIs" dxfId="1" priority="62" operator="lessThan">
      <formula>0</formula>
    </cfRule>
    <cfRule type="cellIs" dxfId="2" priority="61" operator="greaterThan">
      <formula>0</formula>
    </cfRule>
    <cfRule type="cellIs" dxfId="3" priority="60" operator="greaterThan">
      <formula>4</formula>
    </cfRule>
    <cfRule type="cellIs" dxfId="4" priority="59" operator="greaterThan">
      <formula>0</formula>
    </cfRule>
    <cfRule type="cellIs" dxfId="5" priority="58" operator="greaterThan">
      <formula>0</formula>
    </cfRule>
    <cfRule type="cellIs" dxfId="6" priority="57" operator="greaterThan">
      <formula>0</formula>
    </cfRule>
  </conditionalFormatting>
  <conditionalFormatting sqref="D7 C8:D11 D12">
    <cfRule type="duplicateValues" dxfId="0" priority="78"/>
    <cfRule type="duplicateValues" dxfId="0" priority="77"/>
  </conditionalFormatting>
  <conditionalFormatting sqref="R7:R12 R17:R20 R15 R22:R23 R30:R34 R36:R42">
    <cfRule type="cellIs" dxfId="1" priority="84" operator="lessThan">
      <formula>0</formula>
    </cfRule>
    <cfRule type="cellIs" dxfId="2" priority="83" operator="greaterThan">
      <formula>0</formula>
    </cfRule>
  </conditionalFormatting>
  <conditionalFormatting sqref="R7:R12 R17:R20 R15 R22:R23 R30:R34 R36:R42 R45:R103">
    <cfRule type="cellIs" dxfId="3" priority="82" operator="greaterThan">
      <formula>4</formula>
    </cfRule>
    <cfRule type="cellIs" dxfId="4" priority="81" operator="greaterThan">
      <formula>0</formula>
    </cfRule>
    <cfRule type="cellIs" dxfId="5" priority="80" operator="greaterThan">
      <formula>0</formula>
    </cfRule>
    <cfRule type="cellIs" dxfId="6" priority="79" operator="greaterThan">
      <formula>0</formula>
    </cfRule>
  </conditionalFormatting>
  <conditionalFormatting sqref="C15 C17 C20 C22 C28:D29">
    <cfRule type="duplicateValues" dxfId="0" priority="76"/>
    <cfRule type="duplicateValues" dxfId="0" priority="75"/>
  </conditionalFormatting>
  <conditionalFormatting sqref="D15 D17:D20 D22:D23">
    <cfRule type="duplicateValues" dxfId="0" priority="66"/>
    <cfRule type="duplicateValues" dxfId="0" priority="65"/>
  </conditionalFormatting>
  <conditionalFormatting sqref="C24:D24 D25:D27">
    <cfRule type="duplicateValues" dxfId="0" priority="56"/>
    <cfRule type="duplicateValues" dxfId="0" priority="55"/>
  </conditionalFormatting>
  <conditionalFormatting sqref="C30:C31 C33:C34 C36:C38 C40:C41">
    <cfRule type="duplicateValues" dxfId="0" priority="74"/>
    <cfRule type="duplicateValues" dxfId="0" priority="73"/>
  </conditionalFormatting>
  <conditionalFormatting sqref="D30:D34 D36:D42">
    <cfRule type="duplicateValues" dxfId="0" priority="64"/>
    <cfRule type="duplicateValues" dxfId="0" priority="63"/>
  </conditionalFormatting>
  <pageMargins left="0.75" right="0.75" top="1" bottom="1" header="0.511111111111111" footer="0.511111111111111"/>
  <pageSetup paperSize="9" orientation="portrait"/>
  <headerFooter alignWithMargins="0" scaleWithDoc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IX41"/>
  <sheetViews>
    <sheetView zoomScale="85" zoomScaleNormal="85" workbookViewId="0">
      <selection activeCell="M11" sqref="M11"/>
    </sheetView>
  </sheetViews>
  <sheetFormatPr defaultColWidth="9" defaultRowHeight="15.6"/>
  <cols>
    <col min="1" max="1" width="11.25" style="74" customWidth="1"/>
    <col min="2" max="2" width="7.125" style="74" hidden="1" customWidth="1" outlineLevel="1"/>
    <col min="3" max="3" width="5.625" style="74" hidden="1" customWidth="1" outlineLevel="1"/>
    <col min="4" max="4" width="9.125" style="74" customWidth="1" collapsed="1"/>
    <col min="5" max="5" width="7.25" style="74" customWidth="1"/>
    <col min="6" max="6" width="6.75" style="74" customWidth="1"/>
    <col min="7" max="7" width="12.5" style="74" customWidth="1"/>
    <col min="8" max="8" width="10.75" style="74" customWidth="1"/>
    <col min="9" max="9" width="7.625" style="74" customWidth="1"/>
    <col min="10" max="11" width="8.125" style="74" customWidth="1"/>
    <col min="12" max="12" width="12.125" style="74" customWidth="1"/>
    <col min="13" max="13" width="10.125" style="74" customWidth="1"/>
    <col min="14" max="14" width="8.5" style="74" customWidth="1"/>
    <col min="15" max="16" width="8.75" style="74" customWidth="1"/>
    <col min="17" max="17" width="10.875" style="74" customWidth="1"/>
    <col min="18" max="18" width="10.5" style="74" customWidth="1"/>
    <col min="19" max="19" width="9.125" style="74" customWidth="1"/>
    <col min="20" max="21" width="8.625" style="74" customWidth="1"/>
    <col min="22" max="22" width="13.375" style="74" customWidth="1"/>
    <col min="23" max="23" width="10.75" style="74"/>
    <col min="24" max="258" width="9" style="74"/>
    <col min="259" max="16384" width="9" style="17"/>
  </cols>
  <sheetData>
    <row r="1" spans="1:2">
      <c r="A1" s="74" t="s">
        <v>0</v>
      </c>
      <c r="B1" s="75">
        <f>基础资料!B1</f>
        <v>44228</v>
      </c>
    </row>
    <row r="2" ht="16.35" customHeight="1" spans="1:13">
      <c r="A2" s="76" t="s">
        <v>24</v>
      </c>
      <c r="I2" s="90" t="s">
        <v>82</v>
      </c>
      <c r="J2" s="90"/>
      <c r="K2" s="90"/>
      <c r="L2" s="90"/>
      <c r="M2" s="90"/>
    </row>
    <row r="3" ht="15" customHeight="1" spans="1:13">
      <c r="A3" s="76"/>
      <c r="I3" s="91"/>
      <c r="J3" s="91"/>
      <c r="K3" s="91"/>
      <c r="L3" s="91"/>
      <c r="M3" s="91"/>
    </row>
    <row r="4" ht="21.95" customHeight="1" spans="1:23">
      <c r="A4" s="77" t="s">
        <v>27</v>
      </c>
      <c r="B4" s="77" t="s">
        <v>28</v>
      </c>
      <c r="C4" s="77" t="s">
        <v>2</v>
      </c>
      <c r="D4" s="78" t="s">
        <v>42</v>
      </c>
      <c r="E4" s="78"/>
      <c r="F4" s="78"/>
      <c r="G4" s="78"/>
      <c r="H4" s="31"/>
      <c r="I4" s="50" t="s">
        <v>83</v>
      </c>
      <c r="J4" s="51"/>
      <c r="K4" s="51"/>
      <c r="L4" s="51"/>
      <c r="M4" s="51"/>
      <c r="N4" s="50" t="s">
        <v>84</v>
      </c>
      <c r="O4" s="51"/>
      <c r="P4" s="51"/>
      <c r="Q4" s="51"/>
      <c r="R4" s="51"/>
      <c r="S4" s="98" t="s">
        <v>85</v>
      </c>
      <c r="T4" s="98"/>
      <c r="U4" s="98"/>
      <c r="V4" s="98"/>
      <c r="W4" s="98"/>
    </row>
    <row r="5" s="73" customFormat="1" ht="38" customHeight="1" spans="1:258">
      <c r="A5" s="79"/>
      <c r="B5" s="79"/>
      <c r="C5" s="79"/>
      <c r="D5" s="52" t="s">
        <v>34</v>
      </c>
      <c r="E5" s="52" t="s">
        <v>86</v>
      </c>
      <c r="F5" s="52" t="s">
        <v>87</v>
      </c>
      <c r="G5" s="52" t="s">
        <v>88</v>
      </c>
      <c r="H5" s="52" t="s">
        <v>89</v>
      </c>
      <c r="I5" s="52" t="s">
        <v>34</v>
      </c>
      <c r="J5" s="52" t="s">
        <v>86</v>
      </c>
      <c r="K5" s="52" t="s">
        <v>87</v>
      </c>
      <c r="L5" s="52" t="s">
        <v>88</v>
      </c>
      <c r="M5" s="52" t="s">
        <v>89</v>
      </c>
      <c r="N5" s="52" t="s">
        <v>34</v>
      </c>
      <c r="O5" s="52" t="s">
        <v>86</v>
      </c>
      <c r="P5" s="52" t="s">
        <v>87</v>
      </c>
      <c r="Q5" s="52" t="s">
        <v>88</v>
      </c>
      <c r="R5" s="52" t="s">
        <v>89</v>
      </c>
      <c r="S5" s="52" t="s">
        <v>34</v>
      </c>
      <c r="T5" s="52" t="s">
        <v>86</v>
      </c>
      <c r="U5" s="52" t="s">
        <v>87</v>
      </c>
      <c r="V5" s="52" t="s">
        <v>88</v>
      </c>
      <c r="W5" s="52" t="s">
        <v>89</v>
      </c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99"/>
      <c r="BF5" s="99"/>
      <c r="BG5" s="99"/>
      <c r="BH5" s="99"/>
      <c r="BI5" s="99"/>
      <c r="BJ5" s="99"/>
      <c r="BK5" s="99"/>
      <c r="BL5" s="99"/>
      <c r="BM5" s="99"/>
      <c r="BN5" s="99"/>
      <c r="BO5" s="99"/>
      <c r="BP5" s="99"/>
      <c r="BQ5" s="99"/>
      <c r="BR5" s="99"/>
      <c r="BS5" s="99"/>
      <c r="BT5" s="99"/>
      <c r="BU5" s="99"/>
      <c r="BV5" s="99"/>
      <c r="BW5" s="99"/>
      <c r="BX5" s="99"/>
      <c r="BY5" s="99"/>
      <c r="BZ5" s="99"/>
      <c r="CA5" s="99"/>
      <c r="CB5" s="99"/>
      <c r="CC5" s="99"/>
      <c r="CD5" s="99"/>
      <c r="CE5" s="99"/>
      <c r="CF5" s="99"/>
      <c r="CG5" s="99"/>
      <c r="CH5" s="99"/>
      <c r="CI5" s="99"/>
      <c r="CJ5" s="99"/>
      <c r="CK5" s="99"/>
      <c r="CL5" s="99"/>
      <c r="CM5" s="99"/>
      <c r="CN5" s="99"/>
      <c r="CO5" s="99"/>
      <c r="CP5" s="99"/>
      <c r="CQ5" s="99"/>
      <c r="CR5" s="99"/>
      <c r="CS5" s="99"/>
      <c r="CT5" s="99"/>
      <c r="CU5" s="99"/>
      <c r="CV5" s="99"/>
      <c r="CW5" s="99"/>
      <c r="CX5" s="99"/>
      <c r="CY5" s="99"/>
      <c r="CZ5" s="99"/>
      <c r="DA5" s="99"/>
      <c r="DB5" s="99"/>
      <c r="DC5" s="99"/>
      <c r="DD5" s="99"/>
      <c r="DE5" s="99"/>
      <c r="DF5" s="99"/>
      <c r="DG5" s="99"/>
      <c r="DH5" s="99"/>
      <c r="DI5" s="99"/>
      <c r="DJ5" s="99"/>
      <c r="DK5" s="99"/>
      <c r="DL5" s="99"/>
      <c r="DM5" s="99"/>
      <c r="DN5" s="99"/>
      <c r="DO5" s="99"/>
      <c r="DP5" s="99"/>
      <c r="DQ5" s="99"/>
      <c r="DR5" s="99"/>
      <c r="DS5" s="99"/>
      <c r="DT5" s="99"/>
      <c r="DU5" s="99"/>
      <c r="DV5" s="99"/>
      <c r="DW5" s="99"/>
      <c r="DX5" s="99"/>
      <c r="DY5" s="99"/>
      <c r="DZ5" s="99"/>
      <c r="EA5" s="99"/>
      <c r="EB5" s="99"/>
      <c r="EC5" s="99"/>
      <c r="ED5" s="99"/>
      <c r="EE5" s="99"/>
      <c r="EF5" s="99"/>
      <c r="EG5" s="99"/>
      <c r="EH5" s="99"/>
      <c r="EI5" s="99"/>
      <c r="EJ5" s="99"/>
      <c r="EK5" s="99"/>
      <c r="EL5" s="99"/>
      <c r="EM5" s="99"/>
      <c r="EN5" s="99"/>
      <c r="EO5" s="99"/>
      <c r="EP5" s="99"/>
      <c r="EQ5" s="99"/>
      <c r="ER5" s="99"/>
      <c r="ES5" s="99"/>
      <c r="ET5" s="99"/>
      <c r="EU5" s="99"/>
      <c r="EV5" s="99"/>
      <c r="EW5" s="99"/>
      <c r="EX5" s="99"/>
      <c r="EY5" s="99"/>
      <c r="EZ5" s="99"/>
      <c r="FA5" s="99"/>
      <c r="FB5" s="99"/>
      <c r="FC5" s="99"/>
      <c r="FD5" s="99"/>
      <c r="FE5" s="99"/>
      <c r="FF5" s="99"/>
      <c r="FG5" s="99"/>
      <c r="FH5" s="99"/>
      <c r="FI5" s="99"/>
      <c r="FJ5" s="99"/>
      <c r="FK5" s="99"/>
      <c r="FL5" s="99"/>
      <c r="FM5" s="99"/>
      <c r="FN5" s="99"/>
      <c r="FO5" s="99"/>
      <c r="FP5" s="99"/>
      <c r="FQ5" s="99"/>
      <c r="FR5" s="99"/>
      <c r="FS5" s="99"/>
      <c r="FT5" s="99"/>
      <c r="FU5" s="99"/>
      <c r="FV5" s="99"/>
      <c r="FW5" s="99"/>
      <c r="FX5" s="99"/>
      <c r="FY5" s="99"/>
      <c r="FZ5" s="99"/>
      <c r="GA5" s="99"/>
      <c r="GB5" s="99"/>
      <c r="GC5" s="99"/>
      <c r="GD5" s="99"/>
      <c r="GE5" s="99"/>
      <c r="GF5" s="99"/>
      <c r="GG5" s="99"/>
      <c r="GH5" s="99"/>
      <c r="GI5" s="99"/>
      <c r="GJ5" s="99"/>
      <c r="GK5" s="99"/>
      <c r="GL5" s="99"/>
      <c r="GM5" s="99"/>
      <c r="GN5" s="99"/>
      <c r="GO5" s="99"/>
      <c r="GP5" s="99"/>
      <c r="GQ5" s="99"/>
      <c r="GR5" s="99"/>
      <c r="GS5" s="99"/>
      <c r="GT5" s="99"/>
      <c r="GU5" s="99"/>
      <c r="GV5" s="99"/>
      <c r="GW5" s="99"/>
      <c r="GX5" s="99"/>
      <c r="GY5" s="99"/>
      <c r="GZ5" s="99"/>
      <c r="HA5" s="99"/>
      <c r="HB5" s="99"/>
      <c r="HC5" s="99"/>
      <c r="HD5" s="99"/>
      <c r="HE5" s="99"/>
      <c r="HF5" s="99"/>
      <c r="HG5" s="99"/>
      <c r="HH5" s="99"/>
      <c r="HI5" s="99"/>
      <c r="HJ5" s="99"/>
      <c r="HK5" s="99"/>
      <c r="HL5" s="99"/>
      <c r="HM5" s="99"/>
      <c r="HN5" s="99"/>
      <c r="HO5" s="99"/>
      <c r="HP5" s="99"/>
      <c r="HQ5" s="99"/>
      <c r="HR5" s="99"/>
      <c r="HS5" s="99"/>
      <c r="HT5" s="99"/>
      <c r="HU5" s="99"/>
      <c r="HV5" s="99"/>
      <c r="HW5" s="99"/>
      <c r="HX5" s="99"/>
      <c r="HY5" s="99"/>
      <c r="HZ5" s="99"/>
      <c r="IA5" s="99"/>
      <c r="IB5" s="99"/>
      <c r="IC5" s="99"/>
      <c r="ID5" s="99"/>
      <c r="IE5" s="99"/>
      <c r="IF5" s="99"/>
      <c r="IG5" s="99"/>
      <c r="IH5" s="99"/>
      <c r="II5" s="99"/>
      <c r="IJ5" s="99"/>
      <c r="IK5" s="99"/>
      <c r="IL5" s="99"/>
      <c r="IM5" s="99"/>
      <c r="IN5" s="99"/>
      <c r="IO5" s="99"/>
      <c r="IP5" s="99"/>
      <c r="IQ5" s="99"/>
      <c r="IR5" s="99"/>
      <c r="IS5" s="99"/>
      <c r="IT5" s="99"/>
      <c r="IU5" s="99"/>
      <c r="IV5" s="99"/>
      <c r="IW5" s="99"/>
      <c r="IX5" s="99"/>
    </row>
    <row r="6" ht="15.95" customHeight="1" spans="1:23">
      <c r="A6" s="14" t="s">
        <v>6</v>
      </c>
      <c r="B6" s="36"/>
      <c r="C6" s="36"/>
      <c r="D6" s="80">
        <v>580</v>
      </c>
      <c r="E6" s="81">
        <v>110</v>
      </c>
      <c r="F6" s="82">
        <v>7.3</v>
      </c>
      <c r="G6" s="83">
        <f>D6*E6</f>
        <v>63800</v>
      </c>
      <c r="H6" s="83">
        <f>D6*F6</f>
        <v>4234</v>
      </c>
      <c r="I6" s="92">
        <f>SUMIF(物流信息跟踪!$C$30:$C$44,$A6,物流信息跟踪!$J$30:$J$44)</f>
        <v>2500</v>
      </c>
      <c r="J6" s="93">
        <f>-VLOOKUP($A6,本地仓!$A$5:$L$22,11,0)</f>
        <v>-113.3</v>
      </c>
      <c r="K6" s="94">
        <f>IFERROR(M6/I6,0)</f>
        <v>7.8</v>
      </c>
      <c r="L6" s="95">
        <f>-VLOOKUP($A6,本地仓!$A$5:$L$22,12,0)</f>
        <v>203940</v>
      </c>
      <c r="M6" s="65">
        <f>SUMPRODUCT((MONTH(物流信息跟踪!$A$7:$A$1000)=MONTH($B$1))*(物流信息跟踪!$N$7:$N$1000)*(物流信息跟踪!$C$7:$C$1000=$A6))</f>
        <v>19500</v>
      </c>
      <c r="N6" s="65">
        <f>SUMPRODUCT((MONTH(物流信息跟踪!$Q$7:$Q$1000)=MONTH($B$1))*(物流信息跟踪!$P$7:$P$1000)*(物流信息跟踪!$C$7:$C$1000=$A6))</f>
        <v>580</v>
      </c>
      <c r="O6" s="57">
        <f>IFERROR((G6+L6)/($D6+$I6),0)</f>
        <v>86.9285714285714</v>
      </c>
      <c r="P6" s="57">
        <f>IFERROR((H6+M6)/($D6+$I6),0)</f>
        <v>7.70584415584416</v>
      </c>
      <c r="Q6" s="100">
        <f>-IFERROR($N6*O6,0)</f>
        <v>-50418.5714285714</v>
      </c>
      <c r="R6" s="100">
        <f>-IFERROR($N6*P6,0)</f>
        <v>-4469.38961038961</v>
      </c>
      <c r="S6" s="101">
        <f t="shared" ref="S6:S24" si="0">D6+I6+N6</f>
        <v>3660</v>
      </c>
      <c r="T6" s="100">
        <f t="shared" ref="T6:T24" si="1">IFERROR(V6/S6,0)</f>
        <v>59.3774395003903</v>
      </c>
      <c r="U6" s="100">
        <f>W6/S6</f>
        <v>5.26355475125967</v>
      </c>
      <c r="V6" s="101">
        <f>G6+L6+Q6</f>
        <v>217321.428571429</v>
      </c>
      <c r="W6" s="101">
        <f>H6+M6+R6</f>
        <v>19264.6103896104</v>
      </c>
    </row>
    <row r="7" ht="15.95" customHeight="1" spans="1:23">
      <c r="A7" s="14" t="s">
        <v>7</v>
      </c>
      <c r="B7" s="36"/>
      <c r="C7" s="36"/>
      <c r="D7" s="80">
        <v>2292</v>
      </c>
      <c r="E7" s="81">
        <v>350</v>
      </c>
      <c r="F7" s="82">
        <v>2.38</v>
      </c>
      <c r="G7" s="83">
        <f t="shared" ref="G6:G24" si="2">D7*E7</f>
        <v>802200</v>
      </c>
      <c r="H7" s="83">
        <f t="shared" ref="H7:H23" si="3">D7*F7</f>
        <v>5454.96</v>
      </c>
      <c r="I7" s="92">
        <f>SUMIF(物流信息跟踪!$C$30:$C$44,$A7,物流信息跟踪!$J$30:$J$44)</f>
        <v>417</v>
      </c>
      <c r="J7" s="93">
        <f>-VLOOKUP($A7,本地仓!$A$5:$L$22,11,0)</f>
        <v>-351.23</v>
      </c>
      <c r="K7" s="94">
        <f t="shared" ref="K7:K23" si="4">IFERROR(M7/I7,0)</f>
        <v>2.88</v>
      </c>
      <c r="L7" s="95">
        <f>-VLOOKUP($A7,本地仓!$A$5:$L$22,12,0)</f>
        <v>7024.6</v>
      </c>
      <c r="M7" s="65">
        <f>SUMPRODUCT((MONTH(物流信息跟踪!$A$7:$A$1000)=MONTH($B$1))*(物流信息跟踪!$N$7:$N$1000)*(物流信息跟踪!$C$7:$C$1000=$A7))</f>
        <v>1200.96</v>
      </c>
      <c r="N7" s="65">
        <f>SUMPRODUCT((MONTH(物流信息跟踪!$Q$7:$Q$1000)=MONTH($B$1))*(物流信息跟踪!$P$7:$P$1000)*(物流信息跟踪!$C$7:$C$1000=$A7))</f>
        <v>2292</v>
      </c>
      <c r="O7" s="57">
        <f t="shared" ref="O6:O24" si="5">IFERROR((G7+L7)/(D7+I7),0)</f>
        <v>298.717091177556</v>
      </c>
      <c r="P7" s="57">
        <f t="shared" ref="P7:P23" si="6">IFERROR((H7+M7)/($D7+$I7),0)</f>
        <v>2.45696566998893</v>
      </c>
      <c r="Q7" s="100">
        <f t="shared" ref="Q7:Q23" si="7">-IFERROR($N7*O7,0)</f>
        <v>-684659.572978959</v>
      </c>
      <c r="R7" s="100">
        <f t="shared" ref="R7:R23" si="8">-IFERROR($N7*P7,0)</f>
        <v>-5631.36531561462</v>
      </c>
      <c r="S7" s="101">
        <f t="shared" si="0"/>
        <v>5001</v>
      </c>
      <c r="T7" s="100">
        <f t="shared" si="1"/>
        <v>24.9080237994483</v>
      </c>
      <c r="U7" s="100">
        <f t="shared" ref="U7:U23" si="9">W7/S7</f>
        <v>0.204869962884499</v>
      </c>
      <c r="V7" s="101">
        <f t="shared" ref="V6:V24" si="10">G7+L7+Q7</f>
        <v>124565.027021041</v>
      </c>
      <c r="W7" s="101">
        <f t="shared" ref="W7:W23" si="11">H7+M7+R7</f>
        <v>1024.55468438538</v>
      </c>
    </row>
    <row r="8" ht="15.95" customHeight="1" spans="1:23">
      <c r="A8" s="14" t="s">
        <v>8</v>
      </c>
      <c r="B8" s="36"/>
      <c r="C8" s="36"/>
      <c r="D8" s="80">
        <v>3</v>
      </c>
      <c r="E8" s="81">
        <v>62.4458779362399</v>
      </c>
      <c r="F8" s="82">
        <v>4</v>
      </c>
      <c r="G8" s="83">
        <f t="shared" si="2"/>
        <v>187.33763380872</v>
      </c>
      <c r="H8" s="83">
        <f t="shared" si="3"/>
        <v>12</v>
      </c>
      <c r="I8" s="92">
        <f>SUMIF(物流信息跟踪!$C$30:$C$44,$A8,物流信息跟踪!$J$30:$J$44)</f>
        <v>0</v>
      </c>
      <c r="J8" s="93">
        <f>-VLOOKUP($A8,本地仓!$A$5:$L$22,11,0)</f>
        <v>-62.4458779362399</v>
      </c>
      <c r="K8" s="94">
        <f t="shared" si="4"/>
        <v>0</v>
      </c>
      <c r="L8" s="95">
        <f>-VLOOKUP($A8,本地仓!$A$5:$L$22,12,0)</f>
        <v>0</v>
      </c>
      <c r="M8" s="65">
        <f>SUMPRODUCT((MONTH(物流信息跟踪!$A$7:$A$1000)=MONTH($B$1))*(物流信息跟踪!$N$7:$N$1000)*(物流信息跟踪!$C$7:$C$1000=$A8))</f>
        <v>0</v>
      </c>
      <c r="N8" s="65">
        <f>SUMPRODUCT((MONTH(物流信息跟踪!$Q$7:$Q$1000)=MONTH($B$1))*(物流信息跟踪!$P$7:$P$1000)*(物流信息跟踪!$C$7:$C$1000=$A8))</f>
        <v>3</v>
      </c>
      <c r="O8" s="57">
        <f t="shared" si="5"/>
        <v>62.44587793624</v>
      </c>
      <c r="P8" s="57">
        <f t="shared" si="6"/>
        <v>4</v>
      </c>
      <c r="Q8" s="100">
        <f t="shared" si="7"/>
        <v>-187.33763380872</v>
      </c>
      <c r="R8" s="100">
        <f t="shared" si="8"/>
        <v>-12</v>
      </c>
      <c r="S8" s="101">
        <f t="shared" si="0"/>
        <v>6</v>
      </c>
      <c r="T8" s="100">
        <f t="shared" si="1"/>
        <v>0</v>
      </c>
      <c r="U8" s="100">
        <f t="shared" si="9"/>
        <v>0</v>
      </c>
      <c r="V8" s="101">
        <f t="shared" si="10"/>
        <v>0</v>
      </c>
      <c r="W8" s="101">
        <f t="shared" si="11"/>
        <v>0</v>
      </c>
    </row>
    <row r="9" ht="15.95" customHeight="1" spans="1:23">
      <c r="A9" s="14" t="s">
        <v>9</v>
      </c>
      <c r="B9" s="36"/>
      <c r="C9" s="36"/>
      <c r="D9" s="80">
        <v>3431</v>
      </c>
      <c r="E9" s="81">
        <v>0</v>
      </c>
      <c r="F9" s="82">
        <v>20.45</v>
      </c>
      <c r="G9" s="83">
        <f t="shared" si="2"/>
        <v>0</v>
      </c>
      <c r="H9" s="83">
        <f t="shared" si="3"/>
        <v>70163.95</v>
      </c>
      <c r="I9" s="92">
        <f>SUMIF(物流信息跟踪!$C$30:$C$44,$A9,物流信息跟踪!$J$30:$J$44)</f>
        <v>0</v>
      </c>
      <c r="J9" s="93">
        <f>-VLOOKUP($A9,本地仓!$A$5:$L$22,11,0)</f>
        <v>0</v>
      </c>
      <c r="K9" s="94">
        <f t="shared" si="4"/>
        <v>0</v>
      </c>
      <c r="L9" s="95">
        <f>-VLOOKUP($A9,本地仓!$A$5:$L$22,12,0)</f>
        <v>0</v>
      </c>
      <c r="M9" s="65">
        <f>SUMPRODUCT((MONTH(物流信息跟踪!$A$7:$A$1000)=MONTH($B$1))*(物流信息跟踪!$N$7:$N$1000)*(物流信息跟踪!$C$7:$C$1000=$A9))</f>
        <v>0</v>
      </c>
      <c r="N9" s="65">
        <f>SUMPRODUCT((MONTH(物流信息跟踪!$Q$7:$Q$1000)=MONTH($B$1))*(物流信息跟踪!$P$7:$P$1000)*(物流信息跟踪!$C$7:$C$1000=$A9))</f>
        <v>3431</v>
      </c>
      <c r="O9" s="57">
        <f t="shared" si="5"/>
        <v>0</v>
      </c>
      <c r="P9" s="57">
        <f t="shared" si="6"/>
        <v>20.45</v>
      </c>
      <c r="Q9" s="100">
        <f t="shared" si="7"/>
        <v>0</v>
      </c>
      <c r="R9" s="100">
        <f t="shared" si="8"/>
        <v>-70163.95</v>
      </c>
      <c r="S9" s="101">
        <f t="shared" si="0"/>
        <v>6862</v>
      </c>
      <c r="T9" s="100">
        <f t="shared" si="1"/>
        <v>0</v>
      </c>
      <c r="U9" s="100">
        <f t="shared" si="9"/>
        <v>0</v>
      </c>
      <c r="V9" s="101">
        <f t="shared" si="10"/>
        <v>0</v>
      </c>
      <c r="W9" s="101">
        <f t="shared" si="11"/>
        <v>0</v>
      </c>
    </row>
    <row r="10" ht="15.95" customHeight="1" spans="1:23">
      <c r="A10" s="14" t="s">
        <v>10</v>
      </c>
      <c r="B10" s="36"/>
      <c r="C10" s="36"/>
      <c r="D10" s="80">
        <v>1424</v>
      </c>
      <c r="E10" s="81">
        <v>90</v>
      </c>
      <c r="F10" s="82">
        <v>11</v>
      </c>
      <c r="G10" s="83">
        <f t="shared" si="2"/>
        <v>128160</v>
      </c>
      <c r="H10" s="83">
        <f t="shared" si="3"/>
        <v>15664</v>
      </c>
      <c r="I10" s="92">
        <f>SUMIF(物流信息跟踪!$C$30:$C$44,$A10,物流信息跟踪!$J$30:$J$44)</f>
        <v>415</v>
      </c>
      <c r="J10" s="93">
        <f>-VLOOKUP($A10,本地仓!$A$5:$L$22,11,0)</f>
        <v>-87.5458953711466</v>
      </c>
      <c r="K10" s="94">
        <f t="shared" si="4"/>
        <v>11.5</v>
      </c>
      <c r="L10" s="95">
        <f>-VLOOKUP($A10,本地仓!$A$5:$L$22,12,0)</f>
        <v>5252.7537222688</v>
      </c>
      <c r="M10" s="65">
        <f>SUMPRODUCT((MONTH(物流信息跟踪!$A$7:$A$1000)=MONTH($B$1))*(物流信息跟踪!$N$7:$N$1000)*(物流信息跟踪!$C$7:$C$1000=$A10))</f>
        <v>4772.5</v>
      </c>
      <c r="N10" s="65">
        <f>SUMPRODUCT((MONTH(物流信息跟踪!$Q$7:$Q$1000)=MONTH($B$1))*(物流信息跟踪!$P$7:$P$1000)*(物流信息跟踪!$C$7:$C$1000=$A10))</f>
        <v>1324</v>
      </c>
      <c r="O10" s="57">
        <f t="shared" si="5"/>
        <v>72.5463587396785</v>
      </c>
      <c r="P10" s="57">
        <f t="shared" si="6"/>
        <v>11.1128330614464</v>
      </c>
      <c r="Q10" s="100">
        <f t="shared" si="7"/>
        <v>-96051.3789713344</v>
      </c>
      <c r="R10" s="100">
        <f t="shared" si="8"/>
        <v>-14713.3909733551</v>
      </c>
      <c r="S10" s="101">
        <f t="shared" si="0"/>
        <v>3163</v>
      </c>
      <c r="T10" s="100">
        <f t="shared" si="1"/>
        <v>11.812005928212</v>
      </c>
      <c r="U10" s="100">
        <f t="shared" si="9"/>
        <v>1.80939267361521</v>
      </c>
      <c r="V10" s="101">
        <f t="shared" si="10"/>
        <v>37361.3747509344</v>
      </c>
      <c r="W10" s="101">
        <f t="shared" si="11"/>
        <v>5723.10902664492</v>
      </c>
    </row>
    <row r="11" ht="15.95" customHeight="1" spans="1:23">
      <c r="A11" s="14" t="s">
        <v>11</v>
      </c>
      <c r="B11" s="36"/>
      <c r="C11" s="36"/>
      <c r="D11" s="80">
        <v>500</v>
      </c>
      <c r="E11" s="81">
        <v>101</v>
      </c>
      <c r="F11" s="82">
        <v>10</v>
      </c>
      <c r="G11" s="83">
        <f t="shared" si="2"/>
        <v>50500</v>
      </c>
      <c r="H11" s="83">
        <f t="shared" si="3"/>
        <v>5000</v>
      </c>
      <c r="I11" s="92">
        <f>SUMIF(物流信息跟踪!$C$30:$C$44,$A11,物流信息跟踪!$J$30:$J$44)</f>
        <v>490</v>
      </c>
      <c r="J11" s="93">
        <f>-VLOOKUP($A11,本地仓!$A$5:$L$22,11,0)</f>
        <v>-101.477241033397</v>
      </c>
      <c r="K11" s="94">
        <f t="shared" si="4"/>
        <v>10.5</v>
      </c>
      <c r="L11" s="95">
        <f>-VLOOKUP($A11,本地仓!$A$5:$L$22,12,0)</f>
        <v>49723.8481063645</v>
      </c>
      <c r="M11" s="65">
        <f>SUMPRODUCT((MONTH(物流信息跟踪!$A$7:$A$1000)=MONTH($B$1))*(物流信息跟踪!$N$7:$N$1000)*(物流信息跟踪!$C$7:$C$1000=$A11))</f>
        <v>5145</v>
      </c>
      <c r="N11" s="65">
        <f>SUMPRODUCT((MONTH(物流信息跟踪!$Q$7:$Q$1000)=MONTH($B$1))*(物流信息跟踪!$P$7:$P$1000)*(物流信息跟踪!$C$7:$C$1000=$A11))</f>
        <v>500</v>
      </c>
      <c r="O11" s="57">
        <f t="shared" si="5"/>
        <v>101.236210208449</v>
      </c>
      <c r="P11" s="57">
        <f t="shared" si="6"/>
        <v>10.2474747474747</v>
      </c>
      <c r="Q11" s="100">
        <f t="shared" si="7"/>
        <v>-50618.1051042245</v>
      </c>
      <c r="R11" s="100">
        <f t="shared" si="8"/>
        <v>-5123.73737373737</v>
      </c>
      <c r="S11" s="101">
        <f t="shared" si="0"/>
        <v>1490</v>
      </c>
      <c r="T11" s="100">
        <f t="shared" si="1"/>
        <v>33.2924449678792</v>
      </c>
      <c r="U11" s="100">
        <f t="shared" si="9"/>
        <v>3.36997491695478</v>
      </c>
      <c r="V11" s="101">
        <f t="shared" si="10"/>
        <v>49605.74300214</v>
      </c>
      <c r="W11" s="101">
        <f t="shared" si="11"/>
        <v>5021.26262626263</v>
      </c>
    </row>
    <row r="12" ht="15.95" customHeight="1" spans="1:23">
      <c r="A12" s="14" t="s">
        <v>12</v>
      </c>
      <c r="B12" s="36"/>
      <c r="C12" s="36"/>
      <c r="D12" s="80">
        <v>178</v>
      </c>
      <c r="E12" s="81">
        <v>107</v>
      </c>
      <c r="F12" s="82">
        <v>3.1</v>
      </c>
      <c r="G12" s="83">
        <f t="shared" si="2"/>
        <v>19046</v>
      </c>
      <c r="H12" s="83">
        <f t="shared" si="3"/>
        <v>551.8</v>
      </c>
      <c r="I12" s="92">
        <f>SUMIF(物流信息跟踪!$C$30:$C$44,$A12,物流信息跟踪!$J$30:$J$44)</f>
        <v>0</v>
      </c>
      <c r="J12" s="93">
        <f>-VLOOKUP($A12,本地仓!$A$5:$L$22,11,0)</f>
        <v>-107.403512721822</v>
      </c>
      <c r="K12" s="94">
        <f t="shared" si="4"/>
        <v>0</v>
      </c>
      <c r="L12" s="95">
        <f>-VLOOKUP($A12,本地仓!$A$5:$L$22,12,0)</f>
        <v>0</v>
      </c>
      <c r="M12" s="65">
        <f>SUMPRODUCT((MONTH(物流信息跟踪!$A$7:$A$1000)=MONTH($B$1))*(物流信息跟踪!$N$7:$N$1000)*(物流信息跟踪!$C$7:$C$1000=$A12))</f>
        <v>0</v>
      </c>
      <c r="N12" s="65">
        <f>SUMPRODUCT((MONTH(物流信息跟踪!$Q$7:$Q$1000)=MONTH($B$1))*(物流信息跟踪!$P$7:$P$1000)*(物流信息跟踪!$C$7:$C$1000=$A12))</f>
        <v>178</v>
      </c>
      <c r="O12" s="57">
        <f t="shared" si="5"/>
        <v>107</v>
      </c>
      <c r="P12" s="57">
        <f t="shared" si="6"/>
        <v>3.1</v>
      </c>
      <c r="Q12" s="100">
        <f t="shared" si="7"/>
        <v>-19046</v>
      </c>
      <c r="R12" s="100">
        <f t="shared" si="8"/>
        <v>-551.8</v>
      </c>
      <c r="S12" s="101">
        <f t="shared" si="0"/>
        <v>356</v>
      </c>
      <c r="T12" s="100">
        <f t="shared" si="1"/>
        <v>0</v>
      </c>
      <c r="U12" s="100">
        <f t="shared" si="9"/>
        <v>0</v>
      </c>
      <c r="V12" s="101">
        <f t="shared" si="10"/>
        <v>0</v>
      </c>
      <c r="W12" s="101">
        <f t="shared" si="11"/>
        <v>0</v>
      </c>
    </row>
    <row r="13" ht="15.95" customHeight="1" spans="1:23">
      <c r="A13" s="14" t="s">
        <v>13</v>
      </c>
      <c r="B13" s="36"/>
      <c r="C13" s="36"/>
      <c r="D13" s="80">
        <v>47</v>
      </c>
      <c r="E13" s="81">
        <v>227.458600054146</v>
      </c>
      <c r="F13" s="82">
        <v>19.3</v>
      </c>
      <c r="G13" s="83">
        <f t="shared" si="2"/>
        <v>10690.5542025449</v>
      </c>
      <c r="H13" s="83">
        <f t="shared" si="3"/>
        <v>907.1</v>
      </c>
      <c r="I13" s="92">
        <f>SUMIF(物流信息跟踪!$C$30:$C$44,$A13,物流信息跟踪!$J$30:$J$44)</f>
        <v>0</v>
      </c>
      <c r="J13" s="93">
        <f>-VLOOKUP($A13,本地仓!$A$5:$L$22,11,0)</f>
        <v>-227.458600054146</v>
      </c>
      <c r="K13" s="94">
        <f t="shared" si="4"/>
        <v>0</v>
      </c>
      <c r="L13" s="95">
        <f>-VLOOKUP($A13,本地仓!$A$5:$L$22,12,0)</f>
        <v>0</v>
      </c>
      <c r="M13" s="65">
        <f>SUMPRODUCT((MONTH(物流信息跟踪!$A$7:$A$1000)=MONTH($B$1))*(物流信息跟踪!$N$7:$N$1000)*(物流信息跟踪!$C$7:$C$1000=$A13))</f>
        <v>0</v>
      </c>
      <c r="N13" s="65">
        <f>SUMPRODUCT((MONTH(物流信息跟踪!$Q$7:$Q$1000)=MONTH($B$1))*(物流信息跟踪!$P$7:$P$1000)*(物流信息跟踪!$C$7:$C$1000=$A13))</f>
        <v>47</v>
      </c>
      <c r="O13" s="57">
        <f t="shared" si="5"/>
        <v>227.458600054147</v>
      </c>
      <c r="P13" s="57">
        <f t="shared" si="6"/>
        <v>19.3</v>
      </c>
      <c r="Q13" s="100">
        <f t="shared" si="7"/>
        <v>-10690.5542025449</v>
      </c>
      <c r="R13" s="100">
        <f t="shared" si="8"/>
        <v>-907.1</v>
      </c>
      <c r="S13" s="101">
        <f t="shared" si="0"/>
        <v>94</v>
      </c>
      <c r="T13" s="100">
        <f t="shared" si="1"/>
        <v>0</v>
      </c>
      <c r="U13" s="100">
        <f t="shared" si="9"/>
        <v>0</v>
      </c>
      <c r="V13" s="101">
        <f t="shared" si="10"/>
        <v>0</v>
      </c>
      <c r="W13" s="101">
        <f t="shared" si="11"/>
        <v>0</v>
      </c>
    </row>
    <row r="14" ht="15.95" customHeight="1" spans="1:23">
      <c r="A14" s="14" t="s">
        <v>14</v>
      </c>
      <c r="B14" s="36"/>
      <c r="C14" s="36"/>
      <c r="D14" s="80">
        <v>24</v>
      </c>
      <c r="E14" s="81">
        <v>104</v>
      </c>
      <c r="F14" s="82">
        <v>19.9</v>
      </c>
      <c r="G14" s="83">
        <f t="shared" si="2"/>
        <v>2496</v>
      </c>
      <c r="H14" s="83">
        <f t="shared" si="3"/>
        <v>477.6</v>
      </c>
      <c r="I14" s="92">
        <f>SUMIF(物流信息跟踪!$C$30:$C$44,$A14,物流信息跟踪!$J$30:$J$44)</f>
        <v>90</v>
      </c>
      <c r="J14" s="93">
        <f>-VLOOKUP($A14,本地仓!$A$5:$L$22,11,0)</f>
        <v>-103.05168947413</v>
      </c>
      <c r="K14" s="94">
        <f t="shared" si="4"/>
        <v>20.4</v>
      </c>
      <c r="L14" s="95">
        <f>-VLOOKUP($A14,本地仓!$A$5:$L$22,12,0)</f>
        <v>9274.6520526717</v>
      </c>
      <c r="M14" s="65">
        <f>SUMPRODUCT((MONTH(物流信息跟踪!$A$7:$A$1000)=MONTH($B$1))*(物流信息跟踪!$N$7:$N$1000)*(物流信息跟踪!$C$7:$C$1000=$A14))</f>
        <v>1836</v>
      </c>
      <c r="N14" s="65">
        <f>SUMPRODUCT((MONTH(物流信息跟踪!$Q$7:$Q$1000)=MONTH($B$1))*(物流信息跟踪!$P$7:$P$1000)*(物流信息跟踪!$C$7:$C$1000=$A14))</f>
        <v>24</v>
      </c>
      <c r="O14" s="57">
        <f t="shared" si="5"/>
        <v>103.251333795366</v>
      </c>
      <c r="P14" s="57">
        <f t="shared" si="6"/>
        <v>20.2947368421053</v>
      </c>
      <c r="Q14" s="100">
        <f t="shared" si="7"/>
        <v>-2478.03201108878</v>
      </c>
      <c r="R14" s="100">
        <f t="shared" si="8"/>
        <v>-487.073684210526</v>
      </c>
      <c r="S14" s="101">
        <f t="shared" si="0"/>
        <v>138</v>
      </c>
      <c r="T14" s="100">
        <f t="shared" si="1"/>
        <v>67.337826388282</v>
      </c>
      <c r="U14" s="100">
        <f t="shared" si="9"/>
        <v>13.2356979405034</v>
      </c>
      <c r="V14" s="101">
        <f t="shared" si="10"/>
        <v>9292.62004158292</v>
      </c>
      <c r="W14" s="101">
        <f t="shared" si="11"/>
        <v>1826.52631578947</v>
      </c>
    </row>
    <row r="15" ht="15.95" customHeight="1" spans="1:23">
      <c r="A15" s="14" t="s">
        <v>15</v>
      </c>
      <c r="B15" s="36"/>
      <c r="C15" s="36"/>
      <c r="D15" s="80">
        <v>19</v>
      </c>
      <c r="E15" s="81">
        <v>200</v>
      </c>
      <c r="F15" s="82">
        <v>12</v>
      </c>
      <c r="G15" s="83">
        <f t="shared" si="2"/>
        <v>3800</v>
      </c>
      <c r="H15" s="83">
        <f t="shared" si="3"/>
        <v>228</v>
      </c>
      <c r="I15" s="92">
        <f>SUMIF(物流信息跟踪!$C$30:$C$44,$A15,物流信息跟踪!$J$30:$J$44)</f>
        <v>140</v>
      </c>
      <c r="J15" s="93">
        <f>-VLOOKUP($A15,本地仓!$A$5:$L$22,11,0)</f>
        <v>-200.746915576748</v>
      </c>
      <c r="K15" s="94">
        <f t="shared" si="4"/>
        <v>12.5</v>
      </c>
      <c r="L15" s="95">
        <f>-VLOOKUP($A15,本地仓!$A$5:$L$22,12,0)</f>
        <v>28104.5681807447</v>
      </c>
      <c r="M15" s="65">
        <f>SUMPRODUCT((MONTH(物流信息跟踪!$A$7:$A$1000)=MONTH($B$1))*(物流信息跟踪!$N$7:$N$1000)*(物流信息跟踪!$C$7:$C$1000=$A15))</f>
        <v>1750</v>
      </c>
      <c r="N15" s="65">
        <f>SUMPRODUCT((MONTH(物流信息跟踪!$Q$7:$Q$1000)=MONTH($B$1))*(物流信息跟踪!$P$7:$P$1000)*(物流信息跟踪!$C$7:$C$1000=$A15))</f>
        <v>19</v>
      </c>
      <c r="O15" s="57">
        <f t="shared" si="5"/>
        <v>200.657661514118</v>
      </c>
      <c r="P15" s="57">
        <f t="shared" si="6"/>
        <v>12.440251572327</v>
      </c>
      <c r="Q15" s="100">
        <f t="shared" si="7"/>
        <v>-3812.49556876824</v>
      </c>
      <c r="R15" s="100">
        <f t="shared" si="8"/>
        <v>-236.364779874214</v>
      </c>
      <c r="S15" s="101">
        <f t="shared" si="0"/>
        <v>178</v>
      </c>
      <c r="T15" s="100">
        <f t="shared" si="1"/>
        <v>157.820632651553</v>
      </c>
      <c r="U15" s="100">
        <f t="shared" si="9"/>
        <v>9.78446752879655</v>
      </c>
      <c r="V15" s="101">
        <f t="shared" si="10"/>
        <v>28092.0726119765</v>
      </c>
      <c r="W15" s="101">
        <f t="shared" si="11"/>
        <v>1741.63522012579</v>
      </c>
    </row>
    <row r="16" ht="15.95" customHeight="1" spans="1:23">
      <c r="A16" s="14" t="s">
        <v>16</v>
      </c>
      <c r="B16" s="36"/>
      <c r="C16" s="36"/>
      <c r="D16" s="80">
        <v>48</v>
      </c>
      <c r="E16" s="81">
        <v>114.187638500047</v>
      </c>
      <c r="F16" s="82">
        <v>5</v>
      </c>
      <c r="G16" s="83">
        <f t="shared" si="2"/>
        <v>5481.00664800226</v>
      </c>
      <c r="H16" s="83">
        <f t="shared" si="3"/>
        <v>240</v>
      </c>
      <c r="I16" s="92">
        <f>SUMIF(物流信息跟踪!$C$30:$C$44,$A16,物流信息跟踪!$J$30:$J$44)</f>
        <v>290</v>
      </c>
      <c r="J16" s="93">
        <f>-VLOOKUP($A16,本地仓!$A$5:$L$22,11,0)</f>
        <v>-114.187638500047</v>
      </c>
      <c r="K16" s="94">
        <f t="shared" si="4"/>
        <v>5.5</v>
      </c>
      <c r="L16" s="95">
        <f>-VLOOKUP($A16,本地仓!$A$5:$L$22,12,0)</f>
        <v>33114.4151650136</v>
      </c>
      <c r="M16" s="65">
        <f>SUMPRODUCT((MONTH(物流信息跟踪!$A$7:$A$1000)=MONTH($B$1))*(物流信息跟踪!$N$7:$N$1000)*(物流信息跟踪!$C$7:$C$1000=$A16))</f>
        <v>1595</v>
      </c>
      <c r="N16" s="65">
        <f>SUMPRODUCT((MONTH(物流信息跟踪!$Q$7:$Q$1000)=MONTH($B$1))*(物流信息跟踪!$P$7:$P$1000)*(物流信息跟踪!$C$7:$C$1000=$A16))</f>
        <v>48</v>
      </c>
      <c r="O16" s="57">
        <f t="shared" si="5"/>
        <v>114.187638500047</v>
      </c>
      <c r="P16" s="57">
        <f t="shared" si="6"/>
        <v>5.42899408284024</v>
      </c>
      <c r="Q16" s="100">
        <f t="shared" si="7"/>
        <v>-5481.00664800226</v>
      </c>
      <c r="R16" s="100">
        <f t="shared" si="8"/>
        <v>-260.591715976331</v>
      </c>
      <c r="S16" s="101">
        <f t="shared" si="0"/>
        <v>386</v>
      </c>
      <c r="T16" s="100">
        <f t="shared" si="1"/>
        <v>85.7886403238695</v>
      </c>
      <c r="U16" s="100">
        <f t="shared" si="9"/>
        <v>4.07877793788515</v>
      </c>
      <c r="V16" s="101">
        <f t="shared" si="10"/>
        <v>33114.4151650136</v>
      </c>
      <c r="W16" s="101">
        <f t="shared" si="11"/>
        <v>1574.40828402367</v>
      </c>
    </row>
    <row r="17" ht="15.95" customHeight="1" spans="1:23">
      <c r="A17" s="14" t="s">
        <v>17</v>
      </c>
      <c r="B17" s="36"/>
      <c r="C17" s="36"/>
      <c r="D17" s="80">
        <v>31</v>
      </c>
      <c r="E17" s="81">
        <v>139.80612271909</v>
      </c>
      <c r="F17" s="82">
        <v>9.5</v>
      </c>
      <c r="G17" s="83">
        <f t="shared" si="2"/>
        <v>4333.98980429179</v>
      </c>
      <c r="H17" s="83">
        <f t="shared" si="3"/>
        <v>294.5</v>
      </c>
      <c r="I17" s="92">
        <f>SUMIF(物流信息跟踪!$C$30:$C$44,$A17,物流信息跟踪!$J$30:$J$44)</f>
        <v>0</v>
      </c>
      <c r="J17" s="93">
        <f>-VLOOKUP($A17,本地仓!$A$5:$L$22,11,0)</f>
        <v>-139.80612271909</v>
      </c>
      <c r="K17" s="94">
        <f t="shared" si="4"/>
        <v>0</v>
      </c>
      <c r="L17" s="95">
        <f>-VLOOKUP($A17,本地仓!$A$5:$L$22,12,0)</f>
        <v>0</v>
      </c>
      <c r="M17" s="65">
        <f>SUMPRODUCT((MONTH(物流信息跟踪!$A$7:$A$1000)=MONTH($B$1))*(物流信息跟踪!$N$7:$N$1000)*(物流信息跟踪!$C$7:$C$1000=$A17))</f>
        <v>0</v>
      </c>
      <c r="N17" s="65">
        <f>SUMPRODUCT((MONTH(物流信息跟踪!$Q$7:$Q$1000)=MONTH($B$1))*(物流信息跟踪!$P$7:$P$1000)*(物流信息跟踪!$C$7:$C$1000=$A17))</f>
        <v>31</v>
      </c>
      <c r="O17" s="57">
        <f t="shared" si="5"/>
        <v>139.80612271909</v>
      </c>
      <c r="P17" s="57">
        <f t="shared" si="6"/>
        <v>9.5</v>
      </c>
      <c r="Q17" s="100">
        <f t="shared" si="7"/>
        <v>-4333.98980429179</v>
      </c>
      <c r="R17" s="100">
        <f t="shared" si="8"/>
        <v>-294.5</v>
      </c>
      <c r="S17" s="101">
        <f t="shared" si="0"/>
        <v>62</v>
      </c>
      <c r="T17" s="100">
        <f t="shared" si="1"/>
        <v>0</v>
      </c>
      <c r="U17" s="100">
        <f t="shared" si="9"/>
        <v>0</v>
      </c>
      <c r="V17" s="101">
        <f t="shared" si="10"/>
        <v>0</v>
      </c>
      <c r="W17" s="101">
        <f t="shared" si="11"/>
        <v>0</v>
      </c>
    </row>
    <row r="18" ht="15.95" customHeight="1" spans="1:23">
      <c r="A18" s="14" t="s">
        <v>18</v>
      </c>
      <c r="B18" s="36"/>
      <c r="C18" s="36"/>
      <c r="D18" s="80">
        <v>0</v>
      </c>
      <c r="E18" s="81">
        <v>179.580896434694</v>
      </c>
      <c r="F18" s="82">
        <v>3.5</v>
      </c>
      <c r="G18" s="83">
        <f t="shared" si="2"/>
        <v>0</v>
      </c>
      <c r="H18" s="83">
        <f t="shared" si="3"/>
        <v>0</v>
      </c>
      <c r="I18" s="92">
        <f>SUMIF(物流信息跟踪!$C$30:$C$44,$A18,物流信息跟踪!$J$30:$J$44)</f>
        <v>0</v>
      </c>
      <c r="J18" s="93">
        <f>-VLOOKUP($A18,本地仓!$A$5:$L$22,11,0)</f>
        <v>-179.580896434694</v>
      </c>
      <c r="K18" s="94">
        <f t="shared" si="4"/>
        <v>0</v>
      </c>
      <c r="L18" s="95">
        <f>-VLOOKUP($A18,本地仓!$A$5:$L$22,12,0)</f>
        <v>0</v>
      </c>
      <c r="M18" s="65">
        <f>SUMPRODUCT((MONTH(物流信息跟踪!$A$7:$A$1000)=MONTH($B$1))*(物流信息跟踪!$N$7:$N$1000)*(物流信息跟踪!$C$7:$C$1000=$A18))</f>
        <v>0</v>
      </c>
      <c r="N18" s="65">
        <f>SUMPRODUCT((MONTH(物流信息跟踪!$Q$7:$Q$1000)=MONTH($B$1))*(物流信息跟踪!$P$7:$P$1000)*(物流信息跟踪!$C$7:$C$1000=$A18))</f>
        <v>0</v>
      </c>
      <c r="O18" s="57">
        <f t="shared" si="5"/>
        <v>0</v>
      </c>
      <c r="P18" s="57">
        <f t="shared" si="6"/>
        <v>0</v>
      </c>
      <c r="Q18" s="100">
        <f t="shared" si="7"/>
        <v>0</v>
      </c>
      <c r="R18" s="100">
        <f t="shared" si="8"/>
        <v>0</v>
      </c>
      <c r="S18" s="101">
        <f t="shared" si="0"/>
        <v>0</v>
      </c>
      <c r="T18" s="100">
        <f t="shared" si="1"/>
        <v>0</v>
      </c>
      <c r="U18" s="100" t="e">
        <f t="shared" si="9"/>
        <v>#DIV/0!</v>
      </c>
      <c r="V18" s="101">
        <f t="shared" si="10"/>
        <v>0</v>
      </c>
      <c r="W18" s="101">
        <f t="shared" si="11"/>
        <v>0</v>
      </c>
    </row>
    <row r="19" ht="15.95" customHeight="1" spans="1:23">
      <c r="A19" s="14" t="s">
        <v>19</v>
      </c>
      <c r="B19" s="36"/>
      <c r="C19" s="36"/>
      <c r="D19" s="80">
        <v>0</v>
      </c>
      <c r="E19" s="81">
        <v>115.905294187631</v>
      </c>
      <c r="F19" s="82">
        <v>2.2</v>
      </c>
      <c r="G19" s="83">
        <f t="shared" si="2"/>
        <v>0</v>
      </c>
      <c r="H19" s="83">
        <f t="shared" si="3"/>
        <v>0</v>
      </c>
      <c r="I19" s="92">
        <f>SUMIF(物流信息跟踪!$C$30:$C$44,$A19,物流信息跟踪!$J$30:$J$44)</f>
        <v>45</v>
      </c>
      <c r="J19" s="93">
        <f>-VLOOKUP($A19,本地仓!$A$5:$L$22,11,0)</f>
        <v>-115.905294187631</v>
      </c>
      <c r="K19" s="94">
        <f t="shared" si="4"/>
        <v>2.7</v>
      </c>
      <c r="L19" s="95">
        <f>-VLOOKUP($A19,本地仓!$A$5:$L$22,12,0)</f>
        <v>5215.73823844339</v>
      </c>
      <c r="M19" s="65">
        <f>SUMPRODUCT((MONTH(物流信息跟踪!$A$7:$A$1000)=MONTH($B$1))*(物流信息跟踪!$N$7:$N$1000)*(物流信息跟踪!$C$7:$C$1000=$A19))</f>
        <v>121.5</v>
      </c>
      <c r="N19" s="65">
        <f>SUMPRODUCT((MONTH(物流信息跟踪!$Q$7:$Q$1000)=MONTH($B$1))*(物流信息跟踪!$P$7:$P$1000)*(物流信息跟踪!$C$7:$C$1000=$A19))</f>
        <v>0</v>
      </c>
      <c r="O19" s="57">
        <f t="shared" si="5"/>
        <v>115.905294187631</v>
      </c>
      <c r="P19" s="57">
        <f t="shared" si="6"/>
        <v>2.7</v>
      </c>
      <c r="Q19" s="100">
        <f t="shared" si="7"/>
        <v>0</v>
      </c>
      <c r="R19" s="100">
        <f t="shared" si="8"/>
        <v>0</v>
      </c>
      <c r="S19" s="101">
        <f t="shared" si="0"/>
        <v>45</v>
      </c>
      <c r="T19" s="100">
        <f t="shared" si="1"/>
        <v>115.905294187631</v>
      </c>
      <c r="U19" s="100">
        <f t="shared" si="9"/>
        <v>2.7</v>
      </c>
      <c r="V19" s="101">
        <f t="shared" si="10"/>
        <v>5215.73823844339</v>
      </c>
      <c r="W19" s="101">
        <f t="shared" si="11"/>
        <v>121.5</v>
      </c>
    </row>
    <row r="20" ht="15.95" customHeight="1" spans="1:23">
      <c r="A20" s="14" t="s">
        <v>20</v>
      </c>
      <c r="B20" s="36"/>
      <c r="C20" s="36"/>
      <c r="D20" s="80">
        <v>0</v>
      </c>
      <c r="E20" s="81">
        <v>76.1778931073107</v>
      </c>
      <c r="F20" s="82">
        <v>7.5</v>
      </c>
      <c r="G20" s="83">
        <f t="shared" si="2"/>
        <v>0</v>
      </c>
      <c r="H20" s="83">
        <f t="shared" si="3"/>
        <v>0</v>
      </c>
      <c r="I20" s="92">
        <f>SUMIF(物流信息跟踪!$C$30:$C$44,$A20,物流信息跟踪!$J$30:$J$44)</f>
        <v>140</v>
      </c>
      <c r="J20" s="93">
        <f>-VLOOKUP($A20,本地仓!$A$5:$L$22,11,0)</f>
        <v>-76.1778931073107</v>
      </c>
      <c r="K20" s="94">
        <f t="shared" si="4"/>
        <v>8</v>
      </c>
      <c r="L20" s="95">
        <f>-VLOOKUP($A20,本地仓!$A$5:$L$22,12,0)</f>
        <v>10664.9050350235</v>
      </c>
      <c r="M20" s="65">
        <f>SUMPRODUCT((MONTH(物流信息跟踪!$A$7:$A$1000)=MONTH($B$1))*(物流信息跟踪!$N$7:$N$1000)*(物流信息跟踪!$C$7:$C$1000=$A20))</f>
        <v>1120</v>
      </c>
      <c r="N20" s="65">
        <f>SUMPRODUCT((MONTH(物流信息跟踪!$Q$7:$Q$1000)=MONTH($B$1))*(物流信息跟踪!$P$7:$P$1000)*(物流信息跟踪!$C$7:$C$1000=$A20))</f>
        <v>0</v>
      </c>
      <c r="O20" s="57">
        <f t="shared" si="5"/>
        <v>76.1778931073107</v>
      </c>
      <c r="P20" s="57">
        <f t="shared" si="6"/>
        <v>8</v>
      </c>
      <c r="Q20" s="100">
        <f t="shared" si="7"/>
        <v>0</v>
      </c>
      <c r="R20" s="100">
        <f t="shared" si="8"/>
        <v>0</v>
      </c>
      <c r="S20" s="101">
        <f t="shared" si="0"/>
        <v>140</v>
      </c>
      <c r="T20" s="100">
        <f t="shared" si="1"/>
        <v>76.1778931073107</v>
      </c>
      <c r="U20" s="100">
        <f t="shared" si="9"/>
        <v>8</v>
      </c>
      <c r="V20" s="101">
        <f t="shared" si="10"/>
        <v>10664.9050350235</v>
      </c>
      <c r="W20" s="101">
        <f t="shared" si="11"/>
        <v>1120</v>
      </c>
    </row>
    <row r="21" ht="15.95" customHeight="1" spans="1:23">
      <c r="A21" s="14" t="s">
        <v>21</v>
      </c>
      <c r="B21" s="36"/>
      <c r="C21" s="36"/>
      <c r="D21" s="80">
        <v>0</v>
      </c>
      <c r="E21" s="81">
        <v>71.1944251256447</v>
      </c>
      <c r="F21" s="82">
        <v>9.5</v>
      </c>
      <c r="G21" s="83">
        <f t="shared" si="2"/>
        <v>0</v>
      </c>
      <c r="H21" s="83">
        <f t="shared" si="3"/>
        <v>0</v>
      </c>
      <c r="I21" s="92">
        <f>SUMIF(物流信息跟踪!$C$30:$C$44,$A21,物流信息跟踪!$J$30:$J$44)</f>
        <v>0</v>
      </c>
      <c r="J21" s="93">
        <f>-VLOOKUP($A21,本地仓!$A$5:$L$22,11,0)</f>
        <v>-71.1944251256447</v>
      </c>
      <c r="K21" s="94">
        <f t="shared" si="4"/>
        <v>0</v>
      </c>
      <c r="L21" s="95">
        <f>-VLOOKUP($A21,本地仓!$A$5:$L$22,12,0)</f>
        <v>0</v>
      </c>
      <c r="M21" s="65">
        <f>SUMPRODUCT((MONTH(物流信息跟踪!$A$7:$A$1000)=MONTH($B$1))*(物流信息跟踪!$N$7:$N$1000)*(物流信息跟踪!$C$7:$C$1000=$A21))</f>
        <v>0</v>
      </c>
      <c r="N21" s="65">
        <f>SUMPRODUCT((MONTH(物流信息跟踪!$Q$7:$Q$1000)=MONTH($B$1))*(物流信息跟踪!$P$7:$P$1000)*(物流信息跟踪!$C$7:$C$1000=$A21))</f>
        <v>0</v>
      </c>
      <c r="O21" s="57">
        <f t="shared" si="5"/>
        <v>0</v>
      </c>
      <c r="P21" s="57">
        <f t="shared" si="6"/>
        <v>0</v>
      </c>
      <c r="Q21" s="100">
        <f t="shared" si="7"/>
        <v>0</v>
      </c>
      <c r="R21" s="100">
        <f t="shared" si="8"/>
        <v>0</v>
      </c>
      <c r="S21" s="101">
        <f t="shared" si="0"/>
        <v>0</v>
      </c>
      <c r="T21" s="100">
        <f t="shared" si="1"/>
        <v>0</v>
      </c>
      <c r="U21" s="100" t="e">
        <f t="shared" si="9"/>
        <v>#DIV/0!</v>
      </c>
      <c r="V21" s="101">
        <f t="shared" si="10"/>
        <v>0</v>
      </c>
      <c r="W21" s="101">
        <f t="shared" si="11"/>
        <v>0</v>
      </c>
    </row>
    <row r="22" ht="15.95" customHeight="1" spans="1:23">
      <c r="A22" s="14" t="s">
        <v>22</v>
      </c>
      <c r="B22" s="36"/>
      <c r="C22" s="36"/>
      <c r="D22" s="80">
        <v>0</v>
      </c>
      <c r="E22" s="15">
        <v>0</v>
      </c>
      <c r="F22" s="82">
        <v>8.5</v>
      </c>
      <c r="G22" s="83">
        <f t="shared" si="2"/>
        <v>0</v>
      </c>
      <c r="H22" s="83">
        <f t="shared" si="3"/>
        <v>0</v>
      </c>
      <c r="I22" s="92">
        <f>SUMIF(物流信息跟踪!$C$30:$C$44,$A22,物流信息跟踪!$J$30:$J$44)</f>
        <v>0</v>
      </c>
      <c r="J22" s="93">
        <f>-VLOOKUP($A22,本地仓!$A$5:$L$22,11,0)</f>
        <v>0</v>
      </c>
      <c r="K22" s="94">
        <f t="shared" si="4"/>
        <v>0</v>
      </c>
      <c r="L22" s="95">
        <f>-VLOOKUP($A22,本地仓!$A$5:$L$22,12,0)</f>
        <v>0</v>
      </c>
      <c r="M22" s="65">
        <f>SUMPRODUCT((MONTH(物流信息跟踪!$A$7:$A$1000)=MONTH($B$1))*(物流信息跟踪!$N$7:$N$1000)*(物流信息跟踪!$C$7:$C$1000=$A22))</f>
        <v>0</v>
      </c>
      <c r="N22" s="65">
        <f>SUMPRODUCT((MONTH(物流信息跟踪!$Q$7:$Q$1000)=MONTH($B$1))*(物流信息跟踪!$P$7:$P$1000)*(物流信息跟踪!$C$7:$C$1000=$A22))</f>
        <v>0</v>
      </c>
      <c r="O22" s="57">
        <f t="shared" si="5"/>
        <v>0</v>
      </c>
      <c r="P22" s="57">
        <f t="shared" si="6"/>
        <v>0</v>
      </c>
      <c r="Q22" s="100">
        <f t="shared" si="7"/>
        <v>0</v>
      </c>
      <c r="R22" s="100">
        <f t="shared" si="8"/>
        <v>0</v>
      </c>
      <c r="S22" s="101">
        <f t="shared" si="0"/>
        <v>0</v>
      </c>
      <c r="T22" s="100">
        <f t="shared" si="1"/>
        <v>0</v>
      </c>
      <c r="U22" s="100" t="e">
        <f t="shared" si="9"/>
        <v>#DIV/0!</v>
      </c>
      <c r="V22" s="101">
        <f t="shared" si="10"/>
        <v>0</v>
      </c>
      <c r="W22" s="101">
        <f t="shared" si="11"/>
        <v>0</v>
      </c>
    </row>
    <row r="23" ht="15.95" customHeight="1" spans="1:23">
      <c r="A23" s="14" t="s">
        <v>23</v>
      </c>
      <c r="B23" s="36"/>
      <c r="C23" s="36"/>
      <c r="D23" s="80">
        <v>0</v>
      </c>
      <c r="E23" s="15">
        <v>101.362717328</v>
      </c>
      <c r="F23" s="82">
        <v>3.5</v>
      </c>
      <c r="G23" s="83">
        <f t="shared" si="2"/>
        <v>0</v>
      </c>
      <c r="H23" s="83">
        <f t="shared" si="3"/>
        <v>0</v>
      </c>
      <c r="I23" s="92">
        <f>SUMIF(物流信息跟踪!$C$30:$C$44,$A23,物流信息跟踪!$J$30:$J$44)</f>
        <v>0</v>
      </c>
      <c r="J23" s="93">
        <f>-VLOOKUP($A23,本地仓!$A$5:$L$22,11,0)</f>
        <v>-101.362717328</v>
      </c>
      <c r="K23" s="94">
        <f t="shared" si="4"/>
        <v>0</v>
      </c>
      <c r="L23" s="95">
        <f>-VLOOKUP($A23,本地仓!$A$5:$L$22,12,0)</f>
        <v>0</v>
      </c>
      <c r="M23" s="65">
        <f>SUMPRODUCT((MONTH(物流信息跟踪!$A$7:$A$1000)=MONTH($B$1))*(物流信息跟踪!$N$7:$N$1000)*(物流信息跟踪!$C$7:$C$1000=$A23))</f>
        <v>0</v>
      </c>
      <c r="N23" s="65">
        <f>SUMPRODUCT((MONTH(物流信息跟踪!$Q$7:$Q$1000)=MONTH($B$1))*(物流信息跟踪!$P$7:$P$1000)*(物流信息跟踪!$C$7:$C$1000=$A23))</f>
        <v>0</v>
      </c>
      <c r="O23" s="57">
        <f t="shared" si="5"/>
        <v>0</v>
      </c>
      <c r="P23" s="57">
        <f t="shared" si="6"/>
        <v>0</v>
      </c>
      <c r="Q23" s="100">
        <f t="shared" si="7"/>
        <v>0</v>
      </c>
      <c r="R23" s="100">
        <f t="shared" si="8"/>
        <v>0</v>
      </c>
      <c r="S23" s="101">
        <f t="shared" si="0"/>
        <v>0</v>
      </c>
      <c r="T23" s="100">
        <f t="shared" si="1"/>
        <v>0</v>
      </c>
      <c r="U23" s="100" t="e">
        <f t="shared" si="9"/>
        <v>#DIV/0!</v>
      </c>
      <c r="V23" s="101">
        <f t="shared" si="10"/>
        <v>0</v>
      </c>
      <c r="W23" s="101">
        <f t="shared" si="11"/>
        <v>0</v>
      </c>
    </row>
    <row r="24" ht="15.95" customHeight="1" spans="1:23">
      <c r="A24" s="84" t="s">
        <v>40</v>
      </c>
      <c r="B24" s="84"/>
      <c r="C24" s="84"/>
      <c r="D24" s="85">
        <f t="shared" ref="D24:H24" si="12">SUM(D6:D23)</f>
        <v>8577</v>
      </c>
      <c r="E24" s="85"/>
      <c r="F24" s="85"/>
      <c r="G24" s="86">
        <f t="shared" si="12"/>
        <v>1090694.88828865</v>
      </c>
      <c r="H24" s="86">
        <f t="shared" si="12"/>
        <v>103227.91</v>
      </c>
      <c r="I24" s="85">
        <f t="shared" ref="I24:M24" si="13">SUM(I6:I23)</f>
        <v>4527</v>
      </c>
      <c r="J24" s="86"/>
      <c r="K24" s="85">
        <f>SUM(K6:K23)</f>
        <v>81.78</v>
      </c>
      <c r="L24" s="86">
        <f t="shared" si="13"/>
        <v>352315.48050053</v>
      </c>
      <c r="M24" s="86">
        <f t="shared" si="13"/>
        <v>37040.96</v>
      </c>
      <c r="N24" s="85">
        <f t="shared" ref="N24:R24" si="14">SUM(N6:N23)</f>
        <v>8477</v>
      </c>
      <c r="O24" s="96"/>
      <c r="P24" s="96"/>
      <c r="Q24" s="102">
        <f t="shared" si="14"/>
        <v>-927777.044351594</v>
      </c>
      <c r="R24" s="102">
        <f t="shared" si="14"/>
        <v>-102851.263453158</v>
      </c>
      <c r="S24" s="102">
        <f t="shared" ref="S24:W24" si="15">SUM(S6:S23)</f>
        <v>21581</v>
      </c>
      <c r="T24" s="103"/>
      <c r="U24" s="103"/>
      <c r="V24" s="102">
        <f t="shared" si="15"/>
        <v>515233.324437584</v>
      </c>
      <c r="W24" s="102">
        <f t="shared" si="15"/>
        <v>37417.6065468422</v>
      </c>
    </row>
    <row r="25" s="74" customFormat="1" ht="15.95" customHeight="1" spans="1:23">
      <c r="A25" s="87" t="s">
        <v>47</v>
      </c>
      <c r="B25" s="84"/>
      <c r="C25" s="84"/>
      <c r="D25" s="85"/>
      <c r="E25" s="85"/>
      <c r="F25" s="85"/>
      <c r="G25" s="88"/>
      <c r="H25" s="88"/>
      <c r="I25" s="97">
        <f>I24-物流信息跟踪!J44</f>
        <v>0</v>
      </c>
      <c r="J25" s="97"/>
      <c r="K25" s="97"/>
      <c r="L25" s="97">
        <f>L24+本地仓!L23</f>
        <v>0</v>
      </c>
      <c r="M25" s="97"/>
      <c r="N25" s="97">
        <f>N24-库存调整表US!H1</f>
        <v>0</v>
      </c>
      <c r="O25" s="96"/>
      <c r="P25" s="96"/>
      <c r="Q25" s="104"/>
      <c r="R25" s="104"/>
      <c r="S25" s="102"/>
      <c r="T25" s="103"/>
      <c r="U25" s="103"/>
      <c r="V25" s="104"/>
      <c r="W25" s="104"/>
    </row>
    <row r="26" ht="15.95" customHeight="1" spans="7:14">
      <c r="G26" s="89"/>
      <c r="H26" s="89"/>
      <c r="N26" s="61"/>
    </row>
    <row r="27" ht="15.95" customHeight="1" spans="14:14">
      <c r="N27" s="61"/>
    </row>
    <row r="28" ht="15.95" customHeight="1" spans="14:14">
      <c r="N28" s="61"/>
    </row>
    <row r="29" ht="15.95" customHeight="1"/>
    <row r="30" ht="15.95" customHeight="1"/>
    <row r="31" ht="15.95" customHeight="1"/>
    <row r="32" ht="15.95" customHeight="1"/>
    <row r="33" ht="15.95" customHeight="1"/>
    <row r="34" ht="15.95" customHeight="1"/>
    <row r="35" ht="15.95" customHeight="1"/>
    <row r="36" ht="15.95" customHeight="1"/>
    <row r="37" ht="15.95" customHeight="1"/>
    <row r="38" ht="15.95" customHeight="1"/>
    <row r="39" ht="15.95" customHeight="1"/>
    <row r="40" ht="15.95" customHeight="1"/>
    <row r="41" ht="15.95" customHeight="1"/>
  </sheetData>
  <mergeCells count="7">
    <mergeCell ref="D4:G4"/>
    <mergeCell ref="I4:M4"/>
    <mergeCell ref="N4:R4"/>
    <mergeCell ref="S4:W4"/>
    <mergeCell ref="A4:A5"/>
    <mergeCell ref="B4:B5"/>
    <mergeCell ref="C4:C5"/>
  </mergeCells>
  <conditionalFormatting sqref="A6:A23">
    <cfRule type="duplicateValues" dxfId="0" priority="1"/>
    <cfRule type="duplicateValues" dxfId="0" priority="2"/>
  </conditionalFormatting>
  <pageMargins left="0.75" right="0.75" top="1" bottom="1" header="0.511111111111111" footer="0.511111111111111"/>
  <pageSetup paperSize="9" orientation="portrait"/>
  <headerFooter alignWithMargins="0" scaleWithDoc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  <pageSetUpPr fitToPage="1"/>
  </sheetPr>
  <dimension ref="A1:XFA39"/>
  <sheetViews>
    <sheetView workbookViewId="0">
      <pane xSplit="4" ySplit="6" topLeftCell="E7" activePane="bottomRight" state="frozen"/>
      <selection/>
      <selection pane="topRight"/>
      <selection pane="bottomLeft"/>
      <selection pane="bottomRight" activeCell="A3" sqref="A3"/>
    </sheetView>
  </sheetViews>
  <sheetFormatPr defaultColWidth="9" defaultRowHeight="14.4"/>
  <cols>
    <col min="1" max="1" width="11.5" style="21" customWidth="1"/>
    <col min="2" max="2" width="5" style="21" hidden="1" customWidth="1" outlineLevel="1"/>
    <col min="3" max="3" width="3.625" style="21" hidden="1" customWidth="1" outlineLevel="1"/>
    <col min="4" max="4" width="10.25" style="21" customWidth="1" collapsed="1"/>
    <col min="5" max="5" width="7.375" style="21" customWidth="1"/>
    <col min="6" max="6" width="8.625" style="21" customWidth="1"/>
    <col min="7" max="7" width="8" style="21" customWidth="1"/>
    <col min="8" max="8" width="11.5" style="22" customWidth="1"/>
    <col min="9" max="9" width="9.375" style="22" customWidth="1"/>
    <col min="10" max="10" width="6.75" style="21" customWidth="1"/>
    <col min="11" max="12" width="9" style="21"/>
    <col min="13" max="13" width="10.625" style="22" customWidth="1"/>
    <col min="14" max="14" width="9.75" style="22" customWidth="1"/>
    <col min="15" max="15" width="9.125" style="21" customWidth="1"/>
    <col min="16" max="16" width="10.125" style="22" customWidth="1"/>
    <col min="17" max="17" width="9.5" style="22" customWidth="1"/>
    <col min="18" max="18" width="12.375" style="22" customWidth="1"/>
    <col min="19" max="19" width="11.25" style="22" customWidth="1"/>
    <col min="20" max="20" width="8" style="21" customWidth="1"/>
    <col min="21" max="21" width="10.125" style="22" customWidth="1"/>
    <col min="22" max="22" width="9.625" style="22" customWidth="1"/>
    <col min="23" max="23" width="7.875" style="22" customWidth="1"/>
    <col min="24" max="25" width="10" style="22" customWidth="1"/>
    <col min="26" max="26" width="8.375" style="21" customWidth="1"/>
    <col min="27" max="27" width="8.75" style="21" customWidth="1"/>
    <col min="28" max="28" width="9.125" style="21" customWidth="1"/>
    <col min="29" max="29" width="8.75" style="21" customWidth="1"/>
    <col min="30" max="30" width="8.5" style="21" customWidth="1"/>
    <col min="31" max="31" width="10.125" style="22" customWidth="1"/>
    <col min="32" max="32" width="9.375" style="22" customWidth="1"/>
    <col min="33" max="33" width="10.125" style="21"/>
    <col min="34" max="35" width="8.375" style="22" customWidth="1"/>
    <col min="36" max="36" width="13" style="22" customWidth="1"/>
    <col min="37" max="37" width="11.125" style="22" customWidth="1"/>
    <col min="38" max="38" width="13.125" style="21" hidden="1" customWidth="1" outlineLevel="1"/>
    <col min="39" max="39" width="9" style="21" hidden="1" outlineLevel="1"/>
    <col min="40" max="40" width="12.375" style="21" customWidth="1" collapsed="1"/>
    <col min="41" max="41" width="10.25" style="21" customWidth="1"/>
    <col min="42" max="16369" width="9" style="21"/>
    <col min="16370" max="16384" width="9" style="23"/>
  </cols>
  <sheetData>
    <row r="1" ht="15.6" spans="1:2">
      <c r="A1" s="24" t="s">
        <v>0</v>
      </c>
      <c r="B1" s="25">
        <f>基础资料!B1</f>
        <v>44228</v>
      </c>
    </row>
    <row r="2" ht="20.1" customHeight="1" spans="1:37">
      <c r="A2" s="26" t="s">
        <v>90</v>
      </c>
      <c r="B2" s="26"/>
      <c r="C2" s="26"/>
      <c r="D2" s="26"/>
      <c r="E2" s="26"/>
      <c r="F2" s="26"/>
      <c r="G2" s="26"/>
      <c r="H2" s="27"/>
      <c r="I2" s="27"/>
      <c r="J2" s="26"/>
      <c r="K2" s="26"/>
      <c r="L2" s="26"/>
      <c r="M2" s="27"/>
      <c r="N2" s="27"/>
      <c r="O2" s="26"/>
      <c r="P2" s="27"/>
      <c r="Q2" s="27"/>
      <c r="R2" s="27"/>
      <c r="S2" s="27"/>
      <c r="T2" s="26"/>
      <c r="U2" s="27"/>
      <c r="V2" s="27"/>
      <c r="W2" s="27"/>
      <c r="X2" s="27"/>
      <c r="Y2" s="27"/>
      <c r="Z2" s="26"/>
      <c r="AA2" s="26"/>
      <c r="AB2" s="26"/>
      <c r="AC2" s="26"/>
      <c r="AD2" s="26"/>
      <c r="AE2" s="27"/>
      <c r="AF2" s="27"/>
      <c r="AG2" s="26"/>
      <c r="AH2" s="27"/>
      <c r="AI2" s="27"/>
      <c r="AJ2" s="27"/>
      <c r="AK2" s="27"/>
    </row>
    <row r="3" ht="16.35" customHeight="1" spans="1:34">
      <c r="A3" s="28" t="s">
        <v>24</v>
      </c>
      <c r="J3" s="49"/>
      <c r="AH3" s="22" t="s">
        <v>91</v>
      </c>
    </row>
    <row r="4" ht="5.1" customHeight="1" spans="1:10">
      <c r="A4" s="28"/>
      <c r="B4" s="29"/>
      <c r="C4" s="29"/>
      <c r="D4" s="29"/>
      <c r="J4" s="49"/>
    </row>
    <row r="5" ht="18.95" customHeight="1" spans="1:37">
      <c r="A5" s="30" t="s">
        <v>27</v>
      </c>
      <c r="B5" s="30" t="s">
        <v>28</v>
      </c>
      <c r="C5" s="30" t="s">
        <v>2</v>
      </c>
      <c r="D5" s="30" t="s">
        <v>92</v>
      </c>
      <c r="E5" s="31" t="s">
        <v>42</v>
      </c>
      <c r="F5" s="32"/>
      <c r="G5" s="32"/>
      <c r="H5" s="32"/>
      <c r="I5" s="32"/>
      <c r="J5" s="50" t="s">
        <v>93</v>
      </c>
      <c r="K5" s="51"/>
      <c r="L5" s="51"/>
      <c r="M5" s="51"/>
      <c r="N5" s="51"/>
      <c r="O5" s="50" t="s">
        <v>94</v>
      </c>
      <c r="P5" s="51"/>
      <c r="Q5" s="51"/>
      <c r="R5" s="51"/>
      <c r="S5" s="63"/>
      <c r="T5" s="50" t="s">
        <v>95</v>
      </c>
      <c r="U5" s="51"/>
      <c r="V5" s="51"/>
      <c r="W5" s="50" t="s">
        <v>96</v>
      </c>
      <c r="X5" s="51"/>
      <c r="Y5" s="51"/>
      <c r="Z5" s="50" t="s">
        <v>97</v>
      </c>
      <c r="AA5" s="51"/>
      <c r="AB5" s="51"/>
      <c r="AC5" s="51"/>
      <c r="AD5" s="51"/>
      <c r="AE5" s="51"/>
      <c r="AF5" s="51"/>
      <c r="AG5" s="50" t="s">
        <v>46</v>
      </c>
      <c r="AH5" s="51"/>
      <c r="AI5" s="51"/>
      <c r="AJ5" s="51"/>
      <c r="AK5" s="51"/>
    </row>
    <row r="6" s="18" customFormat="1" ht="29.1" customHeight="1" spans="1:16381">
      <c r="A6" s="33"/>
      <c r="B6" s="33"/>
      <c r="C6" s="33"/>
      <c r="D6" s="33"/>
      <c r="E6" s="34" t="s">
        <v>34</v>
      </c>
      <c r="F6" s="34" t="s">
        <v>86</v>
      </c>
      <c r="G6" s="34" t="s">
        <v>87</v>
      </c>
      <c r="H6" s="35" t="s">
        <v>88</v>
      </c>
      <c r="I6" s="35" t="s">
        <v>89</v>
      </c>
      <c r="J6" s="52" t="s">
        <v>34</v>
      </c>
      <c r="K6" s="34" t="s">
        <v>86</v>
      </c>
      <c r="L6" s="34" t="s">
        <v>87</v>
      </c>
      <c r="M6" s="53" t="s">
        <v>88</v>
      </c>
      <c r="N6" s="53" t="s">
        <v>89</v>
      </c>
      <c r="O6" s="52" t="s">
        <v>34</v>
      </c>
      <c r="P6" s="34" t="s">
        <v>86</v>
      </c>
      <c r="Q6" s="34" t="s">
        <v>87</v>
      </c>
      <c r="R6" s="53" t="s">
        <v>88</v>
      </c>
      <c r="S6" s="53" t="s">
        <v>89</v>
      </c>
      <c r="T6" s="52" t="s">
        <v>34</v>
      </c>
      <c r="U6" s="53" t="s">
        <v>88</v>
      </c>
      <c r="V6" s="53" t="s">
        <v>89</v>
      </c>
      <c r="W6" s="52" t="s">
        <v>34</v>
      </c>
      <c r="X6" s="53" t="s">
        <v>88</v>
      </c>
      <c r="Y6" s="53" t="s">
        <v>89</v>
      </c>
      <c r="Z6" s="52" t="s">
        <v>98</v>
      </c>
      <c r="AA6" s="52" t="s">
        <v>99</v>
      </c>
      <c r="AB6" s="52" t="s">
        <v>100</v>
      </c>
      <c r="AC6" s="52" t="s">
        <v>101</v>
      </c>
      <c r="AD6" s="52" t="s">
        <v>102</v>
      </c>
      <c r="AE6" s="53" t="s">
        <v>88</v>
      </c>
      <c r="AF6" s="53" t="s">
        <v>89</v>
      </c>
      <c r="AG6" s="52" t="s">
        <v>34</v>
      </c>
      <c r="AH6" s="53" t="s">
        <v>86</v>
      </c>
      <c r="AI6" s="53" t="s">
        <v>87</v>
      </c>
      <c r="AJ6" s="53" t="s">
        <v>88</v>
      </c>
      <c r="AK6" s="53" t="s">
        <v>89</v>
      </c>
      <c r="AL6" s="29" t="s">
        <v>103</v>
      </c>
      <c r="AM6" s="29"/>
      <c r="AN6" s="29" t="s">
        <v>104</v>
      </c>
      <c r="AO6" s="29" t="s">
        <v>105</v>
      </c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  <c r="NC6" s="29"/>
      <c r="ND6" s="29"/>
      <c r="NE6" s="29"/>
      <c r="NF6" s="29"/>
      <c r="NG6" s="29"/>
      <c r="NH6" s="29"/>
      <c r="NI6" s="29"/>
      <c r="NJ6" s="29"/>
      <c r="NK6" s="29"/>
      <c r="NL6" s="29"/>
      <c r="NM6" s="29"/>
      <c r="NN6" s="29"/>
      <c r="NO6" s="29"/>
      <c r="NP6" s="29"/>
      <c r="NQ6" s="29"/>
      <c r="NR6" s="29"/>
      <c r="NS6" s="29"/>
      <c r="NT6" s="29"/>
      <c r="NU6" s="29"/>
      <c r="NV6" s="29"/>
      <c r="NW6" s="29"/>
      <c r="NX6" s="29"/>
      <c r="NY6" s="29"/>
      <c r="NZ6" s="29"/>
      <c r="OA6" s="29"/>
      <c r="OB6" s="29"/>
      <c r="OC6" s="29"/>
      <c r="OD6" s="29"/>
      <c r="OE6" s="29"/>
      <c r="OF6" s="29"/>
      <c r="OG6" s="29"/>
      <c r="OH6" s="29"/>
      <c r="OI6" s="29"/>
      <c r="OJ6" s="29"/>
      <c r="OK6" s="29"/>
      <c r="OL6" s="29"/>
      <c r="OM6" s="29"/>
      <c r="ON6" s="29"/>
      <c r="OO6" s="29"/>
      <c r="OP6" s="29"/>
      <c r="OQ6" s="29"/>
      <c r="OR6" s="29"/>
      <c r="OS6" s="29"/>
      <c r="OT6" s="29"/>
      <c r="OU6" s="29"/>
      <c r="OV6" s="29"/>
      <c r="OW6" s="29"/>
      <c r="OX6" s="29"/>
      <c r="OY6" s="29"/>
      <c r="OZ6" s="29"/>
      <c r="PA6" s="29"/>
      <c r="PB6" s="29"/>
      <c r="PC6" s="29"/>
      <c r="PD6" s="29"/>
      <c r="PE6" s="29"/>
      <c r="PF6" s="29"/>
      <c r="PG6" s="29"/>
      <c r="PH6" s="29"/>
      <c r="PI6" s="29"/>
      <c r="PJ6" s="29"/>
      <c r="PK6" s="29"/>
      <c r="PL6" s="29"/>
      <c r="PM6" s="29"/>
      <c r="PN6" s="29"/>
      <c r="PO6" s="29"/>
      <c r="PP6" s="29"/>
      <c r="PQ6" s="29"/>
      <c r="PR6" s="29"/>
      <c r="PS6" s="29"/>
      <c r="PT6" s="29"/>
      <c r="PU6" s="29"/>
      <c r="PV6" s="29"/>
      <c r="PW6" s="29"/>
      <c r="PX6" s="29"/>
      <c r="PY6" s="29"/>
      <c r="PZ6" s="29"/>
      <c r="QA6" s="29"/>
      <c r="QB6" s="29"/>
      <c r="QC6" s="29"/>
      <c r="QD6" s="29"/>
      <c r="QE6" s="29"/>
      <c r="QF6" s="29"/>
      <c r="QG6" s="29"/>
      <c r="QH6" s="29"/>
      <c r="QI6" s="29"/>
      <c r="QJ6" s="29"/>
      <c r="QK6" s="29"/>
      <c r="QL6" s="29"/>
      <c r="QM6" s="29"/>
      <c r="QN6" s="29"/>
      <c r="QO6" s="29"/>
      <c r="QP6" s="29"/>
      <c r="QQ6" s="29"/>
      <c r="QR6" s="29"/>
      <c r="QS6" s="29"/>
      <c r="QT6" s="29"/>
      <c r="QU6" s="29"/>
      <c r="QV6" s="29"/>
      <c r="QW6" s="29"/>
      <c r="QX6" s="29"/>
      <c r="QY6" s="29"/>
      <c r="QZ6" s="29"/>
      <c r="RA6" s="29"/>
      <c r="RB6" s="29"/>
      <c r="RC6" s="29"/>
      <c r="RD6" s="29"/>
      <c r="RE6" s="29"/>
      <c r="RF6" s="29"/>
      <c r="RG6" s="29"/>
      <c r="RH6" s="29"/>
      <c r="RI6" s="29"/>
      <c r="RJ6" s="29"/>
      <c r="RK6" s="29"/>
      <c r="RL6" s="29"/>
      <c r="RM6" s="29"/>
      <c r="RN6" s="29"/>
      <c r="RO6" s="29"/>
      <c r="RP6" s="29"/>
      <c r="RQ6" s="29"/>
      <c r="RR6" s="29"/>
      <c r="RS6" s="29"/>
      <c r="RT6" s="29"/>
      <c r="RU6" s="29"/>
      <c r="RV6" s="29"/>
      <c r="RW6" s="29"/>
      <c r="RX6" s="29"/>
      <c r="RY6" s="29"/>
      <c r="RZ6" s="29"/>
      <c r="SA6" s="29"/>
      <c r="SB6" s="29"/>
      <c r="SC6" s="29"/>
      <c r="SD6" s="29"/>
      <c r="SE6" s="29"/>
      <c r="SF6" s="29"/>
      <c r="SG6" s="29"/>
      <c r="SH6" s="29"/>
      <c r="SI6" s="29"/>
      <c r="SJ6" s="29"/>
      <c r="SK6" s="29"/>
      <c r="SL6" s="29"/>
      <c r="SM6" s="29"/>
      <c r="SN6" s="29"/>
      <c r="SO6" s="29"/>
      <c r="SP6" s="29"/>
      <c r="SQ6" s="29"/>
      <c r="SR6" s="29"/>
      <c r="SS6" s="29"/>
      <c r="ST6" s="29"/>
      <c r="SU6" s="29"/>
      <c r="SV6" s="29"/>
      <c r="SW6" s="29"/>
      <c r="SX6" s="29"/>
      <c r="SY6" s="29"/>
      <c r="SZ6" s="29"/>
      <c r="TA6" s="29"/>
      <c r="TB6" s="29"/>
      <c r="TC6" s="29"/>
      <c r="TD6" s="29"/>
      <c r="TE6" s="29"/>
      <c r="TF6" s="29"/>
      <c r="TG6" s="29"/>
      <c r="TH6" s="29"/>
      <c r="TI6" s="29"/>
      <c r="TJ6" s="29"/>
      <c r="TK6" s="29"/>
      <c r="TL6" s="29"/>
      <c r="TM6" s="29"/>
      <c r="TN6" s="29"/>
      <c r="TO6" s="29"/>
      <c r="TP6" s="29"/>
      <c r="TQ6" s="29"/>
      <c r="TR6" s="29"/>
      <c r="TS6" s="29"/>
      <c r="TT6" s="29"/>
      <c r="TU6" s="29"/>
      <c r="TV6" s="29"/>
      <c r="TW6" s="29"/>
      <c r="TX6" s="29"/>
      <c r="TY6" s="29"/>
      <c r="TZ6" s="29"/>
      <c r="UA6" s="29"/>
      <c r="UB6" s="29"/>
      <c r="UC6" s="29"/>
      <c r="UD6" s="29"/>
      <c r="UE6" s="29"/>
      <c r="UF6" s="29"/>
      <c r="UG6" s="29"/>
      <c r="UH6" s="29"/>
      <c r="UI6" s="29"/>
      <c r="UJ6" s="29"/>
      <c r="UK6" s="29"/>
      <c r="UL6" s="29"/>
      <c r="UM6" s="29"/>
      <c r="UN6" s="29"/>
      <c r="UO6" s="29"/>
      <c r="UP6" s="29"/>
      <c r="UQ6" s="29"/>
      <c r="UR6" s="29"/>
      <c r="US6" s="29"/>
      <c r="UT6" s="29"/>
      <c r="UU6" s="29"/>
      <c r="UV6" s="29"/>
      <c r="UW6" s="29"/>
      <c r="UX6" s="29"/>
      <c r="UY6" s="29"/>
      <c r="UZ6" s="29"/>
      <c r="VA6" s="29"/>
      <c r="VB6" s="29"/>
      <c r="VC6" s="29"/>
      <c r="VD6" s="29"/>
      <c r="VE6" s="29"/>
      <c r="VF6" s="29"/>
      <c r="VG6" s="29"/>
      <c r="VH6" s="29"/>
      <c r="VI6" s="29"/>
      <c r="VJ6" s="29"/>
      <c r="VK6" s="29"/>
      <c r="VL6" s="29"/>
      <c r="VM6" s="29"/>
      <c r="VN6" s="29"/>
      <c r="VO6" s="29"/>
      <c r="VP6" s="29"/>
      <c r="VQ6" s="29"/>
      <c r="VR6" s="29"/>
      <c r="VS6" s="29"/>
      <c r="VT6" s="29"/>
      <c r="VU6" s="29"/>
      <c r="VV6" s="29"/>
      <c r="VW6" s="29"/>
      <c r="VX6" s="29"/>
      <c r="VY6" s="29"/>
      <c r="VZ6" s="29"/>
      <c r="WA6" s="29"/>
      <c r="WB6" s="29"/>
      <c r="WC6" s="29"/>
      <c r="WD6" s="29"/>
      <c r="WE6" s="29"/>
      <c r="WF6" s="29"/>
      <c r="WG6" s="29"/>
      <c r="WH6" s="29"/>
      <c r="WI6" s="29"/>
      <c r="WJ6" s="29"/>
      <c r="WK6" s="29"/>
      <c r="WL6" s="29"/>
      <c r="WM6" s="29"/>
      <c r="WN6" s="29"/>
      <c r="WO6" s="29"/>
      <c r="WP6" s="29"/>
      <c r="WQ6" s="29"/>
      <c r="WR6" s="29"/>
      <c r="WS6" s="29"/>
      <c r="WT6" s="29"/>
      <c r="WU6" s="29"/>
      <c r="WV6" s="29"/>
      <c r="WW6" s="29"/>
      <c r="WX6" s="29"/>
      <c r="WY6" s="29"/>
      <c r="WZ6" s="29"/>
      <c r="XA6" s="29"/>
      <c r="XB6" s="29"/>
      <c r="XC6" s="29"/>
      <c r="XD6" s="29"/>
      <c r="XE6" s="29"/>
      <c r="XF6" s="29"/>
      <c r="XG6" s="29"/>
      <c r="XH6" s="29"/>
      <c r="XI6" s="29"/>
      <c r="XJ6" s="29"/>
      <c r="XK6" s="29"/>
      <c r="XL6" s="29"/>
      <c r="XM6" s="29"/>
      <c r="XN6" s="29"/>
      <c r="XO6" s="29"/>
      <c r="XP6" s="29"/>
      <c r="XQ6" s="29"/>
      <c r="XR6" s="29"/>
      <c r="XS6" s="29"/>
      <c r="XT6" s="29"/>
      <c r="XU6" s="29"/>
      <c r="XV6" s="29"/>
      <c r="XW6" s="29"/>
      <c r="XX6" s="29"/>
      <c r="XY6" s="29"/>
      <c r="XZ6" s="29"/>
      <c r="YA6" s="29"/>
      <c r="YB6" s="29"/>
      <c r="YC6" s="29"/>
      <c r="YD6" s="29"/>
      <c r="YE6" s="29"/>
      <c r="YF6" s="29"/>
      <c r="YG6" s="29"/>
      <c r="YH6" s="29"/>
      <c r="YI6" s="29"/>
      <c r="YJ6" s="29"/>
      <c r="YK6" s="29"/>
      <c r="YL6" s="29"/>
      <c r="YM6" s="29"/>
      <c r="YN6" s="29"/>
      <c r="YO6" s="29"/>
      <c r="YP6" s="29"/>
      <c r="YQ6" s="29"/>
      <c r="YR6" s="29"/>
      <c r="YS6" s="29"/>
      <c r="YT6" s="29"/>
      <c r="YU6" s="29"/>
      <c r="YV6" s="29"/>
      <c r="YW6" s="29"/>
      <c r="YX6" s="29"/>
      <c r="YY6" s="29"/>
      <c r="YZ6" s="29"/>
      <c r="ZA6" s="29"/>
      <c r="ZB6" s="29"/>
      <c r="ZC6" s="29"/>
      <c r="ZD6" s="29"/>
      <c r="ZE6" s="29"/>
      <c r="ZF6" s="29"/>
      <c r="ZG6" s="29"/>
      <c r="ZH6" s="29"/>
      <c r="ZI6" s="29"/>
      <c r="ZJ6" s="29"/>
      <c r="ZK6" s="29"/>
      <c r="ZL6" s="29"/>
      <c r="ZM6" s="29"/>
      <c r="ZN6" s="29"/>
      <c r="ZO6" s="29"/>
      <c r="ZP6" s="29"/>
      <c r="ZQ6" s="29"/>
      <c r="ZR6" s="29"/>
      <c r="ZS6" s="29"/>
      <c r="ZT6" s="29"/>
      <c r="ZU6" s="29"/>
      <c r="ZV6" s="29"/>
      <c r="ZW6" s="29"/>
      <c r="ZX6" s="29"/>
      <c r="ZY6" s="29"/>
      <c r="ZZ6" s="29"/>
      <c r="AAA6" s="29"/>
      <c r="AAB6" s="29"/>
      <c r="AAC6" s="29"/>
      <c r="AAD6" s="29"/>
      <c r="AAE6" s="29"/>
      <c r="AAF6" s="29"/>
      <c r="AAG6" s="29"/>
      <c r="AAH6" s="29"/>
      <c r="AAI6" s="29"/>
      <c r="AAJ6" s="29"/>
      <c r="AAK6" s="29"/>
      <c r="AAL6" s="29"/>
      <c r="AAM6" s="29"/>
      <c r="AAN6" s="29"/>
      <c r="AAO6" s="29"/>
      <c r="AAP6" s="29"/>
      <c r="AAQ6" s="29"/>
      <c r="AAR6" s="29"/>
      <c r="AAS6" s="29"/>
      <c r="AAT6" s="29"/>
      <c r="AAU6" s="29"/>
      <c r="AAV6" s="29"/>
      <c r="AAW6" s="29"/>
      <c r="AAX6" s="29"/>
      <c r="AAY6" s="29"/>
      <c r="AAZ6" s="29"/>
      <c r="ABA6" s="29"/>
      <c r="ABB6" s="29"/>
      <c r="ABC6" s="29"/>
      <c r="ABD6" s="29"/>
      <c r="ABE6" s="29"/>
      <c r="ABF6" s="29"/>
      <c r="ABG6" s="29"/>
      <c r="ABH6" s="29"/>
      <c r="ABI6" s="29"/>
      <c r="ABJ6" s="29"/>
      <c r="ABK6" s="29"/>
      <c r="ABL6" s="29"/>
      <c r="ABM6" s="29"/>
      <c r="ABN6" s="29"/>
      <c r="ABO6" s="29"/>
      <c r="ABP6" s="29"/>
      <c r="ABQ6" s="29"/>
      <c r="ABR6" s="29"/>
      <c r="ABS6" s="29"/>
      <c r="ABT6" s="29"/>
      <c r="ABU6" s="29"/>
      <c r="ABV6" s="29"/>
      <c r="ABW6" s="29"/>
      <c r="ABX6" s="29"/>
      <c r="ABY6" s="29"/>
      <c r="ABZ6" s="29"/>
      <c r="ACA6" s="29"/>
      <c r="ACB6" s="29"/>
      <c r="ACC6" s="29"/>
      <c r="ACD6" s="29"/>
      <c r="ACE6" s="29"/>
      <c r="ACF6" s="29"/>
      <c r="ACG6" s="29"/>
      <c r="ACH6" s="29"/>
      <c r="ACI6" s="29"/>
      <c r="ACJ6" s="29"/>
      <c r="ACK6" s="29"/>
      <c r="ACL6" s="29"/>
      <c r="ACM6" s="29"/>
      <c r="ACN6" s="29"/>
      <c r="ACO6" s="29"/>
      <c r="ACP6" s="29"/>
      <c r="ACQ6" s="29"/>
      <c r="ACR6" s="29"/>
      <c r="ACS6" s="29"/>
      <c r="ACT6" s="29"/>
      <c r="ACU6" s="29"/>
      <c r="ACV6" s="29"/>
      <c r="ACW6" s="29"/>
      <c r="ACX6" s="29"/>
      <c r="ACY6" s="29"/>
      <c r="ACZ6" s="29"/>
      <c r="ADA6" s="29"/>
      <c r="ADB6" s="29"/>
      <c r="ADC6" s="29"/>
      <c r="ADD6" s="29"/>
      <c r="ADE6" s="29"/>
      <c r="ADF6" s="29"/>
      <c r="ADG6" s="29"/>
      <c r="ADH6" s="29"/>
      <c r="ADI6" s="29"/>
      <c r="ADJ6" s="29"/>
      <c r="ADK6" s="29"/>
      <c r="ADL6" s="29"/>
      <c r="ADM6" s="29"/>
      <c r="ADN6" s="29"/>
      <c r="ADO6" s="29"/>
      <c r="ADP6" s="29"/>
      <c r="ADQ6" s="29"/>
      <c r="ADR6" s="29"/>
      <c r="ADS6" s="29"/>
      <c r="ADT6" s="29"/>
      <c r="ADU6" s="29"/>
      <c r="ADV6" s="29"/>
      <c r="ADW6" s="29"/>
      <c r="ADX6" s="29"/>
      <c r="ADY6" s="29"/>
      <c r="ADZ6" s="29"/>
      <c r="AEA6" s="29"/>
      <c r="AEB6" s="29"/>
      <c r="AEC6" s="29"/>
      <c r="AED6" s="29"/>
      <c r="AEE6" s="29"/>
      <c r="AEF6" s="29"/>
      <c r="AEG6" s="29"/>
      <c r="AEH6" s="29"/>
      <c r="AEI6" s="29"/>
      <c r="AEJ6" s="29"/>
      <c r="AEK6" s="29"/>
      <c r="AEL6" s="29"/>
      <c r="AEM6" s="29"/>
      <c r="AEN6" s="29"/>
      <c r="AEO6" s="29"/>
      <c r="AEP6" s="29"/>
      <c r="AEQ6" s="29"/>
      <c r="AER6" s="29"/>
      <c r="AES6" s="29"/>
      <c r="AET6" s="29"/>
      <c r="AEU6" s="29"/>
      <c r="AEV6" s="29"/>
      <c r="AEW6" s="29"/>
      <c r="AEX6" s="29"/>
      <c r="AEY6" s="29"/>
      <c r="AEZ6" s="29"/>
      <c r="AFA6" s="29"/>
      <c r="AFB6" s="29"/>
      <c r="AFC6" s="29"/>
      <c r="AFD6" s="29"/>
      <c r="AFE6" s="29"/>
      <c r="AFF6" s="29"/>
      <c r="AFG6" s="29"/>
      <c r="AFH6" s="29"/>
      <c r="AFI6" s="29"/>
      <c r="AFJ6" s="29"/>
      <c r="AFK6" s="29"/>
      <c r="AFL6" s="29"/>
      <c r="AFM6" s="29"/>
      <c r="AFN6" s="29"/>
      <c r="AFO6" s="29"/>
      <c r="AFP6" s="29"/>
      <c r="AFQ6" s="29"/>
      <c r="AFR6" s="29"/>
      <c r="AFS6" s="29"/>
      <c r="AFT6" s="29"/>
      <c r="AFU6" s="29"/>
      <c r="AFV6" s="29"/>
      <c r="AFW6" s="29"/>
      <c r="AFX6" s="29"/>
      <c r="AFY6" s="29"/>
      <c r="AFZ6" s="29"/>
      <c r="AGA6" s="29"/>
      <c r="AGB6" s="29"/>
      <c r="AGC6" s="29"/>
      <c r="AGD6" s="29"/>
      <c r="AGE6" s="29"/>
      <c r="AGF6" s="29"/>
      <c r="AGG6" s="29"/>
      <c r="AGH6" s="29"/>
      <c r="AGI6" s="29"/>
      <c r="AGJ6" s="29"/>
      <c r="AGK6" s="29"/>
      <c r="AGL6" s="29"/>
      <c r="AGM6" s="29"/>
      <c r="AGN6" s="29"/>
      <c r="AGO6" s="29"/>
      <c r="AGP6" s="29"/>
      <c r="AGQ6" s="29"/>
      <c r="AGR6" s="29"/>
      <c r="AGS6" s="29"/>
      <c r="AGT6" s="29"/>
      <c r="AGU6" s="29"/>
      <c r="AGV6" s="29"/>
      <c r="AGW6" s="29"/>
      <c r="AGX6" s="29"/>
      <c r="AGY6" s="29"/>
      <c r="AGZ6" s="29"/>
      <c r="AHA6" s="29"/>
      <c r="AHB6" s="29"/>
      <c r="AHC6" s="29"/>
      <c r="AHD6" s="29"/>
      <c r="AHE6" s="29"/>
      <c r="AHF6" s="29"/>
      <c r="AHG6" s="29"/>
      <c r="AHH6" s="29"/>
      <c r="AHI6" s="29"/>
      <c r="AHJ6" s="29"/>
      <c r="AHK6" s="29"/>
      <c r="AHL6" s="29"/>
      <c r="AHM6" s="29"/>
      <c r="AHN6" s="29"/>
      <c r="AHO6" s="29"/>
      <c r="AHP6" s="29"/>
      <c r="AHQ6" s="29"/>
      <c r="AHR6" s="29"/>
      <c r="AHS6" s="29"/>
      <c r="AHT6" s="29"/>
      <c r="AHU6" s="29"/>
      <c r="AHV6" s="29"/>
      <c r="AHW6" s="29"/>
      <c r="AHX6" s="29"/>
      <c r="AHY6" s="29"/>
      <c r="AHZ6" s="29"/>
      <c r="AIA6" s="29"/>
      <c r="AIB6" s="29"/>
      <c r="AIC6" s="29"/>
      <c r="AID6" s="29"/>
      <c r="AIE6" s="29"/>
      <c r="AIF6" s="29"/>
      <c r="AIG6" s="29"/>
      <c r="AIH6" s="29"/>
      <c r="AII6" s="29"/>
      <c r="AIJ6" s="29"/>
      <c r="AIK6" s="29"/>
      <c r="AIL6" s="29"/>
      <c r="AIM6" s="29"/>
      <c r="AIN6" s="29"/>
      <c r="AIO6" s="29"/>
      <c r="AIP6" s="29"/>
      <c r="AIQ6" s="29"/>
      <c r="AIR6" s="29"/>
      <c r="AIS6" s="29"/>
      <c r="AIT6" s="29"/>
      <c r="AIU6" s="29"/>
      <c r="AIV6" s="29"/>
      <c r="AIW6" s="29"/>
      <c r="AIX6" s="29"/>
      <c r="AIY6" s="29"/>
      <c r="AIZ6" s="29"/>
      <c r="AJA6" s="29"/>
      <c r="AJB6" s="29"/>
      <c r="AJC6" s="29"/>
      <c r="AJD6" s="29"/>
      <c r="AJE6" s="29"/>
      <c r="AJF6" s="29"/>
      <c r="AJG6" s="29"/>
      <c r="AJH6" s="29"/>
      <c r="AJI6" s="29"/>
      <c r="AJJ6" s="29"/>
      <c r="AJK6" s="29"/>
      <c r="AJL6" s="29"/>
      <c r="AJM6" s="29"/>
      <c r="AJN6" s="29"/>
      <c r="AJO6" s="29"/>
      <c r="AJP6" s="29"/>
      <c r="AJQ6" s="29"/>
      <c r="AJR6" s="29"/>
      <c r="AJS6" s="29"/>
      <c r="AJT6" s="29"/>
      <c r="AJU6" s="29"/>
      <c r="AJV6" s="29"/>
      <c r="AJW6" s="29"/>
      <c r="AJX6" s="29"/>
      <c r="AJY6" s="29"/>
      <c r="AJZ6" s="29"/>
      <c r="AKA6" s="29"/>
      <c r="AKB6" s="29"/>
      <c r="AKC6" s="29"/>
      <c r="AKD6" s="29"/>
      <c r="AKE6" s="29"/>
      <c r="AKF6" s="29"/>
      <c r="AKG6" s="29"/>
      <c r="AKH6" s="29"/>
      <c r="AKI6" s="29"/>
      <c r="AKJ6" s="29"/>
      <c r="AKK6" s="29"/>
      <c r="AKL6" s="29"/>
      <c r="AKM6" s="29"/>
      <c r="AKN6" s="29"/>
      <c r="AKO6" s="29"/>
      <c r="AKP6" s="29"/>
      <c r="AKQ6" s="29"/>
      <c r="AKR6" s="29"/>
      <c r="AKS6" s="29"/>
      <c r="AKT6" s="29"/>
      <c r="AKU6" s="29"/>
      <c r="AKV6" s="29"/>
      <c r="AKW6" s="29"/>
      <c r="AKX6" s="29"/>
      <c r="AKY6" s="29"/>
      <c r="AKZ6" s="29"/>
      <c r="ALA6" s="29"/>
      <c r="ALB6" s="29"/>
      <c r="ALC6" s="29"/>
      <c r="ALD6" s="29"/>
      <c r="ALE6" s="29"/>
      <c r="ALF6" s="29"/>
      <c r="ALG6" s="29"/>
      <c r="ALH6" s="29"/>
      <c r="ALI6" s="29"/>
      <c r="ALJ6" s="29"/>
      <c r="ALK6" s="29"/>
      <c r="ALL6" s="29"/>
      <c r="ALM6" s="29"/>
      <c r="ALN6" s="29"/>
      <c r="ALO6" s="29"/>
      <c r="ALP6" s="29"/>
      <c r="ALQ6" s="29"/>
      <c r="ALR6" s="29"/>
      <c r="ALS6" s="29"/>
      <c r="ALT6" s="29"/>
      <c r="ALU6" s="29"/>
      <c r="ALV6" s="29"/>
      <c r="ALW6" s="29"/>
      <c r="ALX6" s="29"/>
      <c r="ALY6" s="29"/>
      <c r="ALZ6" s="29"/>
      <c r="AMA6" s="29"/>
      <c r="AMB6" s="29"/>
      <c r="AMC6" s="29"/>
      <c r="AMD6" s="29"/>
      <c r="AME6" s="29"/>
      <c r="AMF6" s="29"/>
      <c r="AMG6" s="29"/>
      <c r="AMH6" s="29"/>
      <c r="AMI6" s="29"/>
      <c r="AMJ6" s="29"/>
      <c r="AMK6" s="29"/>
      <c r="AML6" s="29"/>
      <c r="AMM6" s="29"/>
      <c r="AMN6" s="29"/>
      <c r="AMO6" s="29"/>
      <c r="AMP6" s="29"/>
      <c r="AMQ6" s="29"/>
      <c r="AMR6" s="29"/>
      <c r="AMS6" s="29"/>
      <c r="AMT6" s="29"/>
      <c r="AMU6" s="29"/>
      <c r="AMV6" s="29"/>
      <c r="AMW6" s="29"/>
      <c r="AMX6" s="29"/>
      <c r="AMY6" s="29"/>
      <c r="AMZ6" s="29"/>
      <c r="ANA6" s="29"/>
      <c r="ANB6" s="29"/>
      <c r="ANC6" s="29"/>
      <c r="AND6" s="29"/>
      <c r="ANE6" s="29"/>
      <c r="ANF6" s="29"/>
      <c r="ANG6" s="29"/>
      <c r="ANH6" s="29"/>
      <c r="ANI6" s="29"/>
      <c r="ANJ6" s="29"/>
      <c r="ANK6" s="29"/>
      <c r="ANL6" s="29"/>
      <c r="ANM6" s="29"/>
      <c r="ANN6" s="29"/>
      <c r="ANO6" s="29"/>
      <c r="ANP6" s="29"/>
      <c r="ANQ6" s="29"/>
      <c r="ANR6" s="29"/>
      <c r="ANS6" s="29"/>
      <c r="ANT6" s="29"/>
      <c r="ANU6" s="29"/>
      <c r="ANV6" s="29"/>
      <c r="ANW6" s="29"/>
      <c r="ANX6" s="29"/>
      <c r="ANY6" s="29"/>
      <c r="ANZ6" s="29"/>
      <c r="AOA6" s="29"/>
      <c r="AOB6" s="29"/>
      <c r="AOC6" s="29"/>
      <c r="AOD6" s="29"/>
      <c r="AOE6" s="29"/>
      <c r="AOF6" s="29"/>
      <c r="AOG6" s="29"/>
      <c r="AOH6" s="29"/>
      <c r="AOI6" s="29"/>
      <c r="AOJ6" s="29"/>
      <c r="AOK6" s="29"/>
      <c r="AOL6" s="29"/>
      <c r="AOM6" s="29"/>
      <c r="AON6" s="29"/>
      <c r="AOO6" s="29"/>
      <c r="AOP6" s="29"/>
      <c r="AOQ6" s="29"/>
      <c r="AOR6" s="29"/>
      <c r="AOS6" s="29"/>
      <c r="AOT6" s="29"/>
      <c r="AOU6" s="29"/>
      <c r="AOV6" s="29"/>
      <c r="AOW6" s="29"/>
      <c r="AOX6" s="29"/>
      <c r="AOY6" s="29"/>
      <c r="AOZ6" s="29"/>
      <c r="APA6" s="29"/>
      <c r="APB6" s="29"/>
      <c r="APC6" s="29"/>
      <c r="APD6" s="29"/>
      <c r="APE6" s="29"/>
      <c r="APF6" s="29"/>
      <c r="APG6" s="29"/>
      <c r="APH6" s="29"/>
      <c r="API6" s="29"/>
      <c r="APJ6" s="29"/>
      <c r="APK6" s="29"/>
      <c r="APL6" s="29"/>
      <c r="APM6" s="29"/>
      <c r="APN6" s="29"/>
      <c r="APO6" s="29"/>
      <c r="APP6" s="29"/>
      <c r="APQ6" s="29"/>
      <c r="APR6" s="29"/>
      <c r="APS6" s="29"/>
      <c r="APT6" s="29"/>
      <c r="APU6" s="29"/>
      <c r="APV6" s="29"/>
      <c r="APW6" s="29"/>
      <c r="APX6" s="29"/>
      <c r="APY6" s="29"/>
      <c r="APZ6" s="29"/>
      <c r="AQA6" s="29"/>
      <c r="AQB6" s="29"/>
      <c r="AQC6" s="29"/>
      <c r="AQD6" s="29"/>
      <c r="AQE6" s="29"/>
      <c r="AQF6" s="29"/>
      <c r="AQG6" s="29"/>
      <c r="AQH6" s="29"/>
      <c r="AQI6" s="29"/>
      <c r="AQJ6" s="29"/>
      <c r="AQK6" s="29"/>
      <c r="AQL6" s="29"/>
      <c r="AQM6" s="29"/>
      <c r="AQN6" s="29"/>
      <c r="AQO6" s="29"/>
      <c r="AQP6" s="29"/>
      <c r="AQQ6" s="29"/>
      <c r="AQR6" s="29"/>
      <c r="AQS6" s="29"/>
      <c r="AQT6" s="29"/>
      <c r="AQU6" s="29"/>
      <c r="AQV6" s="29"/>
      <c r="AQW6" s="29"/>
      <c r="AQX6" s="29"/>
      <c r="AQY6" s="29"/>
      <c r="AQZ6" s="29"/>
      <c r="ARA6" s="29"/>
      <c r="ARB6" s="29"/>
      <c r="ARC6" s="29"/>
      <c r="ARD6" s="29"/>
      <c r="ARE6" s="29"/>
      <c r="ARF6" s="29"/>
      <c r="ARG6" s="29"/>
      <c r="ARH6" s="29"/>
      <c r="ARI6" s="29"/>
      <c r="ARJ6" s="29"/>
      <c r="ARK6" s="29"/>
      <c r="ARL6" s="29"/>
      <c r="ARM6" s="29"/>
      <c r="ARN6" s="29"/>
      <c r="ARO6" s="29"/>
      <c r="ARP6" s="29"/>
      <c r="ARQ6" s="29"/>
      <c r="ARR6" s="29"/>
      <c r="ARS6" s="29"/>
      <c r="ART6" s="29"/>
      <c r="ARU6" s="29"/>
      <c r="ARV6" s="29"/>
      <c r="ARW6" s="29"/>
      <c r="ARX6" s="29"/>
      <c r="ARY6" s="29"/>
      <c r="ARZ6" s="29"/>
      <c r="ASA6" s="29"/>
      <c r="ASB6" s="29"/>
      <c r="ASC6" s="29"/>
      <c r="ASD6" s="29"/>
      <c r="ASE6" s="29"/>
      <c r="ASF6" s="29"/>
      <c r="ASG6" s="29"/>
      <c r="ASH6" s="29"/>
      <c r="ASI6" s="29"/>
      <c r="ASJ6" s="29"/>
      <c r="ASK6" s="29"/>
      <c r="ASL6" s="29"/>
      <c r="ASM6" s="29"/>
      <c r="ASN6" s="29"/>
      <c r="ASO6" s="29"/>
      <c r="ASP6" s="29"/>
      <c r="ASQ6" s="29"/>
      <c r="ASR6" s="29"/>
      <c r="ASS6" s="29"/>
      <c r="AST6" s="29"/>
      <c r="ASU6" s="29"/>
      <c r="ASV6" s="29"/>
      <c r="ASW6" s="29"/>
      <c r="ASX6" s="29"/>
      <c r="ASY6" s="29"/>
      <c r="ASZ6" s="29"/>
      <c r="ATA6" s="29"/>
      <c r="ATB6" s="29"/>
      <c r="ATC6" s="29"/>
      <c r="ATD6" s="29"/>
      <c r="ATE6" s="29"/>
      <c r="ATF6" s="29"/>
      <c r="ATG6" s="29"/>
      <c r="ATH6" s="29"/>
      <c r="ATI6" s="29"/>
      <c r="ATJ6" s="29"/>
      <c r="ATK6" s="29"/>
      <c r="ATL6" s="29"/>
      <c r="ATM6" s="29"/>
      <c r="ATN6" s="29"/>
      <c r="ATO6" s="29"/>
      <c r="ATP6" s="29"/>
      <c r="ATQ6" s="29"/>
      <c r="ATR6" s="29"/>
      <c r="ATS6" s="29"/>
      <c r="ATT6" s="29"/>
      <c r="ATU6" s="29"/>
      <c r="ATV6" s="29"/>
      <c r="ATW6" s="29"/>
      <c r="ATX6" s="29"/>
      <c r="ATY6" s="29"/>
      <c r="ATZ6" s="29"/>
      <c r="AUA6" s="29"/>
      <c r="AUB6" s="29"/>
      <c r="AUC6" s="29"/>
      <c r="AUD6" s="29"/>
      <c r="AUE6" s="29"/>
      <c r="AUF6" s="29"/>
      <c r="AUG6" s="29"/>
      <c r="AUH6" s="29"/>
      <c r="AUI6" s="29"/>
      <c r="AUJ6" s="29"/>
      <c r="AUK6" s="29"/>
      <c r="AUL6" s="29"/>
      <c r="AUM6" s="29"/>
      <c r="AUN6" s="29"/>
      <c r="AUO6" s="29"/>
      <c r="AUP6" s="29"/>
      <c r="AUQ6" s="29"/>
      <c r="AUR6" s="29"/>
      <c r="AUS6" s="29"/>
      <c r="AUT6" s="29"/>
      <c r="AUU6" s="29"/>
      <c r="AUV6" s="29"/>
      <c r="AUW6" s="29"/>
      <c r="AUX6" s="29"/>
      <c r="AUY6" s="29"/>
      <c r="AUZ6" s="29"/>
      <c r="AVA6" s="29"/>
      <c r="AVB6" s="29"/>
      <c r="AVC6" s="29"/>
      <c r="AVD6" s="29"/>
      <c r="AVE6" s="29"/>
      <c r="AVF6" s="29"/>
      <c r="AVG6" s="29"/>
      <c r="AVH6" s="29"/>
      <c r="AVI6" s="29"/>
      <c r="AVJ6" s="29"/>
      <c r="AVK6" s="29"/>
      <c r="AVL6" s="29"/>
      <c r="AVM6" s="29"/>
      <c r="AVN6" s="29"/>
      <c r="AVO6" s="29"/>
      <c r="AVP6" s="29"/>
      <c r="AVQ6" s="29"/>
      <c r="AVR6" s="29"/>
      <c r="AVS6" s="29"/>
      <c r="AVT6" s="29"/>
      <c r="AVU6" s="29"/>
      <c r="AVV6" s="29"/>
      <c r="AVW6" s="29"/>
      <c r="AVX6" s="29"/>
      <c r="AVY6" s="29"/>
      <c r="AVZ6" s="29"/>
      <c r="AWA6" s="29"/>
      <c r="AWB6" s="29"/>
      <c r="AWC6" s="29"/>
      <c r="AWD6" s="29"/>
      <c r="AWE6" s="29"/>
      <c r="AWF6" s="29"/>
      <c r="AWG6" s="29"/>
      <c r="AWH6" s="29"/>
      <c r="AWI6" s="29"/>
      <c r="AWJ6" s="29"/>
      <c r="AWK6" s="29"/>
      <c r="AWL6" s="29"/>
      <c r="AWM6" s="29"/>
      <c r="AWN6" s="29"/>
      <c r="AWO6" s="29"/>
      <c r="AWP6" s="29"/>
      <c r="AWQ6" s="29"/>
      <c r="AWR6" s="29"/>
      <c r="AWS6" s="29"/>
      <c r="AWT6" s="29"/>
      <c r="AWU6" s="29"/>
      <c r="AWV6" s="29"/>
      <c r="AWW6" s="29"/>
      <c r="AWX6" s="29"/>
      <c r="AWY6" s="29"/>
      <c r="AWZ6" s="29"/>
      <c r="AXA6" s="29"/>
      <c r="AXB6" s="29"/>
      <c r="AXC6" s="29"/>
      <c r="AXD6" s="29"/>
      <c r="AXE6" s="29"/>
      <c r="AXF6" s="29"/>
      <c r="AXG6" s="29"/>
      <c r="AXH6" s="29"/>
      <c r="AXI6" s="29"/>
      <c r="AXJ6" s="29"/>
      <c r="AXK6" s="29"/>
      <c r="AXL6" s="29"/>
      <c r="AXM6" s="29"/>
      <c r="AXN6" s="29"/>
      <c r="AXO6" s="29"/>
      <c r="AXP6" s="29"/>
      <c r="AXQ6" s="29"/>
      <c r="AXR6" s="29"/>
      <c r="AXS6" s="29"/>
      <c r="AXT6" s="29"/>
      <c r="AXU6" s="29"/>
      <c r="AXV6" s="29"/>
      <c r="AXW6" s="29"/>
      <c r="AXX6" s="29"/>
      <c r="AXY6" s="29"/>
      <c r="AXZ6" s="29"/>
      <c r="AYA6" s="29"/>
      <c r="AYB6" s="29"/>
      <c r="AYC6" s="29"/>
      <c r="AYD6" s="29"/>
      <c r="AYE6" s="29"/>
      <c r="AYF6" s="29"/>
      <c r="AYG6" s="29"/>
      <c r="AYH6" s="29"/>
      <c r="AYI6" s="29"/>
      <c r="AYJ6" s="29"/>
      <c r="AYK6" s="29"/>
      <c r="AYL6" s="29"/>
      <c r="AYM6" s="29"/>
      <c r="AYN6" s="29"/>
      <c r="AYO6" s="29"/>
      <c r="AYP6" s="29"/>
      <c r="AYQ6" s="29"/>
      <c r="AYR6" s="29"/>
      <c r="AYS6" s="29"/>
      <c r="AYT6" s="29"/>
      <c r="AYU6" s="29"/>
      <c r="AYV6" s="29"/>
      <c r="AYW6" s="29"/>
      <c r="AYX6" s="29"/>
      <c r="AYY6" s="29"/>
      <c r="AYZ6" s="29"/>
      <c r="AZA6" s="29"/>
      <c r="AZB6" s="29"/>
      <c r="AZC6" s="29"/>
      <c r="AZD6" s="29"/>
      <c r="AZE6" s="29"/>
      <c r="AZF6" s="29"/>
      <c r="AZG6" s="29"/>
      <c r="AZH6" s="29"/>
      <c r="AZI6" s="29"/>
      <c r="AZJ6" s="29"/>
      <c r="AZK6" s="29"/>
      <c r="AZL6" s="29"/>
      <c r="AZM6" s="29"/>
      <c r="AZN6" s="29"/>
      <c r="AZO6" s="29"/>
      <c r="AZP6" s="29"/>
      <c r="AZQ6" s="29"/>
      <c r="AZR6" s="29"/>
      <c r="AZS6" s="29"/>
      <c r="AZT6" s="29"/>
      <c r="AZU6" s="29"/>
      <c r="AZV6" s="29"/>
      <c r="AZW6" s="29"/>
      <c r="AZX6" s="29"/>
      <c r="AZY6" s="29"/>
      <c r="AZZ6" s="29"/>
      <c r="BAA6" s="29"/>
      <c r="BAB6" s="29"/>
      <c r="BAC6" s="29"/>
      <c r="BAD6" s="29"/>
      <c r="BAE6" s="29"/>
      <c r="BAF6" s="29"/>
      <c r="BAG6" s="29"/>
      <c r="BAH6" s="29"/>
      <c r="BAI6" s="29"/>
      <c r="BAJ6" s="29"/>
      <c r="BAK6" s="29"/>
      <c r="BAL6" s="29"/>
      <c r="BAM6" s="29"/>
      <c r="BAN6" s="29"/>
      <c r="BAO6" s="29"/>
      <c r="BAP6" s="29"/>
      <c r="BAQ6" s="29"/>
      <c r="BAR6" s="29"/>
      <c r="BAS6" s="29"/>
      <c r="BAT6" s="29"/>
      <c r="BAU6" s="29"/>
      <c r="BAV6" s="29"/>
      <c r="BAW6" s="29"/>
      <c r="BAX6" s="29"/>
      <c r="BAY6" s="29"/>
      <c r="BAZ6" s="29"/>
      <c r="BBA6" s="29"/>
      <c r="BBB6" s="29"/>
      <c r="BBC6" s="29"/>
      <c r="BBD6" s="29"/>
      <c r="BBE6" s="29"/>
      <c r="BBF6" s="29"/>
      <c r="BBG6" s="29"/>
      <c r="BBH6" s="29"/>
      <c r="BBI6" s="29"/>
      <c r="BBJ6" s="29"/>
      <c r="BBK6" s="29"/>
      <c r="BBL6" s="29"/>
      <c r="BBM6" s="29"/>
      <c r="BBN6" s="29"/>
      <c r="BBO6" s="29"/>
      <c r="BBP6" s="29"/>
      <c r="BBQ6" s="29"/>
      <c r="BBR6" s="29"/>
      <c r="BBS6" s="29"/>
      <c r="BBT6" s="29"/>
      <c r="BBU6" s="29"/>
      <c r="BBV6" s="29"/>
      <c r="BBW6" s="29"/>
      <c r="BBX6" s="29"/>
      <c r="BBY6" s="29"/>
      <c r="BBZ6" s="29"/>
      <c r="BCA6" s="29"/>
      <c r="BCB6" s="29"/>
      <c r="BCC6" s="29"/>
      <c r="BCD6" s="29"/>
      <c r="BCE6" s="29"/>
      <c r="BCF6" s="29"/>
      <c r="BCG6" s="29"/>
      <c r="BCH6" s="29"/>
      <c r="BCI6" s="29"/>
      <c r="BCJ6" s="29"/>
      <c r="BCK6" s="29"/>
      <c r="BCL6" s="29"/>
      <c r="BCM6" s="29"/>
      <c r="BCN6" s="29"/>
      <c r="BCO6" s="29"/>
      <c r="BCP6" s="29"/>
      <c r="BCQ6" s="29"/>
      <c r="BCR6" s="29"/>
      <c r="BCS6" s="29"/>
      <c r="BCT6" s="29"/>
      <c r="BCU6" s="29"/>
      <c r="BCV6" s="29"/>
      <c r="BCW6" s="29"/>
      <c r="BCX6" s="29"/>
      <c r="BCY6" s="29"/>
      <c r="BCZ6" s="29"/>
      <c r="BDA6" s="29"/>
      <c r="BDB6" s="29"/>
      <c r="BDC6" s="29"/>
      <c r="BDD6" s="29"/>
      <c r="BDE6" s="29"/>
      <c r="BDF6" s="29"/>
      <c r="BDG6" s="29"/>
      <c r="BDH6" s="29"/>
      <c r="BDI6" s="29"/>
      <c r="BDJ6" s="29"/>
      <c r="BDK6" s="29"/>
      <c r="BDL6" s="29"/>
      <c r="BDM6" s="29"/>
      <c r="BDN6" s="29"/>
      <c r="BDO6" s="29"/>
      <c r="BDP6" s="29"/>
      <c r="BDQ6" s="29"/>
      <c r="BDR6" s="29"/>
      <c r="BDS6" s="29"/>
      <c r="BDT6" s="29"/>
      <c r="BDU6" s="29"/>
      <c r="BDV6" s="29"/>
      <c r="BDW6" s="29"/>
      <c r="BDX6" s="29"/>
      <c r="BDY6" s="29"/>
      <c r="BDZ6" s="29"/>
      <c r="BEA6" s="29"/>
      <c r="BEB6" s="29"/>
      <c r="BEC6" s="29"/>
      <c r="BED6" s="29"/>
      <c r="BEE6" s="29"/>
      <c r="BEF6" s="29"/>
      <c r="BEG6" s="29"/>
      <c r="BEH6" s="29"/>
      <c r="BEI6" s="29"/>
      <c r="BEJ6" s="29"/>
      <c r="BEK6" s="29"/>
      <c r="BEL6" s="29"/>
      <c r="BEM6" s="29"/>
      <c r="BEN6" s="29"/>
      <c r="BEO6" s="29"/>
      <c r="BEP6" s="29"/>
      <c r="BEQ6" s="29"/>
      <c r="BER6" s="29"/>
      <c r="BES6" s="29"/>
      <c r="BET6" s="29"/>
      <c r="BEU6" s="29"/>
      <c r="BEV6" s="29"/>
      <c r="BEW6" s="29"/>
      <c r="BEX6" s="29"/>
      <c r="BEY6" s="29"/>
      <c r="BEZ6" s="29"/>
      <c r="BFA6" s="29"/>
      <c r="BFB6" s="29"/>
      <c r="BFC6" s="29"/>
      <c r="BFD6" s="29"/>
      <c r="BFE6" s="29"/>
      <c r="BFF6" s="29"/>
      <c r="BFG6" s="29"/>
      <c r="BFH6" s="29"/>
      <c r="BFI6" s="29"/>
      <c r="BFJ6" s="29"/>
      <c r="BFK6" s="29"/>
      <c r="BFL6" s="29"/>
      <c r="BFM6" s="29"/>
      <c r="BFN6" s="29"/>
      <c r="BFO6" s="29"/>
      <c r="BFP6" s="29"/>
      <c r="BFQ6" s="29"/>
      <c r="BFR6" s="29"/>
      <c r="BFS6" s="29"/>
      <c r="BFT6" s="29"/>
      <c r="BFU6" s="29"/>
      <c r="BFV6" s="29"/>
      <c r="BFW6" s="29"/>
      <c r="BFX6" s="29"/>
      <c r="BFY6" s="29"/>
      <c r="BFZ6" s="29"/>
      <c r="BGA6" s="29"/>
      <c r="BGB6" s="29"/>
      <c r="BGC6" s="29"/>
      <c r="BGD6" s="29"/>
      <c r="BGE6" s="29"/>
      <c r="BGF6" s="29"/>
      <c r="BGG6" s="29"/>
      <c r="BGH6" s="29"/>
      <c r="BGI6" s="29"/>
      <c r="BGJ6" s="29"/>
      <c r="BGK6" s="29"/>
      <c r="BGL6" s="29"/>
      <c r="BGM6" s="29"/>
      <c r="BGN6" s="29"/>
      <c r="BGO6" s="29"/>
      <c r="BGP6" s="29"/>
      <c r="BGQ6" s="29"/>
      <c r="BGR6" s="29"/>
      <c r="BGS6" s="29"/>
      <c r="BGT6" s="29"/>
      <c r="BGU6" s="29"/>
      <c r="BGV6" s="29"/>
      <c r="BGW6" s="29"/>
      <c r="BGX6" s="29"/>
      <c r="BGY6" s="29"/>
      <c r="BGZ6" s="29"/>
      <c r="BHA6" s="29"/>
      <c r="BHB6" s="29"/>
      <c r="BHC6" s="29"/>
      <c r="BHD6" s="29"/>
      <c r="BHE6" s="29"/>
      <c r="BHF6" s="29"/>
      <c r="BHG6" s="29"/>
      <c r="BHH6" s="29"/>
      <c r="BHI6" s="29"/>
      <c r="BHJ6" s="29"/>
      <c r="BHK6" s="29"/>
      <c r="BHL6" s="29"/>
      <c r="BHM6" s="29"/>
      <c r="BHN6" s="29"/>
      <c r="BHO6" s="29"/>
      <c r="BHP6" s="29"/>
      <c r="BHQ6" s="29"/>
      <c r="BHR6" s="29"/>
      <c r="BHS6" s="29"/>
      <c r="BHT6" s="29"/>
      <c r="BHU6" s="29"/>
      <c r="BHV6" s="29"/>
      <c r="BHW6" s="29"/>
      <c r="BHX6" s="29"/>
      <c r="BHY6" s="29"/>
      <c r="BHZ6" s="29"/>
      <c r="BIA6" s="29"/>
      <c r="BIB6" s="29"/>
      <c r="BIC6" s="29"/>
      <c r="BID6" s="29"/>
      <c r="BIE6" s="29"/>
      <c r="BIF6" s="29"/>
      <c r="BIG6" s="29"/>
      <c r="BIH6" s="29"/>
      <c r="BII6" s="29"/>
      <c r="BIJ6" s="29"/>
      <c r="BIK6" s="29"/>
      <c r="BIL6" s="29"/>
      <c r="BIM6" s="29"/>
      <c r="BIN6" s="29"/>
      <c r="BIO6" s="29"/>
      <c r="BIP6" s="29"/>
      <c r="BIQ6" s="29"/>
      <c r="BIR6" s="29"/>
      <c r="BIS6" s="29"/>
      <c r="BIT6" s="29"/>
      <c r="BIU6" s="29"/>
      <c r="BIV6" s="29"/>
      <c r="BIW6" s="29"/>
      <c r="BIX6" s="29"/>
      <c r="BIY6" s="29"/>
      <c r="BIZ6" s="29"/>
      <c r="BJA6" s="29"/>
      <c r="BJB6" s="29"/>
      <c r="BJC6" s="29"/>
      <c r="BJD6" s="29"/>
      <c r="BJE6" s="29"/>
      <c r="BJF6" s="29"/>
      <c r="BJG6" s="29"/>
      <c r="BJH6" s="29"/>
      <c r="BJI6" s="29"/>
      <c r="BJJ6" s="29"/>
      <c r="BJK6" s="29"/>
      <c r="BJL6" s="29"/>
      <c r="BJM6" s="29"/>
      <c r="BJN6" s="29"/>
      <c r="BJO6" s="29"/>
      <c r="BJP6" s="29"/>
      <c r="BJQ6" s="29"/>
      <c r="BJR6" s="29"/>
      <c r="BJS6" s="29"/>
      <c r="BJT6" s="29"/>
      <c r="BJU6" s="29"/>
      <c r="BJV6" s="29"/>
      <c r="BJW6" s="29"/>
      <c r="BJX6" s="29"/>
      <c r="BJY6" s="29"/>
      <c r="BJZ6" s="29"/>
      <c r="BKA6" s="29"/>
      <c r="BKB6" s="29"/>
      <c r="BKC6" s="29"/>
      <c r="BKD6" s="29"/>
      <c r="BKE6" s="29"/>
      <c r="BKF6" s="29"/>
      <c r="BKG6" s="29"/>
      <c r="BKH6" s="29"/>
      <c r="BKI6" s="29"/>
      <c r="BKJ6" s="29"/>
      <c r="BKK6" s="29"/>
      <c r="BKL6" s="29"/>
      <c r="BKM6" s="29"/>
      <c r="BKN6" s="29"/>
      <c r="BKO6" s="29"/>
      <c r="BKP6" s="29"/>
      <c r="BKQ6" s="29"/>
      <c r="BKR6" s="29"/>
      <c r="BKS6" s="29"/>
      <c r="BKT6" s="29"/>
      <c r="BKU6" s="29"/>
      <c r="BKV6" s="29"/>
      <c r="BKW6" s="29"/>
      <c r="BKX6" s="29"/>
      <c r="BKY6" s="29"/>
      <c r="BKZ6" s="29"/>
      <c r="BLA6" s="29"/>
      <c r="BLB6" s="29"/>
      <c r="BLC6" s="29"/>
      <c r="BLD6" s="29"/>
      <c r="BLE6" s="29"/>
      <c r="BLF6" s="29"/>
      <c r="BLG6" s="29"/>
      <c r="BLH6" s="29"/>
      <c r="BLI6" s="29"/>
      <c r="BLJ6" s="29"/>
      <c r="BLK6" s="29"/>
      <c r="BLL6" s="29"/>
      <c r="BLM6" s="29"/>
      <c r="BLN6" s="29"/>
      <c r="BLO6" s="29"/>
      <c r="BLP6" s="29"/>
      <c r="BLQ6" s="29"/>
      <c r="BLR6" s="29"/>
      <c r="BLS6" s="29"/>
      <c r="BLT6" s="29"/>
      <c r="BLU6" s="29"/>
      <c r="BLV6" s="29"/>
      <c r="BLW6" s="29"/>
      <c r="BLX6" s="29"/>
      <c r="BLY6" s="29"/>
      <c r="BLZ6" s="29"/>
      <c r="BMA6" s="29"/>
      <c r="BMB6" s="29"/>
      <c r="BMC6" s="29"/>
      <c r="BMD6" s="29"/>
      <c r="BME6" s="29"/>
      <c r="BMF6" s="29"/>
      <c r="BMG6" s="29"/>
      <c r="BMH6" s="29"/>
      <c r="BMI6" s="29"/>
      <c r="BMJ6" s="29"/>
      <c r="BMK6" s="29"/>
      <c r="BML6" s="29"/>
      <c r="BMM6" s="29"/>
      <c r="BMN6" s="29"/>
      <c r="BMO6" s="29"/>
      <c r="BMP6" s="29"/>
      <c r="BMQ6" s="29"/>
      <c r="BMR6" s="29"/>
      <c r="BMS6" s="29"/>
      <c r="BMT6" s="29"/>
      <c r="BMU6" s="29"/>
      <c r="BMV6" s="29"/>
      <c r="BMW6" s="29"/>
      <c r="BMX6" s="29"/>
      <c r="BMY6" s="29"/>
      <c r="BMZ6" s="29"/>
      <c r="BNA6" s="29"/>
      <c r="BNB6" s="29"/>
      <c r="BNC6" s="29"/>
      <c r="BND6" s="29"/>
      <c r="BNE6" s="29"/>
      <c r="BNF6" s="29"/>
      <c r="BNG6" s="29"/>
      <c r="BNH6" s="29"/>
      <c r="BNI6" s="29"/>
      <c r="BNJ6" s="29"/>
      <c r="BNK6" s="29"/>
      <c r="BNL6" s="29"/>
      <c r="BNM6" s="29"/>
      <c r="BNN6" s="29"/>
      <c r="BNO6" s="29"/>
      <c r="BNP6" s="29"/>
      <c r="BNQ6" s="29"/>
      <c r="BNR6" s="29"/>
      <c r="BNS6" s="29"/>
      <c r="BNT6" s="29"/>
      <c r="BNU6" s="29"/>
      <c r="BNV6" s="29"/>
      <c r="BNW6" s="29"/>
      <c r="BNX6" s="29"/>
      <c r="BNY6" s="29"/>
      <c r="BNZ6" s="29"/>
      <c r="BOA6" s="29"/>
      <c r="BOB6" s="29"/>
      <c r="BOC6" s="29"/>
      <c r="BOD6" s="29"/>
      <c r="BOE6" s="29"/>
      <c r="BOF6" s="29"/>
      <c r="BOG6" s="29"/>
      <c r="BOH6" s="29"/>
      <c r="BOI6" s="29"/>
      <c r="BOJ6" s="29"/>
      <c r="BOK6" s="29"/>
      <c r="BOL6" s="29"/>
      <c r="BOM6" s="29"/>
      <c r="BON6" s="29"/>
      <c r="BOO6" s="29"/>
      <c r="BOP6" s="29"/>
      <c r="BOQ6" s="29"/>
      <c r="BOR6" s="29"/>
      <c r="BOS6" s="29"/>
      <c r="BOT6" s="29"/>
      <c r="BOU6" s="29"/>
      <c r="BOV6" s="29"/>
      <c r="BOW6" s="29"/>
      <c r="BOX6" s="29"/>
      <c r="BOY6" s="29"/>
      <c r="BOZ6" s="29"/>
      <c r="BPA6" s="29"/>
      <c r="BPB6" s="29"/>
      <c r="BPC6" s="29"/>
      <c r="BPD6" s="29"/>
      <c r="BPE6" s="29"/>
      <c r="BPF6" s="29"/>
      <c r="BPG6" s="29"/>
      <c r="BPH6" s="29"/>
      <c r="BPI6" s="29"/>
      <c r="BPJ6" s="29"/>
      <c r="BPK6" s="29"/>
      <c r="BPL6" s="29"/>
      <c r="BPM6" s="29"/>
      <c r="BPN6" s="29"/>
      <c r="BPO6" s="29"/>
      <c r="BPP6" s="29"/>
      <c r="BPQ6" s="29"/>
      <c r="BPR6" s="29"/>
      <c r="BPS6" s="29"/>
      <c r="BPT6" s="29"/>
      <c r="BPU6" s="29"/>
      <c r="BPV6" s="29"/>
      <c r="BPW6" s="29"/>
      <c r="BPX6" s="29"/>
      <c r="BPY6" s="29"/>
      <c r="BPZ6" s="29"/>
      <c r="BQA6" s="29"/>
      <c r="BQB6" s="29"/>
      <c r="BQC6" s="29"/>
      <c r="BQD6" s="29"/>
      <c r="BQE6" s="29"/>
      <c r="BQF6" s="29"/>
      <c r="BQG6" s="29"/>
      <c r="BQH6" s="29"/>
      <c r="BQI6" s="29"/>
      <c r="BQJ6" s="29"/>
      <c r="BQK6" s="29"/>
      <c r="BQL6" s="29"/>
      <c r="BQM6" s="29"/>
      <c r="BQN6" s="29"/>
      <c r="BQO6" s="29"/>
      <c r="BQP6" s="29"/>
      <c r="BQQ6" s="29"/>
      <c r="BQR6" s="29"/>
      <c r="BQS6" s="29"/>
      <c r="BQT6" s="29"/>
      <c r="BQU6" s="29"/>
      <c r="BQV6" s="29"/>
      <c r="BQW6" s="29"/>
      <c r="BQX6" s="29"/>
      <c r="BQY6" s="29"/>
      <c r="BQZ6" s="29"/>
      <c r="BRA6" s="29"/>
      <c r="BRB6" s="29"/>
      <c r="BRC6" s="29"/>
      <c r="BRD6" s="29"/>
      <c r="BRE6" s="29"/>
      <c r="BRF6" s="29"/>
      <c r="BRG6" s="29"/>
      <c r="BRH6" s="29"/>
      <c r="BRI6" s="29"/>
      <c r="BRJ6" s="29"/>
      <c r="BRK6" s="29"/>
      <c r="BRL6" s="29"/>
      <c r="BRM6" s="29"/>
      <c r="BRN6" s="29"/>
      <c r="BRO6" s="29"/>
      <c r="BRP6" s="29"/>
      <c r="BRQ6" s="29"/>
      <c r="BRR6" s="29"/>
      <c r="BRS6" s="29"/>
      <c r="BRT6" s="29"/>
      <c r="BRU6" s="29"/>
      <c r="BRV6" s="29"/>
      <c r="BRW6" s="29"/>
      <c r="BRX6" s="29"/>
      <c r="BRY6" s="29"/>
      <c r="BRZ6" s="29"/>
      <c r="BSA6" s="29"/>
      <c r="BSB6" s="29"/>
      <c r="BSC6" s="29"/>
      <c r="BSD6" s="29"/>
      <c r="BSE6" s="29"/>
      <c r="BSF6" s="29"/>
      <c r="BSG6" s="29"/>
      <c r="BSH6" s="29"/>
      <c r="BSI6" s="29"/>
      <c r="BSJ6" s="29"/>
      <c r="BSK6" s="29"/>
      <c r="BSL6" s="29"/>
      <c r="BSM6" s="29"/>
      <c r="BSN6" s="29"/>
      <c r="BSO6" s="29"/>
      <c r="BSP6" s="29"/>
      <c r="BSQ6" s="29"/>
      <c r="BSR6" s="29"/>
      <c r="BSS6" s="29"/>
      <c r="BST6" s="29"/>
      <c r="BSU6" s="29"/>
      <c r="BSV6" s="29"/>
      <c r="BSW6" s="29"/>
      <c r="BSX6" s="29"/>
      <c r="BSY6" s="29"/>
      <c r="BSZ6" s="29"/>
      <c r="BTA6" s="29"/>
      <c r="BTB6" s="29"/>
      <c r="BTC6" s="29"/>
      <c r="BTD6" s="29"/>
      <c r="BTE6" s="29"/>
      <c r="BTF6" s="29"/>
      <c r="BTG6" s="29"/>
      <c r="BTH6" s="29"/>
      <c r="BTI6" s="29"/>
      <c r="BTJ6" s="29"/>
      <c r="BTK6" s="29"/>
      <c r="BTL6" s="29"/>
      <c r="BTM6" s="29"/>
      <c r="BTN6" s="29"/>
      <c r="BTO6" s="29"/>
      <c r="BTP6" s="29"/>
      <c r="BTQ6" s="29"/>
      <c r="BTR6" s="29"/>
      <c r="BTS6" s="29"/>
      <c r="BTT6" s="29"/>
      <c r="BTU6" s="29"/>
      <c r="BTV6" s="29"/>
      <c r="BTW6" s="29"/>
      <c r="BTX6" s="29"/>
      <c r="BTY6" s="29"/>
      <c r="BTZ6" s="29"/>
      <c r="BUA6" s="29"/>
      <c r="BUB6" s="29"/>
      <c r="BUC6" s="29"/>
      <c r="BUD6" s="29"/>
      <c r="BUE6" s="29"/>
      <c r="BUF6" s="29"/>
      <c r="BUG6" s="29"/>
      <c r="BUH6" s="29"/>
      <c r="BUI6" s="29"/>
      <c r="BUJ6" s="29"/>
      <c r="BUK6" s="29"/>
      <c r="BUL6" s="29"/>
      <c r="BUM6" s="29"/>
      <c r="BUN6" s="29"/>
      <c r="BUO6" s="29"/>
      <c r="BUP6" s="29"/>
      <c r="BUQ6" s="29"/>
      <c r="BUR6" s="29"/>
      <c r="BUS6" s="29"/>
      <c r="BUT6" s="29"/>
      <c r="BUU6" s="29"/>
      <c r="BUV6" s="29"/>
      <c r="BUW6" s="29"/>
      <c r="BUX6" s="29"/>
      <c r="BUY6" s="29"/>
      <c r="BUZ6" s="29"/>
      <c r="BVA6" s="29"/>
      <c r="BVB6" s="29"/>
      <c r="BVC6" s="29"/>
      <c r="BVD6" s="29"/>
      <c r="BVE6" s="29"/>
      <c r="BVF6" s="29"/>
      <c r="BVG6" s="29"/>
      <c r="BVH6" s="29"/>
      <c r="BVI6" s="29"/>
      <c r="BVJ6" s="29"/>
      <c r="BVK6" s="29"/>
      <c r="BVL6" s="29"/>
      <c r="BVM6" s="29"/>
      <c r="BVN6" s="29"/>
      <c r="BVO6" s="29"/>
      <c r="BVP6" s="29"/>
      <c r="BVQ6" s="29"/>
      <c r="BVR6" s="29"/>
      <c r="BVS6" s="29"/>
      <c r="BVT6" s="29"/>
      <c r="BVU6" s="29"/>
      <c r="BVV6" s="29"/>
      <c r="BVW6" s="29"/>
      <c r="BVX6" s="29"/>
      <c r="BVY6" s="29"/>
      <c r="BVZ6" s="29"/>
      <c r="BWA6" s="29"/>
      <c r="BWB6" s="29"/>
      <c r="BWC6" s="29"/>
      <c r="BWD6" s="29"/>
      <c r="BWE6" s="29"/>
      <c r="BWF6" s="29"/>
      <c r="BWG6" s="29"/>
      <c r="BWH6" s="29"/>
      <c r="BWI6" s="29"/>
      <c r="BWJ6" s="29"/>
      <c r="BWK6" s="29"/>
      <c r="BWL6" s="29"/>
      <c r="BWM6" s="29"/>
      <c r="BWN6" s="29"/>
      <c r="BWO6" s="29"/>
      <c r="BWP6" s="29"/>
      <c r="BWQ6" s="29"/>
      <c r="BWR6" s="29"/>
      <c r="BWS6" s="29"/>
      <c r="BWT6" s="29"/>
      <c r="BWU6" s="29"/>
      <c r="BWV6" s="29"/>
      <c r="BWW6" s="29"/>
      <c r="BWX6" s="29"/>
      <c r="BWY6" s="29"/>
      <c r="BWZ6" s="29"/>
      <c r="BXA6" s="29"/>
      <c r="BXB6" s="29"/>
      <c r="BXC6" s="29"/>
      <c r="BXD6" s="29"/>
      <c r="BXE6" s="29"/>
      <c r="BXF6" s="29"/>
      <c r="BXG6" s="29"/>
      <c r="BXH6" s="29"/>
      <c r="BXI6" s="29"/>
      <c r="BXJ6" s="29"/>
      <c r="BXK6" s="29"/>
      <c r="BXL6" s="29"/>
      <c r="BXM6" s="29"/>
      <c r="BXN6" s="29"/>
      <c r="BXO6" s="29"/>
      <c r="BXP6" s="29"/>
      <c r="BXQ6" s="29"/>
      <c r="BXR6" s="29"/>
      <c r="BXS6" s="29"/>
      <c r="BXT6" s="29"/>
      <c r="BXU6" s="29"/>
      <c r="BXV6" s="29"/>
      <c r="BXW6" s="29"/>
      <c r="BXX6" s="29"/>
      <c r="BXY6" s="29"/>
      <c r="BXZ6" s="29"/>
      <c r="BYA6" s="29"/>
      <c r="BYB6" s="29"/>
      <c r="BYC6" s="29"/>
      <c r="BYD6" s="29"/>
      <c r="BYE6" s="29"/>
      <c r="BYF6" s="29"/>
      <c r="BYG6" s="29"/>
      <c r="BYH6" s="29"/>
      <c r="BYI6" s="29"/>
      <c r="BYJ6" s="29"/>
      <c r="BYK6" s="29"/>
      <c r="BYL6" s="29"/>
      <c r="BYM6" s="29"/>
      <c r="BYN6" s="29"/>
      <c r="BYO6" s="29"/>
      <c r="BYP6" s="29"/>
      <c r="BYQ6" s="29"/>
      <c r="BYR6" s="29"/>
      <c r="BYS6" s="29"/>
      <c r="BYT6" s="29"/>
      <c r="BYU6" s="29"/>
      <c r="BYV6" s="29"/>
      <c r="BYW6" s="29"/>
      <c r="BYX6" s="29"/>
      <c r="BYY6" s="29"/>
      <c r="BYZ6" s="29"/>
      <c r="BZA6" s="29"/>
      <c r="BZB6" s="29"/>
      <c r="BZC6" s="29"/>
      <c r="BZD6" s="29"/>
      <c r="BZE6" s="29"/>
      <c r="BZF6" s="29"/>
      <c r="BZG6" s="29"/>
      <c r="BZH6" s="29"/>
      <c r="BZI6" s="29"/>
      <c r="BZJ6" s="29"/>
      <c r="BZK6" s="29"/>
      <c r="BZL6" s="29"/>
      <c r="BZM6" s="29"/>
      <c r="BZN6" s="29"/>
      <c r="BZO6" s="29"/>
      <c r="BZP6" s="29"/>
      <c r="BZQ6" s="29"/>
      <c r="BZR6" s="29"/>
      <c r="BZS6" s="29"/>
      <c r="BZT6" s="29"/>
      <c r="BZU6" s="29"/>
      <c r="BZV6" s="29"/>
      <c r="BZW6" s="29"/>
      <c r="BZX6" s="29"/>
      <c r="BZY6" s="29"/>
      <c r="BZZ6" s="29"/>
      <c r="CAA6" s="29"/>
      <c r="CAB6" s="29"/>
      <c r="CAC6" s="29"/>
      <c r="CAD6" s="29"/>
      <c r="CAE6" s="29"/>
      <c r="CAF6" s="29"/>
      <c r="CAG6" s="29"/>
      <c r="CAH6" s="29"/>
      <c r="CAI6" s="29"/>
      <c r="CAJ6" s="29"/>
      <c r="CAK6" s="29"/>
      <c r="CAL6" s="29"/>
      <c r="CAM6" s="29"/>
      <c r="CAN6" s="29"/>
      <c r="CAO6" s="29"/>
      <c r="CAP6" s="29"/>
      <c r="CAQ6" s="29"/>
      <c r="CAR6" s="29"/>
      <c r="CAS6" s="29"/>
      <c r="CAT6" s="29"/>
      <c r="CAU6" s="29"/>
      <c r="CAV6" s="29"/>
      <c r="CAW6" s="29"/>
      <c r="CAX6" s="29"/>
      <c r="CAY6" s="29"/>
      <c r="CAZ6" s="29"/>
      <c r="CBA6" s="29"/>
      <c r="CBB6" s="29"/>
      <c r="CBC6" s="29"/>
      <c r="CBD6" s="29"/>
      <c r="CBE6" s="29"/>
      <c r="CBF6" s="29"/>
      <c r="CBG6" s="29"/>
      <c r="CBH6" s="29"/>
      <c r="CBI6" s="29"/>
      <c r="CBJ6" s="29"/>
      <c r="CBK6" s="29"/>
      <c r="CBL6" s="29"/>
      <c r="CBM6" s="29"/>
      <c r="CBN6" s="29"/>
      <c r="CBO6" s="29"/>
      <c r="CBP6" s="29"/>
      <c r="CBQ6" s="29"/>
      <c r="CBR6" s="29"/>
      <c r="CBS6" s="29"/>
      <c r="CBT6" s="29"/>
      <c r="CBU6" s="29"/>
      <c r="CBV6" s="29"/>
      <c r="CBW6" s="29"/>
      <c r="CBX6" s="29"/>
      <c r="CBY6" s="29"/>
      <c r="CBZ6" s="29"/>
      <c r="CCA6" s="29"/>
      <c r="CCB6" s="29"/>
      <c r="CCC6" s="29"/>
      <c r="CCD6" s="29"/>
      <c r="CCE6" s="29"/>
      <c r="CCF6" s="29"/>
      <c r="CCG6" s="29"/>
      <c r="CCH6" s="29"/>
      <c r="CCI6" s="29"/>
      <c r="CCJ6" s="29"/>
      <c r="CCK6" s="29"/>
      <c r="CCL6" s="29"/>
      <c r="CCM6" s="29"/>
      <c r="CCN6" s="29"/>
      <c r="CCO6" s="29"/>
      <c r="CCP6" s="29"/>
      <c r="CCQ6" s="29"/>
      <c r="CCR6" s="29"/>
      <c r="CCS6" s="29"/>
      <c r="CCT6" s="29"/>
      <c r="CCU6" s="29"/>
      <c r="CCV6" s="29"/>
      <c r="CCW6" s="29"/>
      <c r="CCX6" s="29"/>
      <c r="CCY6" s="29"/>
      <c r="CCZ6" s="29"/>
      <c r="CDA6" s="29"/>
      <c r="CDB6" s="29"/>
      <c r="CDC6" s="29"/>
      <c r="CDD6" s="29"/>
      <c r="CDE6" s="29"/>
      <c r="CDF6" s="29"/>
      <c r="CDG6" s="29"/>
      <c r="CDH6" s="29"/>
      <c r="CDI6" s="29"/>
      <c r="CDJ6" s="29"/>
      <c r="CDK6" s="29"/>
      <c r="CDL6" s="29"/>
      <c r="CDM6" s="29"/>
      <c r="CDN6" s="29"/>
      <c r="CDO6" s="29"/>
      <c r="CDP6" s="29"/>
      <c r="CDQ6" s="29"/>
      <c r="CDR6" s="29"/>
      <c r="CDS6" s="29"/>
      <c r="CDT6" s="29"/>
      <c r="CDU6" s="29"/>
      <c r="CDV6" s="29"/>
      <c r="CDW6" s="29"/>
      <c r="CDX6" s="29"/>
      <c r="CDY6" s="29"/>
      <c r="CDZ6" s="29"/>
      <c r="CEA6" s="29"/>
      <c r="CEB6" s="29"/>
      <c r="CEC6" s="29"/>
      <c r="CED6" s="29"/>
      <c r="CEE6" s="29"/>
      <c r="CEF6" s="29"/>
      <c r="CEG6" s="29"/>
      <c r="CEH6" s="29"/>
      <c r="CEI6" s="29"/>
      <c r="CEJ6" s="29"/>
      <c r="CEK6" s="29"/>
      <c r="CEL6" s="29"/>
      <c r="CEM6" s="29"/>
      <c r="CEN6" s="29"/>
      <c r="CEO6" s="29"/>
      <c r="CEP6" s="29"/>
      <c r="CEQ6" s="29"/>
      <c r="CER6" s="29"/>
      <c r="CES6" s="29"/>
      <c r="CET6" s="29"/>
      <c r="CEU6" s="29"/>
      <c r="CEV6" s="29"/>
      <c r="CEW6" s="29"/>
      <c r="CEX6" s="29"/>
      <c r="CEY6" s="29"/>
      <c r="CEZ6" s="29"/>
      <c r="CFA6" s="29"/>
      <c r="CFB6" s="29"/>
      <c r="CFC6" s="29"/>
      <c r="CFD6" s="29"/>
      <c r="CFE6" s="29"/>
      <c r="CFF6" s="29"/>
      <c r="CFG6" s="29"/>
      <c r="CFH6" s="29"/>
      <c r="CFI6" s="29"/>
      <c r="CFJ6" s="29"/>
      <c r="CFK6" s="29"/>
      <c r="CFL6" s="29"/>
      <c r="CFM6" s="29"/>
      <c r="CFN6" s="29"/>
      <c r="CFO6" s="29"/>
      <c r="CFP6" s="29"/>
      <c r="CFQ6" s="29"/>
      <c r="CFR6" s="29"/>
      <c r="CFS6" s="29"/>
      <c r="CFT6" s="29"/>
      <c r="CFU6" s="29"/>
      <c r="CFV6" s="29"/>
      <c r="CFW6" s="29"/>
      <c r="CFX6" s="29"/>
      <c r="CFY6" s="29"/>
      <c r="CFZ6" s="29"/>
      <c r="CGA6" s="29"/>
      <c r="CGB6" s="29"/>
      <c r="CGC6" s="29"/>
      <c r="CGD6" s="29"/>
      <c r="CGE6" s="29"/>
      <c r="CGF6" s="29"/>
      <c r="CGG6" s="29"/>
      <c r="CGH6" s="29"/>
      <c r="CGI6" s="29"/>
      <c r="CGJ6" s="29"/>
      <c r="CGK6" s="29"/>
      <c r="CGL6" s="29"/>
      <c r="CGM6" s="29"/>
      <c r="CGN6" s="29"/>
      <c r="CGO6" s="29"/>
      <c r="CGP6" s="29"/>
      <c r="CGQ6" s="29"/>
      <c r="CGR6" s="29"/>
      <c r="CGS6" s="29"/>
      <c r="CGT6" s="29"/>
      <c r="CGU6" s="29"/>
      <c r="CGV6" s="29"/>
      <c r="CGW6" s="29"/>
      <c r="CGX6" s="29"/>
      <c r="CGY6" s="29"/>
      <c r="CGZ6" s="29"/>
      <c r="CHA6" s="29"/>
      <c r="CHB6" s="29"/>
      <c r="CHC6" s="29"/>
      <c r="CHD6" s="29"/>
      <c r="CHE6" s="29"/>
      <c r="CHF6" s="29"/>
      <c r="CHG6" s="29"/>
      <c r="CHH6" s="29"/>
      <c r="CHI6" s="29"/>
      <c r="CHJ6" s="29"/>
      <c r="CHK6" s="29"/>
      <c r="CHL6" s="29"/>
      <c r="CHM6" s="29"/>
      <c r="CHN6" s="29"/>
      <c r="CHO6" s="29"/>
      <c r="CHP6" s="29"/>
      <c r="CHQ6" s="29"/>
      <c r="CHR6" s="29"/>
      <c r="CHS6" s="29"/>
      <c r="CHT6" s="29"/>
      <c r="CHU6" s="29"/>
      <c r="CHV6" s="29"/>
      <c r="CHW6" s="29"/>
      <c r="CHX6" s="29"/>
      <c r="CHY6" s="29"/>
      <c r="CHZ6" s="29"/>
      <c r="CIA6" s="29"/>
      <c r="CIB6" s="29"/>
      <c r="CIC6" s="29"/>
      <c r="CID6" s="29"/>
      <c r="CIE6" s="29"/>
      <c r="CIF6" s="29"/>
      <c r="CIG6" s="29"/>
      <c r="CIH6" s="29"/>
      <c r="CII6" s="29"/>
      <c r="CIJ6" s="29"/>
      <c r="CIK6" s="29"/>
      <c r="CIL6" s="29"/>
      <c r="CIM6" s="29"/>
      <c r="CIN6" s="29"/>
      <c r="CIO6" s="29"/>
      <c r="CIP6" s="29"/>
      <c r="CIQ6" s="29"/>
      <c r="CIR6" s="29"/>
      <c r="CIS6" s="29"/>
      <c r="CIT6" s="29"/>
      <c r="CIU6" s="29"/>
      <c r="CIV6" s="29"/>
      <c r="CIW6" s="29"/>
      <c r="CIX6" s="29"/>
      <c r="CIY6" s="29"/>
      <c r="CIZ6" s="29"/>
      <c r="CJA6" s="29"/>
      <c r="CJB6" s="29"/>
      <c r="CJC6" s="29"/>
      <c r="CJD6" s="29"/>
      <c r="CJE6" s="29"/>
      <c r="CJF6" s="29"/>
      <c r="CJG6" s="29"/>
      <c r="CJH6" s="29"/>
      <c r="CJI6" s="29"/>
      <c r="CJJ6" s="29"/>
      <c r="CJK6" s="29"/>
      <c r="CJL6" s="29"/>
      <c r="CJM6" s="29"/>
      <c r="CJN6" s="29"/>
      <c r="CJO6" s="29"/>
      <c r="CJP6" s="29"/>
      <c r="CJQ6" s="29"/>
      <c r="CJR6" s="29"/>
      <c r="CJS6" s="29"/>
      <c r="CJT6" s="29"/>
      <c r="CJU6" s="29"/>
      <c r="CJV6" s="29"/>
      <c r="CJW6" s="29"/>
      <c r="CJX6" s="29"/>
      <c r="CJY6" s="29"/>
      <c r="CJZ6" s="29"/>
      <c r="CKA6" s="29"/>
      <c r="CKB6" s="29"/>
      <c r="CKC6" s="29"/>
      <c r="CKD6" s="29"/>
      <c r="CKE6" s="29"/>
      <c r="CKF6" s="29"/>
      <c r="CKG6" s="29"/>
      <c r="CKH6" s="29"/>
      <c r="CKI6" s="29"/>
      <c r="CKJ6" s="29"/>
      <c r="CKK6" s="29"/>
      <c r="CKL6" s="29"/>
      <c r="CKM6" s="29"/>
      <c r="CKN6" s="29"/>
      <c r="CKO6" s="29"/>
      <c r="CKP6" s="29"/>
      <c r="CKQ6" s="29"/>
      <c r="CKR6" s="29"/>
      <c r="CKS6" s="29"/>
      <c r="CKT6" s="29"/>
      <c r="CKU6" s="29"/>
      <c r="CKV6" s="29"/>
      <c r="CKW6" s="29"/>
      <c r="CKX6" s="29"/>
      <c r="CKY6" s="29"/>
      <c r="CKZ6" s="29"/>
      <c r="CLA6" s="29"/>
      <c r="CLB6" s="29"/>
      <c r="CLC6" s="29"/>
      <c r="CLD6" s="29"/>
      <c r="CLE6" s="29"/>
      <c r="CLF6" s="29"/>
      <c r="CLG6" s="29"/>
      <c r="CLH6" s="29"/>
      <c r="CLI6" s="29"/>
      <c r="CLJ6" s="29"/>
      <c r="CLK6" s="29"/>
      <c r="CLL6" s="29"/>
      <c r="CLM6" s="29"/>
      <c r="CLN6" s="29"/>
      <c r="CLO6" s="29"/>
      <c r="CLP6" s="29"/>
      <c r="CLQ6" s="29"/>
      <c r="CLR6" s="29"/>
      <c r="CLS6" s="29"/>
      <c r="CLT6" s="29"/>
      <c r="CLU6" s="29"/>
      <c r="CLV6" s="29"/>
      <c r="CLW6" s="29"/>
      <c r="CLX6" s="29"/>
      <c r="CLY6" s="29"/>
      <c r="CLZ6" s="29"/>
      <c r="CMA6" s="29"/>
      <c r="CMB6" s="29"/>
      <c r="CMC6" s="29"/>
      <c r="CMD6" s="29"/>
      <c r="CME6" s="29"/>
      <c r="CMF6" s="29"/>
      <c r="CMG6" s="29"/>
      <c r="CMH6" s="29"/>
      <c r="CMI6" s="29"/>
      <c r="CMJ6" s="29"/>
      <c r="CMK6" s="29"/>
      <c r="CML6" s="29"/>
      <c r="CMM6" s="29"/>
      <c r="CMN6" s="29"/>
      <c r="CMO6" s="29"/>
      <c r="CMP6" s="29"/>
      <c r="CMQ6" s="29"/>
      <c r="CMR6" s="29"/>
      <c r="CMS6" s="29"/>
      <c r="CMT6" s="29"/>
      <c r="CMU6" s="29"/>
      <c r="CMV6" s="29"/>
      <c r="CMW6" s="29"/>
      <c r="CMX6" s="29"/>
      <c r="CMY6" s="29"/>
      <c r="CMZ6" s="29"/>
      <c r="CNA6" s="29"/>
      <c r="CNB6" s="29"/>
      <c r="CNC6" s="29"/>
      <c r="CND6" s="29"/>
      <c r="CNE6" s="29"/>
      <c r="CNF6" s="29"/>
      <c r="CNG6" s="29"/>
      <c r="CNH6" s="29"/>
      <c r="CNI6" s="29"/>
      <c r="CNJ6" s="29"/>
      <c r="CNK6" s="29"/>
      <c r="CNL6" s="29"/>
      <c r="CNM6" s="29"/>
      <c r="CNN6" s="29"/>
      <c r="CNO6" s="29"/>
      <c r="CNP6" s="29"/>
      <c r="CNQ6" s="29"/>
      <c r="CNR6" s="29"/>
      <c r="CNS6" s="29"/>
      <c r="CNT6" s="29"/>
      <c r="CNU6" s="29"/>
      <c r="CNV6" s="29"/>
      <c r="CNW6" s="29"/>
      <c r="CNX6" s="29"/>
      <c r="CNY6" s="29"/>
      <c r="CNZ6" s="29"/>
      <c r="COA6" s="29"/>
      <c r="COB6" s="29"/>
      <c r="COC6" s="29"/>
      <c r="COD6" s="29"/>
      <c r="COE6" s="29"/>
      <c r="COF6" s="29"/>
      <c r="COG6" s="29"/>
      <c r="COH6" s="29"/>
      <c r="COI6" s="29"/>
      <c r="COJ6" s="29"/>
      <c r="COK6" s="29"/>
      <c r="COL6" s="29"/>
      <c r="COM6" s="29"/>
      <c r="CON6" s="29"/>
      <c r="COO6" s="29"/>
      <c r="COP6" s="29"/>
      <c r="COQ6" s="29"/>
      <c r="COR6" s="29"/>
      <c r="COS6" s="29"/>
      <c r="COT6" s="29"/>
      <c r="COU6" s="29"/>
      <c r="COV6" s="29"/>
      <c r="COW6" s="29"/>
      <c r="COX6" s="29"/>
      <c r="COY6" s="29"/>
      <c r="COZ6" s="29"/>
      <c r="CPA6" s="29"/>
      <c r="CPB6" s="29"/>
      <c r="CPC6" s="29"/>
      <c r="CPD6" s="29"/>
      <c r="CPE6" s="29"/>
      <c r="CPF6" s="29"/>
      <c r="CPG6" s="29"/>
      <c r="CPH6" s="29"/>
      <c r="CPI6" s="29"/>
      <c r="CPJ6" s="29"/>
      <c r="CPK6" s="29"/>
      <c r="CPL6" s="29"/>
      <c r="CPM6" s="29"/>
      <c r="CPN6" s="29"/>
      <c r="CPO6" s="29"/>
      <c r="CPP6" s="29"/>
      <c r="CPQ6" s="29"/>
      <c r="CPR6" s="29"/>
      <c r="CPS6" s="29"/>
      <c r="CPT6" s="29"/>
      <c r="CPU6" s="29"/>
      <c r="CPV6" s="29"/>
      <c r="CPW6" s="29"/>
      <c r="CPX6" s="29"/>
      <c r="CPY6" s="29"/>
      <c r="CPZ6" s="29"/>
      <c r="CQA6" s="29"/>
      <c r="CQB6" s="29"/>
      <c r="CQC6" s="29"/>
      <c r="CQD6" s="29"/>
      <c r="CQE6" s="29"/>
      <c r="CQF6" s="29"/>
      <c r="CQG6" s="29"/>
      <c r="CQH6" s="29"/>
      <c r="CQI6" s="29"/>
      <c r="CQJ6" s="29"/>
      <c r="CQK6" s="29"/>
      <c r="CQL6" s="29"/>
      <c r="CQM6" s="29"/>
      <c r="CQN6" s="29"/>
      <c r="CQO6" s="29"/>
      <c r="CQP6" s="29"/>
      <c r="CQQ6" s="29"/>
      <c r="CQR6" s="29"/>
      <c r="CQS6" s="29"/>
      <c r="CQT6" s="29"/>
      <c r="CQU6" s="29"/>
      <c r="CQV6" s="29"/>
      <c r="CQW6" s="29"/>
      <c r="CQX6" s="29"/>
      <c r="CQY6" s="29"/>
      <c r="CQZ6" s="29"/>
      <c r="CRA6" s="29"/>
      <c r="CRB6" s="29"/>
      <c r="CRC6" s="29"/>
      <c r="CRD6" s="29"/>
      <c r="CRE6" s="29"/>
      <c r="CRF6" s="29"/>
      <c r="CRG6" s="29"/>
      <c r="CRH6" s="29"/>
      <c r="CRI6" s="29"/>
      <c r="CRJ6" s="29"/>
      <c r="CRK6" s="29"/>
      <c r="CRL6" s="29"/>
      <c r="CRM6" s="29"/>
      <c r="CRN6" s="29"/>
      <c r="CRO6" s="29"/>
      <c r="CRP6" s="29"/>
      <c r="CRQ6" s="29"/>
      <c r="CRR6" s="29"/>
      <c r="CRS6" s="29"/>
      <c r="CRT6" s="29"/>
      <c r="CRU6" s="29"/>
      <c r="CRV6" s="29"/>
      <c r="CRW6" s="29"/>
      <c r="CRX6" s="29"/>
      <c r="CRY6" s="29"/>
      <c r="CRZ6" s="29"/>
      <c r="CSA6" s="29"/>
      <c r="CSB6" s="29"/>
      <c r="CSC6" s="29"/>
      <c r="CSD6" s="29"/>
      <c r="CSE6" s="29"/>
      <c r="CSF6" s="29"/>
      <c r="CSG6" s="29"/>
      <c r="CSH6" s="29"/>
      <c r="CSI6" s="29"/>
      <c r="CSJ6" s="29"/>
      <c r="CSK6" s="29"/>
      <c r="CSL6" s="29"/>
      <c r="CSM6" s="29"/>
      <c r="CSN6" s="29"/>
      <c r="CSO6" s="29"/>
      <c r="CSP6" s="29"/>
      <c r="CSQ6" s="29"/>
      <c r="CSR6" s="29"/>
      <c r="CSS6" s="29"/>
      <c r="CST6" s="29"/>
      <c r="CSU6" s="29"/>
      <c r="CSV6" s="29"/>
      <c r="CSW6" s="29"/>
      <c r="CSX6" s="29"/>
      <c r="CSY6" s="29"/>
      <c r="CSZ6" s="29"/>
      <c r="CTA6" s="29"/>
      <c r="CTB6" s="29"/>
      <c r="CTC6" s="29"/>
      <c r="CTD6" s="29"/>
      <c r="CTE6" s="29"/>
      <c r="CTF6" s="29"/>
      <c r="CTG6" s="29"/>
      <c r="CTH6" s="29"/>
      <c r="CTI6" s="29"/>
      <c r="CTJ6" s="29"/>
      <c r="CTK6" s="29"/>
      <c r="CTL6" s="29"/>
      <c r="CTM6" s="29"/>
      <c r="CTN6" s="29"/>
      <c r="CTO6" s="29"/>
      <c r="CTP6" s="29"/>
      <c r="CTQ6" s="29"/>
      <c r="CTR6" s="29"/>
      <c r="CTS6" s="29"/>
      <c r="CTT6" s="29"/>
      <c r="CTU6" s="29"/>
      <c r="CTV6" s="29"/>
      <c r="CTW6" s="29"/>
      <c r="CTX6" s="29"/>
      <c r="CTY6" s="29"/>
      <c r="CTZ6" s="29"/>
      <c r="CUA6" s="29"/>
      <c r="CUB6" s="29"/>
      <c r="CUC6" s="29"/>
      <c r="CUD6" s="29"/>
      <c r="CUE6" s="29"/>
      <c r="CUF6" s="29"/>
      <c r="CUG6" s="29"/>
      <c r="CUH6" s="29"/>
      <c r="CUI6" s="29"/>
      <c r="CUJ6" s="29"/>
      <c r="CUK6" s="29"/>
      <c r="CUL6" s="29"/>
      <c r="CUM6" s="29"/>
      <c r="CUN6" s="29"/>
      <c r="CUO6" s="29"/>
      <c r="CUP6" s="29"/>
      <c r="CUQ6" s="29"/>
      <c r="CUR6" s="29"/>
      <c r="CUS6" s="29"/>
      <c r="CUT6" s="29"/>
      <c r="CUU6" s="29"/>
      <c r="CUV6" s="29"/>
      <c r="CUW6" s="29"/>
      <c r="CUX6" s="29"/>
      <c r="CUY6" s="29"/>
      <c r="CUZ6" s="29"/>
      <c r="CVA6" s="29"/>
      <c r="CVB6" s="29"/>
      <c r="CVC6" s="29"/>
      <c r="CVD6" s="29"/>
      <c r="CVE6" s="29"/>
      <c r="CVF6" s="29"/>
      <c r="CVG6" s="29"/>
      <c r="CVH6" s="29"/>
      <c r="CVI6" s="29"/>
      <c r="CVJ6" s="29"/>
      <c r="CVK6" s="29"/>
      <c r="CVL6" s="29"/>
      <c r="CVM6" s="29"/>
      <c r="CVN6" s="29"/>
      <c r="CVO6" s="29"/>
      <c r="CVP6" s="29"/>
      <c r="CVQ6" s="29"/>
      <c r="CVR6" s="29"/>
      <c r="CVS6" s="29"/>
      <c r="CVT6" s="29"/>
      <c r="CVU6" s="29"/>
      <c r="CVV6" s="29"/>
      <c r="CVW6" s="29"/>
      <c r="CVX6" s="29"/>
      <c r="CVY6" s="29"/>
      <c r="CVZ6" s="29"/>
      <c r="CWA6" s="29"/>
      <c r="CWB6" s="29"/>
      <c r="CWC6" s="29"/>
      <c r="CWD6" s="29"/>
      <c r="CWE6" s="29"/>
      <c r="CWF6" s="29"/>
      <c r="CWG6" s="29"/>
      <c r="CWH6" s="29"/>
      <c r="CWI6" s="29"/>
      <c r="CWJ6" s="29"/>
      <c r="CWK6" s="29"/>
      <c r="CWL6" s="29"/>
      <c r="CWM6" s="29"/>
      <c r="CWN6" s="29"/>
      <c r="CWO6" s="29"/>
      <c r="CWP6" s="29"/>
      <c r="CWQ6" s="29"/>
      <c r="CWR6" s="29"/>
      <c r="CWS6" s="29"/>
      <c r="CWT6" s="29"/>
      <c r="CWU6" s="29"/>
      <c r="CWV6" s="29"/>
      <c r="CWW6" s="29"/>
      <c r="CWX6" s="29"/>
      <c r="CWY6" s="29"/>
      <c r="CWZ6" s="29"/>
      <c r="CXA6" s="29"/>
      <c r="CXB6" s="29"/>
      <c r="CXC6" s="29"/>
      <c r="CXD6" s="29"/>
      <c r="CXE6" s="29"/>
      <c r="CXF6" s="29"/>
      <c r="CXG6" s="29"/>
      <c r="CXH6" s="29"/>
      <c r="CXI6" s="29"/>
      <c r="CXJ6" s="29"/>
      <c r="CXK6" s="29"/>
      <c r="CXL6" s="29"/>
      <c r="CXM6" s="29"/>
      <c r="CXN6" s="29"/>
      <c r="CXO6" s="29"/>
      <c r="CXP6" s="29"/>
      <c r="CXQ6" s="29"/>
      <c r="CXR6" s="29"/>
      <c r="CXS6" s="29"/>
      <c r="CXT6" s="29"/>
      <c r="CXU6" s="29"/>
      <c r="CXV6" s="29"/>
      <c r="CXW6" s="29"/>
      <c r="CXX6" s="29"/>
      <c r="CXY6" s="29"/>
      <c r="CXZ6" s="29"/>
      <c r="CYA6" s="29"/>
      <c r="CYB6" s="29"/>
      <c r="CYC6" s="29"/>
      <c r="CYD6" s="29"/>
      <c r="CYE6" s="29"/>
      <c r="CYF6" s="29"/>
      <c r="CYG6" s="29"/>
      <c r="CYH6" s="29"/>
      <c r="CYI6" s="29"/>
      <c r="CYJ6" s="29"/>
      <c r="CYK6" s="29"/>
      <c r="CYL6" s="29"/>
      <c r="CYM6" s="29"/>
      <c r="CYN6" s="29"/>
      <c r="CYO6" s="29"/>
      <c r="CYP6" s="29"/>
      <c r="CYQ6" s="29"/>
      <c r="CYR6" s="29"/>
      <c r="CYS6" s="29"/>
      <c r="CYT6" s="29"/>
      <c r="CYU6" s="29"/>
      <c r="CYV6" s="29"/>
      <c r="CYW6" s="29"/>
      <c r="CYX6" s="29"/>
      <c r="CYY6" s="29"/>
      <c r="CYZ6" s="29"/>
      <c r="CZA6" s="29"/>
      <c r="CZB6" s="29"/>
      <c r="CZC6" s="29"/>
      <c r="CZD6" s="29"/>
      <c r="CZE6" s="29"/>
      <c r="CZF6" s="29"/>
      <c r="CZG6" s="29"/>
      <c r="CZH6" s="29"/>
      <c r="CZI6" s="29"/>
      <c r="CZJ6" s="29"/>
      <c r="CZK6" s="29"/>
      <c r="CZL6" s="29"/>
      <c r="CZM6" s="29"/>
      <c r="CZN6" s="29"/>
      <c r="CZO6" s="29"/>
      <c r="CZP6" s="29"/>
      <c r="CZQ6" s="29"/>
      <c r="CZR6" s="29"/>
      <c r="CZS6" s="29"/>
      <c r="CZT6" s="29"/>
      <c r="CZU6" s="29"/>
      <c r="CZV6" s="29"/>
      <c r="CZW6" s="29"/>
      <c r="CZX6" s="29"/>
      <c r="CZY6" s="29"/>
      <c r="CZZ6" s="29"/>
      <c r="DAA6" s="29"/>
      <c r="DAB6" s="29"/>
      <c r="DAC6" s="29"/>
      <c r="DAD6" s="29"/>
      <c r="DAE6" s="29"/>
      <c r="DAF6" s="29"/>
      <c r="DAG6" s="29"/>
      <c r="DAH6" s="29"/>
      <c r="DAI6" s="29"/>
      <c r="DAJ6" s="29"/>
      <c r="DAK6" s="29"/>
      <c r="DAL6" s="29"/>
      <c r="DAM6" s="29"/>
      <c r="DAN6" s="29"/>
      <c r="DAO6" s="29"/>
      <c r="DAP6" s="29"/>
      <c r="DAQ6" s="29"/>
      <c r="DAR6" s="29"/>
      <c r="DAS6" s="29"/>
      <c r="DAT6" s="29"/>
      <c r="DAU6" s="29"/>
      <c r="DAV6" s="29"/>
      <c r="DAW6" s="29"/>
      <c r="DAX6" s="29"/>
      <c r="DAY6" s="29"/>
      <c r="DAZ6" s="29"/>
      <c r="DBA6" s="29"/>
      <c r="DBB6" s="29"/>
      <c r="DBC6" s="29"/>
      <c r="DBD6" s="29"/>
      <c r="DBE6" s="29"/>
      <c r="DBF6" s="29"/>
      <c r="DBG6" s="29"/>
      <c r="DBH6" s="29"/>
      <c r="DBI6" s="29"/>
      <c r="DBJ6" s="29"/>
      <c r="DBK6" s="29"/>
      <c r="DBL6" s="29"/>
      <c r="DBM6" s="29"/>
      <c r="DBN6" s="29"/>
      <c r="DBO6" s="29"/>
      <c r="DBP6" s="29"/>
      <c r="DBQ6" s="29"/>
      <c r="DBR6" s="29"/>
      <c r="DBS6" s="29"/>
      <c r="DBT6" s="29"/>
      <c r="DBU6" s="29"/>
      <c r="DBV6" s="29"/>
      <c r="DBW6" s="29"/>
      <c r="DBX6" s="29"/>
      <c r="DBY6" s="29"/>
      <c r="DBZ6" s="29"/>
      <c r="DCA6" s="29"/>
      <c r="DCB6" s="29"/>
      <c r="DCC6" s="29"/>
      <c r="DCD6" s="29"/>
      <c r="DCE6" s="29"/>
      <c r="DCF6" s="29"/>
      <c r="DCG6" s="29"/>
      <c r="DCH6" s="29"/>
      <c r="DCI6" s="29"/>
      <c r="DCJ6" s="29"/>
      <c r="DCK6" s="29"/>
      <c r="DCL6" s="29"/>
      <c r="DCM6" s="29"/>
      <c r="DCN6" s="29"/>
      <c r="DCO6" s="29"/>
      <c r="DCP6" s="29"/>
      <c r="DCQ6" s="29"/>
      <c r="DCR6" s="29"/>
      <c r="DCS6" s="29"/>
      <c r="DCT6" s="29"/>
      <c r="DCU6" s="29"/>
      <c r="DCV6" s="29"/>
      <c r="DCW6" s="29"/>
      <c r="DCX6" s="29"/>
      <c r="DCY6" s="29"/>
      <c r="DCZ6" s="29"/>
      <c r="DDA6" s="29"/>
      <c r="DDB6" s="29"/>
      <c r="DDC6" s="29"/>
      <c r="DDD6" s="29"/>
      <c r="DDE6" s="29"/>
      <c r="DDF6" s="29"/>
      <c r="DDG6" s="29"/>
      <c r="DDH6" s="29"/>
      <c r="DDI6" s="29"/>
      <c r="DDJ6" s="29"/>
      <c r="DDK6" s="29"/>
      <c r="DDL6" s="29"/>
      <c r="DDM6" s="29"/>
      <c r="DDN6" s="29"/>
      <c r="DDO6" s="29"/>
      <c r="DDP6" s="29"/>
      <c r="DDQ6" s="29"/>
      <c r="DDR6" s="29"/>
      <c r="DDS6" s="29"/>
      <c r="DDT6" s="29"/>
      <c r="DDU6" s="29"/>
      <c r="DDV6" s="29"/>
      <c r="DDW6" s="29"/>
      <c r="DDX6" s="29"/>
      <c r="DDY6" s="29"/>
      <c r="DDZ6" s="29"/>
      <c r="DEA6" s="29"/>
      <c r="DEB6" s="29"/>
      <c r="DEC6" s="29"/>
      <c r="DED6" s="29"/>
      <c r="DEE6" s="29"/>
      <c r="DEF6" s="29"/>
      <c r="DEG6" s="29"/>
      <c r="DEH6" s="29"/>
      <c r="DEI6" s="29"/>
      <c r="DEJ6" s="29"/>
      <c r="DEK6" s="29"/>
      <c r="DEL6" s="29"/>
      <c r="DEM6" s="29"/>
      <c r="DEN6" s="29"/>
      <c r="DEO6" s="29"/>
      <c r="DEP6" s="29"/>
      <c r="DEQ6" s="29"/>
      <c r="DER6" s="29"/>
      <c r="DES6" s="29"/>
      <c r="DET6" s="29"/>
      <c r="DEU6" s="29"/>
      <c r="DEV6" s="29"/>
      <c r="DEW6" s="29"/>
      <c r="DEX6" s="29"/>
      <c r="DEY6" s="29"/>
      <c r="DEZ6" s="29"/>
      <c r="DFA6" s="29"/>
      <c r="DFB6" s="29"/>
      <c r="DFC6" s="29"/>
      <c r="DFD6" s="29"/>
      <c r="DFE6" s="29"/>
      <c r="DFF6" s="29"/>
      <c r="DFG6" s="29"/>
      <c r="DFH6" s="29"/>
      <c r="DFI6" s="29"/>
      <c r="DFJ6" s="29"/>
      <c r="DFK6" s="29"/>
      <c r="DFL6" s="29"/>
      <c r="DFM6" s="29"/>
      <c r="DFN6" s="29"/>
      <c r="DFO6" s="29"/>
      <c r="DFP6" s="29"/>
      <c r="DFQ6" s="29"/>
      <c r="DFR6" s="29"/>
      <c r="DFS6" s="29"/>
      <c r="DFT6" s="29"/>
      <c r="DFU6" s="29"/>
      <c r="DFV6" s="29"/>
      <c r="DFW6" s="29"/>
      <c r="DFX6" s="29"/>
      <c r="DFY6" s="29"/>
      <c r="DFZ6" s="29"/>
      <c r="DGA6" s="29"/>
      <c r="DGB6" s="29"/>
      <c r="DGC6" s="29"/>
      <c r="DGD6" s="29"/>
      <c r="DGE6" s="29"/>
      <c r="DGF6" s="29"/>
      <c r="DGG6" s="29"/>
      <c r="DGH6" s="29"/>
      <c r="DGI6" s="29"/>
      <c r="DGJ6" s="29"/>
      <c r="DGK6" s="29"/>
      <c r="DGL6" s="29"/>
      <c r="DGM6" s="29"/>
      <c r="DGN6" s="29"/>
      <c r="DGO6" s="29"/>
      <c r="DGP6" s="29"/>
      <c r="DGQ6" s="29"/>
      <c r="DGR6" s="29"/>
      <c r="DGS6" s="29"/>
      <c r="DGT6" s="29"/>
      <c r="DGU6" s="29"/>
      <c r="DGV6" s="29"/>
      <c r="DGW6" s="29"/>
      <c r="DGX6" s="29"/>
      <c r="DGY6" s="29"/>
      <c r="DGZ6" s="29"/>
      <c r="DHA6" s="29"/>
      <c r="DHB6" s="29"/>
      <c r="DHC6" s="29"/>
      <c r="DHD6" s="29"/>
      <c r="DHE6" s="29"/>
      <c r="DHF6" s="29"/>
      <c r="DHG6" s="29"/>
      <c r="DHH6" s="29"/>
      <c r="DHI6" s="29"/>
      <c r="DHJ6" s="29"/>
      <c r="DHK6" s="29"/>
      <c r="DHL6" s="29"/>
      <c r="DHM6" s="29"/>
      <c r="DHN6" s="29"/>
      <c r="DHO6" s="29"/>
      <c r="DHP6" s="29"/>
      <c r="DHQ6" s="29"/>
      <c r="DHR6" s="29"/>
      <c r="DHS6" s="29"/>
      <c r="DHT6" s="29"/>
      <c r="DHU6" s="29"/>
      <c r="DHV6" s="29"/>
      <c r="DHW6" s="29"/>
      <c r="DHX6" s="29"/>
      <c r="DHY6" s="29"/>
      <c r="DHZ6" s="29"/>
      <c r="DIA6" s="29"/>
      <c r="DIB6" s="29"/>
      <c r="DIC6" s="29"/>
      <c r="DID6" s="29"/>
      <c r="DIE6" s="29"/>
      <c r="DIF6" s="29"/>
      <c r="DIG6" s="29"/>
      <c r="DIH6" s="29"/>
      <c r="DII6" s="29"/>
      <c r="DIJ6" s="29"/>
      <c r="DIK6" s="29"/>
      <c r="DIL6" s="29"/>
      <c r="DIM6" s="29"/>
      <c r="DIN6" s="29"/>
      <c r="DIO6" s="29"/>
      <c r="DIP6" s="29"/>
      <c r="DIQ6" s="29"/>
      <c r="DIR6" s="29"/>
      <c r="DIS6" s="29"/>
      <c r="DIT6" s="29"/>
      <c r="DIU6" s="29"/>
      <c r="DIV6" s="29"/>
      <c r="DIW6" s="29"/>
      <c r="DIX6" s="29"/>
      <c r="DIY6" s="29"/>
      <c r="DIZ6" s="29"/>
      <c r="DJA6" s="29"/>
      <c r="DJB6" s="29"/>
      <c r="DJC6" s="29"/>
      <c r="DJD6" s="29"/>
      <c r="DJE6" s="29"/>
      <c r="DJF6" s="29"/>
      <c r="DJG6" s="29"/>
      <c r="DJH6" s="29"/>
      <c r="DJI6" s="29"/>
      <c r="DJJ6" s="29"/>
      <c r="DJK6" s="29"/>
      <c r="DJL6" s="29"/>
      <c r="DJM6" s="29"/>
      <c r="DJN6" s="29"/>
      <c r="DJO6" s="29"/>
      <c r="DJP6" s="29"/>
      <c r="DJQ6" s="29"/>
      <c r="DJR6" s="29"/>
      <c r="DJS6" s="29"/>
      <c r="DJT6" s="29"/>
      <c r="DJU6" s="29"/>
      <c r="DJV6" s="29"/>
      <c r="DJW6" s="29"/>
      <c r="DJX6" s="29"/>
      <c r="DJY6" s="29"/>
      <c r="DJZ6" s="29"/>
      <c r="DKA6" s="29"/>
      <c r="DKB6" s="29"/>
      <c r="DKC6" s="29"/>
      <c r="DKD6" s="29"/>
      <c r="DKE6" s="29"/>
      <c r="DKF6" s="29"/>
      <c r="DKG6" s="29"/>
      <c r="DKH6" s="29"/>
      <c r="DKI6" s="29"/>
      <c r="DKJ6" s="29"/>
      <c r="DKK6" s="29"/>
      <c r="DKL6" s="29"/>
      <c r="DKM6" s="29"/>
      <c r="DKN6" s="29"/>
      <c r="DKO6" s="29"/>
      <c r="DKP6" s="29"/>
      <c r="DKQ6" s="29"/>
      <c r="DKR6" s="29"/>
      <c r="DKS6" s="29"/>
      <c r="DKT6" s="29"/>
      <c r="DKU6" s="29"/>
      <c r="DKV6" s="29"/>
      <c r="DKW6" s="29"/>
      <c r="DKX6" s="29"/>
      <c r="DKY6" s="29"/>
      <c r="DKZ6" s="29"/>
      <c r="DLA6" s="29"/>
      <c r="DLB6" s="29"/>
      <c r="DLC6" s="29"/>
      <c r="DLD6" s="29"/>
      <c r="DLE6" s="29"/>
      <c r="DLF6" s="29"/>
      <c r="DLG6" s="29"/>
      <c r="DLH6" s="29"/>
      <c r="DLI6" s="29"/>
      <c r="DLJ6" s="29"/>
      <c r="DLK6" s="29"/>
      <c r="DLL6" s="29"/>
      <c r="DLM6" s="29"/>
      <c r="DLN6" s="29"/>
      <c r="DLO6" s="29"/>
      <c r="DLP6" s="29"/>
      <c r="DLQ6" s="29"/>
      <c r="DLR6" s="29"/>
      <c r="DLS6" s="29"/>
      <c r="DLT6" s="29"/>
      <c r="DLU6" s="29"/>
      <c r="DLV6" s="29"/>
      <c r="DLW6" s="29"/>
      <c r="DLX6" s="29"/>
      <c r="DLY6" s="29"/>
      <c r="DLZ6" s="29"/>
      <c r="DMA6" s="29"/>
      <c r="DMB6" s="29"/>
      <c r="DMC6" s="29"/>
      <c r="DMD6" s="29"/>
      <c r="DME6" s="29"/>
      <c r="DMF6" s="29"/>
      <c r="DMG6" s="29"/>
      <c r="DMH6" s="29"/>
      <c r="DMI6" s="29"/>
      <c r="DMJ6" s="29"/>
      <c r="DMK6" s="29"/>
      <c r="DML6" s="29"/>
      <c r="DMM6" s="29"/>
      <c r="DMN6" s="29"/>
      <c r="DMO6" s="29"/>
      <c r="DMP6" s="29"/>
      <c r="DMQ6" s="29"/>
      <c r="DMR6" s="29"/>
      <c r="DMS6" s="29"/>
      <c r="DMT6" s="29"/>
      <c r="DMU6" s="29"/>
      <c r="DMV6" s="29"/>
      <c r="DMW6" s="29"/>
      <c r="DMX6" s="29"/>
      <c r="DMY6" s="29"/>
      <c r="DMZ6" s="29"/>
      <c r="DNA6" s="29"/>
      <c r="DNB6" s="29"/>
      <c r="DNC6" s="29"/>
      <c r="DND6" s="29"/>
      <c r="DNE6" s="29"/>
      <c r="DNF6" s="29"/>
      <c r="DNG6" s="29"/>
      <c r="DNH6" s="29"/>
      <c r="DNI6" s="29"/>
      <c r="DNJ6" s="29"/>
      <c r="DNK6" s="29"/>
      <c r="DNL6" s="29"/>
      <c r="DNM6" s="29"/>
      <c r="DNN6" s="29"/>
      <c r="DNO6" s="29"/>
      <c r="DNP6" s="29"/>
      <c r="DNQ6" s="29"/>
      <c r="DNR6" s="29"/>
      <c r="DNS6" s="29"/>
      <c r="DNT6" s="29"/>
      <c r="DNU6" s="29"/>
      <c r="DNV6" s="29"/>
      <c r="DNW6" s="29"/>
      <c r="DNX6" s="29"/>
      <c r="DNY6" s="29"/>
      <c r="DNZ6" s="29"/>
      <c r="DOA6" s="29"/>
      <c r="DOB6" s="29"/>
      <c r="DOC6" s="29"/>
      <c r="DOD6" s="29"/>
      <c r="DOE6" s="29"/>
      <c r="DOF6" s="29"/>
      <c r="DOG6" s="29"/>
      <c r="DOH6" s="29"/>
      <c r="DOI6" s="29"/>
      <c r="DOJ6" s="29"/>
      <c r="DOK6" s="29"/>
      <c r="DOL6" s="29"/>
      <c r="DOM6" s="29"/>
      <c r="DON6" s="29"/>
      <c r="DOO6" s="29"/>
      <c r="DOP6" s="29"/>
      <c r="DOQ6" s="29"/>
      <c r="DOR6" s="29"/>
      <c r="DOS6" s="29"/>
      <c r="DOT6" s="29"/>
      <c r="DOU6" s="29"/>
      <c r="DOV6" s="29"/>
      <c r="DOW6" s="29"/>
      <c r="DOX6" s="29"/>
      <c r="DOY6" s="29"/>
      <c r="DOZ6" s="29"/>
      <c r="DPA6" s="29"/>
      <c r="DPB6" s="29"/>
      <c r="DPC6" s="29"/>
      <c r="DPD6" s="29"/>
      <c r="DPE6" s="29"/>
      <c r="DPF6" s="29"/>
      <c r="DPG6" s="29"/>
      <c r="DPH6" s="29"/>
      <c r="DPI6" s="29"/>
      <c r="DPJ6" s="29"/>
      <c r="DPK6" s="29"/>
      <c r="DPL6" s="29"/>
      <c r="DPM6" s="29"/>
      <c r="DPN6" s="29"/>
      <c r="DPO6" s="29"/>
      <c r="DPP6" s="29"/>
      <c r="DPQ6" s="29"/>
      <c r="DPR6" s="29"/>
      <c r="DPS6" s="29"/>
      <c r="DPT6" s="29"/>
      <c r="DPU6" s="29"/>
      <c r="DPV6" s="29"/>
      <c r="DPW6" s="29"/>
      <c r="DPX6" s="29"/>
      <c r="DPY6" s="29"/>
      <c r="DPZ6" s="29"/>
      <c r="DQA6" s="29"/>
      <c r="DQB6" s="29"/>
      <c r="DQC6" s="29"/>
      <c r="DQD6" s="29"/>
      <c r="DQE6" s="29"/>
      <c r="DQF6" s="29"/>
      <c r="DQG6" s="29"/>
      <c r="DQH6" s="29"/>
      <c r="DQI6" s="29"/>
      <c r="DQJ6" s="29"/>
      <c r="DQK6" s="29"/>
      <c r="DQL6" s="29"/>
      <c r="DQM6" s="29"/>
      <c r="DQN6" s="29"/>
      <c r="DQO6" s="29"/>
      <c r="DQP6" s="29"/>
      <c r="DQQ6" s="29"/>
      <c r="DQR6" s="29"/>
      <c r="DQS6" s="29"/>
      <c r="DQT6" s="29"/>
      <c r="DQU6" s="29"/>
      <c r="DQV6" s="29"/>
      <c r="DQW6" s="29"/>
      <c r="DQX6" s="29"/>
      <c r="DQY6" s="29"/>
      <c r="DQZ6" s="29"/>
      <c r="DRA6" s="29"/>
      <c r="DRB6" s="29"/>
      <c r="DRC6" s="29"/>
      <c r="DRD6" s="29"/>
      <c r="DRE6" s="29"/>
      <c r="DRF6" s="29"/>
      <c r="DRG6" s="29"/>
      <c r="DRH6" s="29"/>
      <c r="DRI6" s="29"/>
      <c r="DRJ6" s="29"/>
      <c r="DRK6" s="29"/>
      <c r="DRL6" s="29"/>
      <c r="DRM6" s="29"/>
      <c r="DRN6" s="29"/>
      <c r="DRO6" s="29"/>
      <c r="DRP6" s="29"/>
      <c r="DRQ6" s="29"/>
      <c r="DRR6" s="29"/>
      <c r="DRS6" s="29"/>
      <c r="DRT6" s="29"/>
      <c r="DRU6" s="29"/>
      <c r="DRV6" s="29"/>
      <c r="DRW6" s="29"/>
      <c r="DRX6" s="29"/>
      <c r="DRY6" s="29"/>
      <c r="DRZ6" s="29"/>
      <c r="DSA6" s="29"/>
      <c r="DSB6" s="29"/>
      <c r="DSC6" s="29"/>
      <c r="DSD6" s="29"/>
      <c r="DSE6" s="29"/>
      <c r="DSF6" s="29"/>
      <c r="DSG6" s="29"/>
      <c r="DSH6" s="29"/>
      <c r="DSI6" s="29"/>
      <c r="DSJ6" s="29"/>
      <c r="DSK6" s="29"/>
      <c r="DSL6" s="29"/>
      <c r="DSM6" s="29"/>
      <c r="DSN6" s="29"/>
      <c r="DSO6" s="29"/>
      <c r="DSP6" s="29"/>
      <c r="DSQ6" s="29"/>
      <c r="DSR6" s="29"/>
      <c r="DSS6" s="29"/>
      <c r="DST6" s="29"/>
      <c r="DSU6" s="29"/>
      <c r="DSV6" s="29"/>
      <c r="DSW6" s="29"/>
      <c r="DSX6" s="29"/>
      <c r="DSY6" s="29"/>
      <c r="DSZ6" s="29"/>
      <c r="DTA6" s="29"/>
      <c r="DTB6" s="29"/>
      <c r="DTC6" s="29"/>
      <c r="DTD6" s="29"/>
      <c r="DTE6" s="29"/>
      <c r="DTF6" s="29"/>
      <c r="DTG6" s="29"/>
      <c r="DTH6" s="29"/>
      <c r="DTI6" s="29"/>
      <c r="DTJ6" s="29"/>
      <c r="DTK6" s="29"/>
      <c r="DTL6" s="29"/>
      <c r="DTM6" s="29"/>
      <c r="DTN6" s="29"/>
      <c r="DTO6" s="29"/>
      <c r="DTP6" s="29"/>
      <c r="DTQ6" s="29"/>
      <c r="DTR6" s="29"/>
      <c r="DTS6" s="29"/>
      <c r="DTT6" s="29"/>
      <c r="DTU6" s="29"/>
      <c r="DTV6" s="29"/>
      <c r="DTW6" s="29"/>
      <c r="DTX6" s="29"/>
      <c r="DTY6" s="29"/>
      <c r="DTZ6" s="29"/>
      <c r="DUA6" s="29"/>
      <c r="DUB6" s="29"/>
      <c r="DUC6" s="29"/>
      <c r="DUD6" s="29"/>
      <c r="DUE6" s="29"/>
      <c r="DUF6" s="29"/>
      <c r="DUG6" s="29"/>
      <c r="DUH6" s="29"/>
      <c r="DUI6" s="29"/>
      <c r="DUJ6" s="29"/>
      <c r="DUK6" s="29"/>
      <c r="DUL6" s="29"/>
      <c r="DUM6" s="29"/>
      <c r="DUN6" s="29"/>
      <c r="DUO6" s="29"/>
      <c r="DUP6" s="29"/>
      <c r="DUQ6" s="29"/>
      <c r="DUR6" s="29"/>
      <c r="DUS6" s="29"/>
      <c r="DUT6" s="29"/>
      <c r="DUU6" s="29"/>
      <c r="DUV6" s="29"/>
      <c r="DUW6" s="29"/>
      <c r="DUX6" s="29"/>
      <c r="DUY6" s="29"/>
      <c r="DUZ6" s="29"/>
      <c r="DVA6" s="29"/>
      <c r="DVB6" s="29"/>
      <c r="DVC6" s="29"/>
      <c r="DVD6" s="29"/>
      <c r="DVE6" s="29"/>
      <c r="DVF6" s="29"/>
      <c r="DVG6" s="29"/>
      <c r="DVH6" s="29"/>
      <c r="DVI6" s="29"/>
      <c r="DVJ6" s="29"/>
      <c r="DVK6" s="29"/>
      <c r="DVL6" s="29"/>
      <c r="DVM6" s="29"/>
      <c r="DVN6" s="29"/>
      <c r="DVO6" s="29"/>
      <c r="DVP6" s="29"/>
      <c r="DVQ6" s="29"/>
      <c r="DVR6" s="29"/>
      <c r="DVS6" s="29"/>
      <c r="DVT6" s="29"/>
      <c r="DVU6" s="29"/>
      <c r="DVV6" s="29"/>
      <c r="DVW6" s="29"/>
      <c r="DVX6" s="29"/>
      <c r="DVY6" s="29"/>
      <c r="DVZ6" s="29"/>
      <c r="DWA6" s="29"/>
      <c r="DWB6" s="29"/>
      <c r="DWC6" s="29"/>
      <c r="DWD6" s="29"/>
      <c r="DWE6" s="29"/>
      <c r="DWF6" s="29"/>
      <c r="DWG6" s="29"/>
      <c r="DWH6" s="29"/>
      <c r="DWI6" s="29"/>
      <c r="DWJ6" s="29"/>
      <c r="DWK6" s="29"/>
      <c r="DWL6" s="29"/>
      <c r="DWM6" s="29"/>
      <c r="DWN6" s="29"/>
      <c r="DWO6" s="29"/>
      <c r="DWP6" s="29"/>
      <c r="DWQ6" s="29"/>
      <c r="DWR6" s="29"/>
      <c r="DWS6" s="29"/>
      <c r="DWT6" s="29"/>
      <c r="DWU6" s="29"/>
      <c r="DWV6" s="29"/>
      <c r="DWW6" s="29"/>
      <c r="DWX6" s="29"/>
      <c r="DWY6" s="29"/>
      <c r="DWZ6" s="29"/>
      <c r="DXA6" s="29"/>
      <c r="DXB6" s="29"/>
      <c r="DXC6" s="29"/>
      <c r="DXD6" s="29"/>
      <c r="DXE6" s="29"/>
      <c r="DXF6" s="29"/>
      <c r="DXG6" s="29"/>
      <c r="DXH6" s="29"/>
      <c r="DXI6" s="29"/>
      <c r="DXJ6" s="29"/>
      <c r="DXK6" s="29"/>
      <c r="DXL6" s="29"/>
      <c r="DXM6" s="29"/>
      <c r="DXN6" s="29"/>
      <c r="DXO6" s="29"/>
      <c r="DXP6" s="29"/>
      <c r="DXQ6" s="29"/>
      <c r="DXR6" s="29"/>
      <c r="DXS6" s="29"/>
      <c r="DXT6" s="29"/>
      <c r="DXU6" s="29"/>
      <c r="DXV6" s="29"/>
      <c r="DXW6" s="29"/>
      <c r="DXX6" s="29"/>
      <c r="DXY6" s="29"/>
      <c r="DXZ6" s="29"/>
      <c r="DYA6" s="29"/>
      <c r="DYB6" s="29"/>
      <c r="DYC6" s="29"/>
      <c r="DYD6" s="29"/>
      <c r="DYE6" s="29"/>
      <c r="DYF6" s="29"/>
      <c r="DYG6" s="29"/>
      <c r="DYH6" s="29"/>
      <c r="DYI6" s="29"/>
      <c r="DYJ6" s="29"/>
      <c r="DYK6" s="29"/>
      <c r="DYL6" s="29"/>
      <c r="DYM6" s="29"/>
      <c r="DYN6" s="29"/>
      <c r="DYO6" s="29"/>
      <c r="DYP6" s="29"/>
      <c r="DYQ6" s="29"/>
      <c r="DYR6" s="29"/>
      <c r="DYS6" s="29"/>
      <c r="DYT6" s="29"/>
      <c r="DYU6" s="29"/>
      <c r="DYV6" s="29"/>
      <c r="DYW6" s="29"/>
      <c r="DYX6" s="29"/>
      <c r="DYY6" s="29"/>
      <c r="DYZ6" s="29"/>
      <c r="DZA6" s="29"/>
      <c r="DZB6" s="29"/>
      <c r="DZC6" s="29"/>
      <c r="DZD6" s="29"/>
      <c r="DZE6" s="29"/>
      <c r="DZF6" s="29"/>
      <c r="DZG6" s="29"/>
      <c r="DZH6" s="29"/>
      <c r="DZI6" s="29"/>
      <c r="DZJ6" s="29"/>
      <c r="DZK6" s="29"/>
      <c r="DZL6" s="29"/>
      <c r="DZM6" s="29"/>
      <c r="DZN6" s="29"/>
      <c r="DZO6" s="29"/>
      <c r="DZP6" s="29"/>
      <c r="DZQ6" s="29"/>
      <c r="DZR6" s="29"/>
      <c r="DZS6" s="29"/>
      <c r="DZT6" s="29"/>
      <c r="DZU6" s="29"/>
      <c r="DZV6" s="29"/>
      <c r="DZW6" s="29"/>
      <c r="DZX6" s="29"/>
      <c r="DZY6" s="29"/>
      <c r="DZZ6" s="29"/>
      <c r="EAA6" s="29"/>
      <c r="EAB6" s="29"/>
      <c r="EAC6" s="29"/>
      <c r="EAD6" s="29"/>
      <c r="EAE6" s="29"/>
      <c r="EAF6" s="29"/>
      <c r="EAG6" s="29"/>
      <c r="EAH6" s="29"/>
      <c r="EAI6" s="29"/>
      <c r="EAJ6" s="29"/>
      <c r="EAK6" s="29"/>
      <c r="EAL6" s="29"/>
      <c r="EAM6" s="29"/>
      <c r="EAN6" s="29"/>
      <c r="EAO6" s="29"/>
      <c r="EAP6" s="29"/>
      <c r="EAQ6" s="29"/>
      <c r="EAR6" s="29"/>
      <c r="EAS6" s="29"/>
      <c r="EAT6" s="29"/>
      <c r="EAU6" s="29"/>
      <c r="EAV6" s="29"/>
      <c r="EAW6" s="29"/>
      <c r="EAX6" s="29"/>
      <c r="EAY6" s="29"/>
      <c r="EAZ6" s="29"/>
      <c r="EBA6" s="29"/>
      <c r="EBB6" s="29"/>
      <c r="EBC6" s="29"/>
      <c r="EBD6" s="29"/>
      <c r="EBE6" s="29"/>
      <c r="EBF6" s="29"/>
      <c r="EBG6" s="29"/>
      <c r="EBH6" s="29"/>
      <c r="EBI6" s="29"/>
      <c r="EBJ6" s="29"/>
      <c r="EBK6" s="29"/>
      <c r="EBL6" s="29"/>
      <c r="EBM6" s="29"/>
      <c r="EBN6" s="29"/>
      <c r="EBO6" s="29"/>
      <c r="EBP6" s="29"/>
      <c r="EBQ6" s="29"/>
      <c r="EBR6" s="29"/>
      <c r="EBS6" s="29"/>
      <c r="EBT6" s="29"/>
      <c r="EBU6" s="29"/>
      <c r="EBV6" s="29"/>
      <c r="EBW6" s="29"/>
      <c r="EBX6" s="29"/>
      <c r="EBY6" s="29"/>
      <c r="EBZ6" s="29"/>
      <c r="ECA6" s="29"/>
      <c r="ECB6" s="29"/>
      <c r="ECC6" s="29"/>
      <c r="ECD6" s="29"/>
      <c r="ECE6" s="29"/>
      <c r="ECF6" s="29"/>
      <c r="ECG6" s="29"/>
      <c r="ECH6" s="29"/>
      <c r="ECI6" s="29"/>
      <c r="ECJ6" s="29"/>
      <c r="ECK6" s="29"/>
      <c r="ECL6" s="29"/>
      <c r="ECM6" s="29"/>
      <c r="ECN6" s="29"/>
      <c r="ECO6" s="29"/>
      <c r="ECP6" s="29"/>
      <c r="ECQ6" s="29"/>
      <c r="ECR6" s="29"/>
      <c r="ECS6" s="29"/>
      <c r="ECT6" s="29"/>
      <c r="ECU6" s="29"/>
      <c r="ECV6" s="29"/>
      <c r="ECW6" s="29"/>
      <c r="ECX6" s="29"/>
      <c r="ECY6" s="29"/>
      <c r="ECZ6" s="29"/>
      <c r="EDA6" s="29"/>
      <c r="EDB6" s="29"/>
      <c r="EDC6" s="29"/>
      <c r="EDD6" s="29"/>
      <c r="EDE6" s="29"/>
      <c r="EDF6" s="29"/>
      <c r="EDG6" s="29"/>
      <c r="EDH6" s="29"/>
      <c r="EDI6" s="29"/>
      <c r="EDJ6" s="29"/>
      <c r="EDK6" s="29"/>
      <c r="EDL6" s="29"/>
      <c r="EDM6" s="29"/>
      <c r="EDN6" s="29"/>
      <c r="EDO6" s="29"/>
      <c r="EDP6" s="29"/>
      <c r="EDQ6" s="29"/>
      <c r="EDR6" s="29"/>
      <c r="EDS6" s="29"/>
      <c r="EDT6" s="29"/>
      <c r="EDU6" s="29"/>
      <c r="EDV6" s="29"/>
      <c r="EDW6" s="29"/>
      <c r="EDX6" s="29"/>
      <c r="EDY6" s="29"/>
      <c r="EDZ6" s="29"/>
      <c r="EEA6" s="29"/>
      <c r="EEB6" s="29"/>
      <c r="EEC6" s="29"/>
      <c r="EED6" s="29"/>
      <c r="EEE6" s="29"/>
      <c r="EEF6" s="29"/>
      <c r="EEG6" s="29"/>
      <c r="EEH6" s="29"/>
      <c r="EEI6" s="29"/>
      <c r="EEJ6" s="29"/>
      <c r="EEK6" s="29"/>
      <c r="EEL6" s="29"/>
      <c r="EEM6" s="29"/>
      <c r="EEN6" s="29"/>
      <c r="EEO6" s="29"/>
      <c r="EEP6" s="29"/>
      <c r="EEQ6" s="29"/>
      <c r="EER6" s="29"/>
      <c r="EES6" s="29"/>
      <c r="EET6" s="29"/>
      <c r="EEU6" s="29"/>
      <c r="EEV6" s="29"/>
      <c r="EEW6" s="29"/>
      <c r="EEX6" s="29"/>
      <c r="EEY6" s="29"/>
      <c r="EEZ6" s="29"/>
      <c r="EFA6" s="29"/>
      <c r="EFB6" s="29"/>
      <c r="EFC6" s="29"/>
      <c r="EFD6" s="29"/>
      <c r="EFE6" s="29"/>
      <c r="EFF6" s="29"/>
      <c r="EFG6" s="29"/>
      <c r="EFH6" s="29"/>
      <c r="EFI6" s="29"/>
      <c r="EFJ6" s="29"/>
      <c r="EFK6" s="29"/>
      <c r="EFL6" s="29"/>
      <c r="EFM6" s="29"/>
      <c r="EFN6" s="29"/>
      <c r="EFO6" s="29"/>
      <c r="EFP6" s="29"/>
      <c r="EFQ6" s="29"/>
      <c r="EFR6" s="29"/>
      <c r="EFS6" s="29"/>
      <c r="EFT6" s="29"/>
      <c r="EFU6" s="29"/>
      <c r="EFV6" s="29"/>
      <c r="EFW6" s="29"/>
      <c r="EFX6" s="29"/>
      <c r="EFY6" s="29"/>
      <c r="EFZ6" s="29"/>
      <c r="EGA6" s="29"/>
      <c r="EGB6" s="29"/>
      <c r="EGC6" s="29"/>
      <c r="EGD6" s="29"/>
      <c r="EGE6" s="29"/>
      <c r="EGF6" s="29"/>
      <c r="EGG6" s="29"/>
      <c r="EGH6" s="29"/>
      <c r="EGI6" s="29"/>
      <c r="EGJ6" s="29"/>
      <c r="EGK6" s="29"/>
      <c r="EGL6" s="29"/>
      <c r="EGM6" s="29"/>
      <c r="EGN6" s="29"/>
      <c r="EGO6" s="29"/>
      <c r="EGP6" s="29"/>
      <c r="EGQ6" s="29"/>
      <c r="EGR6" s="29"/>
      <c r="EGS6" s="29"/>
      <c r="EGT6" s="29"/>
      <c r="EGU6" s="29"/>
      <c r="EGV6" s="29"/>
      <c r="EGW6" s="29"/>
      <c r="EGX6" s="29"/>
      <c r="EGY6" s="29"/>
      <c r="EGZ6" s="29"/>
      <c r="EHA6" s="29"/>
      <c r="EHB6" s="29"/>
      <c r="EHC6" s="29"/>
      <c r="EHD6" s="29"/>
      <c r="EHE6" s="29"/>
      <c r="EHF6" s="29"/>
      <c r="EHG6" s="29"/>
      <c r="EHH6" s="29"/>
      <c r="EHI6" s="29"/>
      <c r="EHJ6" s="29"/>
      <c r="EHK6" s="29"/>
      <c r="EHL6" s="29"/>
      <c r="EHM6" s="29"/>
      <c r="EHN6" s="29"/>
      <c r="EHO6" s="29"/>
      <c r="EHP6" s="29"/>
      <c r="EHQ6" s="29"/>
      <c r="EHR6" s="29"/>
      <c r="EHS6" s="29"/>
      <c r="EHT6" s="29"/>
      <c r="EHU6" s="29"/>
      <c r="EHV6" s="29"/>
      <c r="EHW6" s="29"/>
      <c r="EHX6" s="29"/>
      <c r="EHY6" s="29"/>
      <c r="EHZ6" s="29"/>
      <c r="EIA6" s="29"/>
      <c r="EIB6" s="29"/>
      <c r="EIC6" s="29"/>
      <c r="EID6" s="29"/>
      <c r="EIE6" s="29"/>
      <c r="EIF6" s="29"/>
      <c r="EIG6" s="29"/>
      <c r="EIH6" s="29"/>
      <c r="EII6" s="29"/>
      <c r="EIJ6" s="29"/>
      <c r="EIK6" s="29"/>
      <c r="EIL6" s="29"/>
      <c r="EIM6" s="29"/>
      <c r="EIN6" s="29"/>
      <c r="EIO6" s="29"/>
      <c r="EIP6" s="29"/>
      <c r="EIQ6" s="29"/>
      <c r="EIR6" s="29"/>
      <c r="EIS6" s="29"/>
      <c r="EIT6" s="29"/>
      <c r="EIU6" s="29"/>
      <c r="EIV6" s="29"/>
      <c r="EIW6" s="29"/>
      <c r="EIX6" s="29"/>
      <c r="EIY6" s="29"/>
      <c r="EIZ6" s="29"/>
      <c r="EJA6" s="29"/>
      <c r="EJB6" s="29"/>
      <c r="EJC6" s="29"/>
      <c r="EJD6" s="29"/>
      <c r="EJE6" s="29"/>
      <c r="EJF6" s="29"/>
      <c r="EJG6" s="29"/>
      <c r="EJH6" s="29"/>
      <c r="EJI6" s="29"/>
      <c r="EJJ6" s="29"/>
      <c r="EJK6" s="29"/>
      <c r="EJL6" s="29"/>
      <c r="EJM6" s="29"/>
      <c r="EJN6" s="29"/>
      <c r="EJO6" s="29"/>
      <c r="EJP6" s="29"/>
      <c r="EJQ6" s="29"/>
      <c r="EJR6" s="29"/>
      <c r="EJS6" s="29"/>
      <c r="EJT6" s="29"/>
      <c r="EJU6" s="29"/>
      <c r="EJV6" s="29"/>
      <c r="EJW6" s="29"/>
      <c r="EJX6" s="29"/>
      <c r="EJY6" s="29"/>
      <c r="EJZ6" s="29"/>
      <c r="EKA6" s="29"/>
      <c r="EKB6" s="29"/>
      <c r="EKC6" s="29"/>
      <c r="EKD6" s="29"/>
      <c r="EKE6" s="29"/>
      <c r="EKF6" s="29"/>
      <c r="EKG6" s="29"/>
      <c r="EKH6" s="29"/>
      <c r="EKI6" s="29"/>
      <c r="EKJ6" s="29"/>
      <c r="EKK6" s="29"/>
      <c r="EKL6" s="29"/>
      <c r="EKM6" s="29"/>
      <c r="EKN6" s="29"/>
      <c r="EKO6" s="29"/>
      <c r="EKP6" s="29"/>
      <c r="EKQ6" s="29"/>
      <c r="EKR6" s="29"/>
      <c r="EKS6" s="29"/>
      <c r="EKT6" s="29"/>
      <c r="EKU6" s="29"/>
      <c r="EKV6" s="29"/>
      <c r="EKW6" s="29"/>
      <c r="EKX6" s="29"/>
      <c r="EKY6" s="29"/>
      <c r="EKZ6" s="29"/>
      <c r="ELA6" s="29"/>
      <c r="ELB6" s="29"/>
      <c r="ELC6" s="29"/>
      <c r="ELD6" s="29"/>
      <c r="ELE6" s="29"/>
      <c r="ELF6" s="29"/>
      <c r="ELG6" s="29"/>
      <c r="ELH6" s="29"/>
      <c r="ELI6" s="29"/>
      <c r="ELJ6" s="29"/>
      <c r="ELK6" s="29"/>
      <c r="ELL6" s="29"/>
      <c r="ELM6" s="29"/>
      <c r="ELN6" s="29"/>
      <c r="ELO6" s="29"/>
      <c r="ELP6" s="29"/>
      <c r="ELQ6" s="29"/>
      <c r="ELR6" s="29"/>
      <c r="ELS6" s="29"/>
      <c r="ELT6" s="29"/>
      <c r="ELU6" s="29"/>
      <c r="ELV6" s="29"/>
      <c r="ELW6" s="29"/>
      <c r="ELX6" s="29"/>
      <c r="ELY6" s="29"/>
      <c r="ELZ6" s="29"/>
      <c r="EMA6" s="29"/>
      <c r="EMB6" s="29"/>
      <c r="EMC6" s="29"/>
      <c r="EMD6" s="29"/>
      <c r="EME6" s="29"/>
      <c r="EMF6" s="29"/>
      <c r="EMG6" s="29"/>
      <c r="EMH6" s="29"/>
      <c r="EMI6" s="29"/>
      <c r="EMJ6" s="29"/>
      <c r="EMK6" s="29"/>
      <c r="EML6" s="29"/>
      <c r="EMM6" s="29"/>
      <c r="EMN6" s="29"/>
      <c r="EMO6" s="29"/>
      <c r="EMP6" s="29"/>
      <c r="EMQ6" s="29"/>
      <c r="EMR6" s="29"/>
      <c r="EMS6" s="29"/>
      <c r="EMT6" s="29"/>
      <c r="EMU6" s="29"/>
      <c r="EMV6" s="29"/>
      <c r="EMW6" s="29"/>
      <c r="EMX6" s="29"/>
      <c r="EMY6" s="29"/>
      <c r="EMZ6" s="29"/>
      <c r="ENA6" s="29"/>
      <c r="ENB6" s="29"/>
      <c r="ENC6" s="29"/>
      <c r="END6" s="29"/>
      <c r="ENE6" s="29"/>
      <c r="ENF6" s="29"/>
      <c r="ENG6" s="29"/>
      <c r="ENH6" s="29"/>
      <c r="ENI6" s="29"/>
      <c r="ENJ6" s="29"/>
      <c r="ENK6" s="29"/>
      <c r="ENL6" s="29"/>
      <c r="ENM6" s="29"/>
      <c r="ENN6" s="29"/>
      <c r="ENO6" s="29"/>
      <c r="ENP6" s="29"/>
      <c r="ENQ6" s="29"/>
      <c r="ENR6" s="29"/>
      <c r="ENS6" s="29"/>
      <c r="ENT6" s="29"/>
      <c r="ENU6" s="29"/>
      <c r="ENV6" s="29"/>
      <c r="ENW6" s="29"/>
      <c r="ENX6" s="29"/>
      <c r="ENY6" s="29"/>
      <c r="ENZ6" s="29"/>
      <c r="EOA6" s="29"/>
      <c r="EOB6" s="29"/>
      <c r="EOC6" s="29"/>
      <c r="EOD6" s="29"/>
      <c r="EOE6" s="29"/>
      <c r="EOF6" s="29"/>
      <c r="EOG6" s="29"/>
      <c r="EOH6" s="29"/>
      <c r="EOI6" s="29"/>
      <c r="EOJ6" s="29"/>
      <c r="EOK6" s="29"/>
      <c r="EOL6" s="29"/>
      <c r="EOM6" s="29"/>
      <c r="EON6" s="29"/>
      <c r="EOO6" s="29"/>
      <c r="EOP6" s="29"/>
      <c r="EOQ6" s="29"/>
      <c r="EOR6" s="29"/>
      <c r="EOS6" s="29"/>
      <c r="EOT6" s="29"/>
      <c r="EOU6" s="29"/>
      <c r="EOV6" s="29"/>
      <c r="EOW6" s="29"/>
      <c r="EOX6" s="29"/>
      <c r="EOY6" s="29"/>
      <c r="EOZ6" s="29"/>
      <c r="EPA6" s="29"/>
      <c r="EPB6" s="29"/>
      <c r="EPC6" s="29"/>
      <c r="EPD6" s="29"/>
      <c r="EPE6" s="29"/>
      <c r="EPF6" s="29"/>
      <c r="EPG6" s="29"/>
      <c r="EPH6" s="29"/>
      <c r="EPI6" s="29"/>
      <c r="EPJ6" s="29"/>
      <c r="EPK6" s="29"/>
      <c r="EPL6" s="29"/>
      <c r="EPM6" s="29"/>
      <c r="EPN6" s="29"/>
      <c r="EPO6" s="29"/>
      <c r="EPP6" s="29"/>
      <c r="EPQ6" s="29"/>
      <c r="EPR6" s="29"/>
      <c r="EPS6" s="29"/>
      <c r="EPT6" s="29"/>
      <c r="EPU6" s="29"/>
      <c r="EPV6" s="29"/>
      <c r="EPW6" s="29"/>
      <c r="EPX6" s="29"/>
      <c r="EPY6" s="29"/>
      <c r="EPZ6" s="29"/>
      <c r="EQA6" s="29"/>
      <c r="EQB6" s="29"/>
      <c r="EQC6" s="29"/>
      <c r="EQD6" s="29"/>
      <c r="EQE6" s="29"/>
      <c r="EQF6" s="29"/>
      <c r="EQG6" s="29"/>
      <c r="EQH6" s="29"/>
      <c r="EQI6" s="29"/>
      <c r="EQJ6" s="29"/>
      <c r="EQK6" s="29"/>
      <c r="EQL6" s="29"/>
      <c r="EQM6" s="29"/>
      <c r="EQN6" s="29"/>
      <c r="EQO6" s="29"/>
      <c r="EQP6" s="29"/>
      <c r="EQQ6" s="29"/>
      <c r="EQR6" s="29"/>
      <c r="EQS6" s="29"/>
      <c r="EQT6" s="29"/>
      <c r="EQU6" s="29"/>
      <c r="EQV6" s="29"/>
      <c r="EQW6" s="29"/>
      <c r="EQX6" s="29"/>
      <c r="EQY6" s="29"/>
      <c r="EQZ6" s="29"/>
      <c r="ERA6" s="29"/>
      <c r="ERB6" s="29"/>
      <c r="ERC6" s="29"/>
      <c r="ERD6" s="29"/>
      <c r="ERE6" s="29"/>
      <c r="ERF6" s="29"/>
      <c r="ERG6" s="29"/>
      <c r="ERH6" s="29"/>
      <c r="ERI6" s="29"/>
      <c r="ERJ6" s="29"/>
      <c r="ERK6" s="29"/>
      <c r="ERL6" s="29"/>
      <c r="ERM6" s="29"/>
      <c r="ERN6" s="29"/>
      <c r="ERO6" s="29"/>
      <c r="ERP6" s="29"/>
      <c r="ERQ6" s="29"/>
      <c r="ERR6" s="29"/>
      <c r="ERS6" s="29"/>
      <c r="ERT6" s="29"/>
      <c r="ERU6" s="29"/>
      <c r="ERV6" s="29"/>
      <c r="ERW6" s="29"/>
      <c r="ERX6" s="29"/>
      <c r="ERY6" s="29"/>
      <c r="ERZ6" s="29"/>
      <c r="ESA6" s="29"/>
      <c r="ESB6" s="29"/>
      <c r="ESC6" s="29"/>
      <c r="ESD6" s="29"/>
      <c r="ESE6" s="29"/>
      <c r="ESF6" s="29"/>
      <c r="ESG6" s="29"/>
      <c r="ESH6" s="29"/>
      <c r="ESI6" s="29"/>
      <c r="ESJ6" s="29"/>
      <c r="ESK6" s="29"/>
      <c r="ESL6" s="29"/>
      <c r="ESM6" s="29"/>
      <c r="ESN6" s="29"/>
      <c r="ESO6" s="29"/>
      <c r="ESP6" s="29"/>
      <c r="ESQ6" s="29"/>
      <c r="ESR6" s="29"/>
      <c r="ESS6" s="29"/>
      <c r="EST6" s="29"/>
      <c r="ESU6" s="29"/>
      <c r="ESV6" s="29"/>
      <c r="ESW6" s="29"/>
      <c r="ESX6" s="29"/>
      <c r="ESY6" s="29"/>
      <c r="ESZ6" s="29"/>
      <c r="ETA6" s="29"/>
      <c r="ETB6" s="29"/>
      <c r="ETC6" s="29"/>
      <c r="ETD6" s="29"/>
      <c r="ETE6" s="29"/>
      <c r="ETF6" s="29"/>
      <c r="ETG6" s="29"/>
      <c r="ETH6" s="29"/>
      <c r="ETI6" s="29"/>
      <c r="ETJ6" s="29"/>
      <c r="ETK6" s="29"/>
      <c r="ETL6" s="29"/>
      <c r="ETM6" s="29"/>
      <c r="ETN6" s="29"/>
      <c r="ETO6" s="29"/>
      <c r="ETP6" s="29"/>
      <c r="ETQ6" s="29"/>
      <c r="ETR6" s="29"/>
      <c r="ETS6" s="29"/>
      <c r="ETT6" s="29"/>
      <c r="ETU6" s="29"/>
      <c r="ETV6" s="29"/>
      <c r="ETW6" s="29"/>
      <c r="ETX6" s="29"/>
      <c r="ETY6" s="29"/>
      <c r="ETZ6" s="29"/>
      <c r="EUA6" s="29"/>
      <c r="EUB6" s="29"/>
      <c r="EUC6" s="29"/>
      <c r="EUD6" s="29"/>
      <c r="EUE6" s="29"/>
      <c r="EUF6" s="29"/>
      <c r="EUG6" s="29"/>
      <c r="EUH6" s="29"/>
      <c r="EUI6" s="29"/>
      <c r="EUJ6" s="29"/>
      <c r="EUK6" s="29"/>
      <c r="EUL6" s="29"/>
      <c r="EUM6" s="29"/>
      <c r="EUN6" s="29"/>
      <c r="EUO6" s="29"/>
      <c r="EUP6" s="29"/>
      <c r="EUQ6" s="29"/>
      <c r="EUR6" s="29"/>
      <c r="EUS6" s="29"/>
      <c r="EUT6" s="29"/>
      <c r="EUU6" s="29"/>
      <c r="EUV6" s="29"/>
      <c r="EUW6" s="29"/>
      <c r="EUX6" s="29"/>
      <c r="EUY6" s="29"/>
      <c r="EUZ6" s="29"/>
      <c r="EVA6" s="29"/>
      <c r="EVB6" s="29"/>
      <c r="EVC6" s="29"/>
      <c r="EVD6" s="29"/>
      <c r="EVE6" s="29"/>
      <c r="EVF6" s="29"/>
      <c r="EVG6" s="29"/>
      <c r="EVH6" s="29"/>
      <c r="EVI6" s="29"/>
      <c r="EVJ6" s="29"/>
      <c r="EVK6" s="29"/>
      <c r="EVL6" s="29"/>
      <c r="EVM6" s="29"/>
      <c r="EVN6" s="29"/>
      <c r="EVO6" s="29"/>
      <c r="EVP6" s="29"/>
      <c r="EVQ6" s="29"/>
      <c r="EVR6" s="29"/>
      <c r="EVS6" s="29"/>
      <c r="EVT6" s="29"/>
      <c r="EVU6" s="29"/>
      <c r="EVV6" s="29"/>
      <c r="EVW6" s="29"/>
      <c r="EVX6" s="29"/>
      <c r="EVY6" s="29"/>
      <c r="EVZ6" s="29"/>
      <c r="EWA6" s="29"/>
      <c r="EWB6" s="29"/>
      <c r="EWC6" s="29"/>
      <c r="EWD6" s="29"/>
      <c r="EWE6" s="29"/>
      <c r="EWF6" s="29"/>
      <c r="EWG6" s="29"/>
      <c r="EWH6" s="29"/>
      <c r="EWI6" s="29"/>
      <c r="EWJ6" s="29"/>
      <c r="EWK6" s="29"/>
      <c r="EWL6" s="29"/>
      <c r="EWM6" s="29"/>
      <c r="EWN6" s="29"/>
      <c r="EWO6" s="29"/>
      <c r="EWP6" s="29"/>
      <c r="EWQ6" s="29"/>
      <c r="EWR6" s="29"/>
      <c r="EWS6" s="29"/>
      <c r="EWT6" s="29"/>
      <c r="EWU6" s="29"/>
      <c r="EWV6" s="29"/>
      <c r="EWW6" s="29"/>
      <c r="EWX6" s="29"/>
      <c r="EWY6" s="29"/>
      <c r="EWZ6" s="29"/>
      <c r="EXA6" s="29"/>
      <c r="EXB6" s="29"/>
      <c r="EXC6" s="29"/>
      <c r="EXD6" s="29"/>
      <c r="EXE6" s="29"/>
      <c r="EXF6" s="29"/>
      <c r="EXG6" s="29"/>
      <c r="EXH6" s="29"/>
      <c r="EXI6" s="29"/>
      <c r="EXJ6" s="29"/>
      <c r="EXK6" s="29"/>
      <c r="EXL6" s="29"/>
      <c r="EXM6" s="29"/>
      <c r="EXN6" s="29"/>
      <c r="EXO6" s="29"/>
      <c r="EXP6" s="29"/>
      <c r="EXQ6" s="29"/>
      <c r="EXR6" s="29"/>
      <c r="EXS6" s="29"/>
      <c r="EXT6" s="29"/>
      <c r="EXU6" s="29"/>
      <c r="EXV6" s="29"/>
      <c r="EXW6" s="29"/>
      <c r="EXX6" s="29"/>
      <c r="EXY6" s="29"/>
      <c r="EXZ6" s="29"/>
      <c r="EYA6" s="29"/>
      <c r="EYB6" s="29"/>
      <c r="EYC6" s="29"/>
      <c r="EYD6" s="29"/>
      <c r="EYE6" s="29"/>
      <c r="EYF6" s="29"/>
      <c r="EYG6" s="29"/>
      <c r="EYH6" s="29"/>
      <c r="EYI6" s="29"/>
      <c r="EYJ6" s="29"/>
      <c r="EYK6" s="29"/>
      <c r="EYL6" s="29"/>
      <c r="EYM6" s="29"/>
      <c r="EYN6" s="29"/>
      <c r="EYO6" s="29"/>
      <c r="EYP6" s="29"/>
      <c r="EYQ6" s="29"/>
      <c r="EYR6" s="29"/>
      <c r="EYS6" s="29"/>
      <c r="EYT6" s="29"/>
      <c r="EYU6" s="29"/>
      <c r="EYV6" s="29"/>
      <c r="EYW6" s="29"/>
      <c r="EYX6" s="29"/>
      <c r="EYY6" s="29"/>
      <c r="EYZ6" s="29"/>
      <c r="EZA6" s="29"/>
      <c r="EZB6" s="29"/>
      <c r="EZC6" s="29"/>
      <c r="EZD6" s="29"/>
      <c r="EZE6" s="29"/>
      <c r="EZF6" s="29"/>
      <c r="EZG6" s="29"/>
      <c r="EZH6" s="29"/>
      <c r="EZI6" s="29"/>
      <c r="EZJ6" s="29"/>
      <c r="EZK6" s="29"/>
      <c r="EZL6" s="29"/>
      <c r="EZM6" s="29"/>
      <c r="EZN6" s="29"/>
      <c r="EZO6" s="29"/>
      <c r="EZP6" s="29"/>
      <c r="EZQ6" s="29"/>
      <c r="EZR6" s="29"/>
      <c r="EZS6" s="29"/>
      <c r="EZT6" s="29"/>
      <c r="EZU6" s="29"/>
      <c r="EZV6" s="29"/>
      <c r="EZW6" s="29"/>
      <c r="EZX6" s="29"/>
      <c r="EZY6" s="29"/>
      <c r="EZZ6" s="29"/>
      <c r="FAA6" s="29"/>
      <c r="FAB6" s="29"/>
      <c r="FAC6" s="29"/>
      <c r="FAD6" s="29"/>
      <c r="FAE6" s="29"/>
      <c r="FAF6" s="29"/>
      <c r="FAG6" s="29"/>
      <c r="FAH6" s="29"/>
      <c r="FAI6" s="29"/>
      <c r="FAJ6" s="29"/>
      <c r="FAK6" s="29"/>
      <c r="FAL6" s="29"/>
      <c r="FAM6" s="29"/>
      <c r="FAN6" s="29"/>
      <c r="FAO6" s="29"/>
      <c r="FAP6" s="29"/>
      <c r="FAQ6" s="29"/>
      <c r="FAR6" s="29"/>
      <c r="FAS6" s="29"/>
      <c r="FAT6" s="29"/>
      <c r="FAU6" s="29"/>
      <c r="FAV6" s="29"/>
      <c r="FAW6" s="29"/>
      <c r="FAX6" s="29"/>
      <c r="FAY6" s="29"/>
      <c r="FAZ6" s="29"/>
      <c r="FBA6" s="29"/>
      <c r="FBB6" s="29"/>
      <c r="FBC6" s="29"/>
      <c r="FBD6" s="29"/>
      <c r="FBE6" s="29"/>
      <c r="FBF6" s="29"/>
      <c r="FBG6" s="29"/>
      <c r="FBH6" s="29"/>
      <c r="FBI6" s="29"/>
      <c r="FBJ6" s="29"/>
      <c r="FBK6" s="29"/>
      <c r="FBL6" s="29"/>
      <c r="FBM6" s="29"/>
      <c r="FBN6" s="29"/>
      <c r="FBO6" s="29"/>
      <c r="FBP6" s="29"/>
      <c r="FBQ6" s="29"/>
      <c r="FBR6" s="29"/>
      <c r="FBS6" s="29"/>
      <c r="FBT6" s="29"/>
      <c r="FBU6" s="29"/>
      <c r="FBV6" s="29"/>
      <c r="FBW6" s="29"/>
      <c r="FBX6" s="29"/>
      <c r="FBY6" s="29"/>
      <c r="FBZ6" s="29"/>
      <c r="FCA6" s="29"/>
      <c r="FCB6" s="29"/>
      <c r="FCC6" s="29"/>
      <c r="FCD6" s="29"/>
      <c r="FCE6" s="29"/>
      <c r="FCF6" s="29"/>
      <c r="FCG6" s="29"/>
      <c r="FCH6" s="29"/>
      <c r="FCI6" s="29"/>
      <c r="FCJ6" s="29"/>
      <c r="FCK6" s="29"/>
      <c r="FCL6" s="29"/>
      <c r="FCM6" s="29"/>
      <c r="FCN6" s="29"/>
      <c r="FCO6" s="29"/>
      <c r="FCP6" s="29"/>
      <c r="FCQ6" s="29"/>
      <c r="FCR6" s="29"/>
      <c r="FCS6" s="29"/>
      <c r="FCT6" s="29"/>
      <c r="FCU6" s="29"/>
      <c r="FCV6" s="29"/>
      <c r="FCW6" s="29"/>
      <c r="FCX6" s="29"/>
      <c r="FCY6" s="29"/>
      <c r="FCZ6" s="29"/>
      <c r="FDA6" s="29"/>
      <c r="FDB6" s="29"/>
      <c r="FDC6" s="29"/>
      <c r="FDD6" s="29"/>
      <c r="FDE6" s="29"/>
      <c r="FDF6" s="29"/>
      <c r="FDG6" s="29"/>
      <c r="FDH6" s="29"/>
      <c r="FDI6" s="29"/>
      <c r="FDJ6" s="29"/>
      <c r="FDK6" s="29"/>
      <c r="FDL6" s="29"/>
      <c r="FDM6" s="29"/>
      <c r="FDN6" s="29"/>
      <c r="FDO6" s="29"/>
      <c r="FDP6" s="29"/>
      <c r="FDQ6" s="29"/>
      <c r="FDR6" s="29"/>
      <c r="FDS6" s="29"/>
      <c r="FDT6" s="29"/>
      <c r="FDU6" s="29"/>
      <c r="FDV6" s="29"/>
      <c r="FDW6" s="29"/>
      <c r="FDX6" s="29"/>
      <c r="FDY6" s="29"/>
      <c r="FDZ6" s="29"/>
      <c r="FEA6" s="29"/>
      <c r="FEB6" s="29"/>
      <c r="FEC6" s="29"/>
      <c r="FED6" s="29"/>
      <c r="FEE6" s="29"/>
      <c r="FEF6" s="29"/>
      <c r="FEG6" s="29"/>
      <c r="FEH6" s="29"/>
      <c r="FEI6" s="29"/>
      <c r="FEJ6" s="29"/>
      <c r="FEK6" s="29"/>
      <c r="FEL6" s="29"/>
      <c r="FEM6" s="29"/>
      <c r="FEN6" s="29"/>
      <c r="FEO6" s="29"/>
      <c r="FEP6" s="29"/>
      <c r="FEQ6" s="29"/>
      <c r="FER6" s="29"/>
      <c r="FES6" s="29"/>
      <c r="FET6" s="29"/>
      <c r="FEU6" s="29"/>
      <c r="FEV6" s="29"/>
      <c r="FEW6" s="29"/>
      <c r="FEX6" s="29"/>
      <c r="FEY6" s="29"/>
      <c r="FEZ6" s="29"/>
      <c r="FFA6" s="29"/>
      <c r="FFB6" s="29"/>
      <c r="FFC6" s="29"/>
      <c r="FFD6" s="29"/>
      <c r="FFE6" s="29"/>
      <c r="FFF6" s="29"/>
      <c r="FFG6" s="29"/>
      <c r="FFH6" s="29"/>
      <c r="FFI6" s="29"/>
      <c r="FFJ6" s="29"/>
      <c r="FFK6" s="29"/>
      <c r="FFL6" s="29"/>
      <c r="FFM6" s="29"/>
      <c r="FFN6" s="29"/>
      <c r="FFO6" s="29"/>
      <c r="FFP6" s="29"/>
      <c r="FFQ6" s="29"/>
      <c r="FFR6" s="29"/>
      <c r="FFS6" s="29"/>
      <c r="FFT6" s="29"/>
      <c r="FFU6" s="29"/>
      <c r="FFV6" s="29"/>
      <c r="FFW6" s="29"/>
      <c r="FFX6" s="29"/>
      <c r="FFY6" s="29"/>
      <c r="FFZ6" s="29"/>
      <c r="FGA6" s="29"/>
      <c r="FGB6" s="29"/>
      <c r="FGC6" s="29"/>
      <c r="FGD6" s="29"/>
      <c r="FGE6" s="29"/>
      <c r="FGF6" s="29"/>
      <c r="FGG6" s="29"/>
      <c r="FGH6" s="29"/>
      <c r="FGI6" s="29"/>
      <c r="FGJ6" s="29"/>
      <c r="FGK6" s="29"/>
      <c r="FGL6" s="29"/>
      <c r="FGM6" s="29"/>
      <c r="FGN6" s="29"/>
      <c r="FGO6" s="29"/>
      <c r="FGP6" s="29"/>
      <c r="FGQ6" s="29"/>
      <c r="FGR6" s="29"/>
      <c r="FGS6" s="29"/>
      <c r="FGT6" s="29"/>
      <c r="FGU6" s="29"/>
      <c r="FGV6" s="29"/>
      <c r="FGW6" s="29"/>
      <c r="FGX6" s="29"/>
      <c r="FGY6" s="29"/>
      <c r="FGZ6" s="29"/>
      <c r="FHA6" s="29"/>
      <c r="FHB6" s="29"/>
      <c r="FHC6" s="29"/>
      <c r="FHD6" s="29"/>
      <c r="FHE6" s="29"/>
      <c r="FHF6" s="29"/>
      <c r="FHG6" s="29"/>
      <c r="FHH6" s="29"/>
      <c r="FHI6" s="29"/>
      <c r="FHJ6" s="29"/>
      <c r="FHK6" s="29"/>
      <c r="FHL6" s="29"/>
      <c r="FHM6" s="29"/>
      <c r="FHN6" s="29"/>
      <c r="FHO6" s="29"/>
      <c r="FHP6" s="29"/>
      <c r="FHQ6" s="29"/>
      <c r="FHR6" s="29"/>
      <c r="FHS6" s="29"/>
      <c r="FHT6" s="29"/>
      <c r="FHU6" s="29"/>
      <c r="FHV6" s="29"/>
      <c r="FHW6" s="29"/>
      <c r="FHX6" s="29"/>
      <c r="FHY6" s="29"/>
      <c r="FHZ6" s="29"/>
      <c r="FIA6" s="29"/>
      <c r="FIB6" s="29"/>
      <c r="FIC6" s="29"/>
      <c r="FID6" s="29"/>
      <c r="FIE6" s="29"/>
      <c r="FIF6" s="29"/>
      <c r="FIG6" s="29"/>
      <c r="FIH6" s="29"/>
      <c r="FII6" s="29"/>
      <c r="FIJ6" s="29"/>
      <c r="FIK6" s="29"/>
      <c r="FIL6" s="29"/>
      <c r="FIM6" s="29"/>
      <c r="FIN6" s="29"/>
      <c r="FIO6" s="29"/>
      <c r="FIP6" s="29"/>
      <c r="FIQ6" s="29"/>
      <c r="FIR6" s="29"/>
      <c r="FIS6" s="29"/>
      <c r="FIT6" s="29"/>
      <c r="FIU6" s="29"/>
      <c r="FIV6" s="29"/>
      <c r="FIW6" s="29"/>
      <c r="FIX6" s="29"/>
      <c r="FIY6" s="29"/>
      <c r="FIZ6" s="29"/>
      <c r="FJA6" s="29"/>
      <c r="FJB6" s="29"/>
      <c r="FJC6" s="29"/>
      <c r="FJD6" s="29"/>
      <c r="FJE6" s="29"/>
      <c r="FJF6" s="29"/>
      <c r="FJG6" s="29"/>
      <c r="FJH6" s="29"/>
      <c r="FJI6" s="29"/>
      <c r="FJJ6" s="29"/>
      <c r="FJK6" s="29"/>
      <c r="FJL6" s="29"/>
      <c r="FJM6" s="29"/>
      <c r="FJN6" s="29"/>
      <c r="FJO6" s="29"/>
      <c r="FJP6" s="29"/>
      <c r="FJQ6" s="29"/>
      <c r="FJR6" s="29"/>
      <c r="FJS6" s="29"/>
      <c r="FJT6" s="29"/>
      <c r="FJU6" s="29"/>
      <c r="FJV6" s="29"/>
      <c r="FJW6" s="29"/>
      <c r="FJX6" s="29"/>
      <c r="FJY6" s="29"/>
      <c r="FJZ6" s="29"/>
      <c r="FKA6" s="29"/>
      <c r="FKB6" s="29"/>
      <c r="FKC6" s="29"/>
      <c r="FKD6" s="29"/>
      <c r="FKE6" s="29"/>
      <c r="FKF6" s="29"/>
      <c r="FKG6" s="29"/>
      <c r="FKH6" s="29"/>
      <c r="FKI6" s="29"/>
      <c r="FKJ6" s="29"/>
      <c r="FKK6" s="29"/>
      <c r="FKL6" s="29"/>
      <c r="FKM6" s="29"/>
      <c r="FKN6" s="29"/>
      <c r="FKO6" s="29"/>
      <c r="FKP6" s="29"/>
      <c r="FKQ6" s="29"/>
      <c r="FKR6" s="29"/>
      <c r="FKS6" s="29"/>
      <c r="FKT6" s="29"/>
      <c r="FKU6" s="29"/>
      <c r="FKV6" s="29"/>
      <c r="FKW6" s="29"/>
      <c r="FKX6" s="29"/>
      <c r="FKY6" s="29"/>
      <c r="FKZ6" s="29"/>
      <c r="FLA6" s="29"/>
      <c r="FLB6" s="29"/>
      <c r="FLC6" s="29"/>
      <c r="FLD6" s="29"/>
      <c r="FLE6" s="29"/>
      <c r="FLF6" s="29"/>
      <c r="FLG6" s="29"/>
      <c r="FLH6" s="29"/>
      <c r="FLI6" s="29"/>
      <c r="FLJ6" s="29"/>
      <c r="FLK6" s="29"/>
      <c r="FLL6" s="29"/>
      <c r="FLM6" s="29"/>
      <c r="FLN6" s="29"/>
      <c r="FLO6" s="29"/>
      <c r="FLP6" s="29"/>
      <c r="FLQ6" s="29"/>
      <c r="FLR6" s="29"/>
      <c r="FLS6" s="29"/>
      <c r="FLT6" s="29"/>
      <c r="FLU6" s="29"/>
      <c r="FLV6" s="29"/>
      <c r="FLW6" s="29"/>
      <c r="FLX6" s="29"/>
      <c r="FLY6" s="29"/>
      <c r="FLZ6" s="29"/>
      <c r="FMA6" s="29"/>
      <c r="FMB6" s="29"/>
      <c r="FMC6" s="29"/>
      <c r="FMD6" s="29"/>
      <c r="FME6" s="29"/>
      <c r="FMF6" s="29"/>
      <c r="FMG6" s="29"/>
      <c r="FMH6" s="29"/>
      <c r="FMI6" s="29"/>
      <c r="FMJ6" s="29"/>
      <c r="FMK6" s="29"/>
      <c r="FML6" s="29"/>
      <c r="FMM6" s="29"/>
      <c r="FMN6" s="29"/>
      <c r="FMO6" s="29"/>
      <c r="FMP6" s="29"/>
      <c r="FMQ6" s="29"/>
      <c r="FMR6" s="29"/>
      <c r="FMS6" s="29"/>
      <c r="FMT6" s="29"/>
      <c r="FMU6" s="29"/>
      <c r="FMV6" s="29"/>
      <c r="FMW6" s="29"/>
      <c r="FMX6" s="29"/>
      <c r="FMY6" s="29"/>
      <c r="FMZ6" s="29"/>
      <c r="FNA6" s="29"/>
      <c r="FNB6" s="29"/>
      <c r="FNC6" s="29"/>
      <c r="FND6" s="29"/>
      <c r="FNE6" s="29"/>
      <c r="FNF6" s="29"/>
      <c r="FNG6" s="29"/>
      <c r="FNH6" s="29"/>
      <c r="FNI6" s="29"/>
      <c r="FNJ6" s="29"/>
      <c r="FNK6" s="29"/>
      <c r="FNL6" s="29"/>
      <c r="FNM6" s="29"/>
      <c r="FNN6" s="29"/>
      <c r="FNO6" s="29"/>
      <c r="FNP6" s="29"/>
      <c r="FNQ6" s="29"/>
      <c r="FNR6" s="29"/>
      <c r="FNS6" s="29"/>
      <c r="FNT6" s="29"/>
      <c r="FNU6" s="29"/>
      <c r="FNV6" s="29"/>
      <c r="FNW6" s="29"/>
      <c r="FNX6" s="29"/>
      <c r="FNY6" s="29"/>
      <c r="FNZ6" s="29"/>
      <c r="FOA6" s="29"/>
      <c r="FOB6" s="29"/>
      <c r="FOC6" s="29"/>
      <c r="FOD6" s="29"/>
      <c r="FOE6" s="29"/>
      <c r="FOF6" s="29"/>
      <c r="FOG6" s="29"/>
      <c r="FOH6" s="29"/>
      <c r="FOI6" s="29"/>
      <c r="FOJ6" s="29"/>
      <c r="FOK6" s="29"/>
      <c r="FOL6" s="29"/>
      <c r="FOM6" s="29"/>
      <c r="FON6" s="29"/>
      <c r="FOO6" s="29"/>
      <c r="FOP6" s="29"/>
      <c r="FOQ6" s="29"/>
      <c r="FOR6" s="29"/>
      <c r="FOS6" s="29"/>
      <c r="FOT6" s="29"/>
      <c r="FOU6" s="29"/>
      <c r="FOV6" s="29"/>
      <c r="FOW6" s="29"/>
      <c r="FOX6" s="29"/>
      <c r="FOY6" s="29"/>
      <c r="FOZ6" s="29"/>
      <c r="FPA6" s="29"/>
      <c r="FPB6" s="29"/>
      <c r="FPC6" s="29"/>
      <c r="FPD6" s="29"/>
      <c r="FPE6" s="29"/>
      <c r="FPF6" s="29"/>
      <c r="FPG6" s="29"/>
      <c r="FPH6" s="29"/>
      <c r="FPI6" s="29"/>
      <c r="FPJ6" s="29"/>
      <c r="FPK6" s="29"/>
      <c r="FPL6" s="29"/>
      <c r="FPM6" s="29"/>
      <c r="FPN6" s="29"/>
      <c r="FPO6" s="29"/>
      <c r="FPP6" s="29"/>
      <c r="FPQ6" s="29"/>
      <c r="FPR6" s="29"/>
      <c r="FPS6" s="29"/>
      <c r="FPT6" s="29"/>
      <c r="FPU6" s="29"/>
      <c r="FPV6" s="29"/>
      <c r="FPW6" s="29"/>
      <c r="FPX6" s="29"/>
      <c r="FPY6" s="29"/>
      <c r="FPZ6" s="29"/>
      <c r="FQA6" s="29"/>
      <c r="FQB6" s="29"/>
      <c r="FQC6" s="29"/>
      <c r="FQD6" s="29"/>
      <c r="FQE6" s="29"/>
      <c r="FQF6" s="29"/>
      <c r="FQG6" s="29"/>
      <c r="FQH6" s="29"/>
      <c r="FQI6" s="29"/>
      <c r="FQJ6" s="29"/>
      <c r="FQK6" s="29"/>
      <c r="FQL6" s="29"/>
      <c r="FQM6" s="29"/>
      <c r="FQN6" s="29"/>
      <c r="FQO6" s="29"/>
      <c r="FQP6" s="29"/>
      <c r="FQQ6" s="29"/>
      <c r="FQR6" s="29"/>
      <c r="FQS6" s="29"/>
      <c r="FQT6" s="29"/>
      <c r="FQU6" s="29"/>
      <c r="FQV6" s="29"/>
      <c r="FQW6" s="29"/>
      <c r="FQX6" s="29"/>
      <c r="FQY6" s="29"/>
      <c r="FQZ6" s="29"/>
      <c r="FRA6" s="29"/>
      <c r="FRB6" s="29"/>
      <c r="FRC6" s="29"/>
      <c r="FRD6" s="29"/>
      <c r="FRE6" s="29"/>
      <c r="FRF6" s="29"/>
      <c r="FRG6" s="29"/>
      <c r="FRH6" s="29"/>
      <c r="FRI6" s="29"/>
      <c r="FRJ6" s="29"/>
      <c r="FRK6" s="29"/>
      <c r="FRL6" s="29"/>
      <c r="FRM6" s="29"/>
      <c r="FRN6" s="29"/>
      <c r="FRO6" s="29"/>
      <c r="FRP6" s="29"/>
      <c r="FRQ6" s="29"/>
      <c r="FRR6" s="29"/>
      <c r="FRS6" s="29"/>
      <c r="FRT6" s="29"/>
      <c r="FRU6" s="29"/>
      <c r="FRV6" s="29"/>
      <c r="FRW6" s="29"/>
      <c r="FRX6" s="29"/>
      <c r="FRY6" s="29"/>
      <c r="FRZ6" s="29"/>
      <c r="FSA6" s="29"/>
      <c r="FSB6" s="29"/>
      <c r="FSC6" s="29"/>
      <c r="FSD6" s="29"/>
      <c r="FSE6" s="29"/>
      <c r="FSF6" s="29"/>
      <c r="FSG6" s="29"/>
      <c r="FSH6" s="29"/>
      <c r="FSI6" s="29"/>
      <c r="FSJ6" s="29"/>
      <c r="FSK6" s="29"/>
      <c r="FSL6" s="29"/>
      <c r="FSM6" s="29"/>
      <c r="FSN6" s="29"/>
      <c r="FSO6" s="29"/>
      <c r="FSP6" s="29"/>
      <c r="FSQ6" s="29"/>
      <c r="FSR6" s="29"/>
      <c r="FSS6" s="29"/>
      <c r="FST6" s="29"/>
      <c r="FSU6" s="29"/>
      <c r="FSV6" s="29"/>
      <c r="FSW6" s="29"/>
      <c r="FSX6" s="29"/>
      <c r="FSY6" s="29"/>
      <c r="FSZ6" s="29"/>
      <c r="FTA6" s="29"/>
      <c r="FTB6" s="29"/>
      <c r="FTC6" s="29"/>
      <c r="FTD6" s="29"/>
      <c r="FTE6" s="29"/>
      <c r="FTF6" s="29"/>
      <c r="FTG6" s="29"/>
      <c r="FTH6" s="29"/>
      <c r="FTI6" s="29"/>
      <c r="FTJ6" s="29"/>
      <c r="FTK6" s="29"/>
      <c r="FTL6" s="29"/>
      <c r="FTM6" s="29"/>
      <c r="FTN6" s="29"/>
      <c r="FTO6" s="29"/>
      <c r="FTP6" s="29"/>
      <c r="FTQ6" s="29"/>
      <c r="FTR6" s="29"/>
      <c r="FTS6" s="29"/>
      <c r="FTT6" s="29"/>
      <c r="FTU6" s="29"/>
      <c r="FTV6" s="29"/>
      <c r="FTW6" s="29"/>
      <c r="FTX6" s="29"/>
      <c r="FTY6" s="29"/>
      <c r="FTZ6" s="29"/>
      <c r="FUA6" s="29"/>
      <c r="FUB6" s="29"/>
      <c r="FUC6" s="29"/>
      <c r="FUD6" s="29"/>
      <c r="FUE6" s="29"/>
      <c r="FUF6" s="29"/>
      <c r="FUG6" s="29"/>
      <c r="FUH6" s="29"/>
      <c r="FUI6" s="29"/>
      <c r="FUJ6" s="29"/>
      <c r="FUK6" s="29"/>
      <c r="FUL6" s="29"/>
      <c r="FUM6" s="29"/>
      <c r="FUN6" s="29"/>
      <c r="FUO6" s="29"/>
      <c r="FUP6" s="29"/>
      <c r="FUQ6" s="29"/>
      <c r="FUR6" s="29"/>
      <c r="FUS6" s="29"/>
      <c r="FUT6" s="29"/>
      <c r="FUU6" s="29"/>
      <c r="FUV6" s="29"/>
      <c r="FUW6" s="29"/>
      <c r="FUX6" s="29"/>
      <c r="FUY6" s="29"/>
      <c r="FUZ6" s="29"/>
      <c r="FVA6" s="29"/>
      <c r="FVB6" s="29"/>
      <c r="FVC6" s="29"/>
      <c r="FVD6" s="29"/>
      <c r="FVE6" s="29"/>
      <c r="FVF6" s="29"/>
      <c r="FVG6" s="29"/>
      <c r="FVH6" s="29"/>
      <c r="FVI6" s="29"/>
      <c r="FVJ6" s="29"/>
      <c r="FVK6" s="29"/>
      <c r="FVL6" s="29"/>
      <c r="FVM6" s="29"/>
      <c r="FVN6" s="29"/>
      <c r="FVO6" s="29"/>
      <c r="FVP6" s="29"/>
      <c r="FVQ6" s="29"/>
      <c r="FVR6" s="29"/>
      <c r="FVS6" s="29"/>
      <c r="FVT6" s="29"/>
      <c r="FVU6" s="29"/>
      <c r="FVV6" s="29"/>
      <c r="FVW6" s="29"/>
      <c r="FVX6" s="29"/>
      <c r="FVY6" s="29"/>
      <c r="FVZ6" s="29"/>
      <c r="FWA6" s="29"/>
      <c r="FWB6" s="29"/>
      <c r="FWC6" s="29"/>
      <c r="FWD6" s="29"/>
      <c r="FWE6" s="29"/>
      <c r="FWF6" s="29"/>
      <c r="FWG6" s="29"/>
      <c r="FWH6" s="29"/>
      <c r="FWI6" s="29"/>
      <c r="FWJ6" s="29"/>
      <c r="FWK6" s="29"/>
      <c r="FWL6" s="29"/>
      <c r="FWM6" s="29"/>
      <c r="FWN6" s="29"/>
      <c r="FWO6" s="29"/>
      <c r="FWP6" s="29"/>
      <c r="FWQ6" s="29"/>
      <c r="FWR6" s="29"/>
      <c r="FWS6" s="29"/>
      <c r="FWT6" s="29"/>
      <c r="FWU6" s="29"/>
      <c r="FWV6" s="29"/>
      <c r="FWW6" s="29"/>
      <c r="FWX6" s="29"/>
      <c r="FWY6" s="29"/>
      <c r="FWZ6" s="29"/>
      <c r="FXA6" s="29"/>
      <c r="FXB6" s="29"/>
      <c r="FXC6" s="29"/>
      <c r="FXD6" s="29"/>
      <c r="FXE6" s="29"/>
      <c r="FXF6" s="29"/>
      <c r="FXG6" s="29"/>
      <c r="FXH6" s="29"/>
      <c r="FXI6" s="29"/>
      <c r="FXJ6" s="29"/>
      <c r="FXK6" s="29"/>
      <c r="FXL6" s="29"/>
      <c r="FXM6" s="29"/>
      <c r="FXN6" s="29"/>
      <c r="FXO6" s="29"/>
      <c r="FXP6" s="29"/>
      <c r="FXQ6" s="29"/>
      <c r="FXR6" s="29"/>
      <c r="FXS6" s="29"/>
      <c r="FXT6" s="29"/>
      <c r="FXU6" s="29"/>
      <c r="FXV6" s="29"/>
      <c r="FXW6" s="29"/>
      <c r="FXX6" s="29"/>
      <c r="FXY6" s="29"/>
      <c r="FXZ6" s="29"/>
      <c r="FYA6" s="29"/>
      <c r="FYB6" s="29"/>
      <c r="FYC6" s="29"/>
      <c r="FYD6" s="29"/>
      <c r="FYE6" s="29"/>
      <c r="FYF6" s="29"/>
      <c r="FYG6" s="29"/>
      <c r="FYH6" s="29"/>
      <c r="FYI6" s="29"/>
      <c r="FYJ6" s="29"/>
      <c r="FYK6" s="29"/>
      <c r="FYL6" s="29"/>
      <c r="FYM6" s="29"/>
      <c r="FYN6" s="29"/>
      <c r="FYO6" s="29"/>
      <c r="FYP6" s="29"/>
      <c r="FYQ6" s="29"/>
      <c r="FYR6" s="29"/>
      <c r="FYS6" s="29"/>
      <c r="FYT6" s="29"/>
      <c r="FYU6" s="29"/>
      <c r="FYV6" s="29"/>
      <c r="FYW6" s="29"/>
      <c r="FYX6" s="29"/>
      <c r="FYY6" s="29"/>
      <c r="FYZ6" s="29"/>
      <c r="FZA6" s="29"/>
      <c r="FZB6" s="29"/>
      <c r="FZC6" s="29"/>
      <c r="FZD6" s="29"/>
      <c r="FZE6" s="29"/>
      <c r="FZF6" s="29"/>
      <c r="FZG6" s="29"/>
      <c r="FZH6" s="29"/>
      <c r="FZI6" s="29"/>
      <c r="FZJ6" s="29"/>
      <c r="FZK6" s="29"/>
      <c r="FZL6" s="29"/>
      <c r="FZM6" s="29"/>
      <c r="FZN6" s="29"/>
      <c r="FZO6" s="29"/>
      <c r="FZP6" s="29"/>
      <c r="FZQ6" s="29"/>
      <c r="FZR6" s="29"/>
      <c r="FZS6" s="29"/>
      <c r="FZT6" s="29"/>
      <c r="FZU6" s="29"/>
      <c r="FZV6" s="29"/>
      <c r="FZW6" s="29"/>
      <c r="FZX6" s="29"/>
      <c r="FZY6" s="29"/>
      <c r="FZZ6" s="29"/>
      <c r="GAA6" s="29"/>
      <c r="GAB6" s="29"/>
      <c r="GAC6" s="29"/>
      <c r="GAD6" s="29"/>
      <c r="GAE6" s="29"/>
      <c r="GAF6" s="29"/>
      <c r="GAG6" s="29"/>
      <c r="GAH6" s="29"/>
      <c r="GAI6" s="29"/>
      <c r="GAJ6" s="29"/>
      <c r="GAK6" s="29"/>
      <c r="GAL6" s="29"/>
      <c r="GAM6" s="29"/>
      <c r="GAN6" s="29"/>
      <c r="GAO6" s="29"/>
      <c r="GAP6" s="29"/>
      <c r="GAQ6" s="29"/>
      <c r="GAR6" s="29"/>
      <c r="GAS6" s="29"/>
      <c r="GAT6" s="29"/>
      <c r="GAU6" s="29"/>
      <c r="GAV6" s="29"/>
      <c r="GAW6" s="29"/>
      <c r="GAX6" s="29"/>
      <c r="GAY6" s="29"/>
      <c r="GAZ6" s="29"/>
      <c r="GBA6" s="29"/>
      <c r="GBB6" s="29"/>
      <c r="GBC6" s="29"/>
      <c r="GBD6" s="29"/>
      <c r="GBE6" s="29"/>
      <c r="GBF6" s="29"/>
      <c r="GBG6" s="29"/>
      <c r="GBH6" s="29"/>
      <c r="GBI6" s="29"/>
      <c r="GBJ6" s="29"/>
      <c r="GBK6" s="29"/>
      <c r="GBL6" s="29"/>
      <c r="GBM6" s="29"/>
      <c r="GBN6" s="29"/>
      <c r="GBO6" s="29"/>
      <c r="GBP6" s="29"/>
      <c r="GBQ6" s="29"/>
      <c r="GBR6" s="29"/>
      <c r="GBS6" s="29"/>
      <c r="GBT6" s="29"/>
      <c r="GBU6" s="29"/>
      <c r="GBV6" s="29"/>
      <c r="GBW6" s="29"/>
      <c r="GBX6" s="29"/>
      <c r="GBY6" s="29"/>
      <c r="GBZ6" s="29"/>
      <c r="GCA6" s="29"/>
      <c r="GCB6" s="29"/>
      <c r="GCC6" s="29"/>
      <c r="GCD6" s="29"/>
      <c r="GCE6" s="29"/>
      <c r="GCF6" s="29"/>
      <c r="GCG6" s="29"/>
      <c r="GCH6" s="29"/>
      <c r="GCI6" s="29"/>
      <c r="GCJ6" s="29"/>
      <c r="GCK6" s="29"/>
      <c r="GCL6" s="29"/>
      <c r="GCM6" s="29"/>
      <c r="GCN6" s="29"/>
      <c r="GCO6" s="29"/>
      <c r="GCP6" s="29"/>
      <c r="GCQ6" s="29"/>
      <c r="GCR6" s="29"/>
      <c r="GCS6" s="29"/>
      <c r="GCT6" s="29"/>
      <c r="GCU6" s="29"/>
      <c r="GCV6" s="29"/>
      <c r="GCW6" s="29"/>
      <c r="GCX6" s="29"/>
      <c r="GCY6" s="29"/>
      <c r="GCZ6" s="29"/>
      <c r="GDA6" s="29"/>
      <c r="GDB6" s="29"/>
      <c r="GDC6" s="29"/>
      <c r="GDD6" s="29"/>
      <c r="GDE6" s="29"/>
      <c r="GDF6" s="29"/>
      <c r="GDG6" s="29"/>
      <c r="GDH6" s="29"/>
      <c r="GDI6" s="29"/>
      <c r="GDJ6" s="29"/>
      <c r="GDK6" s="29"/>
      <c r="GDL6" s="29"/>
      <c r="GDM6" s="29"/>
      <c r="GDN6" s="29"/>
      <c r="GDO6" s="29"/>
      <c r="GDP6" s="29"/>
      <c r="GDQ6" s="29"/>
      <c r="GDR6" s="29"/>
      <c r="GDS6" s="29"/>
      <c r="GDT6" s="29"/>
      <c r="GDU6" s="29"/>
      <c r="GDV6" s="29"/>
      <c r="GDW6" s="29"/>
      <c r="GDX6" s="29"/>
      <c r="GDY6" s="29"/>
      <c r="GDZ6" s="29"/>
      <c r="GEA6" s="29"/>
      <c r="GEB6" s="29"/>
      <c r="GEC6" s="29"/>
      <c r="GED6" s="29"/>
      <c r="GEE6" s="29"/>
      <c r="GEF6" s="29"/>
      <c r="GEG6" s="29"/>
      <c r="GEH6" s="29"/>
      <c r="GEI6" s="29"/>
      <c r="GEJ6" s="29"/>
      <c r="GEK6" s="29"/>
      <c r="GEL6" s="29"/>
      <c r="GEM6" s="29"/>
      <c r="GEN6" s="29"/>
      <c r="GEO6" s="29"/>
      <c r="GEP6" s="29"/>
      <c r="GEQ6" s="29"/>
      <c r="GER6" s="29"/>
      <c r="GES6" s="29"/>
      <c r="GET6" s="29"/>
      <c r="GEU6" s="29"/>
      <c r="GEV6" s="29"/>
      <c r="GEW6" s="29"/>
      <c r="GEX6" s="29"/>
      <c r="GEY6" s="29"/>
      <c r="GEZ6" s="29"/>
      <c r="GFA6" s="29"/>
      <c r="GFB6" s="29"/>
      <c r="GFC6" s="29"/>
      <c r="GFD6" s="29"/>
      <c r="GFE6" s="29"/>
      <c r="GFF6" s="29"/>
      <c r="GFG6" s="29"/>
      <c r="GFH6" s="29"/>
      <c r="GFI6" s="29"/>
      <c r="GFJ6" s="29"/>
      <c r="GFK6" s="29"/>
      <c r="GFL6" s="29"/>
      <c r="GFM6" s="29"/>
      <c r="GFN6" s="29"/>
      <c r="GFO6" s="29"/>
      <c r="GFP6" s="29"/>
      <c r="GFQ6" s="29"/>
      <c r="GFR6" s="29"/>
      <c r="GFS6" s="29"/>
      <c r="GFT6" s="29"/>
      <c r="GFU6" s="29"/>
      <c r="GFV6" s="29"/>
      <c r="GFW6" s="29"/>
      <c r="GFX6" s="29"/>
      <c r="GFY6" s="29"/>
      <c r="GFZ6" s="29"/>
      <c r="GGA6" s="29"/>
      <c r="GGB6" s="29"/>
      <c r="GGC6" s="29"/>
      <c r="GGD6" s="29"/>
      <c r="GGE6" s="29"/>
      <c r="GGF6" s="29"/>
      <c r="GGG6" s="29"/>
      <c r="GGH6" s="29"/>
      <c r="GGI6" s="29"/>
      <c r="GGJ6" s="29"/>
      <c r="GGK6" s="29"/>
      <c r="GGL6" s="29"/>
      <c r="GGM6" s="29"/>
      <c r="GGN6" s="29"/>
      <c r="GGO6" s="29"/>
      <c r="GGP6" s="29"/>
      <c r="GGQ6" s="29"/>
      <c r="GGR6" s="29"/>
      <c r="GGS6" s="29"/>
      <c r="GGT6" s="29"/>
      <c r="GGU6" s="29"/>
      <c r="GGV6" s="29"/>
      <c r="GGW6" s="29"/>
      <c r="GGX6" s="29"/>
      <c r="GGY6" s="29"/>
      <c r="GGZ6" s="29"/>
      <c r="GHA6" s="29"/>
      <c r="GHB6" s="29"/>
      <c r="GHC6" s="29"/>
      <c r="GHD6" s="29"/>
      <c r="GHE6" s="29"/>
      <c r="GHF6" s="29"/>
      <c r="GHG6" s="29"/>
      <c r="GHH6" s="29"/>
      <c r="GHI6" s="29"/>
      <c r="GHJ6" s="29"/>
      <c r="GHK6" s="29"/>
      <c r="GHL6" s="29"/>
      <c r="GHM6" s="29"/>
      <c r="GHN6" s="29"/>
      <c r="GHO6" s="29"/>
      <c r="GHP6" s="29"/>
      <c r="GHQ6" s="29"/>
      <c r="GHR6" s="29"/>
      <c r="GHS6" s="29"/>
      <c r="GHT6" s="29"/>
      <c r="GHU6" s="29"/>
      <c r="GHV6" s="29"/>
      <c r="GHW6" s="29"/>
      <c r="GHX6" s="29"/>
      <c r="GHY6" s="29"/>
      <c r="GHZ6" s="29"/>
      <c r="GIA6" s="29"/>
      <c r="GIB6" s="29"/>
      <c r="GIC6" s="29"/>
      <c r="GID6" s="29"/>
      <c r="GIE6" s="29"/>
      <c r="GIF6" s="29"/>
      <c r="GIG6" s="29"/>
      <c r="GIH6" s="29"/>
      <c r="GII6" s="29"/>
      <c r="GIJ6" s="29"/>
      <c r="GIK6" s="29"/>
      <c r="GIL6" s="29"/>
      <c r="GIM6" s="29"/>
      <c r="GIN6" s="29"/>
      <c r="GIO6" s="29"/>
      <c r="GIP6" s="29"/>
      <c r="GIQ6" s="29"/>
      <c r="GIR6" s="29"/>
      <c r="GIS6" s="29"/>
      <c r="GIT6" s="29"/>
      <c r="GIU6" s="29"/>
      <c r="GIV6" s="29"/>
      <c r="GIW6" s="29"/>
      <c r="GIX6" s="29"/>
      <c r="GIY6" s="29"/>
      <c r="GIZ6" s="29"/>
      <c r="GJA6" s="29"/>
      <c r="GJB6" s="29"/>
      <c r="GJC6" s="29"/>
      <c r="GJD6" s="29"/>
      <c r="GJE6" s="29"/>
      <c r="GJF6" s="29"/>
      <c r="GJG6" s="29"/>
      <c r="GJH6" s="29"/>
      <c r="GJI6" s="29"/>
      <c r="GJJ6" s="29"/>
      <c r="GJK6" s="29"/>
      <c r="GJL6" s="29"/>
      <c r="GJM6" s="29"/>
      <c r="GJN6" s="29"/>
      <c r="GJO6" s="29"/>
      <c r="GJP6" s="29"/>
      <c r="GJQ6" s="29"/>
      <c r="GJR6" s="29"/>
      <c r="GJS6" s="29"/>
      <c r="GJT6" s="29"/>
      <c r="GJU6" s="29"/>
      <c r="GJV6" s="29"/>
      <c r="GJW6" s="29"/>
      <c r="GJX6" s="29"/>
      <c r="GJY6" s="29"/>
      <c r="GJZ6" s="29"/>
      <c r="GKA6" s="29"/>
      <c r="GKB6" s="29"/>
      <c r="GKC6" s="29"/>
      <c r="GKD6" s="29"/>
      <c r="GKE6" s="29"/>
      <c r="GKF6" s="29"/>
      <c r="GKG6" s="29"/>
      <c r="GKH6" s="29"/>
      <c r="GKI6" s="29"/>
      <c r="GKJ6" s="29"/>
      <c r="GKK6" s="29"/>
      <c r="GKL6" s="29"/>
      <c r="GKM6" s="29"/>
      <c r="GKN6" s="29"/>
      <c r="GKO6" s="29"/>
      <c r="GKP6" s="29"/>
      <c r="GKQ6" s="29"/>
      <c r="GKR6" s="29"/>
      <c r="GKS6" s="29"/>
      <c r="GKT6" s="29"/>
      <c r="GKU6" s="29"/>
      <c r="GKV6" s="29"/>
      <c r="GKW6" s="29"/>
      <c r="GKX6" s="29"/>
      <c r="GKY6" s="29"/>
      <c r="GKZ6" s="29"/>
      <c r="GLA6" s="29"/>
      <c r="GLB6" s="29"/>
      <c r="GLC6" s="29"/>
      <c r="GLD6" s="29"/>
      <c r="GLE6" s="29"/>
      <c r="GLF6" s="29"/>
      <c r="GLG6" s="29"/>
      <c r="GLH6" s="29"/>
      <c r="GLI6" s="29"/>
      <c r="GLJ6" s="29"/>
      <c r="GLK6" s="29"/>
      <c r="GLL6" s="29"/>
      <c r="GLM6" s="29"/>
      <c r="GLN6" s="29"/>
      <c r="GLO6" s="29"/>
      <c r="GLP6" s="29"/>
      <c r="GLQ6" s="29"/>
      <c r="GLR6" s="29"/>
      <c r="GLS6" s="29"/>
      <c r="GLT6" s="29"/>
      <c r="GLU6" s="29"/>
      <c r="GLV6" s="29"/>
      <c r="GLW6" s="29"/>
      <c r="GLX6" s="29"/>
      <c r="GLY6" s="29"/>
      <c r="GLZ6" s="29"/>
      <c r="GMA6" s="29"/>
      <c r="GMB6" s="29"/>
      <c r="GMC6" s="29"/>
      <c r="GMD6" s="29"/>
      <c r="GME6" s="29"/>
      <c r="GMF6" s="29"/>
      <c r="GMG6" s="29"/>
      <c r="GMH6" s="29"/>
      <c r="GMI6" s="29"/>
      <c r="GMJ6" s="29"/>
      <c r="GMK6" s="29"/>
      <c r="GML6" s="29"/>
      <c r="GMM6" s="29"/>
      <c r="GMN6" s="29"/>
      <c r="GMO6" s="29"/>
      <c r="GMP6" s="29"/>
      <c r="GMQ6" s="29"/>
      <c r="GMR6" s="29"/>
      <c r="GMS6" s="29"/>
      <c r="GMT6" s="29"/>
      <c r="GMU6" s="29"/>
      <c r="GMV6" s="29"/>
      <c r="GMW6" s="29"/>
      <c r="GMX6" s="29"/>
      <c r="GMY6" s="29"/>
      <c r="GMZ6" s="29"/>
      <c r="GNA6" s="29"/>
      <c r="GNB6" s="29"/>
      <c r="GNC6" s="29"/>
      <c r="GND6" s="29"/>
      <c r="GNE6" s="29"/>
      <c r="GNF6" s="29"/>
      <c r="GNG6" s="29"/>
      <c r="GNH6" s="29"/>
      <c r="GNI6" s="29"/>
      <c r="GNJ6" s="29"/>
      <c r="GNK6" s="29"/>
      <c r="GNL6" s="29"/>
      <c r="GNM6" s="29"/>
      <c r="GNN6" s="29"/>
      <c r="GNO6" s="29"/>
      <c r="GNP6" s="29"/>
      <c r="GNQ6" s="29"/>
      <c r="GNR6" s="29"/>
      <c r="GNS6" s="29"/>
      <c r="GNT6" s="29"/>
      <c r="GNU6" s="29"/>
      <c r="GNV6" s="29"/>
      <c r="GNW6" s="29"/>
      <c r="GNX6" s="29"/>
      <c r="GNY6" s="29"/>
      <c r="GNZ6" s="29"/>
      <c r="GOA6" s="29"/>
      <c r="GOB6" s="29"/>
      <c r="GOC6" s="29"/>
      <c r="GOD6" s="29"/>
      <c r="GOE6" s="29"/>
      <c r="GOF6" s="29"/>
      <c r="GOG6" s="29"/>
      <c r="GOH6" s="29"/>
      <c r="GOI6" s="29"/>
      <c r="GOJ6" s="29"/>
      <c r="GOK6" s="29"/>
      <c r="GOL6" s="29"/>
      <c r="GOM6" s="29"/>
      <c r="GON6" s="29"/>
      <c r="GOO6" s="29"/>
      <c r="GOP6" s="29"/>
      <c r="GOQ6" s="29"/>
      <c r="GOR6" s="29"/>
      <c r="GOS6" s="29"/>
      <c r="GOT6" s="29"/>
      <c r="GOU6" s="29"/>
      <c r="GOV6" s="29"/>
      <c r="GOW6" s="29"/>
      <c r="GOX6" s="29"/>
      <c r="GOY6" s="29"/>
      <c r="GOZ6" s="29"/>
      <c r="GPA6" s="29"/>
      <c r="GPB6" s="29"/>
      <c r="GPC6" s="29"/>
      <c r="GPD6" s="29"/>
      <c r="GPE6" s="29"/>
      <c r="GPF6" s="29"/>
      <c r="GPG6" s="29"/>
      <c r="GPH6" s="29"/>
      <c r="GPI6" s="29"/>
      <c r="GPJ6" s="29"/>
      <c r="GPK6" s="29"/>
      <c r="GPL6" s="29"/>
      <c r="GPM6" s="29"/>
      <c r="GPN6" s="29"/>
      <c r="GPO6" s="29"/>
      <c r="GPP6" s="29"/>
      <c r="GPQ6" s="29"/>
      <c r="GPR6" s="29"/>
      <c r="GPS6" s="29"/>
      <c r="GPT6" s="29"/>
      <c r="GPU6" s="29"/>
      <c r="GPV6" s="29"/>
      <c r="GPW6" s="29"/>
      <c r="GPX6" s="29"/>
      <c r="GPY6" s="29"/>
      <c r="GPZ6" s="29"/>
      <c r="GQA6" s="29"/>
      <c r="GQB6" s="29"/>
      <c r="GQC6" s="29"/>
      <c r="GQD6" s="29"/>
      <c r="GQE6" s="29"/>
      <c r="GQF6" s="29"/>
      <c r="GQG6" s="29"/>
      <c r="GQH6" s="29"/>
      <c r="GQI6" s="29"/>
      <c r="GQJ6" s="29"/>
      <c r="GQK6" s="29"/>
      <c r="GQL6" s="29"/>
      <c r="GQM6" s="29"/>
      <c r="GQN6" s="29"/>
      <c r="GQO6" s="29"/>
      <c r="GQP6" s="29"/>
      <c r="GQQ6" s="29"/>
      <c r="GQR6" s="29"/>
      <c r="GQS6" s="29"/>
      <c r="GQT6" s="29"/>
      <c r="GQU6" s="29"/>
      <c r="GQV6" s="29"/>
      <c r="GQW6" s="29"/>
      <c r="GQX6" s="29"/>
      <c r="GQY6" s="29"/>
      <c r="GQZ6" s="29"/>
      <c r="GRA6" s="29"/>
      <c r="GRB6" s="29"/>
      <c r="GRC6" s="29"/>
      <c r="GRD6" s="29"/>
      <c r="GRE6" s="29"/>
      <c r="GRF6" s="29"/>
      <c r="GRG6" s="29"/>
      <c r="GRH6" s="29"/>
      <c r="GRI6" s="29"/>
      <c r="GRJ6" s="29"/>
      <c r="GRK6" s="29"/>
      <c r="GRL6" s="29"/>
      <c r="GRM6" s="29"/>
      <c r="GRN6" s="29"/>
      <c r="GRO6" s="29"/>
      <c r="GRP6" s="29"/>
      <c r="GRQ6" s="29"/>
      <c r="GRR6" s="29"/>
      <c r="GRS6" s="29"/>
      <c r="GRT6" s="29"/>
      <c r="GRU6" s="29"/>
      <c r="GRV6" s="29"/>
      <c r="GRW6" s="29"/>
      <c r="GRX6" s="29"/>
      <c r="GRY6" s="29"/>
      <c r="GRZ6" s="29"/>
      <c r="GSA6" s="29"/>
      <c r="GSB6" s="29"/>
      <c r="GSC6" s="29"/>
      <c r="GSD6" s="29"/>
      <c r="GSE6" s="29"/>
      <c r="GSF6" s="29"/>
      <c r="GSG6" s="29"/>
      <c r="GSH6" s="29"/>
      <c r="GSI6" s="29"/>
      <c r="GSJ6" s="29"/>
      <c r="GSK6" s="29"/>
      <c r="GSL6" s="29"/>
      <c r="GSM6" s="29"/>
      <c r="GSN6" s="29"/>
      <c r="GSO6" s="29"/>
      <c r="GSP6" s="29"/>
      <c r="GSQ6" s="29"/>
      <c r="GSR6" s="29"/>
      <c r="GSS6" s="29"/>
      <c r="GST6" s="29"/>
      <c r="GSU6" s="29"/>
      <c r="GSV6" s="29"/>
      <c r="GSW6" s="29"/>
      <c r="GSX6" s="29"/>
      <c r="GSY6" s="29"/>
      <c r="GSZ6" s="29"/>
      <c r="GTA6" s="29"/>
      <c r="GTB6" s="29"/>
      <c r="GTC6" s="29"/>
      <c r="GTD6" s="29"/>
      <c r="GTE6" s="29"/>
      <c r="GTF6" s="29"/>
      <c r="GTG6" s="29"/>
      <c r="GTH6" s="29"/>
      <c r="GTI6" s="29"/>
      <c r="GTJ6" s="29"/>
      <c r="GTK6" s="29"/>
      <c r="GTL6" s="29"/>
      <c r="GTM6" s="29"/>
      <c r="GTN6" s="29"/>
      <c r="GTO6" s="29"/>
      <c r="GTP6" s="29"/>
      <c r="GTQ6" s="29"/>
      <c r="GTR6" s="29"/>
      <c r="GTS6" s="29"/>
      <c r="GTT6" s="29"/>
      <c r="GTU6" s="29"/>
      <c r="GTV6" s="29"/>
      <c r="GTW6" s="29"/>
      <c r="GTX6" s="29"/>
      <c r="GTY6" s="29"/>
      <c r="GTZ6" s="29"/>
      <c r="GUA6" s="29"/>
      <c r="GUB6" s="29"/>
      <c r="GUC6" s="29"/>
      <c r="GUD6" s="29"/>
      <c r="GUE6" s="29"/>
      <c r="GUF6" s="29"/>
      <c r="GUG6" s="29"/>
      <c r="GUH6" s="29"/>
      <c r="GUI6" s="29"/>
      <c r="GUJ6" s="29"/>
      <c r="GUK6" s="29"/>
      <c r="GUL6" s="29"/>
      <c r="GUM6" s="29"/>
      <c r="GUN6" s="29"/>
      <c r="GUO6" s="29"/>
      <c r="GUP6" s="29"/>
      <c r="GUQ6" s="29"/>
      <c r="GUR6" s="29"/>
      <c r="GUS6" s="29"/>
      <c r="GUT6" s="29"/>
      <c r="GUU6" s="29"/>
      <c r="GUV6" s="29"/>
      <c r="GUW6" s="29"/>
      <c r="GUX6" s="29"/>
      <c r="GUY6" s="29"/>
      <c r="GUZ6" s="29"/>
      <c r="GVA6" s="29"/>
      <c r="GVB6" s="29"/>
      <c r="GVC6" s="29"/>
      <c r="GVD6" s="29"/>
      <c r="GVE6" s="29"/>
      <c r="GVF6" s="29"/>
      <c r="GVG6" s="29"/>
      <c r="GVH6" s="29"/>
      <c r="GVI6" s="29"/>
      <c r="GVJ6" s="29"/>
      <c r="GVK6" s="29"/>
      <c r="GVL6" s="29"/>
      <c r="GVM6" s="29"/>
      <c r="GVN6" s="29"/>
      <c r="GVO6" s="29"/>
      <c r="GVP6" s="29"/>
      <c r="GVQ6" s="29"/>
      <c r="GVR6" s="29"/>
      <c r="GVS6" s="29"/>
      <c r="GVT6" s="29"/>
      <c r="GVU6" s="29"/>
      <c r="GVV6" s="29"/>
      <c r="GVW6" s="29"/>
      <c r="GVX6" s="29"/>
      <c r="GVY6" s="29"/>
      <c r="GVZ6" s="29"/>
      <c r="GWA6" s="29"/>
      <c r="GWB6" s="29"/>
      <c r="GWC6" s="29"/>
      <c r="GWD6" s="29"/>
      <c r="GWE6" s="29"/>
      <c r="GWF6" s="29"/>
      <c r="GWG6" s="29"/>
      <c r="GWH6" s="29"/>
      <c r="GWI6" s="29"/>
      <c r="GWJ6" s="29"/>
      <c r="GWK6" s="29"/>
      <c r="GWL6" s="29"/>
      <c r="GWM6" s="29"/>
      <c r="GWN6" s="29"/>
      <c r="GWO6" s="29"/>
      <c r="GWP6" s="29"/>
      <c r="GWQ6" s="29"/>
      <c r="GWR6" s="29"/>
      <c r="GWS6" s="29"/>
      <c r="GWT6" s="29"/>
      <c r="GWU6" s="29"/>
      <c r="GWV6" s="29"/>
      <c r="GWW6" s="29"/>
      <c r="GWX6" s="29"/>
      <c r="GWY6" s="29"/>
      <c r="GWZ6" s="29"/>
      <c r="GXA6" s="29"/>
      <c r="GXB6" s="29"/>
      <c r="GXC6" s="29"/>
      <c r="GXD6" s="29"/>
      <c r="GXE6" s="29"/>
      <c r="GXF6" s="29"/>
      <c r="GXG6" s="29"/>
      <c r="GXH6" s="29"/>
      <c r="GXI6" s="29"/>
      <c r="GXJ6" s="29"/>
      <c r="GXK6" s="29"/>
      <c r="GXL6" s="29"/>
      <c r="GXM6" s="29"/>
      <c r="GXN6" s="29"/>
      <c r="GXO6" s="29"/>
      <c r="GXP6" s="29"/>
      <c r="GXQ6" s="29"/>
      <c r="GXR6" s="29"/>
      <c r="GXS6" s="29"/>
      <c r="GXT6" s="29"/>
      <c r="GXU6" s="29"/>
      <c r="GXV6" s="29"/>
      <c r="GXW6" s="29"/>
      <c r="GXX6" s="29"/>
      <c r="GXY6" s="29"/>
      <c r="GXZ6" s="29"/>
      <c r="GYA6" s="29"/>
      <c r="GYB6" s="29"/>
      <c r="GYC6" s="29"/>
      <c r="GYD6" s="29"/>
      <c r="GYE6" s="29"/>
      <c r="GYF6" s="29"/>
      <c r="GYG6" s="29"/>
      <c r="GYH6" s="29"/>
      <c r="GYI6" s="29"/>
      <c r="GYJ6" s="29"/>
      <c r="GYK6" s="29"/>
      <c r="GYL6" s="29"/>
      <c r="GYM6" s="29"/>
      <c r="GYN6" s="29"/>
      <c r="GYO6" s="29"/>
      <c r="GYP6" s="29"/>
      <c r="GYQ6" s="29"/>
      <c r="GYR6" s="29"/>
      <c r="GYS6" s="29"/>
      <c r="GYT6" s="29"/>
      <c r="GYU6" s="29"/>
      <c r="GYV6" s="29"/>
      <c r="GYW6" s="29"/>
      <c r="GYX6" s="29"/>
      <c r="GYY6" s="29"/>
      <c r="GYZ6" s="29"/>
      <c r="GZA6" s="29"/>
      <c r="GZB6" s="29"/>
      <c r="GZC6" s="29"/>
      <c r="GZD6" s="29"/>
      <c r="GZE6" s="29"/>
      <c r="GZF6" s="29"/>
      <c r="GZG6" s="29"/>
      <c r="GZH6" s="29"/>
      <c r="GZI6" s="29"/>
      <c r="GZJ6" s="29"/>
      <c r="GZK6" s="29"/>
      <c r="GZL6" s="29"/>
      <c r="GZM6" s="29"/>
      <c r="GZN6" s="29"/>
      <c r="GZO6" s="29"/>
      <c r="GZP6" s="29"/>
      <c r="GZQ6" s="29"/>
      <c r="GZR6" s="29"/>
      <c r="GZS6" s="29"/>
      <c r="GZT6" s="29"/>
      <c r="GZU6" s="29"/>
      <c r="GZV6" s="29"/>
      <c r="GZW6" s="29"/>
      <c r="GZX6" s="29"/>
      <c r="GZY6" s="29"/>
      <c r="GZZ6" s="29"/>
      <c r="HAA6" s="29"/>
      <c r="HAB6" s="29"/>
      <c r="HAC6" s="29"/>
      <c r="HAD6" s="29"/>
      <c r="HAE6" s="29"/>
      <c r="HAF6" s="29"/>
      <c r="HAG6" s="29"/>
      <c r="HAH6" s="29"/>
      <c r="HAI6" s="29"/>
      <c r="HAJ6" s="29"/>
      <c r="HAK6" s="29"/>
      <c r="HAL6" s="29"/>
      <c r="HAM6" s="29"/>
      <c r="HAN6" s="29"/>
      <c r="HAO6" s="29"/>
      <c r="HAP6" s="29"/>
      <c r="HAQ6" s="29"/>
      <c r="HAR6" s="29"/>
      <c r="HAS6" s="29"/>
      <c r="HAT6" s="29"/>
      <c r="HAU6" s="29"/>
      <c r="HAV6" s="29"/>
      <c r="HAW6" s="29"/>
      <c r="HAX6" s="29"/>
      <c r="HAY6" s="29"/>
      <c r="HAZ6" s="29"/>
      <c r="HBA6" s="29"/>
      <c r="HBB6" s="29"/>
      <c r="HBC6" s="29"/>
      <c r="HBD6" s="29"/>
      <c r="HBE6" s="29"/>
      <c r="HBF6" s="29"/>
      <c r="HBG6" s="29"/>
      <c r="HBH6" s="29"/>
      <c r="HBI6" s="29"/>
      <c r="HBJ6" s="29"/>
      <c r="HBK6" s="29"/>
      <c r="HBL6" s="29"/>
      <c r="HBM6" s="29"/>
      <c r="HBN6" s="29"/>
      <c r="HBO6" s="29"/>
      <c r="HBP6" s="29"/>
      <c r="HBQ6" s="29"/>
      <c r="HBR6" s="29"/>
      <c r="HBS6" s="29"/>
      <c r="HBT6" s="29"/>
      <c r="HBU6" s="29"/>
      <c r="HBV6" s="29"/>
      <c r="HBW6" s="29"/>
      <c r="HBX6" s="29"/>
      <c r="HBY6" s="29"/>
      <c r="HBZ6" s="29"/>
      <c r="HCA6" s="29"/>
      <c r="HCB6" s="29"/>
      <c r="HCC6" s="29"/>
      <c r="HCD6" s="29"/>
      <c r="HCE6" s="29"/>
      <c r="HCF6" s="29"/>
      <c r="HCG6" s="29"/>
      <c r="HCH6" s="29"/>
      <c r="HCI6" s="29"/>
      <c r="HCJ6" s="29"/>
      <c r="HCK6" s="29"/>
      <c r="HCL6" s="29"/>
      <c r="HCM6" s="29"/>
      <c r="HCN6" s="29"/>
      <c r="HCO6" s="29"/>
      <c r="HCP6" s="29"/>
      <c r="HCQ6" s="29"/>
      <c r="HCR6" s="29"/>
      <c r="HCS6" s="29"/>
      <c r="HCT6" s="29"/>
      <c r="HCU6" s="29"/>
      <c r="HCV6" s="29"/>
      <c r="HCW6" s="29"/>
      <c r="HCX6" s="29"/>
      <c r="HCY6" s="29"/>
      <c r="HCZ6" s="29"/>
      <c r="HDA6" s="29"/>
      <c r="HDB6" s="29"/>
      <c r="HDC6" s="29"/>
      <c r="HDD6" s="29"/>
      <c r="HDE6" s="29"/>
      <c r="HDF6" s="29"/>
      <c r="HDG6" s="29"/>
      <c r="HDH6" s="29"/>
      <c r="HDI6" s="29"/>
      <c r="HDJ6" s="29"/>
      <c r="HDK6" s="29"/>
      <c r="HDL6" s="29"/>
      <c r="HDM6" s="29"/>
      <c r="HDN6" s="29"/>
      <c r="HDO6" s="29"/>
      <c r="HDP6" s="29"/>
      <c r="HDQ6" s="29"/>
      <c r="HDR6" s="29"/>
      <c r="HDS6" s="29"/>
      <c r="HDT6" s="29"/>
      <c r="HDU6" s="29"/>
      <c r="HDV6" s="29"/>
      <c r="HDW6" s="29"/>
      <c r="HDX6" s="29"/>
      <c r="HDY6" s="29"/>
      <c r="HDZ6" s="29"/>
      <c r="HEA6" s="29"/>
      <c r="HEB6" s="29"/>
      <c r="HEC6" s="29"/>
      <c r="HED6" s="29"/>
      <c r="HEE6" s="29"/>
      <c r="HEF6" s="29"/>
      <c r="HEG6" s="29"/>
      <c r="HEH6" s="29"/>
      <c r="HEI6" s="29"/>
      <c r="HEJ6" s="29"/>
      <c r="HEK6" s="29"/>
      <c r="HEL6" s="29"/>
      <c r="HEM6" s="29"/>
      <c r="HEN6" s="29"/>
      <c r="HEO6" s="29"/>
      <c r="HEP6" s="29"/>
      <c r="HEQ6" s="29"/>
      <c r="HER6" s="29"/>
      <c r="HES6" s="29"/>
      <c r="HET6" s="29"/>
      <c r="HEU6" s="29"/>
      <c r="HEV6" s="29"/>
      <c r="HEW6" s="29"/>
      <c r="HEX6" s="29"/>
      <c r="HEY6" s="29"/>
      <c r="HEZ6" s="29"/>
      <c r="HFA6" s="29"/>
      <c r="HFB6" s="29"/>
      <c r="HFC6" s="29"/>
      <c r="HFD6" s="29"/>
      <c r="HFE6" s="29"/>
      <c r="HFF6" s="29"/>
      <c r="HFG6" s="29"/>
      <c r="HFH6" s="29"/>
      <c r="HFI6" s="29"/>
      <c r="HFJ6" s="29"/>
      <c r="HFK6" s="29"/>
      <c r="HFL6" s="29"/>
      <c r="HFM6" s="29"/>
      <c r="HFN6" s="29"/>
      <c r="HFO6" s="29"/>
      <c r="HFP6" s="29"/>
      <c r="HFQ6" s="29"/>
      <c r="HFR6" s="29"/>
      <c r="HFS6" s="29"/>
      <c r="HFT6" s="29"/>
      <c r="HFU6" s="29"/>
      <c r="HFV6" s="29"/>
      <c r="HFW6" s="29"/>
      <c r="HFX6" s="29"/>
      <c r="HFY6" s="29"/>
      <c r="HFZ6" s="29"/>
      <c r="HGA6" s="29"/>
      <c r="HGB6" s="29"/>
      <c r="HGC6" s="29"/>
      <c r="HGD6" s="29"/>
      <c r="HGE6" s="29"/>
      <c r="HGF6" s="29"/>
      <c r="HGG6" s="29"/>
      <c r="HGH6" s="29"/>
      <c r="HGI6" s="29"/>
      <c r="HGJ6" s="29"/>
      <c r="HGK6" s="29"/>
      <c r="HGL6" s="29"/>
      <c r="HGM6" s="29"/>
      <c r="HGN6" s="29"/>
      <c r="HGO6" s="29"/>
      <c r="HGP6" s="29"/>
      <c r="HGQ6" s="29"/>
      <c r="HGR6" s="29"/>
      <c r="HGS6" s="29"/>
      <c r="HGT6" s="29"/>
      <c r="HGU6" s="29"/>
      <c r="HGV6" s="29"/>
      <c r="HGW6" s="29"/>
      <c r="HGX6" s="29"/>
      <c r="HGY6" s="29"/>
      <c r="HGZ6" s="29"/>
      <c r="HHA6" s="29"/>
      <c r="HHB6" s="29"/>
      <c r="HHC6" s="29"/>
      <c r="HHD6" s="29"/>
      <c r="HHE6" s="29"/>
      <c r="HHF6" s="29"/>
      <c r="HHG6" s="29"/>
      <c r="HHH6" s="29"/>
      <c r="HHI6" s="29"/>
      <c r="HHJ6" s="29"/>
      <c r="HHK6" s="29"/>
      <c r="HHL6" s="29"/>
      <c r="HHM6" s="29"/>
      <c r="HHN6" s="29"/>
      <c r="HHO6" s="29"/>
      <c r="HHP6" s="29"/>
      <c r="HHQ6" s="29"/>
      <c r="HHR6" s="29"/>
      <c r="HHS6" s="29"/>
      <c r="HHT6" s="29"/>
      <c r="HHU6" s="29"/>
      <c r="HHV6" s="29"/>
      <c r="HHW6" s="29"/>
      <c r="HHX6" s="29"/>
      <c r="HHY6" s="29"/>
      <c r="HHZ6" s="29"/>
      <c r="HIA6" s="29"/>
      <c r="HIB6" s="29"/>
      <c r="HIC6" s="29"/>
      <c r="HID6" s="29"/>
      <c r="HIE6" s="29"/>
      <c r="HIF6" s="29"/>
      <c r="HIG6" s="29"/>
      <c r="HIH6" s="29"/>
      <c r="HII6" s="29"/>
      <c r="HIJ6" s="29"/>
      <c r="HIK6" s="29"/>
      <c r="HIL6" s="29"/>
      <c r="HIM6" s="29"/>
      <c r="HIN6" s="29"/>
      <c r="HIO6" s="29"/>
      <c r="HIP6" s="29"/>
      <c r="HIQ6" s="29"/>
      <c r="HIR6" s="29"/>
      <c r="HIS6" s="29"/>
      <c r="HIT6" s="29"/>
      <c r="HIU6" s="29"/>
      <c r="HIV6" s="29"/>
      <c r="HIW6" s="29"/>
      <c r="HIX6" s="29"/>
      <c r="HIY6" s="29"/>
      <c r="HIZ6" s="29"/>
      <c r="HJA6" s="29"/>
      <c r="HJB6" s="29"/>
      <c r="HJC6" s="29"/>
      <c r="HJD6" s="29"/>
      <c r="HJE6" s="29"/>
      <c r="HJF6" s="29"/>
      <c r="HJG6" s="29"/>
      <c r="HJH6" s="29"/>
      <c r="HJI6" s="29"/>
      <c r="HJJ6" s="29"/>
      <c r="HJK6" s="29"/>
      <c r="HJL6" s="29"/>
      <c r="HJM6" s="29"/>
      <c r="HJN6" s="29"/>
      <c r="HJO6" s="29"/>
      <c r="HJP6" s="29"/>
      <c r="HJQ6" s="29"/>
      <c r="HJR6" s="29"/>
      <c r="HJS6" s="29"/>
      <c r="HJT6" s="29"/>
      <c r="HJU6" s="29"/>
      <c r="HJV6" s="29"/>
      <c r="HJW6" s="29"/>
      <c r="HJX6" s="29"/>
      <c r="HJY6" s="29"/>
      <c r="HJZ6" s="29"/>
      <c r="HKA6" s="29"/>
      <c r="HKB6" s="29"/>
      <c r="HKC6" s="29"/>
      <c r="HKD6" s="29"/>
      <c r="HKE6" s="29"/>
      <c r="HKF6" s="29"/>
      <c r="HKG6" s="29"/>
      <c r="HKH6" s="29"/>
      <c r="HKI6" s="29"/>
      <c r="HKJ6" s="29"/>
      <c r="HKK6" s="29"/>
      <c r="HKL6" s="29"/>
      <c r="HKM6" s="29"/>
      <c r="HKN6" s="29"/>
      <c r="HKO6" s="29"/>
      <c r="HKP6" s="29"/>
      <c r="HKQ6" s="29"/>
      <c r="HKR6" s="29"/>
      <c r="HKS6" s="29"/>
      <c r="HKT6" s="29"/>
      <c r="HKU6" s="29"/>
      <c r="HKV6" s="29"/>
      <c r="HKW6" s="29"/>
      <c r="HKX6" s="29"/>
      <c r="HKY6" s="29"/>
      <c r="HKZ6" s="29"/>
      <c r="HLA6" s="29"/>
      <c r="HLB6" s="29"/>
      <c r="HLC6" s="29"/>
      <c r="HLD6" s="29"/>
      <c r="HLE6" s="29"/>
      <c r="HLF6" s="29"/>
      <c r="HLG6" s="29"/>
      <c r="HLH6" s="29"/>
      <c r="HLI6" s="29"/>
      <c r="HLJ6" s="29"/>
      <c r="HLK6" s="29"/>
      <c r="HLL6" s="29"/>
      <c r="HLM6" s="29"/>
      <c r="HLN6" s="29"/>
      <c r="HLO6" s="29"/>
      <c r="HLP6" s="29"/>
      <c r="HLQ6" s="29"/>
      <c r="HLR6" s="29"/>
      <c r="HLS6" s="29"/>
      <c r="HLT6" s="29"/>
      <c r="HLU6" s="29"/>
      <c r="HLV6" s="29"/>
      <c r="HLW6" s="29"/>
      <c r="HLX6" s="29"/>
      <c r="HLY6" s="29"/>
      <c r="HLZ6" s="29"/>
      <c r="HMA6" s="29"/>
      <c r="HMB6" s="29"/>
      <c r="HMC6" s="29"/>
      <c r="HMD6" s="29"/>
      <c r="HME6" s="29"/>
      <c r="HMF6" s="29"/>
      <c r="HMG6" s="29"/>
      <c r="HMH6" s="29"/>
      <c r="HMI6" s="29"/>
      <c r="HMJ6" s="29"/>
      <c r="HMK6" s="29"/>
      <c r="HML6" s="29"/>
      <c r="HMM6" s="29"/>
      <c r="HMN6" s="29"/>
      <c r="HMO6" s="29"/>
      <c r="HMP6" s="29"/>
      <c r="HMQ6" s="29"/>
      <c r="HMR6" s="29"/>
      <c r="HMS6" s="29"/>
      <c r="HMT6" s="29"/>
      <c r="HMU6" s="29"/>
      <c r="HMV6" s="29"/>
      <c r="HMW6" s="29"/>
      <c r="HMX6" s="29"/>
      <c r="HMY6" s="29"/>
      <c r="HMZ6" s="29"/>
      <c r="HNA6" s="29"/>
      <c r="HNB6" s="29"/>
      <c r="HNC6" s="29"/>
      <c r="HND6" s="29"/>
      <c r="HNE6" s="29"/>
      <c r="HNF6" s="29"/>
      <c r="HNG6" s="29"/>
      <c r="HNH6" s="29"/>
      <c r="HNI6" s="29"/>
      <c r="HNJ6" s="29"/>
      <c r="HNK6" s="29"/>
      <c r="HNL6" s="29"/>
      <c r="HNM6" s="29"/>
      <c r="HNN6" s="29"/>
      <c r="HNO6" s="29"/>
      <c r="HNP6" s="29"/>
      <c r="HNQ6" s="29"/>
      <c r="HNR6" s="29"/>
      <c r="HNS6" s="29"/>
      <c r="HNT6" s="29"/>
      <c r="HNU6" s="29"/>
      <c r="HNV6" s="29"/>
      <c r="HNW6" s="29"/>
      <c r="HNX6" s="29"/>
      <c r="HNY6" s="29"/>
      <c r="HNZ6" s="29"/>
      <c r="HOA6" s="29"/>
      <c r="HOB6" s="29"/>
      <c r="HOC6" s="29"/>
      <c r="HOD6" s="29"/>
      <c r="HOE6" s="29"/>
      <c r="HOF6" s="29"/>
      <c r="HOG6" s="29"/>
      <c r="HOH6" s="29"/>
      <c r="HOI6" s="29"/>
      <c r="HOJ6" s="29"/>
      <c r="HOK6" s="29"/>
      <c r="HOL6" s="29"/>
      <c r="HOM6" s="29"/>
      <c r="HON6" s="29"/>
      <c r="HOO6" s="29"/>
      <c r="HOP6" s="29"/>
      <c r="HOQ6" s="29"/>
      <c r="HOR6" s="29"/>
      <c r="HOS6" s="29"/>
      <c r="HOT6" s="29"/>
      <c r="HOU6" s="29"/>
      <c r="HOV6" s="29"/>
      <c r="HOW6" s="29"/>
      <c r="HOX6" s="29"/>
      <c r="HOY6" s="29"/>
      <c r="HOZ6" s="29"/>
      <c r="HPA6" s="29"/>
      <c r="HPB6" s="29"/>
      <c r="HPC6" s="29"/>
      <c r="HPD6" s="29"/>
      <c r="HPE6" s="29"/>
      <c r="HPF6" s="29"/>
      <c r="HPG6" s="29"/>
      <c r="HPH6" s="29"/>
      <c r="HPI6" s="29"/>
      <c r="HPJ6" s="29"/>
      <c r="HPK6" s="29"/>
      <c r="HPL6" s="29"/>
      <c r="HPM6" s="29"/>
      <c r="HPN6" s="29"/>
      <c r="HPO6" s="29"/>
      <c r="HPP6" s="29"/>
      <c r="HPQ6" s="29"/>
      <c r="HPR6" s="29"/>
      <c r="HPS6" s="29"/>
      <c r="HPT6" s="29"/>
      <c r="HPU6" s="29"/>
      <c r="HPV6" s="29"/>
      <c r="HPW6" s="29"/>
      <c r="HPX6" s="29"/>
      <c r="HPY6" s="29"/>
      <c r="HPZ6" s="29"/>
      <c r="HQA6" s="29"/>
      <c r="HQB6" s="29"/>
      <c r="HQC6" s="29"/>
      <c r="HQD6" s="29"/>
      <c r="HQE6" s="29"/>
      <c r="HQF6" s="29"/>
      <c r="HQG6" s="29"/>
      <c r="HQH6" s="29"/>
      <c r="HQI6" s="29"/>
      <c r="HQJ6" s="29"/>
      <c r="HQK6" s="29"/>
      <c r="HQL6" s="29"/>
      <c r="HQM6" s="29"/>
      <c r="HQN6" s="29"/>
      <c r="HQO6" s="29"/>
      <c r="HQP6" s="29"/>
      <c r="HQQ6" s="29"/>
      <c r="HQR6" s="29"/>
      <c r="HQS6" s="29"/>
      <c r="HQT6" s="29"/>
      <c r="HQU6" s="29"/>
      <c r="HQV6" s="29"/>
      <c r="HQW6" s="29"/>
      <c r="HQX6" s="29"/>
      <c r="HQY6" s="29"/>
      <c r="HQZ6" s="29"/>
      <c r="HRA6" s="29"/>
      <c r="HRB6" s="29"/>
      <c r="HRC6" s="29"/>
      <c r="HRD6" s="29"/>
      <c r="HRE6" s="29"/>
      <c r="HRF6" s="29"/>
      <c r="HRG6" s="29"/>
      <c r="HRH6" s="29"/>
      <c r="HRI6" s="29"/>
      <c r="HRJ6" s="29"/>
      <c r="HRK6" s="29"/>
      <c r="HRL6" s="29"/>
      <c r="HRM6" s="29"/>
      <c r="HRN6" s="29"/>
      <c r="HRO6" s="29"/>
      <c r="HRP6" s="29"/>
      <c r="HRQ6" s="29"/>
      <c r="HRR6" s="29"/>
      <c r="HRS6" s="29"/>
      <c r="HRT6" s="29"/>
      <c r="HRU6" s="29"/>
      <c r="HRV6" s="29"/>
      <c r="HRW6" s="29"/>
      <c r="HRX6" s="29"/>
      <c r="HRY6" s="29"/>
      <c r="HRZ6" s="29"/>
      <c r="HSA6" s="29"/>
      <c r="HSB6" s="29"/>
      <c r="HSC6" s="29"/>
      <c r="HSD6" s="29"/>
      <c r="HSE6" s="29"/>
      <c r="HSF6" s="29"/>
      <c r="HSG6" s="29"/>
      <c r="HSH6" s="29"/>
      <c r="HSI6" s="29"/>
      <c r="HSJ6" s="29"/>
      <c r="HSK6" s="29"/>
      <c r="HSL6" s="29"/>
      <c r="HSM6" s="29"/>
      <c r="HSN6" s="29"/>
      <c r="HSO6" s="29"/>
      <c r="HSP6" s="29"/>
      <c r="HSQ6" s="29"/>
      <c r="HSR6" s="29"/>
      <c r="HSS6" s="29"/>
      <c r="HST6" s="29"/>
      <c r="HSU6" s="29"/>
      <c r="HSV6" s="29"/>
      <c r="HSW6" s="29"/>
      <c r="HSX6" s="29"/>
      <c r="HSY6" s="29"/>
      <c r="HSZ6" s="29"/>
      <c r="HTA6" s="29"/>
      <c r="HTB6" s="29"/>
      <c r="HTC6" s="29"/>
      <c r="HTD6" s="29"/>
      <c r="HTE6" s="29"/>
      <c r="HTF6" s="29"/>
      <c r="HTG6" s="29"/>
      <c r="HTH6" s="29"/>
      <c r="HTI6" s="29"/>
      <c r="HTJ6" s="29"/>
      <c r="HTK6" s="29"/>
      <c r="HTL6" s="29"/>
      <c r="HTM6" s="29"/>
      <c r="HTN6" s="29"/>
      <c r="HTO6" s="29"/>
      <c r="HTP6" s="29"/>
      <c r="HTQ6" s="29"/>
      <c r="HTR6" s="29"/>
      <c r="HTS6" s="29"/>
      <c r="HTT6" s="29"/>
      <c r="HTU6" s="29"/>
      <c r="HTV6" s="29"/>
      <c r="HTW6" s="29"/>
      <c r="HTX6" s="29"/>
      <c r="HTY6" s="29"/>
      <c r="HTZ6" s="29"/>
      <c r="HUA6" s="29"/>
      <c r="HUB6" s="29"/>
      <c r="HUC6" s="29"/>
      <c r="HUD6" s="29"/>
      <c r="HUE6" s="29"/>
      <c r="HUF6" s="29"/>
      <c r="HUG6" s="29"/>
      <c r="HUH6" s="29"/>
      <c r="HUI6" s="29"/>
      <c r="HUJ6" s="29"/>
      <c r="HUK6" s="29"/>
      <c r="HUL6" s="29"/>
      <c r="HUM6" s="29"/>
      <c r="HUN6" s="29"/>
      <c r="HUO6" s="29"/>
      <c r="HUP6" s="29"/>
      <c r="HUQ6" s="29"/>
      <c r="HUR6" s="29"/>
      <c r="HUS6" s="29"/>
      <c r="HUT6" s="29"/>
      <c r="HUU6" s="29"/>
      <c r="HUV6" s="29"/>
      <c r="HUW6" s="29"/>
      <c r="HUX6" s="29"/>
      <c r="HUY6" s="29"/>
      <c r="HUZ6" s="29"/>
      <c r="HVA6" s="29"/>
      <c r="HVB6" s="29"/>
      <c r="HVC6" s="29"/>
      <c r="HVD6" s="29"/>
      <c r="HVE6" s="29"/>
      <c r="HVF6" s="29"/>
      <c r="HVG6" s="29"/>
      <c r="HVH6" s="29"/>
      <c r="HVI6" s="29"/>
      <c r="HVJ6" s="29"/>
      <c r="HVK6" s="29"/>
      <c r="HVL6" s="29"/>
      <c r="HVM6" s="29"/>
      <c r="HVN6" s="29"/>
      <c r="HVO6" s="29"/>
      <c r="HVP6" s="29"/>
      <c r="HVQ6" s="29"/>
      <c r="HVR6" s="29"/>
      <c r="HVS6" s="29"/>
      <c r="HVT6" s="29"/>
      <c r="HVU6" s="29"/>
      <c r="HVV6" s="29"/>
      <c r="HVW6" s="29"/>
      <c r="HVX6" s="29"/>
      <c r="HVY6" s="29"/>
      <c r="HVZ6" s="29"/>
      <c r="HWA6" s="29"/>
      <c r="HWB6" s="29"/>
      <c r="HWC6" s="29"/>
      <c r="HWD6" s="29"/>
      <c r="HWE6" s="29"/>
      <c r="HWF6" s="29"/>
      <c r="HWG6" s="29"/>
      <c r="HWH6" s="29"/>
      <c r="HWI6" s="29"/>
      <c r="HWJ6" s="29"/>
      <c r="HWK6" s="29"/>
      <c r="HWL6" s="29"/>
      <c r="HWM6" s="29"/>
      <c r="HWN6" s="29"/>
      <c r="HWO6" s="29"/>
      <c r="HWP6" s="29"/>
      <c r="HWQ6" s="29"/>
      <c r="HWR6" s="29"/>
      <c r="HWS6" s="29"/>
      <c r="HWT6" s="29"/>
      <c r="HWU6" s="29"/>
      <c r="HWV6" s="29"/>
      <c r="HWW6" s="29"/>
      <c r="HWX6" s="29"/>
      <c r="HWY6" s="29"/>
      <c r="HWZ6" s="29"/>
      <c r="HXA6" s="29"/>
      <c r="HXB6" s="29"/>
      <c r="HXC6" s="29"/>
      <c r="HXD6" s="29"/>
      <c r="HXE6" s="29"/>
      <c r="HXF6" s="29"/>
      <c r="HXG6" s="29"/>
      <c r="HXH6" s="29"/>
      <c r="HXI6" s="29"/>
      <c r="HXJ6" s="29"/>
      <c r="HXK6" s="29"/>
      <c r="HXL6" s="29"/>
      <c r="HXM6" s="29"/>
      <c r="HXN6" s="29"/>
      <c r="HXO6" s="29"/>
      <c r="HXP6" s="29"/>
      <c r="HXQ6" s="29"/>
      <c r="HXR6" s="29"/>
      <c r="HXS6" s="29"/>
      <c r="HXT6" s="29"/>
      <c r="HXU6" s="29"/>
      <c r="HXV6" s="29"/>
      <c r="HXW6" s="29"/>
      <c r="HXX6" s="29"/>
      <c r="HXY6" s="29"/>
      <c r="HXZ6" s="29"/>
      <c r="HYA6" s="29"/>
      <c r="HYB6" s="29"/>
      <c r="HYC6" s="29"/>
      <c r="HYD6" s="29"/>
      <c r="HYE6" s="29"/>
      <c r="HYF6" s="29"/>
      <c r="HYG6" s="29"/>
      <c r="HYH6" s="29"/>
      <c r="HYI6" s="29"/>
      <c r="HYJ6" s="29"/>
      <c r="HYK6" s="29"/>
      <c r="HYL6" s="29"/>
      <c r="HYM6" s="29"/>
      <c r="HYN6" s="29"/>
      <c r="HYO6" s="29"/>
      <c r="HYP6" s="29"/>
      <c r="HYQ6" s="29"/>
      <c r="HYR6" s="29"/>
      <c r="HYS6" s="29"/>
      <c r="HYT6" s="29"/>
      <c r="HYU6" s="29"/>
      <c r="HYV6" s="29"/>
      <c r="HYW6" s="29"/>
      <c r="HYX6" s="29"/>
      <c r="HYY6" s="29"/>
      <c r="HYZ6" s="29"/>
      <c r="HZA6" s="29"/>
      <c r="HZB6" s="29"/>
      <c r="HZC6" s="29"/>
      <c r="HZD6" s="29"/>
      <c r="HZE6" s="29"/>
      <c r="HZF6" s="29"/>
      <c r="HZG6" s="29"/>
      <c r="HZH6" s="29"/>
      <c r="HZI6" s="29"/>
      <c r="HZJ6" s="29"/>
      <c r="HZK6" s="29"/>
      <c r="HZL6" s="29"/>
      <c r="HZM6" s="29"/>
      <c r="HZN6" s="29"/>
      <c r="HZO6" s="29"/>
      <c r="HZP6" s="29"/>
      <c r="HZQ6" s="29"/>
      <c r="HZR6" s="29"/>
      <c r="HZS6" s="29"/>
      <c r="HZT6" s="29"/>
      <c r="HZU6" s="29"/>
      <c r="HZV6" s="29"/>
      <c r="HZW6" s="29"/>
      <c r="HZX6" s="29"/>
      <c r="HZY6" s="29"/>
      <c r="HZZ6" s="29"/>
      <c r="IAA6" s="29"/>
      <c r="IAB6" s="29"/>
      <c r="IAC6" s="29"/>
      <c r="IAD6" s="29"/>
      <c r="IAE6" s="29"/>
      <c r="IAF6" s="29"/>
      <c r="IAG6" s="29"/>
      <c r="IAH6" s="29"/>
      <c r="IAI6" s="29"/>
      <c r="IAJ6" s="29"/>
      <c r="IAK6" s="29"/>
      <c r="IAL6" s="29"/>
      <c r="IAM6" s="29"/>
      <c r="IAN6" s="29"/>
      <c r="IAO6" s="29"/>
      <c r="IAP6" s="29"/>
      <c r="IAQ6" s="29"/>
      <c r="IAR6" s="29"/>
      <c r="IAS6" s="29"/>
      <c r="IAT6" s="29"/>
      <c r="IAU6" s="29"/>
      <c r="IAV6" s="29"/>
      <c r="IAW6" s="29"/>
      <c r="IAX6" s="29"/>
      <c r="IAY6" s="29"/>
      <c r="IAZ6" s="29"/>
      <c r="IBA6" s="29"/>
      <c r="IBB6" s="29"/>
      <c r="IBC6" s="29"/>
      <c r="IBD6" s="29"/>
      <c r="IBE6" s="29"/>
      <c r="IBF6" s="29"/>
      <c r="IBG6" s="29"/>
      <c r="IBH6" s="29"/>
      <c r="IBI6" s="29"/>
      <c r="IBJ6" s="29"/>
      <c r="IBK6" s="29"/>
      <c r="IBL6" s="29"/>
      <c r="IBM6" s="29"/>
      <c r="IBN6" s="29"/>
      <c r="IBO6" s="29"/>
      <c r="IBP6" s="29"/>
      <c r="IBQ6" s="29"/>
      <c r="IBR6" s="29"/>
      <c r="IBS6" s="29"/>
      <c r="IBT6" s="29"/>
      <c r="IBU6" s="29"/>
      <c r="IBV6" s="29"/>
      <c r="IBW6" s="29"/>
      <c r="IBX6" s="29"/>
      <c r="IBY6" s="29"/>
      <c r="IBZ6" s="29"/>
      <c r="ICA6" s="29"/>
      <c r="ICB6" s="29"/>
      <c r="ICC6" s="29"/>
      <c r="ICD6" s="29"/>
      <c r="ICE6" s="29"/>
      <c r="ICF6" s="29"/>
      <c r="ICG6" s="29"/>
      <c r="ICH6" s="29"/>
      <c r="ICI6" s="29"/>
      <c r="ICJ6" s="29"/>
      <c r="ICK6" s="29"/>
      <c r="ICL6" s="29"/>
      <c r="ICM6" s="29"/>
      <c r="ICN6" s="29"/>
      <c r="ICO6" s="29"/>
      <c r="ICP6" s="29"/>
      <c r="ICQ6" s="29"/>
      <c r="ICR6" s="29"/>
      <c r="ICS6" s="29"/>
      <c r="ICT6" s="29"/>
      <c r="ICU6" s="29"/>
      <c r="ICV6" s="29"/>
      <c r="ICW6" s="29"/>
      <c r="ICX6" s="29"/>
      <c r="ICY6" s="29"/>
      <c r="ICZ6" s="29"/>
      <c r="IDA6" s="29"/>
      <c r="IDB6" s="29"/>
      <c r="IDC6" s="29"/>
      <c r="IDD6" s="29"/>
      <c r="IDE6" s="29"/>
      <c r="IDF6" s="29"/>
      <c r="IDG6" s="29"/>
      <c r="IDH6" s="29"/>
      <c r="IDI6" s="29"/>
      <c r="IDJ6" s="29"/>
      <c r="IDK6" s="29"/>
      <c r="IDL6" s="29"/>
      <c r="IDM6" s="29"/>
      <c r="IDN6" s="29"/>
      <c r="IDO6" s="29"/>
      <c r="IDP6" s="29"/>
      <c r="IDQ6" s="29"/>
      <c r="IDR6" s="29"/>
      <c r="IDS6" s="29"/>
      <c r="IDT6" s="29"/>
      <c r="IDU6" s="29"/>
      <c r="IDV6" s="29"/>
      <c r="IDW6" s="29"/>
      <c r="IDX6" s="29"/>
      <c r="IDY6" s="29"/>
      <c r="IDZ6" s="29"/>
      <c r="IEA6" s="29"/>
      <c r="IEB6" s="29"/>
      <c r="IEC6" s="29"/>
      <c r="IED6" s="29"/>
      <c r="IEE6" s="29"/>
      <c r="IEF6" s="29"/>
      <c r="IEG6" s="29"/>
      <c r="IEH6" s="29"/>
      <c r="IEI6" s="29"/>
      <c r="IEJ6" s="29"/>
      <c r="IEK6" s="29"/>
      <c r="IEL6" s="29"/>
      <c r="IEM6" s="29"/>
      <c r="IEN6" s="29"/>
      <c r="IEO6" s="29"/>
      <c r="IEP6" s="29"/>
      <c r="IEQ6" s="29"/>
      <c r="IER6" s="29"/>
      <c r="IES6" s="29"/>
      <c r="IET6" s="29"/>
      <c r="IEU6" s="29"/>
      <c r="IEV6" s="29"/>
      <c r="IEW6" s="29"/>
      <c r="IEX6" s="29"/>
      <c r="IEY6" s="29"/>
      <c r="IEZ6" s="29"/>
      <c r="IFA6" s="29"/>
      <c r="IFB6" s="29"/>
      <c r="IFC6" s="29"/>
      <c r="IFD6" s="29"/>
      <c r="IFE6" s="29"/>
      <c r="IFF6" s="29"/>
      <c r="IFG6" s="29"/>
      <c r="IFH6" s="29"/>
      <c r="IFI6" s="29"/>
      <c r="IFJ6" s="29"/>
      <c r="IFK6" s="29"/>
      <c r="IFL6" s="29"/>
      <c r="IFM6" s="29"/>
      <c r="IFN6" s="29"/>
      <c r="IFO6" s="29"/>
      <c r="IFP6" s="29"/>
      <c r="IFQ6" s="29"/>
      <c r="IFR6" s="29"/>
      <c r="IFS6" s="29"/>
      <c r="IFT6" s="29"/>
      <c r="IFU6" s="29"/>
      <c r="IFV6" s="29"/>
      <c r="IFW6" s="29"/>
      <c r="IFX6" s="29"/>
      <c r="IFY6" s="29"/>
      <c r="IFZ6" s="29"/>
      <c r="IGA6" s="29"/>
      <c r="IGB6" s="29"/>
      <c r="IGC6" s="29"/>
      <c r="IGD6" s="29"/>
      <c r="IGE6" s="29"/>
      <c r="IGF6" s="29"/>
      <c r="IGG6" s="29"/>
      <c r="IGH6" s="29"/>
      <c r="IGI6" s="29"/>
      <c r="IGJ6" s="29"/>
      <c r="IGK6" s="29"/>
      <c r="IGL6" s="29"/>
      <c r="IGM6" s="29"/>
      <c r="IGN6" s="29"/>
      <c r="IGO6" s="29"/>
      <c r="IGP6" s="29"/>
      <c r="IGQ6" s="29"/>
      <c r="IGR6" s="29"/>
      <c r="IGS6" s="29"/>
      <c r="IGT6" s="29"/>
      <c r="IGU6" s="29"/>
      <c r="IGV6" s="29"/>
      <c r="IGW6" s="29"/>
      <c r="IGX6" s="29"/>
      <c r="IGY6" s="29"/>
      <c r="IGZ6" s="29"/>
      <c r="IHA6" s="29"/>
      <c r="IHB6" s="29"/>
      <c r="IHC6" s="29"/>
      <c r="IHD6" s="29"/>
      <c r="IHE6" s="29"/>
      <c r="IHF6" s="29"/>
      <c r="IHG6" s="29"/>
      <c r="IHH6" s="29"/>
      <c r="IHI6" s="29"/>
      <c r="IHJ6" s="29"/>
      <c r="IHK6" s="29"/>
      <c r="IHL6" s="29"/>
      <c r="IHM6" s="29"/>
      <c r="IHN6" s="29"/>
      <c r="IHO6" s="29"/>
      <c r="IHP6" s="29"/>
      <c r="IHQ6" s="29"/>
      <c r="IHR6" s="29"/>
      <c r="IHS6" s="29"/>
      <c r="IHT6" s="29"/>
      <c r="IHU6" s="29"/>
      <c r="IHV6" s="29"/>
      <c r="IHW6" s="29"/>
      <c r="IHX6" s="29"/>
      <c r="IHY6" s="29"/>
      <c r="IHZ6" s="29"/>
      <c r="IIA6" s="29"/>
      <c r="IIB6" s="29"/>
      <c r="IIC6" s="29"/>
      <c r="IID6" s="29"/>
      <c r="IIE6" s="29"/>
      <c r="IIF6" s="29"/>
      <c r="IIG6" s="29"/>
      <c r="IIH6" s="29"/>
      <c r="III6" s="29"/>
      <c r="IIJ6" s="29"/>
      <c r="IIK6" s="29"/>
      <c r="IIL6" s="29"/>
      <c r="IIM6" s="29"/>
      <c r="IIN6" s="29"/>
      <c r="IIO6" s="29"/>
      <c r="IIP6" s="29"/>
      <c r="IIQ6" s="29"/>
      <c r="IIR6" s="29"/>
      <c r="IIS6" s="29"/>
      <c r="IIT6" s="29"/>
      <c r="IIU6" s="29"/>
      <c r="IIV6" s="29"/>
      <c r="IIW6" s="29"/>
      <c r="IIX6" s="29"/>
      <c r="IIY6" s="29"/>
      <c r="IIZ6" s="29"/>
      <c r="IJA6" s="29"/>
      <c r="IJB6" s="29"/>
      <c r="IJC6" s="29"/>
      <c r="IJD6" s="29"/>
      <c r="IJE6" s="29"/>
      <c r="IJF6" s="29"/>
      <c r="IJG6" s="29"/>
      <c r="IJH6" s="29"/>
      <c r="IJI6" s="29"/>
      <c r="IJJ6" s="29"/>
      <c r="IJK6" s="29"/>
      <c r="IJL6" s="29"/>
      <c r="IJM6" s="29"/>
      <c r="IJN6" s="29"/>
      <c r="IJO6" s="29"/>
      <c r="IJP6" s="29"/>
      <c r="IJQ6" s="29"/>
      <c r="IJR6" s="29"/>
      <c r="IJS6" s="29"/>
      <c r="IJT6" s="29"/>
      <c r="IJU6" s="29"/>
      <c r="IJV6" s="29"/>
      <c r="IJW6" s="29"/>
      <c r="IJX6" s="29"/>
      <c r="IJY6" s="29"/>
      <c r="IJZ6" s="29"/>
      <c r="IKA6" s="29"/>
      <c r="IKB6" s="29"/>
      <c r="IKC6" s="29"/>
      <c r="IKD6" s="29"/>
      <c r="IKE6" s="29"/>
      <c r="IKF6" s="29"/>
      <c r="IKG6" s="29"/>
      <c r="IKH6" s="29"/>
      <c r="IKI6" s="29"/>
      <c r="IKJ6" s="29"/>
      <c r="IKK6" s="29"/>
      <c r="IKL6" s="29"/>
      <c r="IKM6" s="29"/>
      <c r="IKN6" s="29"/>
      <c r="IKO6" s="29"/>
      <c r="IKP6" s="29"/>
      <c r="IKQ6" s="29"/>
      <c r="IKR6" s="29"/>
      <c r="IKS6" s="29"/>
      <c r="IKT6" s="29"/>
      <c r="IKU6" s="29"/>
      <c r="IKV6" s="29"/>
      <c r="IKW6" s="29"/>
      <c r="IKX6" s="29"/>
      <c r="IKY6" s="29"/>
      <c r="IKZ6" s="29"/>
      <c r="ILA6" s="29"/>
      <c r="ILB6" s="29"/>
      <c r="ILC6" s="29"/>
      <c r="ILD6" s="29"/>
      <c r="ILE6" s="29"/>
      <c r="ILF6" s="29"/>
      <c r="ILG6" s="29"/>
      <c r="ILH6" s="29"/>
      <c r="ILI6" s="29"/>
      <c r="ILJ6" s="29"/>
      <c r="ILK6" s="29"/>
      <c r="ILL6" s="29"/>
      <c r="ILM6" s="29"/>
      <c r="ILN6" s="29"/>
      <c r="ILO6" s="29"/>
      <c r="ILP6" s="29"/>
      <c r="ILQ6" s="29"/>
      <c r="ILR6" s="29"/>
      <c r="ILS6" s="29"/>
      <c r="ILT6" s="29"/>
      <c r="ILU6" s="29"/>
      <c r="ILV6" s="29"/>
      <c r="ILW6" s="29"/>
      <c r="ILX6" s="29"/>
      <c r="ILY6" s="29"/>
      <c r="ILZ6" s="29"/>
      <c r="IMA6" s="29"/>
      <c r="IMB6" s="29"/>
      <c r="IMC6" s="29"/>
      <c r="IMD6" s="29"/>
      <c r="IME6" s="29"/>
      <c r="IMF6" s="29"/>
      <c r="IMG6" s="29"/>
      <c r="IMH6" s="29"/>
      <c r="IMI6" s="29"/>
      <c r="IMJ6" s="29"/>
      <c r="IMK6" s="29"/>
      <c r="IML6" s="29"/>
      <c r="IMM6" s="29"/>
      <c r="IMN6" s="29"/>
      <c r="IMO6" s="29"/>
      <c r="IMP6" s="29"/>
      <c r="IMQ6" s="29"/>
      <c r="IMR6" s="29"/>
      <c r="IMS6" s="29"/>
      <c r="IMT6" s="29"/>
      <c r="IMU6" s="29"/>
      <c r="IMV6" s="29"/>
      <c r="IMW6" s="29"/>
      <c r="IMX6" s="29"/>
      <c r="IMY6" s="29"/>
      <c r="IMZ6" s="29"/>
      <c r="INA6" s="29"/>
      <c r="INB6" s="29"/>
      <c r="INC6" s="29"/>
      <c r="IND6" s="29"/>
      <c r="INE6" s="29"/>
      <c r="INF6" s="29"/>
      <c r="ING6" s="29"/>
      <c r="INH6" s="29"/>
      <c r="INI6" s="29"/>
      <c r="INJ6" s="29"/>
      <c r="INK6" s="29"/>
      <c r="INL6" s="29"/>
      <c r="INM6" s="29"/>
      <c r="INN6" s="29"/>
      <c r="INO6" s="29"/>
      <c r="INP6" s="29"/>
      <c r="INQ6" s="29"/>
      <c r="INR6" s="29"/>
      <c r="INS6" s="29"/>
      <c r="INT6" s="29"/>
      <c r="INU6" s="29"/>
      <c r="INV6" s="29"/>
      <c r="INW6" s="29"/>
      <c r="INX6" s="29"/>
      <c r="INY6" s="29"/>
      <c r="INZ6" s="29"/>
      <c r="IOA6" s="29"/>
      <c r="IOB6" s="29"/>
      <c r="IOC6" s="29"/>
      <c r="IOD6" s="29"/>
      <c r="IOE6" s="29"/>
      <c r="IOF6" s="29"/>
      <c r="IOG6" s="29"/>
      <c r="IOH6" s="29"/>
      <c r="IOI6" s="29"/>
      <c r="IOJ6" s="29"/>
      <c r="IOK6" s="29"/>
      <c r="IOL6" s="29"/>
      <c r="IOM6" s="29"/>
      <c r="ION6" s="29"/>
      <c r="IOO6" s="29"/>
      <c r="IOP6" s="29"/>
      <c r="IOQ6" s="29"/>
      <c r="IOR6" s="29"/>
      <c r="IOS6" s="29"/>
      <c r="IOT6" s="29"/>
      <c r="IOU6" s="29"/>
      <c r="IOV6" s="29"/>
      <c r="IOW6" s="29"/>
      <c r="IOX6" s="29"/>
      <c r="IOY6" s="29"/>
      <c r="IOZ6" s="29"/>
      <c r="IPA6" s="29"/>
      <c r="IPB6" s="29"/>
      <c r="IPC6" s="29"/>
      <c r="IPD6" s="29"/>
      <c r="IPE6" s="29"/>
      <c r="IPF6" s="29"/>
      <c r="IPG6" s="29"/>
      <c r="IPH6" s="29"/>
      <c r="IPI6" s="29"/>
      <c r="IPJ6" s="29"/>
      <c r="IPK6" s="29"/>
      <c r="IPL6" s="29"/>
      <c r="IPM6" s="29"/>
      <c r="IPN6" s="29"/>
      <c r="IPO6" s="29"/>
      <c r="IPP6" s="29"/>
      <c r="IPQ6" s="29"/>
      <c r="IPR6" s="29"/>
      <c r="IPS6" s="29"/>
      <c r="IPT6" s="29"/>
      <c r="IPU6" s="29"/>
      <c r="IPV6" s="29"/>
      <c r="IPW6" s="29"/>
      <c r="IPX6" s="29"/>
      <c r="IPY6" s="29"/>
      <c r="IPZ6" s="29"/>
      <c r="IQA6" s="29"/>
      <c r="IQB6" s="29"/>
      <c r="IQC6" s="29"/>
      <c r="IQD6" s="29"/>
      <c r="IQE6" s="29"/>
      <c r="IQF6" s="29"/>
      <c r="IQG6" s="29"/>
      <c r="IQH6" s="29"/>
      <c r="IQI6" s="29"/>
      <c r="IQJ6" s="29"/>
      <c r="IQK6" s="29"/>
      <c r="IQL6" s="29"/>
      <c r="IQM6" s="29"/>
      <c r="IQN6" s="29"/>
      <c r="IQO6" s="29"/>
      <c r="IQP6" s="29"/>
      <c r="IQQ6" s="29"/>
      <c r="IQR6" s="29"/>
      <c r="IQS6" s="29"/>
      <c r="IQT6" s="29"/>
      <c r="IQU6" s="29"/>
      <c r="IQV6" s="29"/>
      <c r="IQW6" s="29"/>
      <c r="IQX6" s="29"/>
      <c r="IQY6" s="29"/>
      <c r="IQZ6" s="29"/>
      <c r="IRA6" s="29"/>
      <c r="IRB6" s="29"/>
      <c r="IRC6" s="29"/>
      <c r="IRD6" s="29"/>
      <c r="IRE6" s="29"/>
      <c r="IRF6" s="29"/>
      <c r="IRG6" s="29"/>
      <c r="IRH6" s="29"/>
      <c r="IRI6" s="29"/>
      <c r="IRJ6" s="29"/>
      <c r="IRK6" s="29"/>
      <c r="IRL6" s="29"/>
      <c r="IRM6" s="29"/>
      <c r="IRN6" s="29"/>
      <c r="IRO6" s="29"/>
      <c r="IRP6" s="29"/>
      <c r="IRQ6" s="29"/>
      <c r="IRR6" s="29"/>
      <c r="IRS6" s="29"/>
      <c r="IRT6" s="29"/>
      <c r="IRU6" s="29"/>
      <c r="IRV6" s="29"/>
      <c r="IRW6" s="29"/>
      <c r="IRX6" s="29"/>
      <c r="IRY6" s="29"/>
      <c r="IRZ6" s="29"/>
      <c r="ISA6" s="29"/>
      <c r="ISB6" s="29"/>
      <c r="ISC6" s="29"/>
      <c r="ISD6" s="29"/>
      <c r="ISE6" s="29"/>
      <c r="ISF6" s="29"/>
      <c r="ISG6" s="29"/>
      <c r="ISH6" s="29"/>
      <c r="ISI6" s="29"/>
      <c r="ISJ6" s="29"/>
      <c r="ISK6" s="29"/>
      <c r="ISL6" s="29"/>
      <c r="ISM6" s="29"/>
      <c r="ISN6" s="29"/>
      <c r="ISO6" s="29"/>
      <c r="ISP6" s="29"/>
      <c r="ISQ6" s="29"/>
      <c r="ISR6" s="29"/>
      <c r="ISS6" s="29"/>
      <c r="IST6" s="29"/>
      <c r="ISU6" s="29"/>
      <c r="ISV6" s="29"/>
      <c r="ISW6" s="29"/>
      <c r="ISX6" s="29"/>
      <c r="ISY6" s="29"/>
      <c r="ISZ6" s="29"/>
      <c r="ITA6" s="29"/>
      <c r="ITB6" s="29"/>
      <c r="ITC6" s="29"/>
      <c r="ITD6" s="29"/>
      <c r="ITE6" s="29"/>
      <c r="ITF6" s="29"/>
      <c r="ITG6" s="29"/>
      <c r="ITH6" s="29"/>
      <c r="ITI6" s="29"/>
      <c r="ITJ6" s="29"/>
      <c r="ITK6" s="29"/>
      <c r="ITL6" s="29"/>
      <c r="ITM6" s="29"/>
      <c r="ITN6" s="29"/>
      <c r="ITO6" s="29"/>
      <c r="ITP6" s="29"/>
      <c r="ITQ6" s="29"/>
      <c r="ITR6" s="29"/>
      <c r="ITS6" s="29"/>
      <c r="ITT6" s="29"/>
      <c r="ITU6" s="29"/>
      <c r="ITV6" s="29"/>
      <c r="ITW6" s="29"/>
      <c r="ITX6" s="29"/>
      <c r="ITY6" s="29"/>
      <c r="ITZ6" s="29"/>
      <c r="IUA6" s="29"/>
      <c r="IUB6" s="29"/>
      <c r="IUC6" s="29"/>
      <c r="IUD6" s="29"/>
      <c r="IUE6" s="29"/>
      <c r="IUF6" s="29"/>
      <c r="IUG6" s="29"/>
      <c r="IUH6" s="29"/>
      <c r="IUI6" s="29"/>
      <c r="IUJ6" s="29"/>
      <c r="IUK6" s="29"/>
      <c r="IUL6" s="29"/>
      <c r="IUM6" s="29"/>
      <c r="IUN6" s="29"/>
      <c r="IUO6" s="29"/>
      <c r="IUP6" s="29"/>
      <c r="IUQ6" s="29"/>
      <c r="IUR6" s="29"/>
      <c r="IUS6" s="29"/>
      <c r="IUT6" s="29"/>
      <c r="IUU6" s="29"/>
      <c r="IUV6" s="29"/>
      <c r="IUW6" s="29"/>
      <c r="IUX6" s="29"/>
      <c r="IUY6" s="29"/>
      <c r="IUZ6" s="29"/>
      <c r="IVA6" s="29"/>
      <c r="IVB6" s="29"/>
      <c r="IVC6" s="29"/>
      <c r="IVD6" s="29"/>
      <c r="IVE6" s="29"/>
      <c r="IVF6" s="29"/>
      <c r="IVG6" s="29"/>
      <c r="IVH6" s="29"/>
      <c r="IVI6" s="29"/>
      <c r="IVJ6" s="29"/>
      <c r="IVK6" s="29"/>
      <c r="IVL6" s="29"/>
      <c r="IVM6" s="29"/>
      <c r="IVN6" s="29"/>
      <c r="IVO6" s="29"/>
      <c r="IVP6" s="29"/>
      <c r="IVQ6" s="29"/>
      <c r="IVR6" s="29"/>
      <c r="IVS6" s="29"/>
      <c r="IVT6" s="29"/>
      <c r="IVU6" s="29"/>
      <c r="IVV6" s="29"/>
      <c r="IVW6" s="29"/>
      <c r="IVX6" s="29"/>
      <c r="IVY6" s="29"/>
      <c r="IVZ6" s="29"/>
      <c r="IWA6" s="29"/>
      <c r="IWB6" s="29"/>
      <c r="IWC6" s="29"/>
      <c r="IWD6" s="29"/>
      <c r="IWE6" s="29"/>
      <c r="IWF6" s="29"/>
      <c r="IWG6" s="29"/>
      <c r="IWH6" s="29"/>
      <c r="IWI6" s="29"/>
      <c r="IWJ6" s="29"/>
      <c r="IWK6" s="29"/>
      <c r="IWL6" s="29"/>
      <c r="IWM6" s="29"/>
      <c r="IWN6" s="29"/>
      <c r="IWO6" s="29"/>
      <c r="IWP6" s="29"/>
      <c r="IWQ6" s="29"/>
      <c r="IWR6" s="29"/>
      <c r="IWS6" s="29"/>
      <c r="IWT6" s="29"/>
      <c r="IWU6" s="29"/>
      <c r="IWV6" s="29"/>
      <c r="IWW6" s="29"/>
      <c r="IWX6" s="29"/>
      <c r="IWY6" s="29"/>
      <c r="IWZ6" s="29"/>
      <c r="IXA6" s="29"/>
      <c r="IXB6" s="29"/>
      <c r="IXC6" s="29"/>
      <c r="IXD6" s="29"/>
      <c r="IXE6" s="29"/>
      <c r="IXF6" s="29"/>
      <c r="IXG6" s="29"/>
      <c r="IXH6" s="29"/>
      <c r="IXI6" s="29"/>
      <c r="IXJ6" s="29"/>
      <c r="IXK6" s="29"/>
      <c r="IXL6" s="29"/>
      <c r="IXM6" s="29"/>
      <c r="IXN6" s="29"/>
      <c r="IXO6" s="29"/>
      <c r="IXP6" s="29"/>
      <c r="IXQ6" s="29"/>
      <c r="IXR6" s="29"/>
      <c r="IXS6" s="29"/>
      <c r="IXT6" s="29"/>
      <c r="IXU6" s="29"/>
      <c r="IXV6" s="29"/>
      <c r="IXW6" s="29"/>
      <c r="IXX6" s="29"/>
      <c r="IXY6" s="29"/>
      <c r="IXZ6" s="29"/>
      <c r="IYA6" s="29"/>
      <c r="IYB6" s="29"/>
      <c r="IYC6" s="29"/>
      <c r="IYD6" s="29"/>
      <c r="IYE6" s="29"/>
      <c r="IYF6" s="29"/>
      <c r="IYG6" s="29"/>
      <c r="IYH6" s="29"/>
      <c r="IYI6" s="29"/>
      <c r="IYJ6" s="29"/>
      <c r="IYK6" s="29"/>
      <c r="IYL6" s="29"/>
      <c r="IYM6" s="29"/>
      <c r="IYN6" s="29"/>
      <c r="IYO6" s="29"/>
      <c r="IYP6" s="29"/>
      <c r="IYQ6" s="29"/>
      <c r="IYR6" s="29"/>
      <c r="IYS6" s="29"/>
      <c r="IYT6" s="29"/>
      <c r="IYU6" s="29"/>
      <c r="IYV6" s="29"/>
      <c r="IYW6" s="29"/>
      <c r="IYX6" s="29"/>
      <c r="IYY6" s="29"/>
      <c r="IYZ6" s="29"/>
      <c r="IZA6" s="29"/>
      <c r="IZB6" s="29"/>
      <c r="IZC6" s="29"/>
      <c r="IZD6" s="29"/>
      <c r="IZE6" s="29"/>
      <c r="IZF6" s="29"/>
      <c r="IZG6" s="29"/>
      <c r="IZH6" s="29"/>
      <c r="IZI6" s="29"/>
      <c r="IZJ6" s="29"/>
      <c r="IZK6" s="29"/>
      <c r="IZL6" s="29"/>
      <c r="IZM6" s="29"/>
      <c r="IZN6" s="29"/>
      <c r="IZO6" s="29"/>
      <c r="IZP6" s="29"/>
      <c r="IZQ6" s="29"/>
      <c r="IZR6" s="29"/>
      <c r="IZS6" s="29"/>
      <c r="IZT6" s="29"/>
      <c r="IZU6" s="29"/>
      <c r="IZV6" s="29"/>
      <c r="IZW6" s="29"/>
      <c r="IZX6" s="29"/>
      <c r="IZY6" s="29"/>
      <c r="IZZ6" s="29"/>
      <c r="JAA6" s="29"/>
      <c r="JAB6" s="29"/>
      <c r="JAC6" s="29"/>
      <c r="JAD6" s="29"/>
      <c r="JAE6" s="29"/>
      <c r="JAF6" s="29"/>
      <c r="JAG6" s="29"/>
      <c r="JAH6" s="29"/>
      <c r="JAI6" s="29"/>
      <c r="JAJ6" s="29"/>
      <c r="JAK6" s="29"/>
      <c r="JAL6" s="29"/>
      <c r="JAM6" s="29"/>
      <c r="JAN6" s="29"/>
      <c r="JAO6" s="29"/>
      <c r="JAP6" s="29"/>
      <c r="JAQ6" s="29"/>
      <c r="JAR6" s="29"/>
      <c r="JAS6" s="29"/>
      <c r="JAT6" s="29"/>
      <c r="JAU6" s="29"/>
      <c r="JAV6" s="29"/>
      <c r="JAW6" s="29"/>
      <c r="JAX6" s="29"/>
      <c r="JAY6" s="29"/>
      <c r="JAZ6" s="29"/>
      <c r="JBA6" s="29"/>
      <c r="JBB6" s="29"/>
      <c r="JBC6" s="29"/>
      <c r="JBD6" s="29"/>
      <c r="JBE6" s="29"/>
      <c r="JBF6" s="29"/>
      <c r="JBG6" s="29"/>
      <c r="JBH6" s="29"/>
      <c r="JBI6" s="29"/>
      <c r="JBJ6" s="29"/>
      <c r="JBK6" s="29"/>
      <c r="JBL6" s="29"/>
      <c r="JBM6" s="29"/>
      <c r="JBN6" s="29"/>
      <c r="JBO6" s="29"/>
      <c r="JBP6" s="29"/>
      <c r="JBQ6" s="29"/>
      <c r="JBR6" s="29"/>
      <c r="JBS6" s="29"/>
      <c r="JBT6" s="29"/>
      <c r="JBU6" s="29"/>
      <c r="JBV6" s="29"/>
      <c r="JBW6" s="29"/>
      <c r="JBX6" s="29"/>
      <c r="JBY6" s="29"/>
      <c r="JBZ6" s="29"/>
      <c r="JCA6" s="29"/>
      <c r="JCB6" s="29"/>
      <c r="JCC6" s="29"/>
      <c r="JCD6" s="29"/>
      <c r="JCE6" s="29"/>
      <c r="JCF6" s="29"/>
      <c r="JCG6" s="29"/>
      <c r="JCH6" s="29"/>
      <c r="JCI6" s="29"/>
      <c r="JCJ6" s="29"/>
      <c r="JCK6" s="29"/>
      <c r="JCL6" s="29"/>
      <c r="JCM6" s="29"/>
      <c r="JCN6" s="29"/>
      <c r="JCO6" s="29"/>
      <c r="JCP6" s="29"/>
      <c r="JCQ6" s="29"/>
      <c r="JCR6" s="29"/>
      <c r="JCS6" s="29"/>
      <c r="JCT6" s="29"/>
      <c r="JCU6" s="29"/>
      <c r="JCV6" s="29"/>
      <c r="JCW6" s="29"/>
      <c r="JCX6" s="29"/>
      <c r="JCY6" s="29"/>
      <c r="JCZ6" s="29"/>
      <c r="JDA6" s="29"/>
      <c r="JDB6" s="29"/>
      <c r="JDC6" s="29"/>
      <c r="JDD6" s="29"/>
      <c r="JDE6" s="29"/>
      <c r="JDF6" s="29"/>
      <c r="JDG6" s="29"/>
      <c r="JDH6" s="29"/>
      <c r="JDI6" s="29"/>
      <c r="JDJ6" s="29"/>
      <c r="JDK6" s="29"/>
      <c r="JDL6" s="29"/>
      <c r="JDM6" s="29"/>
      <c r="JDN6" s="29"/>
      <c r="JDO6" s="29"/>
      <c r="JDP6" s="29"/>
      <c r="JDQ6" s="29"/>
      <c r="JDR6" s="29"/>
      <c r="JDS6" s="29"/>
      <c r="JDT6" s="29"/>
      <c r="JDU6" s="29"/>
      <c r="JDV6" s="29"/>
      <c r="JDW6" s="29"/>
      <c r="JDX6" s="29"/>
      <c r="JDY6" s="29"/>
      <c r="JDZ6" s="29"/>
      <c r="JEA6" s="29"/>
      <c r="JEB6" s="29"/>
      <c r="JEC6" s="29"/>
      <c r="JED6" s="29"/>
      <c r="JEE6" s="29"/>
      <c r="JEF6" s="29"/>
      <c r="JEG6" s="29"/>
      <c r="JEH6" s="29"/>
      <c r="JEI6" s="29"/>
      <c r="JEJ6" s="29"/>
      <c r="JEK6" s="29"/>
      <c r="JEL6" s="29"/>
      <c r="JEM6" s="29"/>
      <c r="JEN6" s="29"/>
      <c r="JEO6" s="29"/>
      <c r="JEP6" s="29"/>
      <c r="JEQ6" s="29"/>
      <c r="JER6" s="29"/>
      <c r="JES6" s="29"/>
      <c r="JET6" s="29"/>
      <c r="JEU6" s="29"/>
      <c r="JEV6" s="29"/>
      <c r="JEW6" s="29"/>
      <c r="JEX6" s="29"/>
      <c r="JEY6" s="29"/>
      <c r="JEZ6" s="29"/>
      <c r="JFA6" s="29"/>
      <c r="JFB6" s="29"/>
      <c r="JFC6" s="29"/>
      <c r="JFD6" s="29"/>
      <c r="JFE6" s="29"/>
      <c r="JFF6" s="29"/>
      <c r="JFG6" s="29"/>
      <c r="JFH6" s="29"/>
      <c r="JFI6" s="29"/>
      <c r="JFJ6" s="29"/>
      <c r="JFK6" s="29"/>
      <c r="JFL6" s="29"/>
      <c r="JFM6" s="29"/>
      <c r="JFN6" s="29"/>
      <c r="JFO6" s="29"/>
      <c r="JFP6" s="29"/>
      <c r="JFQ6" s="29"/>
      <c r="JFR6" s="29"/>
      <c r="JFS6" s="29"/>
      <c r="JFT6" s="29"/>
      <c r="JFU6" s="29"/>
      <c r="JFV6" s="29"/>
      <c r="JFW6" s="29"/>
      <c r="JFX6" s="29"/>
      <c r="JFY6" s="29"/>
      <c r="JFZ6" s="29"/>
      <c r="JGA6" s="29"/>
      <c r="JGB6" s="29"/>
      <c r="JGC6" s="29"/>
      <c r="JGD6" s="29"/>
      <c r="JGE6" s="29"/>
      <c r="JGF6" s="29"/>
      <c r="JGG6" s="29"/>
      <c r="JGH6" s="29"/>
      <c r="JGI6" s="29"/>
      <c r="JGJ6" s="29"/>
      <c r="JGK6" s="29"/>
      <c r="JGL6" s="29"/>
      <c r="JGM6" s="29"/>
      <c r="JGN6" s="29"/>
      <c r="JGO6" s="29"/>
      <c r="JGP6" s="29"/>
      <c r="JGQ6" s="29"/>
      <c r="JGR6" s="29"/>
      <c r="JGS6" s="29"/>
      <c r="JGT6" s="29"/>
      <c r="JGU6" s="29"/>
      <c r="JGV6" s="29"/>
      <c r="JGW6" s="29"/>
      <c r="JGX6" s="29"/>
      <c r="JGY6" s="29"/>
      <c r="JGZ6" s="29"/>
      <c r="JHA6" s="29"/>
      <c r="JHB6" s="29"/>
      <c r="JHC6" s="29"/>
      <c r="JHD6" s="29"/>
      <c r="JHE6" s="29"/>
      <c r="JHF6" s="29"/>
      <c r="JHG6" s="29"/>
      <c r="JHH6" s="29"/>
      <c r="JHI6" s="29"/>
      <c r="JHJ6" s="29"/>
      <c r="JHK6" s="29"/>
      <c r="JHL6" s="29"/>
      <c r="JHM6" s="29"/>
      <c r="JHN6" s="29"/>
      <c r="JHO6" s="29"/>
      <c r="JHP6" s="29"/>
      <c r="JHQ6" s="29"/>
      <c r="JHR6" s="29"/>
      <c r="JHS6" s="29"/>
      <c r="JHT6" s="29"/>
      <c r="JHU6" s="29"/>
      <c r="JHV6" s="29"/>
      <c r="JHW6" s="29"/>
      <c r="JHX6" s="29"/>
      <c r="JHY6" s="29"/>
      <c r="JHZ6" s="29"/>
      <c r="JIA6" s="29"/>
      <c r="JIB6" s="29"/>
      <c r="JIC6" s="29"/>
      <c r="JID6" s="29"/>
      <c r="JIE6" s="29"/>
      <c r="JIF6" s="29"/>
      <c r="JIG6" s="29"/>
      <c r="JIH6" s="29"/>
      <c r="JII6" s="29"/>
      <c r="JIJ6" s="29"/>
      <c r="JIK6" s="29"/>
      <c r="JIL6" s="29"/>
      <c r="JIM6" s="29"/>
      <c r="JIN6" s="29"/>
      <c r="JIO6" s="29"/>
      <c r="JIP6" s="29"/>
      <c r="JIQ6" s="29"/>
      <c r="JIR6" s="29"/>
      <c r="JIS6" s="29"/>
      <c r="JIT6" s="29"/>
      <c r="JIU6" s="29"/>
      <c r="JIV6" s="29"/>
      <c r="JIW6" s="29"/>
      <c r="JIX6" s="29"/>
      <c r="JIY6" s="29"/>
      <c r="JIZ6" s="29"/>
      <c r="JJA6" s="29"/>
      <c r="JJB6" s="29"/>
      <c r="JJC6" s="29"/>
      <c r="JJD6" s="29"/>
      <c r="JJE6" s="29"/>
      <c r="JJF6" s="29"/>
      <c r="JJG6" s="29"/>
      <c r="JJH6" s="29"/>
      <c r="JJI6" s="29"/>
      <c r="JJJ6" s="29"/>
      <c r="JJK6" s="29"/>
      <c r="JJL6" s="29"/>
      <c r="JJM6" s="29"/>
      <c r="JJN6" s="29"/>
      <c r="JJO6" s="29"/>
      <c r="JJP6" s="29"/>
      <c r="JJQ6" s="29"/>
      <c r="JJR6" s="29"/>
      <c r="JJS6" s="29"/>
      <c r="JJT6" s="29"/>
      <c r="JJU6" s="29"/>
      <c r="JJV6" s="29"/>
      <c r="JJW6" s="29"/>
      <c r="JJX6" s="29"/>
      <c r="JJY6" s="29"/>
      <c r="JJZ6" s="29"/>
      <c r="JKA6" s="29"/>
      <c r="JKB6" s="29"/>
      <c r="JKC6" s="29"/>
      <c r="JKD6" s="29"/>
      <c r="JKE6" s="29"/>
      <c r="JKF6" s="29"/>
      <c r="JKG6" s="29"/>
      <c r="JKH6" s="29"/>
      <c r="JKI6" s="29"/>
      <c r="JKJ6" s="29"/>
      <c r="JKK6" s="29"/>
      <c r="JKL6" s="29"/>
      <c r="JKM6" s="29"/>
      <c r="JKN6" s="29"/>
      <c r="JKO6" s="29"/>
      <c r="JKP6" s="29"/>
      <c r="JKQ6" s="29"/>
      <c r="JKR6" s="29"/>
      <c r="JKS6" s="29"/>
      <c r="JKT6" s="29"/>
      <c r="JKU6" s="29"/>
      <c r="JKV6" s="29"/>
      <c r="JKW6" s="29"/>
      <c r="JKX6" s="29"/>
      <c r="JKY6" s="29"/>
      <c r="JKZ6" s="29"/>
      <c r="JLA6" s="29"/>
      <c r="JLB6" s="29"/>
      <c r="JLC6" s="29"/>
      <c r="JLD6" s="29"/>
      <c r="JLE6" s="29"/>
      <c r="JLF6" s="29"/>
      <c r="JLG6" s="29"/>
      <c r="JLH6" s="29"/>
      <c r="JLI6" s="29"/>
      <c r="JLJ6" s="29"/>
      <c r="JLK6" s="29"/>
      <c r="JLL6" s="29"/>
      <c r="JLM6" s="29"/>
      <c r="JLN6" s="29"/>
      <c r="JLO6" s="29"/>
      <c r="JLP6" s="29"/>
      <c r="JLQ6" s="29"/>
      <c r="JLR6" s="29"/>
      <c r="JLS6" s="29"/>
      <c r="JLT6" s="29"/>
      <c r="JLU6" s="29"/>
      <c r="JLV6" s="29"/>
      <c r="JLW6" s="29"/>
      <c r="JLX6" s="29"/>
      <c r="JLY6" s="29"/>
      <c r="JLZ6" s="29"/>
      <c r="JMA6" s="29"/>
      <c r="JMB6" s="29"/>
      <c r="JMC6" s="29"/>
      <c r="JMD6" s="29"/>
      <c r="JME6" s="29"/>
      <c r="JMF6" s="29"/>
      <c r="JMG6" s="29"/>
      <c r="JMH6" s="29"/>
      <c r="JMI6" s="29"/>
      <c r="JMJ6" s="29"/>
      <c r="JMK6" s="29"/>
      <c r="JML6" s="29"/>
      <c r="JMM6" s="29"/>
      <c r="JMN6" s="29"/>
      <c r="JMO6" s="29"/>
      <c r="JMP6" s="29"/>
      <c r="JMQ6" s="29"/>
      <c r="JMR6" s="29"/>
      <c r="JMS6" s="29"/>
      <c r="JMT6" s="29"/>
      <c r="JMU6" s="29"/>
      <c r="JMV6" s="29"/>
      <c r="JMW6" s="29"/>
      <c r="JMX6" s="29"/>
      <c r="JMY6" s="29"/>
      <c r="JMZ6" s="29"/>
      <c r="JNA6" s="29"/>
      <c r="JNB6" s="29"/>
      <c r="JNC6" s="29"/>
      <c r="JND6" s="29"/>
      <c r="JNE6" s="29"/>
      <c r="JNF6" s="29"/>
      <c r="JNG6" s="29"/>
      <c r="JNH6" s="29"/>
      <c r="JNI6" s="29"/>
      <c r="JNJ6" s="29"/>
      <c r="JNK6" s="29"/>
      <c r="JNL6" s="29"/>
      <c r="JNM6" s="29"/>
      <c r="JNN6" s="29"/>
      <c r="JNO6" s="29"/>
      <c r="JNP6" s="29"/>
      <c r="JNQ6" s="29"/>
      <c r="JNR6" s="29"/>
      <c r="JNS6" s="29"/>
      <c r="JNT6" s="29"/>
      <c r="JNU6" s="29"/>
      <c r="JNV6" s="29"/>
      <c r="JNW6" s="29"/>
      <c r="JNX6" s="29"/>
      <c r="JNY6" s="29"/>
      <c r="JNZ6" s="29"/>
      <c r="JOA6" s="29"/>
      <c r="JOB6" s="29"/>
      <c r="JOC6" s="29"/>
      <c r="JOD6" s="29"/>
      <c r="JOE6" s="29"/>
      <c r="JOF6" s="29"/>
      <c r="JOG6" s="29"/>
      <c r="JOH6" s="29"/>
      <c r="JOI6" s="29"/>
      <c r="JOJ6" s="29"/>
      <c r="JOK6" s="29"/>
      <c r="JOL6" s="29"/>
      <c r="JOM6" s="29"/>
      <c r="JON6" s="29"/>
      <c r="JOO6" s="29"/>
      <c r="JOP6" s="29"/>
      <c r="JOQ6" s="29"/>
      <c r="JOR6" s="29"/>
      <c r="JOS6" s="29"/>
      <c r="JOT6" s="29"/>
      <c r="JOU6" s="29"/>
      <c r="JOV6" s="29"/>
      <c r="JOW6" s="29"/>
      <c r="JOX6" s="29"/>
      <c r="JOY6" s="29"/>
      <c r="JOZ6" s="29"/>
      <c r="JPA6" s="29"/>
      <c r="JPB6" s="29"/>
      <c r="JPC6" s="29"/>
      <c r="JPD6" s="29"/>
      <c r="JPE6" s="29"/>
      <c r="JPF6" s="29"/>
      <c r="JPG6" s="29"/>
      <c r="JPH6" s="29"/>
      <c r="JPI6" s="29"/>
      <c r="JPJ6" s="29"/>
      <c r="JPK6" s="29"/>
      <c r="JPL6" s="29"/>
      <c r="JPM6" s="29"/>
      <c r="JPN6" s="29"/>
      <c r="JPO6" s="29"/>
      <c r="JPP6" s="29"/>
      <c r="JPQ6" s="29"/>
      <c r="JPR6" s="29"/>
      <c r="JPS6" s="29"/>
      <c r="JPT6" s="29"/>
      <c r="JPU6" s="29"/>
      <c r="JPV6" s="29"/>
      <c r="JPW6" s="29"/>
      <c r="JPX6" s="29"/>
      <c r="JPY6" s="29"/>
      <c r="JPZ6" s="29"/>
      <c r="JQA6" s="29"/>
      <c r="JQB6" s="29"/>
      <c r="JQC6" s="29"/>
      <c r="JQD6" s="29"/>
      <c r="JQE6" s="29"/>
      <c r="JQF6" s="29"/>
      <c r="JQG6" s="29"/>
      <c r="JQH6" s="29"/>
      <c r="JQI6" s="29"/>
      <c r="JQJ6" s="29"/>
      <c r="JQK6" s="29"/>
      <c r="JQL6" s="29"/>
      <c r="JQM6" s="29"/>
      <c r="JQN6" s="29"/>
      <c r="JQO6" s="29"/>
      <c r="JQP6" s="29"/>
      <c r="JQQ6" s="29"/>
      <c r="JQR6" s="29"/>
      <c r="JQS6" s="29"/>
      <c r="JQT6" s="29"/>
      <c r="JQU6" s="29"/>
      <c r="JQV6" s="29"/>
      <c r="JQW6" s="29"/>
      <c r="JQX6" s="29"/>
      <c r="JQY6" s="29"/>
      <c r="JQZ6" s="29"/>
      <c r="JRA6" s="29"/>
      <c r="JRB6" s="29"/>
      <c r="JRC6" s="29"/>
      <c r="JRD6" s="29"/>
      <c r="JRE6" s="29"/>
      <c r="JRF6" s="29"/>
      <c r="JRG6" s="29"/>
      <c r="JRH6" s="29"/>
      <c r="JRI6" s="29"/>
      <c r="JRJ6" s="29"/>
      <c r="JRK6" s="29"/>
      <c r="JRL6" s="29"/>
      <c r="JRM6" s="29"/>
      <c r="JRN6" s="29"/>
      <c r="JRO6" s="29"/>
      <c r="JRP6" s="29"/>
      <c r="JRQ6" s="29"/>
      <c r="JRR6" s="29"/>
      <c r="JRS6" s="29"/>
      <c r="JRT6" s="29"/>
      <c r="JRU6" s="29"/>
      <c r="JRV6" s="29"/>
      <c r="JRW6" s="29"/>
      <c r="JRX6" s="29"/>
      <c r="JRY6" s="29"/>
      <c r="JRZ6" s="29"/>
      <c r="JSA6" s="29"/>
      <c r="JSB6" s="29"/>
      <c r="JSC6" s="29"/>
      <c r="JSD6" s="29"/>
      <c r="JSE6" s="29"/>
      <c r="JSF6" s="29"/>
      <c r="JSG6" s="29"/>
      <c r="JSH6" s="29"/>
      <c r="JSI6" s="29"/>
      <c r="JSJ6" s="29"/>
      <c r="JSK6" s="29"/>
      <c r="JSL6" s="29"/>
      <c r="JSM6" s="29"/>
      <c r="JSN6" s="29"/>
      <c r="JSO6" s="29"/>
      <c r="JSP6" s="29"/>
      <c r="JSQ6" s="29"/>
      <c r="JSR6" s="29"/>
      <c r="JSS6" s="29"/>
      <c r="JST6" s="29"/>
      <c r="JSU6" s="29"/>
      <c r="JSV6" s="29"/>
      <c r="JSW6" s="29"/>
      <c r="JSX6" s="29"/>
      <c r="JSY6" s="29"/>
      <c r="JSZ6" s="29"/>
      <c r="JTA6" s="29"/>
      <c r="JTB6" s="29"/>
      <c r="JTC6" s="29"/>
      <c r="JTD6" s="29"/>
      <c r="JTE6" s="29"/>
      <c r="JTF6" s="29"/>
      <c r="JTG6" s="29"/>
      <c r="JTH6" s="29"/>
      <c r="JTI6" s="29"/>
      <c r="JTJ6" s="29"/>
      <c r="JTK6" s="29"/>
      <c r="JTL6" s="29"/>
      <c r="JTM6" s="29"/>
      <c r="JTN6" s="29"/>
      <c r="JTO6" s="29"/>
      <c r="JTP6" s="29"/>
      <c r="JTQ6" s="29"/>
      <c r="JTR6" s="29"/>
      <c r="JTS6" s="29"/>
      <c r="JTT6" s="29"/>
      <c r="JTU6" s="29"/>
      <c r="JTV6" s="29"/>
      <c r="JTW6" s="29"/>
      <c r="JTX6" s="29"/>
      <c r="JTY6" s="29"/>
      <c r="JTZ6" s="29"/>
      <c r="JUA6" s="29"/>
      <c r="JUB6" s="29"/>
      <c r="JUC6" s="29"/>
      <c r="JUD6" s="29"/>
      <c r="JUE6" s="29"/>
      <c r="JUF6" s="29"/>
      <c r="JUG6" s="29"/>
      <c r="JUH6" s="29"/>
      <c r="JUI6" s="29"/>
      <c r="JUJ6" s="29"/>
      <c r="JUK6" s="29"/>
      <c r="JUL6" s="29"/>
      <c r="JUM6" s="29"/>
      <c r="JUN6" s="29"/>
      <c r="JUO6" s="29"/>
      <c r="JUP6" s="29"/>
      <c r="JUQ6" s="29"/>
      <c r="JUR6" s="29"/>
      <c r="JUS6" s="29"/>
      <c r="JUT6" s="29"/>
      <c r="JUU6" s="29"/>
      <c r="JUV6" s="29"/>
      <c r="JUW6" s="29"/>
      <c r="JUX6" s="29"/>
      <c r="JUY6" s="29"/>
      <c r="JUZ6" s="29"/>
      <c r="JVA6" s="29"/>
      <c r="JVB6" s="29"/>
      <c r="JVC6" s="29"/>
      <c r="JVD6" s="29"/>
      <c r="JVE6" s="29"/>
      <c r="JVF6" s="29"/>
      <c r="JVG6" s="29"/>
      <c r="JVH6" s="29"/>
      <c r="JVI6" s="29"/>
      <c r="JVJ6" s="29"/>
      <c r="JVK6" s="29"/>
      <c r="JVL6" s="29"/>
      <c r="JVM6" s="29"/>
      <c r="JVN6" s="29"/>
      <c r="JVO6" s="29"/>
      <c r="JVP6" s="29"/>
      <c r="JVQ6" s="29"/>
      <c r="JVR6" s="29"/>
      <c r="JVS6" s="29"/>
      <c r="JVT6" s="29"/>
      <c r="JVU6" s="29"/>
      <c r="JVV6" s="29"/>
      <c r="JVW6" s="29"/>
      <c r="JVX6" s="29"/>
      <c r="JVY6" s="29"/>
      <c r="JVZ6" s="29"/>
      <c r="JWA6" s="29"/>
      <c r="JWB6" s="29"/>
      <c r="JWC6" s="29"/>
      <c r="JWD6" s="29"/>
      <c r="JWE6" s="29"/>
      <c r="JWF6" s="29"/>
      <c r="JWG6" s="29"/>
      <c r="JWH6" s="29"/>
      <c r="JWI6" s="29"/>
      <c r="JWJ6" s="29"/>
      <c r="JWK6" s="29"/>
      <c r="JWL6" s="29"/>
      <c r="JWM6" s="29"/>
      <c r="JWN6" s="29"/>
      <c r="JWO6" s="29"/>
      <c r="JWP6" s="29"/>
      <c r="JWQ6" s="29"/>
      <c r="JWR6" s="29"/>
      <c r="JWS6" s="29"/>
      <c r="JWT6" s="29"/>
      <c r="JWU6" s="29"/>
      <c r="JWV6" s="29"/>
      <c r="JWW6" s="29"/>
      <c r="JWX6" s="29"/>
      <c r="JWY6" s="29"/>
      <c r="JWZ6" s="29"/>
      <c r="JXA6" s="29"/>
      <c r="JXB6" s="29"/>
      <c r="JXC6" s="29"/>
      <c r="JXD6" s="29"/>
      <c r="JXE6" s="29"/>
      <c r="JXF6" s="29"/>
      <c r="JXG6" s="29"/>
      <c r="JXH6" s="29"/>
      <c r="JXI6" s="29"/>
      <c r="JXJ6" s="29"/>
      <c r="JXK6" s="29"/>
      <c r="JXL6" s="29"/>
      <c r="JXM6" s="29"/>
      <c r="JXN6" s="29"/>
      <c r="JXO6" s="29"/>
      <c r="JXP6" s="29"/>
      <c r="JXQ6" s="29"/>
      <c r="JXR6" s="29"/>
      <c r="JXS6" s="29"/>
      <c r="JXT6" s="29"/>
      <c r="JXU6" s="29"/>
      <c r="JXV6" s="29"/>
      <c r="JXW6" s="29"/>
      <c r="JXX6" s="29"/>
      <c r="JXY6" s="29"/>
      <c r="JXZ6" s="29"/>
      <c r="JYA6" s="29"/>
      <c r="JYB6" s="29"/>
      <c r="JYC6" s="29"/>
      <c r="JYD6" s="29"/>
      <c r="JYE6" s="29"/>
      <c r="JYF6" s="29"/>
      <c r="JYG6" s="29"/>
      <c r="JYH6" s="29"/>
      <c r="JYI6" s="29"/>
      <c r="JYJ6" s="29"/>
      <c r="JYK6" s="29"/>
      <c r="JYL6" s="29"/>
      <c r="JYM6" s="29"/>
      <c r="JYN6" s="29"/>
      <c r="JYO6" s="29"/>
      <c r="JYP6" s="29"/>
      <c r="JYQ6" s="29"/>
      <c r="JYR6" s="29"/>
      <c r="JYS6" s="29"/>
      <c r="JYT6" s="29"/>
      <c r="JYU6" s="29"/>
      <c r="JYV6" s="29"/>
      <c r="JYW6" s="29"/>
      <c r="JYX6" s="29"/>
      <c r="JYY6" s="29"/>
      <c r="JYZ6" s="29"/>
      <c r="JZA6" s="29"/>
      <c r="JZB6" s="29"/>
      <c r="JZC6" s="29"/>
      <c r="JZD6" s="29"/>
      <c r="JZE6" s="29"/>
      <c r="JZF6" s="29"/>
      <c r="JZG6" s="29"/>
      <c r="JZH6" s="29"/>
      <c r="JZI6" s="29"/>
      <c r="JZJ6" s="29"/>
      <c r="JZK6" s="29"/>
      <c r="JZL6" s="29"/>
      <c r="JZM6" s="29"/>
      <c r="JZN6" s="29"/>
      <c r="JZO6" s="29"/>
      <c r="JZP6" s="29"/>
      <c r="JZQ6" s="29"/>
      <c r="JZR6" s="29"/>
      <c r="JZS6" s="29"/>
      <c r="JZT6" s="29"/>
      <c r="JZU6" s="29"/>
      <c r="JZV6" s="29"/>
      <c r="JZW6" s="29"/>
      <c r="JZX6" s="29"/>
      <c r="JZY6" s="29"/>
      <c r="JZZ6" s="29"/>
      <c r="KAA6" s="29"/>
      <c r="KAB6" s="29"/>
      <c r="KAC6" s="29"/>
      <c r="KAD6" s="29"/>
      <c r="KAE6" s="29"/>
      <c r="KAF6" s="29"/>
      <c r="KAG6" s="29"/>
      <c r="KAH6" s="29"/>
      <c r="KAI6" s="29"/>
      <c r="KAJ6" s="29"/>
      <c r="KAK6" s="29"/>
      <c r="KAL6" s="29"/>
      <c r="KAM6" s="29"/>
      <c r="KAN6" s="29"/>
      <c r="KAO6" s="29"/>
      <c r="KAP6" s="29"/>
      <c r="KAQ6" s="29"/>
      <c r="KAR6" s="29"/>
      <c r="KAS6" s="29"/>
      <c r="KAT6" s="29"/>
      <c r="KAU6" s="29"/>
      <c r="KAV6" s="29"/>
      <c r="KAW6" s="29"/>
      <c r="KAX6" s="29"/>
      <c r="KAY6" s="29"/>
      <c r="KAZ6" s="29"/>
      <c r="KBA6" s="29"/>
      <c r="KBB6" s="29"/>
      <c r="KBC6" s="29"/>
      <c r="KBD6" s="29"/>
      <c r="KBE6" s="29"/>
      <c r="KBF6" s="29"/>
      <c r="KBG6" s="29"/>
      <c r="KBH6" s="29"/>
      <c r="KBI6" s="29"/>
      <c r="KBJ6" s="29"/>
      <c r="KBK6" s="29"/>
      <c r="KBL6" s="29"/>
      <c r="KBM6" s="29"/>
      <c r="KBN6" s="29"/>
      <c r="KBO6" s="29"/>
      <c r="KBP6" s="29"/>
      <c r="KBQ6" s="29"/>
      <c r="KBR6" s="29"/>
      <c r="KBS6" s="29"/>
      <c r="KBT6" s="29"/>
      <c r="KBU6" s="29"/>
      <c r="KBV6" s="29"/>
      <c r="KBW6" s="29"/>
      <c r="KBX6" s="29"/>
      <c r="KBY6" s="29"/>
      <c r="KBZ6" s="29"/>
      <c r="KCA6" s="29"/>
      <c r="KCB6" s="29"/>
      <c r="KCC6" s="29"/>
      <c r="KCD6" s="29"/>
      <c r="KCE6" s="29"/>
      <c r="KCF6" s="29"/>
      <c r="KCG6" s="29"/>
      <c r="KCH6" s="29"/>
      <c r="KCI6" s="29"/>
      <c r="KCJ6" s="29"/>
      <c r="KCK6" s="29"/>
      <c r="KCL6" s="29"/>
      <c r="KCM6" s="29"/>
      <c r="KCN6" s="29"/>
      <c r="KCO6" s="29"/>
      <c r="KCP6" s="29"/>
      <c r="KCQ6" s="29"/>
      <c r="KCR6" s="29"/>
      <c r="KCS6" s="29"/>
      <c r="KCT6" s="29"/>
      <c r="KCU6" s="29"/>
      <c r="KCV6" s="29"/>
      <c r="KCW6" s="29"/>
      <c r="KCX6" s="29"/>
      <c r="KCY6" s="29"/>
      <c r="KCZ6" s="29"/>
      <c r="KDA6" s="29"/>
      <c r="KDB6" s="29"/>
      <c r="KDC6" s="29"/>
      <c r="KDD6" s="29"/>
      <c r="KDE6" s="29"/>
      <c r="KDF6" s="29"/>
      <c r="KDG6" s="29"/>
      <c r="KDH6" s="29"/>
      <c r="KDI6" s="29"/>
      <c r="KDJ6" s="29"/>
      <c r="KDK6" s="29"/>
      <c r="KDL6" s="29"/>
      <c r="KDM6" s="29"/>
      <c r="KDN6" s="29"/>
      <c r="KDO6" s="29"/>
      <c r="KDP6" s="29"/>
      <c r="KDQ6" s="29"/>
      <c r="KDR6" s="29"/>
      <c r="KDS6" s="29"/>
      <c r="KDT6" s="29"/>
      <c r="KDU6" s="29"/>
      <c r="KDV6" s="29"/>
      <c r="KDW6" s="29"/>
      <c r="KDX6" s="29"/>
      <c r="KDY6" s="29"/>
      <c r="KDZ6" s="29"/>
      <c r="KEA6" s="29"/>
      <c r="KEB6" s="29"/>
      <c r="KEC6" s="29"/>
      <c r="KED6" s="29"/>
      <c r="KEE6" s="29"/>
      <c r="KEF6" s="29"/>
      <c r="KEG6" s="29"/>
      <c r="KEH6" s="29"/>
      <c r="KEI6" s="29"/>
      <c r="KEJ6" s="29"/>
      <c r="KEK6" s="29"/>
      <c r="KEL6" s="29"/>
      <c r="KEM6" s="29"/>
      <c r="KEN6" s="29"/>
      <c r="KEO6" s="29"/>
      <c r="KEP6" s="29"/>
      <c r="KEQ6" s="29"/>
      <c r="KER6" s="29"/>
      <c r="KES6" s="29"/>
      <c r="KET6" s="29"/>
      <c r="KEU6" s="29"/>
      <c r="KEV6" s="29"/>
      <c r="KEW6" s="29"/>
      <c r="KEX6" s="29"/>
      <c r="KEY6" s="29"/>
      <c r="KEZ6" s="29"/>
      <c r="KFA6" s="29"/>
      <c r="KFB6" s="29"/>
      <c r="KFC6" s="29"/>
      <c r="KFD6" s="29"/>
      <c r="KFE6" s="29"/>
      <c r="KFF6" s="29"/>
      <c r="KFG6" s="29"/>
      <c r="KFH6" s="29"/>
      <c r="KFI6" s="29"/>
      <c r="KFJ6" s="29"/>
      <c r="KFK6" s="29"/>
      <c r="KFL6" s="29"/>
      <c r="KFM6" s="29"/>
      <c r="KFN6" s="29"/>
      <c r="KFO6" s="29"/>
      <c r="KFP6" s="29"/>
      <c r="KFQ6" s="29"/>
      <c r="KFR6" s="29"/>
      <c r="KFS6" s="29"/>
      <c r="KFT6" s="29"/>
      <c r="KFU6" s="29"/>
      <c r="KFV6" s="29"/>
      <c r="KFW6" s="29"/>
      <c r="KFX6" s="29"/>
      <c r="KFY6" s="29"/>
      <c r="KFZ6" s="29"/>
      <c r="KGA6" s="29"/>
      <c r="KGB6" s="29"/>
      <c r="KGC6" s="29"/>
      <c r="KGD6" s="29"/>
      <c r="KGE6" s="29"/>
      <c r="KGF6" s="29"/>
      <c r="KGG6" s="29"/>
      <c r="KGH6" s="29"/>
      <c r="KGI6" s="29"/>
      <c r="KGJ6" s="29"/>
      <c r="KGK6" s="29"/>
      <c r="KGL6" s="29"/>
      <c r="KGM6" s="29"/>
      <c r="KGN6" s="29"/>
      <c r="KGO6" s="29"/>
      <c r="KGP6" s="29"/>
      <c r="KGQ6" s="29"/>
      <c r="KGR6" s="29"/>
      <c r="KGS6" s="29"/>
      <c r="KGT6" s="29"/>
      <c r="KGU6" s="29"/>
      <c r="KGV6" s="29"/>
      <c r="KGW6" s="29"/>
      <c r="KGX6" s="29"/>
      <c r="KGY6" s="29"/>
      <c r="KGZ6" s="29"/>
      <c r="KHA6" s="29"/>
      <c r="KHB6" s="29"/>
      <c r="KHC6" s="29"/>
      <c r="KHD6" s="29"/>
      <c r="KHE6" s="29"/>
      <c r="KHF6" s="29"/>
      <c r="KHG6" s="29"/>
      <c r="KHH6" s="29"/>
      <c r="KHI6" s="29"/>
      <c r="KHJ6" s="29"/>
      <c r="KHK6" s="29"/>
      <c r="KHL6" s="29"/>
      <c r="KHM6" s="29"/>
      <c r="KHN6" s="29"/>
      <c r="KHO6" s="29"/>
      <c r="KHP6" s="29"/>
      <c r="KHQ6" s="29"/>
      <c r="KHR6" s="29"/>
      <c r="KHS6" s="29"/>
      <c r="KHT6" s="29"/>
      <c r="KHU6" s="29"/>
      <c r="KHV6" s="29"/>
      <c r="KHW6" s="29"/>
      <c r="KHX6" s="29"/>
      <c r="KHY6" s="29"/>
      <c r="KHZ6" s="29"/>
      <c r="KIA6" s="29"/>
      <c r="KIB6" s="29"/>
      <c r="KIC6" s="29"/>
      <c r="KID6" s="29"/>
      <c r="KIE6" s="29"/>
      <c r="KIF6" s="29"/>
      <c r="KIG6" s="29"/>
      <c r="KIH6" s="29"/>
      <c r="KII6" s="29"/>
      <c r="KIJ6" s="29"/>
      <c r="KIK6" s="29"/>
      <c r="KIL6" s="29"/>
      <c r="KIM6" s="29"/>
      <c r="KIN6" s="29"/>
      <c r="KIO6" s="29"/>
      <c r="KIP6" s="29"/>
      <c r="KIQ6" s="29"/>
      <c r="KIR6" s="29"/>
      <c r="KIS6" s="29"/>
      <c r="KIT6" s="29"/>
      <c r="KIU6" s="29"/>
      <c r="KIV6" s="29"/>
      <c r="KIW6" s="29"/>
      <c r="KIX6" s="29"/>
      <c r="KIY6" s="29"/>
      <c r="KIZ6" s="29"/>
      <c r="KJA6" s="29"/>
      <c r="KJB6" s="29"/>
      <c r="KJC6" s="29"/>
      <c r="KJD6" s="29"/>
      <c r="KJE6" s="29"/>
      <c r="KJF6" s="29"/>
      <c r="KJG6" s="29"/>
      <c r="KJH6" s="29"/>
      <c r="KJI6" s="29"/>
      <c r="KJJ6" s="29"/>
      <c r="KJK6" s="29"/>
      <c r="KJL6" s="29"/>
      <c r="KJM6" s="29"/>
      <c r="KJN6" s="29"/>
      <c r="KJO6" s="29"/>
      <c r="KJP6" s="29"/>
      <c r="KJQ6" s="29"/>
      <c r="KJR6" s="29"/>
      <c r="KJS6" s="29"/>
      <c r="KJT6" s="29"/>
      <c r="KJU6" s="29"/>
      <c r="KJV6" s="29"/>
      <c r="KJW6" s="29"/>
      <c r="KJX6" s="29"/>
      <c r="KJY6" s="29"/>
      <c r="KJZ6" s="29"/>
      <c r="KKA6" s="29"/>
      <c r="KKB6" s="29"/>
      <c r="KKC6" s="29"/>
      <c r="KKD6" s="29"/>
      <c r="KKE6" s="29"/>
      <c r="KKF6" s="29"/>
      <c r="KKG6" s="29"/>
      <c r="KKH6" s="29"/>
      <c r="KKI6" s="29"/>
      <c r="KKJ6" s="29"/>
      <c r="KKK6" s="29"/>
      <c r="KKL6" s="29"/>
      <c r="KKM6" s="29"/>
      <c r="KKN6" s="29"/>
      <c r="KKO6" s="29"/>
      <c r="KKP6" s="29"/>
      <c r="KKQ6" s="29"/>
      <c r="KKR6" s="29"/>
      <c r="KKS6" s="29"/>
      <c r="KKT6" s="29"/>
      <c r="KKU6" s="29"/>
      <c r="KKV6" s="29"/>
      <c r="KKW6" s="29"/>
      <c r="KKX6" s="29"/>
      <c r="KKY6" s="29"/>
      <c r="KKZ6" s="29"/>
      <c r="KLA6" s="29"/>
      <c r="KLB6" s="29"/>
      <c r="KLC6" s="29"/>
      <c r="KLD6" s="29"/>
      <c r="KLE6" s="29"/>
      <c r="KLF6" s="29"/>
      <c r="KLG6" s="29"/>
      <c r="KLH6" s="29"/>
      <c r="KLI6" s="29"/>
      <c r="KLJ6" s="29"/>
      <c r="KLK6" s="29"/>
      <c r="KLL6" s="29"/>
      <c r="KLM6" s="29"/>
      <c r="KLN6" s="29"/>
      <c r="KLO6" s="29"/>
      <c r="KLP6" s="29"/>
      <c r="KLQ6" s="29"/>
      <c r="KLR6" s="29"/>
      <c r="KLS6" s="29"/>
      <c r="KLT6" s="29"/>
      <c r="KLU6" s="29"/>
      <c r="KLV6" s="29"/>
      <c r="KLW6" s="29"/>
      <c r="KLX6" s="29"/>
      <c r="KLY6" s="29"/>
      <c r="KLZ6" s="29"/>
      <c r="KMA6" s="29"/>
      <c r="KMB6" s="29"/>
      <c r="KMC6" s="29"/>
      <c r="KMD6" s="29"/>
      <c r="KME6" s="29"/>
      <c r="KMF6" s="29"/>
      <c r="KMG6" s="29"/>
      <c r="KMH6" s="29"/>
      <c r="KMI6" s="29"/>
      <c r="KMJ6" s="29"/>
      <c r="KMK6" s="29"/>
      <c r="KML6" s="29"/>
      <c r="KMM6" s="29"/>
      <c r="KMN6" s="29"/>
      <c r="KMO6" s="29"/>
      <c r="KMP6" s="29"/>
      <c r="KMQ6" s="29"/>
      <c r="KMR6" s="29"/>
      <c r="KMS6" s="29"/>
      <c r="KMT6" s="29"/>
      <c r="KMU6" s="29"/>
      <c r="KMV6" s="29"/>
      <c r="KMW6" s="29"/>
      <c r="KMX6" s="29"/>
      <c r="KMY6" s="29"/>
      <c r="KMZ6" s="29"/>
      <c r="KNA6" s="29"/>
      <c r="KNB6" s="29"/>
      <c r="KNC6" s="29"/>
      <c r="KND6" s="29"/>
      <c r="KNE6" s="29"/>
      <c r="KNF6" s="29"/>
      <c r="KNG6" s="29"/>
      <c r="KNH6" s="29"/>
      <c r="KNI6" s="29"/>
      <c r="KNJ6" s="29"/>
      <c r="KNK6" s="29"/>
      <c r="KNL6" s="29"/>
      <c r="KNM6" s="29"/>
      <c r="KNN6" s="29"/>
      <c r="KNO6" s="29"/>
      <c r="KNP6" s="29"/>
      <c r="KNQ6" s="29"/>
      <c r="KNR6" s="29"/>
      <c r="KNS6" s="29"/>
      <c r="KNT6" s="29"/>
      <c r="KNU6" s="29"/>
      <c r="KNV6" s="29"/>
      <c r="KNW6" s="29"/>
      <c r="KNX6" s="29"/>
      <c r="KNY6" s="29"/>
      <c r="KNZ6" s="29"/>
      <c r="KOA6" s="29"/>
      <c r="KOB6" s="29"/>
      <c r="KOC6" s="29"/>
      <c r="KOD6" s="29"/>
      <c r="KOE6" s="29"/>
      <c r="KOF6" s="29"/>
      <c r="KOG6" s="29"/>
      <c r="KOH6" s="29"/>
      <c r="KOI6" s="29"/>
      <c r="KOJ6" s="29"/>
      <c r="KOK6" s="29"/>
      <c r="KOL6" s="29"/>
      <c r="KOM6" s="29"/>
      <c r="KON6" s="29"/>
      <c r="KOO6" s="29"/>
      <c r="KOP6" s="29"/>
      <c r="KOQ6" s="29"/>
      <c r="KOR6" s="29"/>
      <c r="KOS6" s="29"/>
      <c r="KOT6" s="29"/>
      <c r="KOU6" s="29"/>
      <c r="KOV6" s="29"/>
      <c r="KOW6" s="29"/>
      <c r="KOX6" s="29"/>
      <c r="KOY6" s="29"/>
      <c r="KOZ6" s="29"/>
      <c r="KPA6" s="29"/>
      <c r="KPB6" s="29"/>
      <c r="KPC6" s="29"/>
      <c r="KPD6" s="29"/>
      <c r="KPE6" s="29"/>
      <c r="KPF6" s="29"/>
      <c r="KPG6" s="29"/>
      <c r="KPH6" s="29"/>
      <c r="KPI6" s="29"/>
      <c r="KPJ6" s="29"/>
      <c r="KPK6" s="29"/>
      <c r="KPL6" s="29"/>
      <c r="KPM6" s="29"/>
      <c r="KPN6" s="29"/>
      <c r="KPO6" s="29"/>
      <c r="KPP6" s="29"/>
      <c r="KPQ6" s="29"/>
      <c r="KPR6" s="29"/>
      <c r="KPS6" s="29"/>
      <c r="KPT6" s="29"/>
      <c r="KPU6" s="29"/>
      <c r="KPV6" s="29"/>
      <c r="KPW6" s="29"/>
      <c r="KPX6" s="29"/>
      <c r="KPY6" s="29"/>
      <c r="KPZ6" s="29"/>
      <c r="KQA6" s="29"/>
      <c r="KQB6" s="29"/>
      <c r="KQC6" s="29"/>
      <c r="KQD6" s="29"/>
      <c r="KQE6" s="29"/>
      <c r="KQF6" s="29"/>
      <c r="KQG6" s="29"/>
      <c r="KQH6" s="29"/>
      <c r="KQI6" s="29"/>
      <c r="KQJ6" s="29"/>
      <c r="KQK6" s="29"/>
      <c r="KQL6" s="29"/>
      <c r="KQM6" s="29"/>
      <c r="KQN6" s="29"/>
      <c r="KQO6" s="29"/>
      <c r="KQP6" s="29"/>
      <c r="KQQ6" s="29"/>
      <c r="KQR6" s="29"/>
      <c r="KQS6" s="29"/>
      <c r="KQT6" s="29"/>
      <c r="KQU6" s="29"/>
      <c r="KQV6" s="29"/>
      <c r="KQW6" s="29"/>
      <c r="KQX6" s="29"/>
      <c r="KQY6" s="29"/>
      <c r="KQZ6" s="29"/>
      <c r="KRA6" s="29"/>
      <c r="KRB6" s="29"/>
      <c r="KRC6" s="29"/>
      <c r="KRD6" s="29"/>
      <c r="KRE6" s="29"/>
      <c r="KRF6" s="29"/>
      <c r="KRG6" s="29"/>
      <c r="KRH6" s="29"/>
      <c r="KRI6" s="29"/>
      <c r="KRJ6" s="29"/>
      <c r="KRK6" s="29"/>
      <c r="KRL6" s="29"/>
      <c r="KRM6" s="29"/>
      <c r="KRN6" s="29"/>
      <c r="KRO6" s="29"/>
      <c r="KRP6" s="29"/>
      <c r="KRQ6" s="29"/>
      <c r="KRR6" s="29"/>
      <c r="KRS6" s="29"/>
      <c r="KRT6" s="29"/>
      <c r="KRU6" s="29"/>
      <c r="KRV6" s="29"/>
      <c r="KRW6" s="29"/>
      <c r="KRX6" s="29"/>
      <c r="KRY6" s="29"/>
      <c r="KRZ6" s="29"/>
      <c r="KSA6" s="29"/>
      <c r="KSB6" s="29"/>
      <c r="KSC6" s="29"/>
      <c r="KSD6" s="29"/>
      <c r="KSE6" s="29"/>
      <c r="KSF6" s="29"/>
      <c r="KSG6" s="29"/>
      <c r="KSH6" s="29"/>
      <c r="KSI6" s="29"/>
      <c r="KSJ6" s="29"/>
      <c r="KSK6" s="29"/>
      <c r="KSL6" s="29"/>
      <c r="KSM6" s="29"/>
      <c r="KSN6" s="29"/>
      <c r="KSO6" s="29"/>
      <c r="KSP6" s="29"/>
      <c r="KSQ6" s="29"/>
      <c r="KSR6" s="29"/>
      <c r="KSS6" s="29"/>
      <c r="KST6" s="29"/>
      <c r="KSU6" s="29"/>
      <c r="KSV6" s="29"/>
      <c r="KSW6" s="29"/>
      <c r="KSX6" s="29"/>
      <c r="KSY6" s="29"/>
      <c r="KSZ6" s="29"/>
      <c r="KTA6" s="29"/>
      <c r="KTB6" s="29"/>
      <c r="KTC6" s="29"/>
      <c r="KTD6" s="29"/>
      <c r="KTE6" s="29"/>
      <c r="KTF6" s="29"/>
      <c r="KTG6" s="29"/>
      <c r="KTH6" s="29"/>
      <c r="KTI6" s="29"/>
      <c r="KTJ6" s="29"/>
      <c r="KTK6" s="29"/>
      <c r="KTL6" s="29"/>
      <c r="KTM6" s="29"/>
      <c r="KTN6" s="29"/>
      <c r="KTO6" s="29"/>
      <c r="KTP6" s="29"/>
      <c r="KTQ6" s="29"/>
      <c r="KTR6" s="29"/>
      <c r="KTS6" s="29"/>
      <c r="KTT6" s="29"/>
      <c r="KTU6" s="29"/>
      <c r="KTV6" s="29"/>
      <c r="KTW6" s="29"/>
      <c r="KTX6" s="29"/>
      <c r="KTY6" s="29"/>
      <c r="KTZ6" s="29"/>
      <c r="KUA6" s="29"/>
      <c r="KUB6" s="29"/>
      <c r="KUC6" s="29"/>
      <c r="KUD6" s="29"/>
      <c r="KUE6" s="29"/>
      <c r="KUF6" s="29"/>
      <c r="KUG6" s="29"/>
      <c r="KUH6" s="29"/>
      <c r="KUI6" s="29"/>
      <c r="KUJ6" s="29"/>
      <c r="KUK6" s="29"/>
      <c r="KUL6" s="29"/>
      <c r="KUM6" s="29"/>
      <c r="KUN6" s="29"/>
      <c r="KUO6" s="29"/>
      <c r="KUP6" s="29"/>
      <c r="KUQ6" s="29"/>
      <c r="KUR6" s="29"/>
      <c r="KUS6" s="29"/>
      <c r="KUT6" s="29"/>
      <c r="KUU6" s="29"/>
      <c r="KUV6" s="29"/>
      <c r="KUW6" s="29"/>
      <c r="KUX6" s="29"/>
      <c r="KUY6" s="29"/>
      <c r="KUZ6" s="29"/>
      <c r="KVA6" s="29"/>
      <c r="KVB6" s="29"/>
      <c r="KVC6" s="29"/>
      <c r="KVD6" s="29"/>
      <c r="KVE6" s="29"/>
      <c r="KVF6" s="29"/>
      <c r="KVG6" s="29"/>
      <c r="KVH6" s="29"/>
      <c r="KVI6" s="29"/>
      <c r="KVJ6" s="29"/>
      <c r="KVK6" s="29"/>
      <c r="KVL6" s="29"/>
      <c r="KVM6" s="29"/>
      <c r="KVN6" s="29"/>
      <c r="KVO6" s="29"/>
      <c r="KVP6" s="29"/>
      <c r="KVQ6" s="29"/>
      <c r="KVR6" s="29"/>
      <c r="KVS6" s="29"/>
      <c r="KVT6" s="29"/>
      <c r="KVU6" s="29"/>
      <c r="KVV6" s="29"/>
      <c r="KVW6" s="29"/>
      <c r="KVX6" s="29"/>
      <c r="KVY6" s="29"/>
      <c r="KVZ6" s="29"/>
      <c r="KWA6" s="29"/>
      <c r="KWB6" s="29"/>
      <c r="KWC6" s="29"/>
      <c r="KWD6" s="29"/>
      <c r="KWE6" s="29"/>
      <c r="KWF6" s="29"/>
      <c r="KWG6" s="29"/>
      <c r="KWH6" s="29"/>
      <c r="KWI6" s="29"/>
      <c r="KWJ6" s="29"/>
      <c r="KWK6" s="29"/>
      <c r="KWL6" s="29"/>
      <c r="KWM6" s="29"/>
      <c r="KWN6" s="29"/>
      <c r="KWO6" s="29"/>
      <c r="KWP6" s="29"/>
      <c r="KWQ6" s="29"/>
      <c r="KWR6" s="29"/>
      <c r="KWS6" s="29"/>
      <c r="KWT6" s="29"/>
      <c r="KWU6" s="29"/>
      <c r="KWV6" s="29"/>
      <c r="KWW6" s="29"/>
      <c r="KWX6" s="29"/>
      <c r="KWY6" s="29"/>
      <c r="KWZ6" s="29"/>
      <c r="KXA6" s="29"/>
      <c r="KXB6" s="29"/>
      <c r="KXC6" s="29"/>
      <c r="KXD6" s="29"/>
      <c r="KXE6" s="29"/>
      <c r="KXF6" s="29"/>
      <c r="KXG6" s="29"/>
      <c r="KXH6" s="29"/>
      <c r="KXI6" s="29"/>
      <c r="KXJ6" s="29"/>
      <c r="KXK6" s="29"/>
      <c r="KXL6" s="29"/>
      <c r="KXM6" s="29"/>
      <c r="KXN6" s="29"/>
      <c r="KXO6" s="29"/>
      <c r="KXP6" s="29"/>
      <c r="KXQ6" s="29"/>
      <c r="KXR6" s="29"/>
      <c r="KXS6" s="29"/>
      <c r="KXT6" s="29"/>
      <c r="KXU6" s="29"/>
      <c r="KXV6" s="29"/>
      <c r="KXW6" s="29"/>
      <c r="KXX6" s="29"/>
      <c r="KXY6" s="29"/>
      <c r="KXZ6" s="29"/>
      <c r="KYA6" s="29"/>
      <c r="KYB6" s="29"/>
      <c r="KYC6" s="29"/>
      <c r="KYD6" s="29"/>
      <c r="KYE6" s="29"/>
      <c r="KYF6" s="29"/>
      <c r="KYG6" s="29"/>
      <c r="KYH6" s="29"/>
      <c r="KYI6" s="29"/>
      <c r="KYJ6" s="29"/>
      <c r="KYK6" s="29"/>
      <c r="KYL6" s="29"/>
      <c r="KYM6" s="29"/>
      <c r="KYN6" s="29"/>
      <c r="KYO6" s="29"/>
      <c r="KYP6" s="29"/>
      <c r="KYQ6" s="29"/>
      <c r="KYR6" s="29"/>
      <c r="KYS6" s="29"/>
      <c r="KYT6" s="29"/>
      <c r="KYU6" s="29"/>
      <c r="KYV6" s="29"/>
      <c r="KYW6" s="29"/>
      <c r="KYX6" s="29"/>
      <c r="KYY6" s="29"/>
      <c r="KYZ6" s="29"/>
      <c r="KZA6" s="29"/>
      <c r="KZB6" s="29"/>
      <c r="KZC6" s="29"/>
      <c r="KZD6" s="29"/>
      <c r="KZE6" s="29"/>
      <c r="KZF6" s="29"/>
      <c r="KZG6" s="29"/>
      <c r="KZH6" s="29"/>
      <c r="KZI6" s="29"/>
      <c r="KZJ6" s="29"/>
      <c r="KZK6" s="29"/>
      <c r="KZL6" s="29"/>
      <c r="KZM6" s="29"/>
      <c r="KZN6" s="29"/>
      <c r="KZO6" s="29"/>
      <c r="KZP6" s="29"/>
      <c r="KZQ6" s="29"/>
      <c r="KZR6" s="29"/>
      <c r="KZS6" s="29"/>
      <c r="KZT6" s="29"/>
      <c r="KZU6" s="29"/>
      <c r="KZV6" s="29"/>
      <c r="KZW6" s="29"/>
      <c r="KZX6" s="29"/>
      <c r="KZY6" s="29"/>
      <c r="KZZ6" s="29"/>
      <c r="LAA6" s="29"/>
      <c r="LAB6" s="29"/>
      <c r="LAC6" s="29"/>
      <c r="LAD6" s="29"/>
      <c r="LAE6" s="29"/>
      <c r="LAF6" s="29"/>
      <c r="LAG6" s="29"/>
      <c r="LAH6" s="29"/>
      <c r="LAI6" s="29"/>
      <c r="LAJ6" s="29"/>
      <c r="LAK6" s="29"/>
      <c r="LAL6" s="29"/>
      <c r="LAM6" s="29"/>
      <c r="LAN6" s="29"/>
      <c r="LAO6" s="29"/>
      <c r="LAP6" s="29"/>
      <c r="LAQ6" s="29"/>
      <c r="LAR6" s="29"/>
      <c r="LAS6" s="29"/>
      <c r="LAT6" s="29"/>
      <c r="LAU6" s="29"/>
      <c r="LAV6" s="29"/>
      <c r="LAW6" s="29"/>
      <c r="LAX6" s="29"/>
      <c r="LAY6" s="29"/>
      <c r="LAZ6" s="29"/>
      <c r="LBA6" s="29"/>
      <c r="LBB6" s="29"/>
      <c r="LBC6" s="29"/>
      <c r="LBD6" s="29"/>
      <c r="LBE6" s="29"/>
      <c r="LBF6" s="29"/>
      <c r="LBG6" s="29"/>
      <c r="LBH6" s="29"/>
      <c r="LBI6" s="29"/>
      <c r="LBJ6" s="29"/>
      <c r="LBK6" s="29"/>
      <c r="LBL6" s="29"/>
      <c r="LBM6" s="29"/>
      <c r="LBN6" s="29"/>
      <c r="LBO6" s="29"/>
      <c r="LBP6" s="29"/>
      <c r="LBQ6" s="29"/>
      <c r="LBR6" s="29"/>
      <c r="LBS6" s="29"/>
      <c r="LBT6" s="29"/>
      <c r="LBU6" s="29"/>
      <c r="LBV6" s="29"/>
      <c r="LBW6" s="29"/>
      <c r="LBX6" s="29"/>
      <c r="LBY6" s="29"/>
      <c r="LBZ6" s="29"/>
      <c r="LCA6" s="29"/>
      <c r="LCB6" s="29"/>
      <c r="LCC6" s="29"/>
      <c r="LCD6" s="29"/>
      <c r="LCE6" s="29"/>
      <c r="LCF6" s="29"/>
      <c r="LCG6" s="29"/>
      <c r="LCH6" s="29"/>
      <c r="LCI6" s="29"/>
      <c r="LCJ6" s="29"/>
      <c r="LCK6" s="29"/>
      <c r="LCL6" s="29"/>
      <c r="LCM6" s="29"/>
      <c r="LCN6" s="29"/>
      <c r="LCO6" s="29"/>
      <c r="LCP6" s="29"/>
      <c r="LCQ6" s="29"/>
      <c r="LCR6" s="29"/>
      <c r="LCS6" s="29"/>
      <c r="LCT6" s="29"/>
      <c r="LCU6" s="29"/>
      <c r="LCV6" s="29"/>
      <c r="LCW6" s="29"/>
      <c r="LCX6" s="29"/>
      <c r="LCY6" s="29"/>
      <c r="LCZ6" s="29"/>
      <c r="LDA6" s="29"/>
      <c r="LDB6" s="29"/>
      <c r="LDC6" s="29"/>
      <c r="LDD6" s="29"/>
      <c r="LDE6" s="29"/>
      <c r="LDF6" s="29"/>
      <c r="LDG6" s="29"/>
      <c r="LDH6" s="29"/>
      <c r="LDI6" s="29"/>
      <c r="LDJ6" s="29"/>
      <c r="LDK6" s="29"/>
      <c r="LDL6" s="29"/>
      <c r="LDM6" s="29"/>
      <c r="LDN6" s="29"/>
      <c r="LDO6" s="29"/>
      <c r="LDP6" s="29"/>
      <c r="LDQ6" s="29"/>
      <c r="LDR6" s="29"/>
      <c r="LDS6" s="29"/>
      <c r="LDT6" s="29"/>
      <c r="LDU6" s="29"/>
      <c r="LDV6" s="29"/>
      <c r="LDW6" s="29"/>
      <c r="LDX6" s="29"/>
      <c r="LDY6" s="29"/>
      <c r="LDZ6" s="29"/>
      <c r="LEA6" s="29"/>
      <c r="LEB6" s="29"/>
      <c r="LEC6" s="29"/>
      <c r="LED6" s="29"/>
      <c r="LEE6" s="29"/>
      <c r="LEF6" s="29"/>
      <c r="LEG6" s="29"/>
      <c r="LEH6" s="29"/>
      <c r="LEI6" s="29"/>
      <c r="LEJ6" s="29"/>
      <c r="LEK6" s="29"/>
      <c r="LEL6" s="29"/>
      <c r="LEM6" s="29"/>
      <c r="LEN6" s="29"/>
      <c r="LEO6" s="29"/>
      <c r="LEP6" s="29"/>
      <c r="LEQ6" s="29"/>
      <c r="LER6" s="29"/>
      <c r="LES6" s="29"/>
      <c r="LET6" s="29"/>
      <c r="LEU6" s="29"/>
      <c r="LEV6" s="29"/>
      <c r="LEW6" s="29"/>
      <c r="LEX6" s="29"/>
      <c r="LEY6" s="29"/>
      <c r="LEZ6" s="29"/>
      <c r="LFA6" s="29"/>
      <c r="LFB6" s="29"/>
      <c r="LFC6" s="29"/>
      <c r="LFD6" s="29"/>
      <c r="LFE6" s="29"/>
      <c r="LFF6" s="29"/>
      <c r="LFG6" s="29"/>
      <c r="LFH6" s="29"/>
      <c r="LFI6" s="29"/>
      <c r="LFJ6" s="29"/>
      <c r="LFK6" s="29"/>
      <c r="LFL6" s="29"/>
      <c r="LFM6" s="29"/>
      <c r="LFN6" s="29"/>
      <c r="LFO6" s="29"/>
      <c r="LFP6" s="29"/>
      <c r="LFQ6" s="29"/>
      <c r="LFR6" s="29"/>
      <c r="LFS6" s="29"/>
      <c r="LFT6" s="29"/>
      <c r="LFU6" s="29"/>
      <c r="LFV6" s="29"/>
      <c r="LFW6" s="29"/>
      <c r="LFX6" s="29"/>
      <c r="LFY6" s="29"/>
      <c r="LFZ6" s="29"/>
      <c r="LGA6" s="29"/>
      <c r="LGB6" s="29"/>
      <c r="LGC6" s="29"/>
      <c r="LGD6" s="29"/>
      <c r="LGE6" s="29"/>
      <c r="LGF6" s="29"/>
      <c r="LGG6" s="29"/>
      <c r="LGH6" s="29"/>
      <c r="LGI6" s="29"/>
      <c r="LGJ6" s="29"/>
      <c r="LGK6" s="29"/>
      <c r="LGL6" s="29"/>
      <c r="LGM6" s="29"/>
      <c r="LGN6" s="29"/>
      <c r="LGO6" s="29"/>
      <c r="LGP6" s="29"/>
      <c r="LGQ6" s="29"/>
      <c r="LGR6" s="29"/>
      <c r="LGS6" s="29"/>
      <c r="LGT6" s="29"/>
      <c r="LGU6" s="29"/>
      <c r="LGV6" s="29"/>
      <c r="LGW6" s="29"/>
      <c r="LGX6" s="29"/>
      <c r="LGY6" s="29"/>
      <c r="LGZ6" s="29"/>
      <c r="LHA6" s="29"/>
      <c r="LHB6" s="29"/>
      <c r="LHC6" s="29"/>
      <c r="LHD6" s="29"/>
      <c r="LHE6" s="29"/>
      <c r="LHF6" s="29"/>
      <c r="LHG6" s="29"/>
      <c r="LHH6" s="29"/>
      <c r="LHI6" s="29"/>
      <c r="LHJ6" s="29"/>
      <c r="LHK6" s="29"/>
      <c r="LHL6" s="29"/>
      <c r="LHM6" s="29"/>
      <c r="LHN6" s="29"/>
      <c r="LHO6" s="29"/>
      <c r="LHP6" s="29"/>
      <c r="LHQ6" s="29"/>
      <c r="LHR6" s="29"/>
      <c r="LHS6" s="29"/>
      <c r="LHT6" s="29"/>
      <c r="LHU6" s="29"/>
      <c r="LHV6" s="29"/>
      <c r="LHW6" s="29"/>
      <c r="LHX6" s="29"/>
      <c r="LHY6" s="29"/>
      <c r="LHZ6" s="29"/>
      <c r="LIA6" s="29"/>
      <c r="LIB6" s="29"/>
      <c r="LIC6" s="29"/>
      <c r="LID6" s="29"/>
      <c r="LIE6" s="29"/>
      <c r="LIF6" s="29"/>
      <c r="LIG6" s="29"/>
      <c r="LIH6" s="29"/>
      <c r="LII6" s="29"/>
      <c r="LIJ6" s="29"/>
      <c r="LIK6" s="29"/>
      <c r="LIL6" s="29"/>
      <c r="LIM6" s="29"/>
      <c r="LIN6" s="29"/>
      <c r="LIO6" s="29"/>
      <c r="LIP6" s="29"/>
      <c r="LIQ6" s="29"/>
      <c r="LIR6" s="29"/>
      <c r="LIS6" s="29"/>
      <c r="LIT6" s="29"/>
      <c r="LIU6" s="29"/>
      <c r="LIV6" s="29"/>
      <c r="LIW6" s="29"/>
      <c r="LIX6" s="29"/>
      <c r="LIY6" s="29"/>
      <c r="LIZ6" s="29"/>
      <c r="LJA6" s="29"/>
      <c r="LJB6" s="29"/>
      <c r="LJC6" s="29"/>
      <c r="LJD6" s="29"/>
      <c r="LJE6" s="29"/>
      <c r="LJF6" s="29"/>
      <c r="LJG6" s="29"/>
      <c r="LJH6" s="29"/>
      <c r="LJI6" s="29"/>
      <c r="LJJ6" s="29"/>
      <c r="LJK6" s="29"/>
      <c r="LJL6" s="29"/>
      <c r="LJM6" s="29"/>
      <c r="LJN6" s="29"/>
      <c r="LJO6" s="29"/>
      <c r="LJP6" s="29"/>
      <c r="LJQ6" s="29"/>
      <c r="LJR6" s="29"/>
      <c r="LJS6" s="29"/>
      <c r="LJT6" s="29"/>
      <c r="LJU6" s="29"/>
      <c r="LJV6" s="29"/>
      <c r="LJW6" s="29"/>
      <c r="LJX6" s="29"/>
      <c r="LJY6" s="29"/>
      <c r="LJZ6" s="29"/>
      <c r="LKA6" s="29"/>
      <c r="LKB6" s="29"/>
      <c r="LKC6" s="29"/>
      <c r="LKD6" s="29"/>
      <c r="LKE6" s="29"/>
      <c r="LKF6" s="29"/>
      <c r="LKG6" s="29"/>
      <c r="LKH6" s="29"/>
      <c r="LKI6" s="29"/>
      <c r="LKJ6" s="29"/>
      <c r="LKK6" s="29"/>
      <c r="LKL6" s="29"/>
      <c r="LKM6" s="29"/>
      <c r="LKN6" s="29"/>
      <c r="LKO6" s="29"/>
      <c r="LKP6" s="29"/>
      <c r="LKQ6" s="29"/>
      <c r="LKR6" s="29"/>
      <c r="LKS6" s="29"/>
      <c r="LKT6" s="29"/>
      <c r="LKU6" s="29"/>
      <c r="LKV6" s="29"/>
      <c r="LKW6" s="29"/>
      <c r="LKX6" s="29"/>
      <c r="LKY6" s="29"/>
      <c r="LKZ6" s="29"/>
      <c r="LLA6" s="29"/>
      <c r="LLB6" s="29"/>
      <c r="LLC6" s="29"/>
      <c r="LLD6" s="29"/>
      <c r="LLE6" s="29"/>
      <c r="LLF6" s="29"/>
      <c r="LLG6" s="29"/>
      <c r="LLH6" s="29"/>
      <c r="LLI6" s="29"/>
      <c r="LLJ6" s="29"/>
      <c r="LLK6" s="29"/>
      <c r="LLL6" s="29"/>
      <c r="LLM6" s="29"/>
      <c r="LLN6" s="29"/>
      <c r="LLO6" s="29"/>
      <c r="LLP6" s="29"/>
      <c r="LLQ6" s="29"/>
      <c r="LLR6" s="29"/>
      <c r="LLS6" s="29"/>
      <c r="LLT6" s="29"/>
      <c r="LLU6" s="29"/>
      <c r="LLV6" s="29"/>
      <c r="LLW6" s="29"/>
      <c r="LLX6" s="29"/>
      <c r="LLY6" s="29"/>
      <c r="LLZ6" s="29"/>
      <c r="LMA6" s="29"/>
      <c r="LMB6" s="29"/>
      <c r="LMC6" s="29"/>
      <c r="LMD6" s="29"/>
      <c r="LME6" s="29"/>
      <c r="LMF6" s="29"/>
      <c r="LMG6" s="29"/>
      <c r="LMH6" s="29"/>
      <c r="LMI6" s="29"/>
      <c r="LMJ6" s="29"/>
      <c r="LMK6" s="29"/>
      <c r="LML6" s="29"/>
      <c r="LMM6" s="29"/>
      <c r="LMN6" s="29"/>
      <c r="LMO6" s="29"/>
      <c r="LMP6" s="29"/>
      <c r="LMQ6" s="29"/>
      <c r="LMR6" s="29"/>
      <c r="LMS6" s="29"/>
      <c r="LMT6" s="29"/>
      <c r="LMU6" s="29"/>
      <c r="LMV6" s="29"/>
      <c r="LMW6" s="29"/>
      <c r="LMX6" s="29"/>
      <c r="LMY6" s="29"/>
      <c r="LMZ6" s="29"/>
      <c r="LNA6" s="29"/>
      <c r="LNB6" s="29"/>
      <c r="LNC6" s="29"/>
      <c r="LND6" s="29"/>
      <c r="LNE6" s="29"/>
      <c r="LNF6" s="29"/>
      <c r="LNG6" s="29"/>
      <c r="LNH6" s="29"/>
      <c r="LNI6" s="29"/>
      <c r="LNJ6" s="29"/>
      <c r="LNK6" s="29"/>
      <c r="LNL6" s="29"/>
      <c r="LNM6" s="29"/>
      <c r="LNN6" s="29"/>
      <c r="LNO6" s="29"/>
      <c r="LNP6" s="29"/>
      <c r="LNQ6" s="29"/>
      <c r="LNR6" s="29"/>
      <c r="LNS6" s="29"/>
      <c r="LNT6" s="29"/>
      <c r="LNU6" s="29"/>
      <c r="LNV6" s="29"/>
      <c r="LNW6" s="29"/>
      <c r="LNX6" s="29"/>
      <c r="LNY6" s="29"/>
      <c r="LNZ6" s="29"/>
      <c r="LOA6" s="29"/>
      <c r="LOB6" s="29"/>
      <c r="LOC6" s="29"/>
      <c r="LOD6" s="29"/>
      <c r="LOE6" s="29"/>
      <c r="LOF6" s="29"/>
      <c r="LOG6" s="29"/>
      <c r="LOH6" s="29"/>
      <c r="LOI6" s="29"/>
      <c r="LOJ6" s="29"/>
      <c r="LOK6" s="29"/>
      <c r="LOL6" s="29"/>
      <c r="LOM6" s="29"/>
      <c r="LON6" s="29"/>
      <c r="LOO6" s="29"/>
      <c r="LOP6" s="29"/>
      <c r="LOQ6" s="29"/>
      <c r="LOR6" s="29"/>
      <c r="LOS6" s="29"/>
      <c r="LOT6" s="29"/>
      <c r="LOU6" s="29"/>
      <c r="LOV6" s="29"/>
      <c r="LOW6" s="29"/>
      <c r="LOX6" s="29"/>
      <c r="LOY6" s="29"/>
      <c r="LOZ6" s="29"/>
      <c r="LPA6" s="29"/>
      <c r="LPB6" s="29"/>
      <c r="LPC6" s="29"/>
      <c r="LPD6" s="29"/>
      <c r="LPE6" s="29"/>
      <c r="LPF6" s="29"/>
      <c r="LPG6" s="29"/>
      <c r="LPH6" s="29"/>
      <c r="LPI6" s="29"/>
      <c r="LPJ6" s="29"/>
      <c r="LPK6" s="29"/>
      <c r="LPL6" s="29"/>
      <c r="LPM6" s="29"/>
      <c r="LPN6" s="29"/>
      <c r="LPO6" s="29"/>
      <c r="LPP6" s="29"/>
      <c r="LPQ6" s="29"/>
      <c r="LPR6" s="29"/>
      <c r="LPS6" s="29"/>
      <c r="LPT6" s="29"/>
      <c r="LPU6" s="29"/>
      <c r="LPV6" s="29"/>
      <c r="LPW6" s="29"/>
      <c r="LPX6" s="29"/>
      <c r="LPY6" s="29"/>
      <c r="LPZ6" s="29"/>
      <c r="LQA6" s="29"/>
      <c r="LQB6" s="29"/>
      <c r="LQC6" s="29"/>
      <c r="LQD6" s="29"/>
      <c r="LQE6" s="29"/>
      <c r="LQF6" s="29"/>
      <c r="LQG6" s="29"/>
      <c r="LQH6" s="29"/>
      <c r="LQI6" s="29"/>
      <c r="LQJ6" s="29"/>
      <c r="LQK6" s="29"/>
      <c r="LQL6" s="29"/>
      <c r="LQM6" s="29"/>
      <c r="LQN6" s="29"/>
      <c r="LQO6" s="29"/>
      <c r="LQP6" s="29"/>
      <c r="LQQ6" s="29"/>
      <c r="LQR6" s="29"/>
      <c r="LQS6" s="29"/>
      <c r="LQT6" s="29"/>
      <c r="LQU6" s="29"/>
      <c r="LQV6" s="29"/>
      <c r="LQW6" s="29"/>
      <c r="LQX6" s="29"/>
      <c r="LQY6" s="29"/>
      <c r="LQZ6" s="29"/>
      <c r="LRA6" s="29"/>
      <c r="LRB6" s="29"/>
      <c r="LRC6" s="29"/>
      <c r="LRD6" s="29"/>
      <c r="LRE6" s="29"/>
      <c r="LRF6" s="29"/>
      <c r="LRG6" s="29"/>
      <c r="LRH6" s="29"/>
      <c r="LRI6" s="29"/>
      <c r="LRJ6" s="29"/>
      <c r="LRK6" s="29"/>
      <c r="LRL6" s="29"/>
      <c r="LRM6" s="29"/>
      <c r="LRN6" s="29"/>
      <c r="LRO6" s="29"/>
      <c r="LRP6" s="29"/>
      <c r="LRQ6" s="29"/>
      <c r="LRR6" s="29"/>
      <c r="LRS6" s="29"/>
      <c r="LRT6" s="29"/>
      <c r="LRU6" s="29"/>
      <c r="LRV6" s="29"/>
      <c r="LRW6" s="29"/>
      <c r="LRX6" s="29"/>
      <c r="LRY6" s="29"/>
      <c r="LRZ6" s="29"/>
      <c r="LSA6" s="29"/>
      <c r="LSB6" s="29"/>
      <c r="LSC6" s="29"/>
      <c r="LSD6" s="29"/>
      <c r="LSE6" s="29"/>
      <c r="LSF6" s="29"/>
      <c r="LSG6" s="29"/>
      <c r="LSH6" s="29"/>
      <c r="LSI6" s="29"/>
      <c r="LSJ6" s="29"/>
      <c r="LSK6" s="29"/>
      <c r="LSL6" s="29"/>
      <c r="LSM6" s="29"/>
      <c r="LSN6" s="29"/>
      <c r="LSO6" s="29"/>
      <c r="LSP6" s="29"/>
      <c r="LSQ6" s="29"/>
      <c r="LSR6" s="29"/>
      <c r="LSS6" s="29"/>
      <c r="LST6" s="29"/>
      <c r="LSU6" s="29"/>
      <c r="LSV6" s="29"/>
      <c r="LSW6" s="29"/>
      <c r="LSX6" s="29"/>
      <c r="LSY6" s="29"/>
      <c r="LSZ6" s="29"/>
      <c r="LTA6" s="29"/>
      <c r="LTB6" s="29"/>
      <c r="LTC6" s="29"/>
      <c r="LTD6" s="29"/>
      <c r="LTE6" s="29"/>
      <c r="LTF6" s="29"/>
      <c r="LTG6" s="29"/>
      <c r="LTH6" s="29"/>
      <c r="LTI6" s="29"/>
      <c r="LTJ6" s="29"/>
      <c r="LTK6" s="29"/>
      <c r="LTL6" s="29"/>
      <c r="LTM6" s="29"/>
      <c r="LTN6" s="29"/>
      <c r="LTO6" s="29"/>
      <c r="LTP6" s="29"/>
      <c r="LTQ6" s="29"/>
      <c r="LTR6" s="29"/>
      <c r="LTS6" s="29"/>
      <c r="LTT6" s="29"/>
      <c r="LTU6" s="29"/>
      <c r="LTV6" s="29"/>
      <c r="LTW6" s="29"/>
      <c r="LTX6" s="29"/>
      <c r="LTY6" s="29"/>
      <c r="LTZ6" s="29"/>
      <c r="LUA6" s="29"/>
      <c r="LUB6" s="29"/>
      <c r="LUC6" s="29"/>
      <c r="LUD6" s="29"/>
      <c r="LUE6" s="29"/>
      <c r="LUF6" s="29"/>
      <c r="LUG6" s="29"/>
      <c r="LUH6" s="29"/>
      <c r="LUI6" s="29"/>
      <c r="LUJ6" s="29"/>
      <c r="LUK6" s="29"/>
      <c r="LUL6" s="29"/>
      <c r="LUM6" s="29"/>
      <c r="LUN6" s="29"/>
      <c r="LUO6" s="29"/>
      <c r="LUP6" s="29"/>
      <c r="LUQ6" s="29"/>
      <c r="LUR6" s="29"/>
      <c r="LUS6" s="29"/>
      <c r="LUT6" s="29"/>
      <c r="LUU6" s="29"/>
      <c r="LUV6" s="29"/>
      <c r="LUW6" s="29"/>
      <c r="LUX6" s="29"/>
      <c r="LUY6" s="29"/>
      <c r="LUZ6" s="29"/>
      <c r="LVA6" s="29"/>
      <c r="LVB6" s="29"/>
      <c r="LVC6" s="29"/>
      <c r="LVD6" s="29"/>
      <c r="LVE6" s="29"/>
      <c r="LVF6" s="29"/>
      <c r="LVG6" s="29"/>
      <c r="LVH6" s="29"/>
      <c r="LVI6" s="29"/>
      <c r="LVJ6" s="29"/>
      <c r="LVK6" s="29"/>
      <c r="LVL6" s="29"/>
      <c r="LVM6" s="29"/>
      <c r="LVN6" s="29"/>
      <c r="LVO6" s="29"/>
      <c r="LVP6" s="29"/>
      <c r="LVQ6" s="29"/>
      <c r="LVR6" s="29"/>
      <c r="LVS6" s="29"/>
      <c r="LVT6" s="29"/>
      <c r="LVU6" s="29"/>
      <c r="LVV6" s="29"/>
      <c r="LVW6" s="29"/>
      <c r="LVX6" s="29"/>
      <c r="LVY6" s="29"/>
      <c r="LVZ6" s="29"/>
      <c r="LWA6" s="29"/>
      <c r="LWB6" s="29"/>
      <c r="LWC6" s="29"/>
      <c r="LWD6" s="29"/>
      <c r="LWE6" s="29"/>
      <c r="LWF6" s="29"/>
      <c r="LWG6" s="29"/>
      <c r="LWH6" s="29"/>
      <c r="LWI6" s="29"/>
      <c r="LWJ6" s="29"/>
      <c r="LWK6" s="29"/>
      <c r="LWL6" s="29"/>
      <c r="LWM6" s="29"/>
      <c r="LWN6" s="29"/>
      <c r="LWO6" s="29"/>
      <c r="LWP6" s="29"/>
      <c r="LWQ6" s="29"/>
      <c r="LWR6" s="29"/>
      <c r="LWS6" s="29"/>
      <c r="LWT6" s="29"/>
      <c r="LWU6" s="29"/>
      <c r="LWV6" s="29"/>
      <c r="LWW6" s="29"/>
      <c r="LWX6" s="29"/>
      <c r="LWY6" s="29"/>
      <c r="LWZ6" s="29"/>
      <c r="LXA6" s="29"/>
      <c r="LXB6" s="29"/>
      <c r="LXC6" s="29"/>
      <c r="LXD6" s="29"/>
      <c r="LXE6" s="29"/>
      <c r="LXF6" s="29"/>
      <c r="LXG6" s="29"/>
      <c r="LXH6" s="29"/>
      <c r="LXI6" s="29"/>
      <c r="LXJ6" s="29"/>
      <c r="LXK6" s="29"/>
      <c r="LXL6" s="29"/>
      <c r="LXM6" s="29"/>
      <c r="LXN6" s="29"/>
      <c r="LXO6" s="29"/>
      <c r="LXP6" s="29"/>
      <c r="LXQ6" s="29"/>
      <c r="LXR6" s="29"/>
      <c r="LXS6" s="29"/>
      <c r="LXT6" s="29"/>
      <c r="LXU6" s="29"/>
      <c r="LXV6" s="29"/>
      <c r="LXW6" s="29"/>
      <c r="LXX6" s="29"/>
      <c r="LXY6" s="29"/>
      <c r="LXZ6" s="29"/>
      <c r="LYA6" s="29"/>
      <c r="LYB6" s="29"/>
      <c r="LYC6" s="29"/>
      <c r="LYD6" s="29"/>
      <c r="LYE6" s="29"/>
      <c r="LYF6" s="29"/>
      <c r="LYG6" s="29"/>
      <c r="LYH6" s="29"/>
      <c r="LYI6" s="29"/>
      <c r="LYJ6" s="29"/>
      <c r="LYK6" s="29"/>
      <c r="LYL6" s="29"/>
      <c r="LYM6" s="29"/>
      <c r="LYN6" s="29"/>
      <c r="LYO6" s="29"/>
      <c r="LYP6" s="29"/>
      <c r="LYQ6" s="29"/>
      <c r="LYR6" s="29"/>
      <c r="LYS6" s="29"/>
      <c r="LYT6" s="29"/>
      <c r="LYU6" s="29"/>
      <c r="LYV6" s="29"/>
      <c r="LYW6" s="29"/>
      <c r="LYX6" s="29"/>
      <c r="LYY6" s="29"/>
      <c r="LYZ6" s="29"/>
      <c r="LZA6" s="29"/>
      <c r="LZB6" s="29"/>
      <c r="LZC6" s="29"/>
      <c r="LZD6" s="29"/>
      <c r="LZE6" s="29"/>
      <c r="LZF6" s="29"/>
      <c r="LZG6" s="29"/>
      <c r="LZH6" s="29"/>
      <c r="LZI6" s="29"/>
      <c r="LZJ6" s="29"/>
      <c r="LZK6" s="29"/>
      <c r="LZL6" s="29"/>
      <c r="LZM6" s="29"/>
      <c r="LZN6" s="29"/>
      <c r="LZO6" s="29"/>
      <c r="LZP6" s="29"/>
      <c r="LZQ6" s="29"/>
      <c r="LZR6" s="29"/>
      <c r="LZS6" s="29"/>
      <c r="LZT6" s="29"/>
      <c r="LZU6" s="29"/>
      <c r="LZV6" s="29"/>
      <c r="LZW6" s="29"/>
      <c r="LZX6" s="29"/>
      <c r="LZY6" s="29"/>
      <c r="LZZ6" s="29"/>
      <c r="MAA6" s="29"/>
      <c r="MAB6" s="29"/>
      <c r="MAC6" s="29"/>
      <c r="MAD6" s="29"/>
      <c r="MAE6" s="29"/>
      <c r="MAF6" s="29"/>
      <c r="MAG6" s="29"/>
      <c r="MAH6" s="29"/>
      <c r="MAI6" s="29"/>
      <c r="MAJ6" s="29"/>
      <c r="MAK6" s="29"/>
      <c r="MAL6" s="29"/>
      <c r="MAM6" s="29"/>
      <c r="MAN6" s="29"/>
      <c r="MAO6" s="29"/>
      <c r="MAP6" s="29"/>
      <c r="MAQ6" s="29"/>
      <c r="MAR6" s="29"/>
      <c r="MAS6" s="29"/>
      <c r="MAT6" s="29"/>
      <c r="MAU6" s="29"/>
      <c r="MAV6" s="29"/>
      <c r="MAW6" s="29"/>
      <c r="MAX6" s="29"/>
      <c r="MAY6" s="29"/>
      <c r="MAZ6" s="29"/>
      <c r="MBA6" s="29"/>
      <c r="MBB6" s="29"/>
      <c r="MBC6" s="29"/>
      <c r="MBD6" s="29"/>
      <c r="MBE6" s="29"/>
      <c r="MBF6" s="29"/>
      <c r="MBG6" s="29"/>
      <c r="MBH6" s="29"/>
      <c r="MBI6" s="29"/>
      <c r="MBJ6" s="29"/>
      <c r="MBK6" s="29"/>
      <c r="MBL6" s="29"/>
      <c r="MBM6" s="29"/>
      <c r="MBN6" s="29"/>
      <c r="MBO6" s="29"/>
      <c r="MBP6" s="29"/>
      <c r="MBQ6" s="29"/>
      <c r="MBR6" s="29"/>
      <c r="MBS6" s="29"/>
      <c r="MBT6" s="29"/>
      <c r="MBU6" s="29"/>
      <c r="MBV6" s="29"/>
      <c r="MBW6" s="29"/>
      <c r="MBX6" s="29"/>
      <c r="MBY6" s="29"/>
      <c r="MBZ6" s="29"/>
      <c r="MCA6" s="29"/>
      <c r="MCB6" s="29"/>
      <c r="MCC6" s="29"/>
      <c r="MCD6" s="29"/>
      <c r="MCE6" s="29"/>
      <c r="MCF6" s="29"/>
      <c r="MCG6" s="29"/>
      <c r="MCH6" s="29"/>
      <c r="MCI6" s="29"/>
      <c r="MCJ6" s="29"/>
      <c r="MCK6" s="29"/>
      <c r="MCL6" s="29"/>
      <c r="MCM6" s="29"/>
      <c r="MCN6" s="29"/>
      <c r="MCO6" s="29"/>
      <c r="MCP6" s="29"/>
      <c r="MCQ6" s="29"/>
      <c r="MCR6" s="29"/>
      <c r="MCS6" s="29"/>
      <c r="MCT6" s="29"/>
      <c r="MCU6" s="29"/>
      <c r="MCV6" s="29"/>
      <c r="MCW6" s="29"/>
      <c r="MCX6" s="29"/>
      <c r="MCY6" s="29"/>
      <c r="MCZ6" s="29"/>
      <c r="MDA6" s="29"/>
      <c r="MDB6" s="29"/>
      <c r="MDC6" s="29"/>
      <c r="MDD6" s="29"/>
      <c r="MDE6" s="29"/>
      <c r="MDF6" s="29"/>
      <c r="MDG6" s="29"/>
      <c r="MDH6" s="29"/>
      <c r="MDI6" s="29"/>
      <c r="MDJ6" s="29"/>
      <c r="MDK6" s="29"/>
      <c r="MDL6" s="29"/>
      <c r="MDM6" s="29"/>
      <c r="MDN6" s="29"/>
      <c r="MDO6" s="29"/>
      <c r="MDP6" s="29"/>
      <c r="MDQ6" s="29"/>
      <c r="MDR6" s="29"/>
      <c r="MDS6" s="29"/>
      <c r="MDT6" s="29"/>
      <c r="MDU6" s="29"/>
      <c r="MDV6" s="29"/>
      <c r="MDW6" s="29"/>
      <c r="MDX6" s="29"/>
      <c r="MDY6" s="29"/>
      <c r="MDZ6" s="29"/>
      <c r="MEA6" s="29"/>
      <c r="MEB6" s="29"/>
      <c r="MEC6" s="29"/>
      <c r="MED6" s="29"/>
      <c r="MEE6" s="29"/>
      <c r="MEF6" s="29"/>
      <c r="MEG6" s="29"/>
      <c r="MEH6" s="29"/>
      <c r="MEI6" s="29"/>
      <c r="MEJ6" s="29"/>
      <c r="MEK6" s="29"/>
      <c r="MEL6" s="29"/>
      <c r="MEM6" s="29"/>
      <c r="MEN6" s="29"/>
      <c r="MEO6" s="29"/>
      <c r="MEP6" s="29"/>
      <c r="MEQ6" s="29"/>
      <c r="MER6" s="29"/>
      <c r="MES6" s="29"/>
      <c r="MET6" s="29"/>
      <c r="MEU6" s="29"/>
      <c r="MEV6" s="29"/>
      <c r="MEW6" s="29"/>
      <c r="MEX6" s="29"/>
      <c r="MEY6" s="29"/>
      <c r="MEZ6" s="29"/>
      <c r="MFA6" s="29"/>
      <c r="MFB6" s="29"/>
      <c r="MFC6" s="29"/>
      <c r="MFD6" s="29"/>
      <c r="MFE6" s="29"/>
      <c r="MFF6" s="29"/>
      <c r="MFG6" s="29"/>
      <c r="MFH6" s="29"/>
      <c r="MFI6" s="29"/>
      <c r="MFJ6" s="29"/>
      <c r="MFK6" s="29"/>
      <c r="MFL6" s="29"/>
      <c r="MFM6" s="29"/>
      <c r="MFN6" s="29"/>
      <c r="MFO6" s="29"/>
      <c r="MFP6" s="29"/>
      <c r="MFQ6" s="29"/>
      <c r="MFR6" s="29"/>
      <c r="MFS6" s="29"/>
      <c r="MFT6" s="29"/>
      <c r="MFU6" s="29"/>
      <c r="MFV6" s="29"/>
      <c r="MFW6" s="29"/>
      <c r="MFX6" s="29"/>
      <c r="MFY6" s="29"/>
      <c r="MFZ6" s="29"/>
      <c r="MGA6" s="29"/>
      <c r="MGB6" s="29"/>
      <c r="MGC6" s="29"/>
      <c r="MGD6" s="29"/>
      <c r="MGE6" s="29"/>
      <c r="MGF6" s="29"/>
      <c r="MGG6" s="29"/>
      <c r="MGH6" s="29"/>
      <c r="MGI6" s="29"/>
      <c r="MGJ6" s="29"/>
      <c r="MGK6" s="29"/>
      <c r="MGL6" s="29"/>
      <c r="MGM6" s="29"/>
      <c r="MGN6" s="29"/>
      <c r="MGO6" s="29"/>
      <c r="MGP6" s="29"/>
      <c r="MGQ6" s="29"/>
      <c r="MGR6" s="29"/>
      <c r="MGS6" s="29"/>
      <c r="MGT6" s="29"/>
      <c r="MGU6" s="29"/>
      <c r="MGV6" s="29"/>
      <c r="MGW6" s="29"/>
      <c r="MGX6" s="29"/>
      <c r="MGY6" s="29"/>
      <c r="MGZ6" s="29"/>
      <c r="MHA6" s="29"/>
      <c r="MHB6" s="29"/>
      <c r="MHC6" s="29"/>
      <c r="MHD6" s="29"/>
      <c r="MHE6" s="29"/>
      <c r="MHF6" s="29"/>
      <c r="MHG6" s="29"/>
      <c r="MHH6" s="29"/>
      <c r="MHI6" s="29"/>
      <c r="MHJ6" s="29"/>
      <c r="MHK6" s="29"/>
      <c r="MHL6" s="29"/>
      <c r="MHM6" s="29"/>
      <c r="MHN6" s="29"/>
      <c r="MHO6" s="29"/>
      <c r="MHP6" s="29"/>
      <c r="MHQ6" s="29"/>
      <c r="MHR6" s="29"/>
      <c r="MHS6" s="29"/>
      <c r="MHT6" s="29"/>
      <c r="MHU6" s="29"/>
      <c r="MHV6" s="29"/>
      <c r="MHW6" s="29"/>
      <c r="MHX6" s="29"/>
      <c r="MHY6" s="29"/>
      <c r="MHZ6" s="29"/>
      <c r="MIA6" s="29"/>
      <c r="MIB6" s="29"/>
      <c r="MIC6" s="29"/>
      <c r="MID6" s="29"/>
      <c r="MIE6" s="29"/>
      <c r="MIF6" s="29"/>
      <c r="MIG6" s="29"/>
      <c r="MIH6" s="29"/>
      <c r="MII6" s="29"/>
      <c r="MIJ6" s="29"/>
      <c r="MIK6" s="29"/>
      <c r="MIL6" s="29"/>
      <c r="MIM6" s="29"/>
      <c r="MIN6" s="29"/>
      <c r="MIO6" s="29"/>
      <c r="MIP6" s="29"/>
      <c r="MIQ6" s="29"/>
      <c r="MIR6" s="29"/>
      <c r="MIS6" s="29"/>
      <c r="MIT6" s="29"/>
      <c r="MIU6" s="29"/>
      <c r="MIV6" s="29"/>
      <c r="MIW6" s="29"/>
      <c r="MIX6" s="29"/>
      <c r="MIY6" s="29"/>
      <c r="MIZ6" s="29"/>
      <c r="MJA6" s="29"/>
      <c r="MJB6" s="29"/>
      <c r="MJC6" s="29"/>
      <c r="MJD6" s="29"/>
      <c r="MJE6" s="29"/>
      <c r="MJF6" s="29"/>
      <c r="MJG6" s="29"/>
      <c r="MJH6" s="29"/>
      <c r="MJI6" s="29"/>
      <c r="MJJ6" s="29"/>
      <c r="MJK6" s="29"/>
      <c r="MJL6" s="29"/>
      <c r="MJM6" s="29"/>
      <c r="MJN6" s="29"/>
      <c r="MJO6" s="29"/>
      <c r="MJP6" s="29"/>
      <c r="MJQ6" s="29"/>
      <c r="MJR6" s="29"/>
      <c r="MJS6" s="29"/>
      <c r="MJT6" s="29"/>
      <c r="MJU6" s="29"/>
      <c r="MJV6" s="29"/>
      <c r="MJW6" s="29"/>
      <c r="MJX6" s="29"/>
      <c r="MJY6" s="29"/>
      <c r="MJZ6" s="29"/>
      <c r="MKA6" s="29"/>
      <c r="MKB6" s="29"/>
      <c r="MKC6" s="29"/>
      <c r="MKD6" s="29"/>
      <c r="MKE6" s="29"/>
      <c r="MKF6" s="29"/>
      <c r="MKG6" s="29"/>
      <c r="MKH6" s="29"/>
      <c r="MKI6" s="29"/>
      <c r="MKJ6" s="29"/>
      <c r="MKK6" s="29"/>
      <c r="MKL6" s="29"/>
      <c r="MKM6" s="29"/>
      <c r="MKN6" s="29"/>
      <c r="MKO6" s="29"/>
      <c r="MKP6" s="29"/>
      <c r="MKQ6" s="29"/>
      <c r="MKR6" s="29"/>
      <c r="MKS6" s="29"/>
      <c r="MKT6" s="29"/>
      <c r="MKU6" s="29"/>
      <c r="MKV6" s="29"/>
      <c r="MKW6" s="29"/>
      <c r="MKX6" s="29"/>
      <c r="MKY6" s="29"/>
      <c r="MKZ6" s="29"/>
      <c r="MLA6" s="29"/>
      <c r="MLB6" s="29"/>
      <c r="MLC6" s="29"/>
      <c r="MLD6" s="29"/>
      <c r="MLE6" s="29"/>
      <c r="MLF6" s="29"/>
      <c r="MLG6" s="29"/>
      <c r="MLH6" s="29"/>
      <c r="MLI6" s="29"/>
      <c r="MLJ6" s="29"/>
      <c r="MLK6" s="29"/>
      <c r="MLL6" s="29"/>
      <c r="MLM6" s="29"/>
      <c r="MLN6" s="29"/>
      <c r="MLO6" s="29"/>
      <c r="MLP6" s="29"/>
      <c r="MLQ6" s="29"/>
      <c r="MLR6" s="29"/>
      <c r="MLS6" s="29"/>
      <c r="MLT6" s="29"/>
      <c r="MLU6" s="29"/>
      <c r="MLV6" s="29"/>
      <c r="MLW6" s="29"/>
      <c r="MLX6" s="29"/>
      <c r="MLY6" s="29"/>
      <c r="MLZ6" s="29"/>
      <c r="MMA6" s="29"/>
      <c r="MMB6" s="29"/>
      <c r="MMC6" s="29"/>
      <c r="MMD6" s="29"/>
      <c r="MME6" s="29"/>
      <c r="MMF6" s="29"/>
      <c r="MMG6" s="29"/>
      <c r="MMH6" s="29"/>
      <c r="MMI6" s="29"/>
      <c r="MMJ6" s="29"/>
      <c r="MMK6" s="29"/>
      <c r="MML6" s="29"/>
      <c r="MMM6" s="29"/>
      <c r="MMN6" s="29"/>
      <c r="MMO6" s="29"/>
      <c r="MMP6" s="29"/>
      <c r="MMQ6" s="29"/>
      <c r="MMR6" s="29"/>
      <c r="MMS6" s="29"/>
      <c r="MMT6" s="29"/>
      <c r="MMU6" s="29"/>
      <c r="MMV6" s="29"/>
      <c r="MMW6" s="29"/>
      <c r="MMX6" s="29"/>
      <c r="MMY6" s="29"/>
      <c r="MMZ6" s="29"/>
      <c r="MNA6" s="29"/>
      <c r="MNB6" s="29"/>
      <c r="MNC6" s="29"/>
      <c r="MND6" s="29"/>
      <c r="MNE6" s="29"/>
      <c r="MNF6" s="29"/>
      <c r="MNG6" s="29"/>
      <c r="MNH6" s="29"/>
      <c r="MNI6" s="29"/>
      <c r="MNJ6" s="29"/>
      <c r="MNK6" s="29"/>
      <c r="MNL6" s="29"/>
      <c r="MNM6" s="29"/>
      <c r="MNN6" s="29"/>
      <c r="MNO6" s="29"/>
      <c r="MNP6" s="29"/>
      <c r="MNQ6" s="29"/>
      <c r="MNR6" s="29"/>
      <c r="MNS6" s="29"/>
      <c r="MNT6" s="29"/>
      <c r="MNU6" s="29"/>
      <c r="MNV6" s="29"/>
      <c r="MNW6" s="29"/>
      <c r="MNX6" s="29"/>
      <c r="MNY6" s="29"/>
      <c r="MNZ6" s="29"/>
      <c r="MOA6" s="29"/>
      <c r="MOB6" s="29"/>
      <c r="MOC6" s="29"/>
      <c r="MOD6" s="29"/>
      <c r="MOE6" s="29"/>
      <c r="MOF6" s="29"/>
      <c r="MOG6" s="29"/>
      <c r="MOH6" s="29"/>
      <c r="MOI6" s="29"/>
      <c r="MOJ6" s="29"/>
      <c r="MOK6" s="29"/>
      <c r="MOL6" s="29"/>
      <c r="MOM6" s="29"/>
      <c r="MON6" s="29"/>
      <c r="MOO6" s="29"/>
      <c r="MOP6" s="29"/>
      <c r="MOQ6" s="29"/>
      <c r="MOR6" s="29"/>
      <c r="MOS6" s="29"/>
      <c r="MOT6" s="29"/>
      <c r="MOU6" s="29"/>
      <c r="MOV6" s="29"/>
      <c r="MOW6" s="29"/>
      <c r="MOX6" s="29"/>
      <c r="MOY6" s="29"/>
      <c r="MOZ6" s="29"/>
      <c r="MPA6" s="29"/>
      <c r="MPB6" s="29"/>
      <c r="MPC6" s="29"/>
      <c r="MPD6" s="29"/>
      <c r="MPE6" s="29"/>
      <c r="MPF6" s="29"/>
      <c r="MPG6" s="29"/>
      <c r="MPH6" s="29"/>
      <c r="MPI6" s="29"/>
      <c r="MPJ6" s="29"/>
      <c r="MPK6" s="29"/>
      <c r="MPL6" s="29"/>
      <c r="MPM6" s="29"/>
      <c r="MPN6" s="29"/>
      <c r="MPO6" s="29"/>
      <c r="MPP6" s="29"/>
      <c r="MPQ6" s="29"/>
      <c r="MPR6" s="29"/>
      <c r="MPS6" s="29"/>
      <c r="MPT6" s="29"/>
      <c r="MPU6" s="29"/>
      <c r="MPV6" s="29"/>
      <c r="MPW6" s="29"/>
      <c r="MPX6" s="29"/>
      <c r="MPY6" s="29"/>
      <c r="MPZ6" s="29"/>
      <c r="MQA6" s="29"/>
      <c r="MQB6" s="29"/>
      <c r="MQC6" s="29"/>
      <c r="MQD6" s="29"/>
      <c r="MQE6" s="29"/>
      <c r="MQF6" s="29"/>
      <c r="MQG6" s="29"/>
      <c r="MQH6" s="29"/>
      <c r="MQI6" s="29"/>
      <c r="MQJ6" s="29"/>
      <c r="MQK6" s="29"/>
      <c r="MQL6" s="29"/>
      <c r="MQM6" s="29"/>
      <c r="MQN6" s="29"/>
      <c r="MQO6" s="29"/>
      <c r="MQP6" s="29"/>
      <c r="MQQ6" s="29"/>
      <c r="MQR6" s="29"/>
      <c r="MQS6" s="29"/>
      <c r="MQT6" s="29"/>
      <c r="MQU6" s="29"/>
      <c r="MQV6" s="29"/>
      <c r="MQW6" s="29"/>
      <c r="MQX6" s="29"/>
      <c r="MQY6" s="29"/>
      <c r="MQZ6" s="29"/>
      <c r="MRA6" s="29"/>
      <c r="MRB6" s="29"/>
      <c r="MRC6" s="29"/>
      <c r="MRD6" s="29"/>
      <c r="MRE6" s="29"/>
      <c r="MRF6" s="29"/>
      <c r="MRG6" s="29"/>
      <c r="MRH6" s="29"/>
      <c r="MRI6" s="29"/>
      <c r="MRJ6" s="29"/>
      <c r="MRK6" s="29"/>
      <c r="MRL6" s="29"/>
      <c r="MRM6" s="29"/>
      <c r="MRN6" s="29"/>
      <c r="MRO6" s="29"/>
      <c r="MRP6" s="29"/>
      <c r="MRQ6" s="29"/>
      <c r="MRR6" s="29"/>
      <c r="MRS6" s="29"/>
      <c r="MRT6" s="29"/>
      <c r="MRU6" s="29"/>
      <c r="MRV6" s="29"/>
      <c r="MRW6" s="29"/>
      <c r="MRX6" s="29"/>
      <c r="MRY6" s="29"/>
      <c r="MRZ6" s="29"/>
      <c r="MSA6" s="29"/>
      <c r="MSB6" s="29"/>
      <c r="MSC6" s="29"/>
      <c r="MSD6" s="29"/>
      <c r="MSE6" s="29"/>
      <c r="MSF6" s="29"/>
      <c r="MSG6" s="29"/>
      <c r="MSH6" s="29"/>
      <c r="MSI6" s="29"/>
      <c r="MSJ6" s="29"/>
      <c r="MSK6" s="29"/>
      <c r="MSL6" s="29"/>
      <c r="MSM6" s="29"/>
      <c r="MSN6" s="29"/>
      <c r="MSO6" s="29"/>
      <c r="MSP6" s="29"/>
      <c r="MSQ6" s="29"/>
      <c r="MSR6" s="29"/>
      <c r="MSS6" s="29"/>
      <c r="MST6" s="29"/>
      <c r="MSU6" s="29"/>
      <c r="MSV6" s="29"/>
      <c r="MSW6" s="29"/>
      <c r="MSX6" s="29"/>
      <c r="MSY6" s="29"/>
      <c r="MSZ6" s="29"/>
      <c r="MTA6" s="29"/>
      <c r="MTB6" s="29"/>
      <c r="MTC6" s="29"/>
      <c r="MTD6" s="29"/>
      <c r="MTE6" s="29"/>
      <c r="MTF6" s="29"/>
      <c r="MTG6" s="29"/>
      <c r="MTH6" s="29"/>
      <c r="MTI6" s="29"/>
      <c r="MTJ6" s="29"/>
      <c r="MTK6" s="29"/>
      <c r="MTL6" s="29"/>
      <c r="MTM6" s="29"/>
      <c r="MTN6" s="29"/>
      <c r="MTO6" s="29"/>
      <c r="MTP6" s="29"/>
      <c r="MTQ6" s="29"/>
      <c r="MTR6" s="29"/>
      <c r="MTS6" s="29"/>
      <c r="MTT6" s="29"/>
      <c r="MTU6" s="29"/>
      <c r="MTV6" s="29"/>
      <c r="MTW6" s="29"/>
      <c r="MTX6" s="29"/>
      <c r="MTY6" s="29"/>
      <c r="MTZ6" s="29"/>
      <c r="MUA6" s="29"/>
      <c r="MUB6" s="29"/>
      <c r="MUC6" s="29"/>
      <c r="MUD6" s="29"/>
      <c r="MUE6" s="29"/>
      <c r="MUF6" s="29"/>
      <c r="MUG6" s="29"/>
      <c r="MUH6" s="29"/>
      <c r="MUI6" s="29"/>
      <c r="MUJ6" s="29"/>
      <c r="MUK6" s="29"/>
      <c r="MUL6" s="29"/>
      <c r="MUM6" s="29"/>
      <c r="MUN6" s="29"/>
      <c r="MUO6" s="29"/>
      <c r="MUP6" s="29"/>
      <c r="MUQ6" s="29"/>
      <c r="MUR6" s="29"/>
      <c r="MUS6" s="29"/>
      <c r="MUT6" s="29"/>
      <c r="MUU6" s="29"/>
      <c r="MUV6" s="29"/>
      <c r="MUW6" s="29"/>
      <c r="MUX6" s="29"/>
      <c r="MUY6" s="29"/>
      <c r="MUZ6" s="29"/>
      <c r="MVA6" s="29"/>
      <c r="MVB6" s="29"/>
      <c r="MVC6" s="29"/>
      <c r="MVD6" s="29"/>
      <c r="MVE6" s="29"/>
      <c r="MVF6" s="29"/>
      <c r="MVG6" s="29"/>
      <c r="MVH6" s="29"/>
      <c r="MVI6" s="29"/>
      <c r="MVJ6" s="29"/>
      <c r="MVK6" s="29"/>
      <c r="MVL6" s="29"/>
      <c r="MVM6" s="29"/>
      <c r="MVN6" s="29"/>
      <c r="MVO6" s="29"/>
      <c r="MVP6" s="29"/>
      <c r="MVQ6" s="29"/>
      <c r="MVR6" s="29"/>
      <c r="MVS6" s="29"/>
      <c r="MVT6" s="29"/>
      <c r="MVU6" s="29"/>
      <c r="MVV6" s="29"/>
      <c r="MVW6" s="29"/>
      <c r="MVX6" s="29"/>
      <c r="MVY6" s="29"/>
      <c r="MVZ6" s="29"/>
      <c r="MWA6" s="29"/>
      <c r="MWB6" s="29"/>
      <c r="MWC6" s="29"/>
      <c r="MWD6" s="29"/>
      <c r="MWE6" s="29"/>
      <c r="MWF6" s="29"/>
      <c r="MWG6" s="29"/>
      <c r="MWH6" s="29"/>
      <c r="MWI6" s="29"/>
      <c r="MWJ6" s="29"/>
      <c r="MWK6" s="29"/>
      <c r="MWL6" s="29"/>
      <c r="MWM6" s="29"/>
      <c r="MWN6" s="29"/>
      <c r="MWO6" s="29"/>
      <c r="MWP6" s="29"/>
      <c r="MWQ6" s="29"/>
      <c r="MWR6" s="29"/>
      <c r="MWS6" s="29"/>
      <c r="MWT6" s="29"/>
      <c r="MWU6" s="29"/>
      <c r="MWV6" s="29"/>
      <c r="MWW6" s="29"/>
      <c r="MWX6" s="29"/>
      <c r="MWY6" s="29"/>
      <c r="MWZ6" s="29"/>
      <c r="MXA6" s="29"/>
      <c r="MXB6" s="29"/>
      <c r="MXC6" s="29"/>
      <c r="MXD6" s="29"/>
      <c r="MXE6" s="29"/>
      <c r="MXF6" s="29"/>
      <c r="MXG6" s="29"/>
      <c r="MXH6" s="29"/>
      <c r="MXI6" s="29"/>
      <c r="MXJ6" s="29"/>
      <c r="MXK6" s="29"/>
      <c r="MXL6" s="29"/>
      <c r="MXM6" s="29"/>
      <c r="MXN6" s="29"/>
      <c r="MXO6" s="29"/>
      <c r="MXP6" s="29"/>
      <c r="MXQ6" s="29"/>
      <c r="MXR6" s="29"/>
      <c r="MXS6" s="29"/>
      <c r="MXT6" s="29"/>
      <c r="MXU6" s="29"/>
      <c r="MXV6" s="29"/>
      <c r="MXW6" s="29"/>
      <c r="MXX6" s="29"/>
      <c r="MXY6" s="29"/>
      <c r="MXZ6" s="29"/>
      <c r="MYA6" s="29"/>
      <c r="MYB6" s="29"/>
      <c r="MYC6" s="29"/>
      <c r="MYD6" s="29"/>
      <c r="MYE6" s="29"/>
      <c r="MYF6" s="29"/>
      <c r="MYG6" s="29"/>
      <c r="MYH6" s="29"/>
      <c r="MYI6" s="29"/>
      <c r="MYJ6" s="29"/>
      <c r="MYK6" s="29"/>
      <c r="MYL6" s="29"/>
      <c r="MYM6" s="29"/>
      <c r="MYN6" s="29"/>
      <c r="MYO6" s="29"/>
      <c r="MYP6" s="29"/>
      <c r="MYQ6" s="29"/>
      <c r="MYR6" s="29"/>
      <c r="MYS6" s="29"/>
      <c r="MYT6" s="29"/>
      <c r="MYU6" s="29"/>
      <c r="MYV6" s="29"/>
      <c r="MYW6" s="29"/>
      <c r="MYX6" s="29"/>
      <c r="MYY6" s="29"/>
      <c r="MYZ6" s="29"/>
      <c r="MZA6" s="29"/>
      <c r="MZB6" s="29"/>
      <c r="MZC6" s="29"/>
      <c r="MZD6" s="29"/>
      <c r="MZE6" s="29"/>
      <c r="MZF6" s="29"/>
      <c r="MZG6" s="29"/>
      <c r="MZH6" s="29"/>
      <c r="MZI6" s="29"/>
      <c r="MZJ6" s="29"/>
      <c r="MZK6" s="29"/>
      <c r="MZL6" s="29"/>
      <c r="MZM6" s="29"/>
      <c r="MZN6" s="29"/>
      <c r="MZO6" s="29"/>
      <c r="MZP6" s="29"/>
      <c r="MZQ6" s="29"/>
      <c r="MZR6" s="29"/>
      <c r="MZS6" s="29"/>
      <c r="MZT6" s="29"/>
      <c r="MZU6" s="29"/>
      <c r="MZV6" s="29"/>
      <c r="MZW6" s="29"/>
      <c r="MZX6" s="29"/>
      <c r="MZY6" s="29"/>
      <c r="MZZ6" s="29"/>
      <c r="NAA6" s="29"/>
      <c r="NAB6" s="29"/>
      <c r="NAC6" s="29"/>
      <c r="NAD6" s="29"/>
      <c r="NAE6" s="29"/>
      <c r="NAF6" s="29"/>
      <c r="NAG6" s="29"/>
      <c r="NAH6" s="29"/>
      <c r="NAI6" s="29"/>
      <c r="NAJ6" s="29"/>
      <c r="NAK6" s="29"/>
      <c r="NAL6" s="29"/>
      <c r="NAM6" s="29"/>
      <c r="NAN6" s="29"/>
      <c r="NAO6" s="29"/>
      <c r="NAP6" s="29"/>
      <c r="NAQ6" s="29"/>
      <c r="NAR6" s="29"/>
      <c r="NAS6" s="29"/>
      <c r="NAT6" s="29"/>
      <c r="NAU6" s="29"/>
      <c r="NAV6" s="29"/>
      <c r="NAW6" s="29"/>
      <c r="NAX6" s="29"/>
      <c r="NAY6" s="29"/>
      <c r="NAZ6" s="29"/>
      <c r="NBA6" s="29"/>
      <c r="NBB6" s="29"/>
      <c r="NBC6" s="29"/>
      <c r="NBD6" s="29"/>
      <c r="NBE6" s="29"/>
      <c r="NBF6" s="29"/>
      <c r="NBG6" s="29"/>
      <c r="NBH6" s="29"/>
      <c r="NBI6" s="29"/>
      <c r="NBJ6" s="29"/>
      <c r="NBK6" s="29"/>
      <c r="NBL6" s="29"/>
      <c r="NBM6" s="29"/>
      <c r="NBN6" s="29"/>
      <c r="NBO6" s="29"/>
      <c r="NBP6" s="29"/>
      <c r="NBQ6" s="29"/>
      <c r="NBR6" s="29"/>
      <c r="NBS6" s="29"/>
      <c r="NBT6" s="29"/>
      <c r="NBU6" s="29"/>
      <c r="NBV6" s="29"/>
      <c r="NBW6" s="29"/>
      <c r="NBX6" s="29"/>
      <c r="NBY6" s="29"/>
      <c r="NBZ6" s="29"/>
      <c r="NCA6" s="29"/>
      <c r="NCB6" s="29"/>
      <c r="NCC6" s="29"/>
      <c r="NCD6" s="29"/>
      <c r="NCE6" s="29"/>
      <c r="NCF6" s="29"/>
      <c r="NCG6" s="29"/>
      <c r="NCH6" s="29"/>
      <c r="NCI6" s="29"/>
      <c r="NCJ6" s="29"/>
      <c r="NCK6" s="29"/>
      <c r="NCL6" s="29"/>
      <c r="NCM6" s="29"/>
      <c r="NCN6" s="29"/>
      <c r="NCO6" s="29"/>
      <c r="NCP6" s="29"/>
      <c r="NCQ6" s="29"/>
      <c r="NCR6" s="29"/>
      <c r="NCS6" s="29"/>
      <c r="NCT6" s="29"/>
      <c r="NCU6" s="29"/>
      <c r="NCV6" s="29"/>
      <c r="NCW6" s="29"/>
      <c r="NCX6" s="29"/>
      <c r="NCY6" s="29"/>
      <c r="NCZ6" s="29"/>
      <c r="NDA6" s="29"/>
      <c r="NDB6" s="29"/>
      <c r="NDC6" s="29"/>
      <c r="NDD6" s="29"/>
      <c r="NDE6" s="29"/>
      <c r="NDF6" s="29"/>
      <c r="NDG6" s="29"/>
      <c r="NDH6" s="29"/>
      <c r="NDI6" s="29"/>
      <c r="NDJ6" s="29"/>
      <c r="NDK6" s="29"/>
      <c r="NDL6" s="29"/>
      <c r="NDM6" s="29"/>
      <c r="NDN6" s="29"/>
      <c r="NDO6" s="29"/>
      <c r="NDP6" s="29"/>
      <c r="NDQ6" s="29"/>
      <c r="NDR6" s="29"/>
      <c r="NDS6" s="29"/>
      <c r="NDT6" s="29"/>
      <c r="NDU6" s="29"/>
      <c r="NDV6" s="29"/>
      <c r="NDW6" s="29"/>
      <c r="NDX6" s="29"/>
      <c r="NDY6" s="29"/>
      <c r="NDZ6" s="29"/>
      <c r="NEA6" s="29"/>
      <c r="NEB6" s="29"/>
      <c r="NEC6" s="29"/>
      <c r="NED6" s="29"/>
      <c r="NEE6" s="29"/>
      <c r="NEF6" s="29"/>
      <c r="NEG6" s="29"/>
      <c r="NEH6" s="29"/>
      <c r="NEI6" s="29"/>
      <c r="NEJ6" s="29"/>
      <c r="NEK6" s="29"/>
      <c r="NEL6" s="29"/>
      <c r="NEM6" s="29"/>
      <c r="NEN6" s="29"/>
      <c r="NEO6" s="29"/>
      <c r="NEP6" s="29"/>
      <c r="NEQ6" s="29"/>
      <c r="NER6" s="29"/>
      <c r="NES6" s="29"/>
      <c r="NET6" s="29"/>
      <c r="NEU6" s="29"/>
      <c r="NEV6" s="29"/>
      <c r="NEW6" s="29"/>
      <c r="NEX6" s="29"/>
      <c r="NEY6" s="29"/>
      <c r="NEZ6" s="29"/>
      <c r="NFA6" s="29"/>
      <c r="NFB6" s="29"/>
      <c r="NFC6" s="29"/>
      <c r="NFD6" s="29"/>
      <c r="NFE6" s="29"/>
      <c r="NFF6" s="29"/>
      <c r="NFG6" s="29"/>
      <c r="NFH6" s="29"/>
      <c r="NFI6" s="29"/>
      <c r="NFJ6" s="29"/>
      <c r="NFK6" s="29"/>
      <c r="NFL6" s="29"/>
      <c r="NFM6" s="29"/>
      <c r="NFN6" s="29"/>
      <c r="NFO6" s="29"/>
      <c r="NFP6" s="29"/>
      <c r="NFQ6" s="29"/>
      <c r="NFR6" s="29"/>
      <c r="NFS6" s="29"/>
      <c r="NFT6" s="29"/>
      <c r="NFU6" s="29"/>
      <c r="NFV6" s="29"/>
      <c r="NFW6" s="29"/>
      <c r="NFX6" s="29"/>
      <c r="NFY6" s="29"/>
      <c r="NFZ6" s="29"/>
      <c r="NGA6" s="29"/>
      <c r="NGB6" s="29"/>
      <c r="NGC6" s="29"/>
      <c r="NGD6" s="29"/>
      <c r="NGE6" s="29"/>
      <c r="NGF6" s="29"/>
      <c r="NGG6" s="29"/>
      <c r="NGH6" s="29"/>
      <c r="NGI6" s="29"/>
      <c r="NGJ6" s="29"/>
      <c r="NGK6" s="29"/>
      <c r="NGL6" s="29"/>
      <c r="NGM6" s="29"/>
      <c r="NGN6" s="29"/>
      <c r="NGO6" s="29"/>
      <c r="NGP6" s="29"/>
      <c r="NGQ6" s="29"/>
      <c r="NGR6" s="29"/>
      <c r="NGS6" s="29"/>
      <c r="NGT6" s="29"/>
      <c r="NGU6" s="29"/>
      <c r="NGV6" s="29"/>
      <c r="NGW6" s="29"/>
      <c r="NGX6" s="29"/>
      <c r="NGY6" s="29"/>
      <c r="NGZ6" s="29"/>
      <c r="NHA6" s="29"/>
      <c r="NHB6" s="29"/>
      <c r="NHC6" s="29"/>
      <c r="NHD6" s="29"/>
      <c r="NHE6" s="29"/>
      <c r="NHF6" s="29"/>
      <c r="NHG6" s="29"/>
      <c r="NHH6" s="29"/>
      <c r="NHI6" s="29"/>
      <c r="NHJ6" s="29"/>
      <c r="NHK6" s="29"/>
      <c r="NHL6" s="29"/>
      <c r="NHM6" s="29"/>
      <c r="NHN6" s="29"/>
      <c r="NHO6" s="29"/>
      <c r="NHP6" s="29"/>
      <c r="NHQ6" s="29"/>
      <c r="NHR6" s="29"/>
      <c r="NHS6" s="29"/>
      <c r="NHT6" s="29"/>
      <c r="NHU6" s="29"/>
      <c r="NHV6" s="29"/>
      <c r="NHW6" s="29"/>
      <c r="NHX6" s="29"/>
      <c r="NHY6" s="29"/>
      <c r="NHZ6" s="29"/>
      <c r="NIA6" s="29"/>
      <c r="NIB6" s="29"/>
      <c r="NIC6" s="29"/>
      <c r="NID6" s="29"/>
      <c r="NIE6" s="29"/>
      <c r="NIF6" s="29"/>
      <c r="NIG6" s="29"/>
      <c r="NIH6" s="29"/>
      <c r="NII6" s="29"/>
      <c r="NIJ6" s="29"/>
      <c r="NIK6" s="29"/>
      <c r="NIL6" s="29"/>
      <c r="NIM6" s="29"/>
      <c r="NIN6" s="29"/>
      <c r="NIO6" s="29"/>
      <c r="NIP6" s="29"/>
      <c r="NIQ6" s="29"/>
      <c r="NIR6" s="29"/>
      <c r="NIS6" s="29"/>
      <c r="NIT6" s="29"/>
      <c r="NIU6" s="29"/>
      <c r="NIV6" s="29"/>
      <c r="NIW6" s="29"/>
      <c r="NIX6" s="29"/>
      <c r="NIY6" s="29"/>
      <c r="NIZ6" s="29"/>
      <c r="NJA6" s="29"/>
      <c r="NJB6" s="29"/>
      <c r="NJC6" s="29"/>
      <c r="NJD6" s="29"/>
      <c r="NJE6" s="29"/>
      <c r="NJF6" s="29"/>
      <c r="NJG6" s="29"/>
      <c r="NJH6" s="29"/>
      <c r="NJI6" s="29"/>
      <c r="NJJ6" s="29"/>
      <c r="NJK6" s="29"/>
      <c r="NJL6" s="29"/>
      <c r="NJM6" s="29"/>
      <c r="NJN6" s="29"/>
      <c r="NJO6" s="29"/>
      <c r="NJP6" s="29"/>
      <c r="NJQ6" s="29"/>
      <c r="NJR6" s="29"/>
      <c r="NJS6" s="29"/>
      <c r="NJT6" s="29"/>
      <c r="NJU6" s="29"/>
      <c r="NJV6" s="29"/>
      <c r="NJW6" s="29"/>
      <c r="NJX6" s="29"/>
      <c r="NJY6" s="29"/>
      <c r="NJZ6" s="29"/>
      <c r="NKA6" s="29"/>
      <c r="NKB6" s="29"/>
      <c r="NKC6" s="29"/>
      <c r="NKD6" s="29"/>
      <c r="NKE6" s="29"/>
      <c r="NKF6" s="29"/>
      <c r="NKG6" s="29"/>
      <c r="NKH6" s="29"/>
      <c r="NKI6" s="29"/>
      <c r="NKJ6" s="29"/>
      <c r="NKK6" s="29"/>
      <c r="NKL6" s="29"/>
      <c r="NKM6" s="29"/>
      <c r="NKN6" s="29"/>
      <c r="NKO6" s="29"/>
      <c r="NKP6" s="29"/>
      <c r="NKQ6" s="29"/>
      <c r="NKR6" s="29"/>
      <c r="NKS6" s="29"/>
      <c r="NKT6" s="29"/>
      <c r="NKU6" s="29"/>
      <c r="NKV6" s="29"/>
      <c r="NKW6" s="29"/>
      <c r="NKX6" s="29"/>
      <c r="NKY6" s="29"/>
      <c r="NKZ6" s="29"/>
      <c r="NLA6" s="29"/>
      <c r="NLB6" s="29"/>
      <c r="NLC6" s="29"/>
      <c r="NLD6" s="29"/>
      <c r="NLE6" s="29"/>
      <c r="NLF6" s="29"/>
      <c r="NLG6" s="29"/>
      <c r="NLH6" s="29"/>
      <c r="NLI6" s="29"/>
      <c r="NLJ6" s="29"/>
      <c r="NLK6" s="29"/>
      <c r="NLL6" s="29"/>
      <c r="NLM6" s="29"/>
      <c r="NLN6" s="29"/>
      <c r="NLO6" s="29"/>
      <c r="NLP6" s="29"/>
      <c r="NLQ6" s="29"/>
      <c r="NLR6" s="29"/>
      <c r="NLS6" s="29"/>
      <c r="NLT6" s="29"/>
      <c r="NLU6" s="29"/>
      <c r="NLV6" s="29"/>
      <c r="NLW6" s="29"/>
      <c r="NLX6" s="29"/>
      <c r="NLY6" s="29"/>
      <c r="NLZ6" s="29"/>
      <c r="NMA6" s="29"/>
      <c r="NMB6" s="29"/>
      <c r="NMC6" s="29"/>
      <c r="NMD6" s="29"/>
      <c r="NME6" s="29"/>
      <c r="NMF6" s="29"/>
      <c r="NMG6" s="29"/>
      <c r="NMH6" s="29"/>
      <c r="NMI6" s="29"/>
      <c r="NMJ6" s="29"/>
      <c r="NMK6" s="29"/>
      <c r="NML6" s="29"/>
      <c r="NMM6" s="29"/>
      <c r="NMN6" s="29"/>
      <c r="NMO6" s="29"/>
      <c r="NMP6" s="29"/>
      <c r="NMQ6" s="29"/>
      <c r="NMR6" s="29"/>
      <c r="NMS6" s="29"/>
      <c r="NMT6" s="29"/>
      <c r="NMU6" s="29"/>
      <c r="NMV6" s="29"/>
      <c r="NMW6" s="29"/>
      <c r="NMX6" s="29"/>
      <c r="NMY6" s="29"/>
      <c r="NMZ6" s="29"/>
      <c r="NNA6" s="29"/>
      <c r="NNB6" s="29"/>
      <c r="NNC6" s="29"/>
      <c r="NND6" s="29"/>
      <c r="NNE6" s="29"/>
      <c r="NNF6" s="29"/>
      <c r="NNG6" s="29"/>
      <c r="NNH6" s="29"/>
      <c r="NNI6" s="29"/>
      <c r="NNJ6" s="29"/>
      <c r="NNK6" s="29"/>
      <c r="NNL6" s="29"/>
      <c r="NNM6" s="29"/>
      <c r="NNN6" s="29"/>
      <c r="NNO6" s="29"/>
      <c r="NNP6" s="29"/>
      <c r="NNQ6" s="29"/>
      <c r="NNR6" s="29"/>
      <c r="NNS6" s="29"/>
      <c r="NNT6" s="29"/>
      <c r="NNU6" s="29"/>
      <c r="NNV6" s="29"/>
      <c r="NNW6" s="29"/>
      <c r="NNX6" s="29"/>
      <c r="NNY6" s="29"/>
      <c r="NNZ6" s="29"/>
      <c r="NOA6" s="29"/>
      <c r="NOB6" s="29"/>
      <c r="NOC6" s="29"/>
      <c r="NOD6" s="29"/>
      <c r="NOE6" s="29"/>
      <c r="NOF6" s="29"/>
      <c r="NOG6" s="29"/>
      <c r="NOH6" s="29"/>
      <c r="NOI6" s="29"/>
      <c r="NOJ6" s="29"/>
      <c r="NOK6" s="29"/>
      <c r="NOL6" s="29"/>
      <c r="NOM6" s="29"/>
      <c r="NON6" s="29"/>
      <c r="NOO6" s="29"/>
      <c r="NOP6" s="29"/>
      <c r="NOQ6" s="29"/>
      <c r="NOR6" s="29"/>
      <c r="NOS6" s="29"/>
      <c r="NOT6" s="29"/>
      <c r="NOU6" s="29"/>
      <c r="NOV6" s="29"/>
      <c r="NOW6" s="29"/>
      <c r="NOX6" s="29"/>
      <c r="NOY6" s="29"/>
      <c r="NOZ6" s="29"/>
      <c r="NPA6" s="29"/>
      <c r="NPB6" s="29"/>
      <c r="NPC6" s="29"/>
      <c r="NPD6" s="29"/>
      <c r="NPE6" s="29"/>
      <c r="NPF6" s="29"/>
      <c r="NPG6" s="29"/>
      <c r="NPH6" s="29"/>
      <c r="NPI6" s="29"/>
      <c r="NPJ6" s="29"/>
      <c r="NPK6" s="29"/>
      <c r="NPL6" s="29"/>
      <c r="NPM6" s="29"/>
      <c r="NPN6" s="29"/>
      <c r="NPO6" s="29"/>
      <c r="NPP6" s="29"/>
      <c r="NPQ6" s="29"/>
      <c r="NPR6" s="29"/>
      <c r="NPS6" s="29"/>
      <c r="NPT6" s="29"/>
      <c r="NPU6" s="29"/>
      <c r="NPV6" s="29"/>
      <c r="NPW6" s="29"/>
      <c r="NPX6" s="29"/>
      <c r="NPY6" s="29"/>
      <c r="NPZ6" s="29"/>
      <c r="NQA6" s="29"/>
      <c r="NQB6" s="29"/>
      <c r="NQC6" s="29"/>
      <c r="NQD6" s="29"/>
      <c r="NQE6" s="29"/>
      <c r="NQF6" s="29"/>
      <c r="NQG6" s="29"/>
      <c r="NQH6" s="29"/>
      <c r="NQI6" s="29"/>
      <c r="NQJ6" s="29"/>
      <c r="NQK6" s="29"/>
      <c r="NQL6" s="29"/>
      <c r="NQM6" s="29"/>
      <c r="NQN6" s="29"/>
      <c r="NQO6" s="29"/>
      <c r="NQP6" s="29"/>
      <c r="NQQ6" s="29"/>
      <c r="NQR6" s="29"/>
      <c r="NQS6" s="29"/>
      <c r="NQT6" s="29"/>
      <c r="NQU6" s="29"/>
      <c r="NQV6" s="29"/>
      <c r="NQW6" s="29"/>
      <c r="NQX6" s="29"/>
      <c r="NQY6" s="29"/>
      <c r="NQZ6" s="29"/>
      <c r="NRA6" s="29"/>
      <c r="NRB6" s="29"/>
      <c r="NRC6" s="29"/>
      <c r="NRD6" s="29"/>
      <c r="NRE6" s="29"/>
      <c r="NRF6" s="29"/>
      <c r="NRG6" s="29"/>
      <c r="NRH6" s="29"/>
      <c r="NRI6" s="29"/>
      <c r="NRJ6" s="29"/>
      <c r="NRK6" s="29"/>
      <c r="NRL6" s="29"/>
      <c r="NRM6" s="29"/>
      <c r="NRN6" s="29"/>
      <c r="NRO6" s="29"/>
      <c r="NRP6" s="29"/>
      <c r="NRQ6" s="29"/>
      <c r="NRR6" s="29"/>
      <c r="NRS6" s="29"/>
      <c r="NRT6" s="29"/>
      <c r="NRU6" s="29"/>
      <c r="NRV6" s="29"/>
      <c r="NRW6" s="29"/>
      <c r="NRX6" s="29"/>
      <c r="NRY6" s="29"/>
      <c r="NRZ6" s="29"/>
      <c r="NSA6" s="29"/>
      <c r="NSB6" s="29"/>
      <c r="NSC6" s="29"/>
      <c r="NSD6" s="29"/>
      <c r="NSE6" s="29"/>
      <c r="NSF6" s="29"/>
      <c r="NSG6" s="29"/>
      <c r="NSH6" s="29"/>
      <c r="NSI6" s="29"/>
      <c r="NSJ6" s="29"/>
      <c r="NSK6" s="29"/>
      <c r="NSL6" s="29"/>
      <c r="NSM6" s="29"/>
      <c r="NSN6" s="29"/>
      <c r="NSO6" s="29"/>
      <c r="NSP6" s="29"/>
      <c r="NSQ6" s="29"/>
      <c r="NSR6" s="29"/>
      <c r="NSS6" s="29"/>
      <c r="NST6" s="29"/>
      <c r="NSU6" s="29"/>
      <c r="NSV6" s="29"/>
      <c r="NSW6" s="29"/>
      <c r="NSX6" s="29"/>
      <c r="NSY6" s="29"/>
      <c r="NSZ6" s="29"/>
      <c r="NTA6" s="29"/>
      <c r="NTB6" s="29"/>
      <c r="NTC6" s="29"/>
      <c r="NTD6" s="29"/>
      <c r="NTE6" s="29"/>
      <c r="NTF6" s="29"/>
      <c r="NTG6" s="29"/>
      <c r="NTH6" s="29"/>
      <c r="NTI6" s="29"/>
      <c r="NTJ6" s="29"/>
      <c r="NTK6" s="29"/>
      <c r="NTL6" s="29"/>
      <c r="NTM6" s="29"/>
      <c r="NTN6" s="29"/>
      <c r="NTO6" s="29"/>
      <c r="NTP6" s="29"/>
      <c r="NTQ6" s="29"/>
      <c r="NTR6" s="29"/>
      <c r="NTS6" s="29"/>
      <c r="NTT6" s="29"/>
      <c r="NTU6" s="29"/>
      <c r="NTV6" s="29"/>
      <c r="NTW6" s="29"/>
      <c r="NTX6" s="29"/>
      <c r="NTY6" s="29"/>
      <c r="NTZ6" s="29"/>
      <c r="NUA6" s="29"/>
      <c r="NUB6" s="29"/>
      <c r="NUC6" s="29"/>
      <c r="NUD6" s="29"/>
      <c r="NUE6" s="29"/>
      <c r="NUF6" s="29"/>
      <c r="NUG6" s="29"/>
      <c r="NUH6" s="29"/>
      <c r="NUI6" s="29"/>
      <c r="NUJ6" s="29"/>
      <c r="NUK6" s="29"/>
      <c r="NUL6" s="29"/>
      <c r="NUM6" s="29"/>
      <c r="NUN6" s="29"/>
      <c r="NUO6" s="29"/>
      <c r="NUP6" s="29"/>
      <c r="NUQ6" s="29"/>
      <c r="NUR6" s="29"/>
      <c r="NUS6" s="29"/>
      <c r="NUT6" s="29"/>
      <c r="NUU6" s="29"/>
      <c r="NUV6" s="29"/>
      <c r="NUW6" s="29"/>
      <c r="NUX6" s="29"/>
      <c r="NUY6" s="29"/>
      <c r="NUZ6" s="29"/>
      <c r="NVA6" s="29"/>
      <c r="NVB6" s="29"/>
      <c r="NVC6" s="29"/>
      <c r="NVD6" s="29"/>
      <c r="NVE6" s="29"/>
      <c r="NVF6" s="29"/>
      <c r="NVG6" s="29"/>
      <c r="NVH6" s="29"/>
      <c r="NVI6" s="29"/>
      <c r="NVJ6" s="29"/>
      <c r="NVK6" s="29"/>
      <c r="NVL6" s="29"/>
      <c r="NVM6" s="29"/>
      <c r="NVN6" s="29"/>
      <c r="NVO6" s="29"/>
      <c r="NVP6" s="29"/>
      <c r="NVQ6" s="29"/>
      <c r="NVR6" s="29"/>
      <c r="NVS6" s="29"/>
      <c r="NVT6" s="29"/>
      <c r="NVU6" s="29"/>
      <c r="NVV6" s="29"/>
      <c r="NVW6" s="29"/>
      <c r="NVX6" s="29"/>
      <c r="NVY6" s="29"/>
      <c r="NVZ6" s="29"/>
      <c r="NWA6" s="29"/>
      <c r="NWB6" s="29"/>
      <c r="NWC6" s="29"/>
      <c r="NWD6" s="29"/>
      <c r="NWE6" s="29"/>
      <c r="NWF6" s="29"/>
      <c r="NWG6" s="29"/>
      <c r="NWH6" s="29"/>
      <c r="NWI6" s="29"/>
      <c r="NWJ6" s="29"/>
      <c r="NWK6" s="29"/>
      <c r="NWL6" s="29"/>
      <c r="NWM6" s="29"/>
      <c r="NWN6" s="29"/>
      <c r="NWO6" s="29"/>
      <c r="NWP6" s="29"/>
      <c r="NWQ6" s="29"/>
      <c r="NWR6" s="29"/>
      <c r="NWS6" s="29"/>
      <c r="NWT6" s="29"/>
      <c r="NWU6" s="29"/>
      <c r="NWV6" s="29"/>
      <c r="NWW6" s="29"/>
      <c r="NWX6" s="29"/>
      <c r="NWY6" s="29"/>
      <c r="NWZ6" s="29"/>
      <c r="NXA6" s="29"/>
      <c r="NXB6" s="29"/>
      <c r="NXC6" s="29"/>
      <c r="NXD6" s="29"/>
      <c r="NXE6" s="29"/>
      <c r="NXF6" s="29"/>
      <c r="NXG6" s="29"/>
      <c r="NXH6" s="29"/>
      <c r="NXI6" s="29"/>
      <c r="NXJ6" s="29"/>
      <c r="NXK6" s="29"/>
      <c r="NXL6" s="29"/>
      <c r="NXM6" s="29"/>
      <c r="NXN6" s="29"/>
      <c r="NXO6" s="29"/>
      <c r="NXP6" s="29"/>
      <c r="NXQ6" s="29"/>
      <c r="NXR6" s="29"/>
      <c r="NXS6" s="29"/>
      <c r="NXT6" s="29"/>
      <c r="NXU6" s="29"/>
      <c r="NXV6" s="29"/>
      <c r="NXW6" s="29"/>
      <c r="NXX6" s="29"/>
      <c r="NXY6" s="29"/>
      <c r="NXZ6" s="29"/>
      <c r="NYA6" s="29"/>
      <c r="NYB6" s="29"/>
      <c r="NYC6" s="29"/>
      <c r="NYD6" s="29"/>
      <c r="NYE6" s="29"/>
      <c r="NYF6" s="29"/>
      <c r="NYG6" s="29"/>
      <c r="NYH6" s="29"/>
      <c r="NYI6" s="29"/>
      <c r="NYJ6" s="29"/>
      <c r="NYK6" s="29"/>
      <c r="NYL6" s="29"/>
      <c r="NYM6" s="29"/>
      <c r="NYN6" s="29"/>
      <c r="NYO6" s="29"/>
      <c r="NYP6" s="29"/>
      <c r="NYQ6" s="29"/>
      <c r="NYR6" s="29"/>
      <c r="NYS6" s="29"/>
      <c r="NYT6" s="29"/>
      <c r="NYU6" s="29"/>
      <c r="NYV6" s="29"/>
      <c r="NYW6" s="29"/>
      <c r="NYX6" s="29"/>
      <c r="NYY6" s="29"/>
      <c r="NYZ6" s="29"/>
      <c r="NZA6" s="29"/>
      <c r="NZB6" s="29"/>
      <c r="NZC6" s="29"/>
      <c r="NZD6" s="29"/>
      <c r="NZE6" s="29"/>
      <c r="NZF6" s="29"/>
      <c r="NZG6" s="29"/>
      <c r="NZH6" s="29"/>
      <c r="NZI6" s="29"/>
      <c r="NZJ6" s="29"/>
      <c r="NZK6" s="29"/>
      <c r="NZL6" s="29"/>
      <c r="NZM6" s="29"/>
      <c r="NZN6" s="29"/>
      <c r="NZO6" s="29"/>
      <c r="NZP6" s="29"/>
      <c r="NZQ6" s="29"/>
      <c r="NZR6" s="29"/>
      <c r="NZS6" s="29"/>
      <c r="NZT6" s="29"/>
      <c r="NZU6" s="29"/>
      <c r="NZV6" s="29"/>
      <c r="NZW6" s="29"/>
      <c r="NZX6" s="29"/>
      <c r="NZY6" s="29"/>
      <c r="NZZ6" s="29"/>
      <c r="OAA6" s="29"/>
      <c r="OAB6" s="29"/>
      <c r="OAC6" s="29"/>
      <c r="OAD6" s="29"/>
      <c r="OAE6" s="29"/>
      <c r="OAF6" s="29"/>
      <c r="OAG6" s="29"/>
      <c r="OAH6" s="29"/>
      <c r="OAI6" s="29"/>
      <c r="OAJ6" s="29"/>
      <c r="OAK6" s="29"/>
      <c r="OAL6" s="29"/>
      <c r="OAM6" s="29"/>
      <c r="OAN6" s="29"/>
      <c r="OAO6" s="29"/>
      <c r="OAP6" s="29"/>
      <c r="OAQ6" s="29"/>
      <c r="OAR6" s="29"/>
      <c r="OAS6" s="29"/>
      <c r="OAT6" s="29"/>
      <c r="OAU6" s="29"/>
      <c r="OAV6" s="29"/>
      <c r="OAW6" s="29"/>
      <c r="OAX6" s="29"/>
      <c r="OAY6" s="29"/>
      <c r="OAZ6" s="29"/>
      <c r="OBA6" s="29"/>
      <c r="OBB6" s="29"/>
      <c r="OBC6" s="29"/>
      <c r="OBD6" s="29"/>
      <c r="OBE6" s="29"/>
      <c r="OBF6" s="29"/>
      <c r="OBG6" s="29"/>
      <c r="OBH6" s="29"/>
      <c r="OBI6" s="29"/>
      <c r="OBJ6" s="29"/>
      <c r="OBK6" s="29"/>
      <c r="OBL6" s="29"/>
      <c r="OBM6" s="29"/>
      <c r="OBN6" s="29"/>
      <c r="OBO6" s="29"/>
      <c r="OBP6" s="29"/>
      <c r="OBQ6" s="29"/>
      <c r="OBR6" s="29"/>
      <c r="OBS6" s="29"/>
      <c r="OBT6" s="29"/>
      <c r="OBU6" s="29"/>
      <c r="OBV6" s="29"/>
      <c r="OBW6" s="29"/>
      <c r="OBX6" s="29"/>
      <c r="OBY6" s="29"/>
      <c r="OBZ6" s="29"/>
      <c r="OCA6" s="29"/>
      <c r="OCB6" s="29"/>
      <c r="OCC6" s="29"/>
      <c r="OCD6" s="29"/>
      <c r="OCE6" s="29"/>
      <c r="OCF6" s="29"/>
      <c r="OCG6" s="29"/>
      <c r="OCH6" s="29"/>
      <c r="OCI6" s="29"/>
      <c r="OCJ6" s="29"/>
      <c r="OCK6" s="29"/>
      <c r="OCL6" s="29"/>
      <c r="OCM6" s="29"/>
      <c r="OCN6" s="29"/>
      <c r="OCO6" s="29"/>
      <c r="OCP6" s="29"/>
      <c r="OCQ6" s="29"/>
      <c r="OCR6" s="29"/>
      <c r="OCS6" s="29"/>
      <c r="OCT6" s="29"/>
      <c r="OCU6" s="29"/>
      <c r="OCV6" s="29"/>
      <c r="OCW6" s="29"/>
      <c r="OCX6" s="29"/>
      <c r="OCY6" s="29"/>
      <c r="OCZ6" s="29"/>
      <c r="ODA6" s="29"/>
      <c r="ODB6" s="29"/>
      <c r="ODC6" s="29"/>
      <c r="ODD6" s="29"/>
      <c r="ODE6" s="29"/>
      <c r="ODF6" s="29"/>
      <c r="ODG6" s="29"/>
      <c r="ODH6" s="29"/>
      <c r="ODI6" s="29"/>
      <c r="ODJ6" s="29"/>
      <c r="ODK6" s="29"/>
      <c r="ODL6" s="29"/>
      <c r="ODM6" s="29"/>
      <c r="ODN6" s="29"/>
      <c r="ODO6" s="29"/>
      <c r="ODP6" s="29"/>
      <c r="ODQ6" s="29"/>
      <c r="ODR6" s="29"/>
      <c r="ODS6" s="29"/>
      <c r="ODT6" s="29"/>
      <c r="ODU6" s="29"/>
      <c r="ODV6" s="29"/>
      <c r="ODW6" s="29"/>
      <c r="ODX6" s="29"/>
      <c r="ODY6" s="29"/>
      <c r="ODZ6" s="29"/>
      <c r="OEA6" s="29"/>
      <c r="OEB6" s="29"/>
      <c r="OEC6" s="29"/>
      <c r="OED6" s="29"/>
      <c r="OEE6" s="29"/>
      <c r="OEF6" s="29"/>
      <c r="OEG6" s="29"/>
      <c r="OEH6" s="29"/>
      <c r="OEI6" s="29"/>
      <c r="OEJ6" s="29"/>
      <c r="OEK6" s="29"/>
      <c r="OEL6" s="29"/>
      <c r="OEM6" s="29"/>
      <c r="OEN6" s="29"/>
      <c r="OEO6" s="29"/>
      <c r="OEP6" s="29"/>
      <c r="OEQ6" s="29"/>
      <c r="OER6" s="29"/>
      <c r="OES6" s="29"/>
      <c r="OET6" s="29"/>
      <c r="OEU6" s="29"/>
      <c r="OEV6" s="29"/>
      <c r="OEW6" s="29"/>
      <c r="OEX6" s="29"/>
      <c r="OEY6" s="29"/>
      <c r="OEZ6" s="29"/>
      <c r="OFA6" s="29"/>
      <c r="OFB6" s="29"/>
      <c r="OFC6" s="29"/>
      <c r="OFD6" s="29"/>
      <c r="OFE6" s="29"/>
      <c r="OFF6" s="29"/>
      <c r="OFG6" s="29"/>
      <c r="OFH6" s="29"/>
      <c r="OFI6" s="29"/>
      <c r="OFJ6" s="29"/>
      <c r="OFK6" s="29"/>
      <c r="OFL6" s="29"/>
      <c r="OFM6" s="29"/>
      <c r="OFN6" s="29"/>
      <c r="OFO6" s="29"/>
      <c r="OFP6" s="29"/>
      <c r="OFQ6" s="29"/>
      <c r="OFR6" s="29"/>
      <c r="OFS6" s="29"/>
      <c r="OFT6" s="29"/>
      <c r="OFU6" s="29"/>
      <c r="OFV6" s="29"/>
      <c r="OFW6" s="29"/>
      <c r="OFX6" s="29"/>
      <c r="OFY6" s="29"/>
      <c r="OFZ6" s="29"/>
      <c r="OGA6" s="29"/>
      <c r="OGB6" s="29"/>
      <c r="OGC6" s="29"/>
      <c r="OGD6" s="29"/>
      <c r="OGE6" s="29"/>
      <c r="OGF6" s="29"/>
      <c r="OGG6" s="29"/>
      <c r="OGH6" s="29"/>
      <c r="OGI6" s="29"/>
      <c r="OGJ6" s="29"/>
      <c r="OGK6" s="29"/>
      <c r="OGL6" s="29"/>
      <c r="OGM6" s="29"/>
      <c r="OGN6" s="29"/>
      <c r="OGO6" s="29"/>
      <c r="OGP6" s="29"/>
      <c r="OGQ6" s="29"/>
      <c r="OGR6" s="29"/>
      <c r="OGS6" s="29"/>
      <c r="OGT6" s="29"/>
      <c r="OGU6" s="29"/>
      <c r="OGV6" s="29"/>
      <c r="OGW6" s="29"/>
      <c r="OGX6" s="29"/>
      <c r="OGY6" s="29"/>
      <c r="OGZ6" s="29"/>
      <c r="OHA6" s="29"/>
      <c r="OHB6" s="29"/>
      <c r="OHC6" s="29"/>
      <c r="OHD6" s="29"/>
      <c r="OHE6" s="29"/>
      <c r="OHF6" s="29"/>
      <c r="OHG6" s="29"/>
      <c r="OHH6" s="29"/>
      <c r="OHI6" s="29"/>
      <c r="OHJ6" s="29"/>
      <c r="OHK6" s="29"/>
      <c r="OHL6" s="29"/>
      <c r="OHM6" s="29"/>
      <c r="OHN6" s="29"/>
      <c r="OHO6" s="29"/>
      <c r="OHP6" s="29"/>
      <c r="OHQ6" s="29"/>
      <c r="OHR6" s="29"/>
      <c r="OHS6" s="29"/>
      <c r="OHT6" s="29"/>
      <c r="OHU6" s="29"/>
      <c r="OHV6" s="29"/>
      <c r="OHW6" s="29"/>
      <c r="OHX6" s="29"/>
      <c r="OHY6" s="29"/>
      <c r="OHZ6" s="29"/>
      <c r="OIA6" s="29"/>
      <c r="OIB6" s="29"/>
      <c r="OIC6" s="29"/>
      <c r="OID6" s="29"/>
      <c r="OIE6" s="29"/>
      <c r="OIF6" s="29"/>
      <c r="OIG6" s="29"/>
      <c r="OIH6" s="29"/>
      <c r="OII6" s="29"/>
      <c r="OIJ6" s="29"/>
      <c r="OIK6" s="29"/>
      <c r="OIL6" s="29"/>
      <c r="OIM6" s="29"/>
      <c r="OIN6" s="29"/>
      <c r="OIO6" s="29"/>
      <c r="OIP6" s="29"/>
      <c r="OIQ6" s="29"/>
      <c r="OIR6" s="29"/>
      <c r="OIS6" s="29"/>
      <c r="OIT6" s="29"/>
      <c r="OIU6" s="29"/>
      <c r="OIV6" s="29"/>
      <c r="OIW6" s="29"/>
      <c r="OIX6" s="29"/>
      <c r="OIY6" s="29"/>
      <c r="OIZ6" s="29"/>
      <c r="OJA6" s="29"/>
      <c r="OJB6" s="29"/>
      <c r="OJC6" s="29"/>
      <c r="OJD6" s="29"/>
      <c r="OJE6" s="29"/>
      <c r="OJF6" s="29"/>
      <c r="OJG6" s="29"/>
      <c r="OJH6" s="29"/>
      <c r="OJI6" s="29"/>
      <c r="OJJ6" s="29"/>
      <c r="OJK6" s="29"/>
      <c r="OJL6" s="29"/>
      <c r="OJM6" s="29"/>
      <c r="OJN6" s="29"/>
      <c r="OJO6" s="29"/>
      <c r="OJP6" s="29"/>
      <c r="OJQ6" s="29"/>
      <c r="OJR6" s="29"/>
      <c r="OJS6" s="29"/>
      <c r="OJT6" s="29"/>
      <c r="OJU6" s="29"/>
      <c r="OJV6" s="29"/>
      <c r="OJW6" s="29"/>
      <c r="OJX6" s="29"/>
      <c r="OJY6" s="29"/>
      <c r="OJZ6" s="29"/>
      <c r="OKA6" s="29"/>
      <c r="OKB6" s="29"/>
      <c r="OKC6" s="29"/>
      <c r="OKD6" s="29"/>
      <c r="OKE6" s="29"/>
      <c r="OKF6" s="29"/>
      <c r="OKG6" s="29"/>
      <c r="OKH6" s="29"/>
      <c r="OKI6" s="29"/>
      <c r="OKJ6" s="29"/>
      <c r="OKK6" s="29"/>
      <c r="OKL6" s="29"/>
      <c r="OKM6" s="29"/>
      <c r="OKN6" s="29"/>
      <c r="OKO6" s="29"/>
      <c r="OKP6" s="29"/>
      <c r="OKQ6" s="29"/>
      <c r="OKR6" s="29"/>
      <c r="OKS6" s="29"/>
      <c r="OKT6" s="29"/>
      <c r="OKU6" s="29"/>
      <c r="OKV6" s="29"/>
      <c r="OKW6" s="29"/>
      <c r="OKX6" s="29"/>
      <c r="OKY6" s="29"/>
      <c r="OKZ6" s="29"/>
      <c r="OLA6" s="29"/>
      <c r="OLB6" s="29"/>
      <c r="OLC6" s="29"/>
      <c r="OLD6" s="29"/>
      <c r="OLE6" s="29"/>
      <c r="OLF6" s="29"/>
      <c r="OLG6" s="29"/>
      <c r="OLH6" s="29"/>
      <c r="OLI6" s="29"/>
      <c r="OLJ6" s="29"/>
      <c r="OLK6" s="29"/>
      <c r="OLL6" s="29"/>
      <c r="OLM6" s="29"/>
      <c r="OLN6" s="29"/>
      <c r="OLO6" s="29"/>
      <c r="OLP6" s="29"/>
      <c r="OLQ6" s="29"/>
      <c r="OLR6" s="29"/>
      <c r="OLS6" s="29"/>
      <c r="OLT6" s="29"/>
      <c r="OLU6" s="29"/>
      <c r="OLV6" s="29"/>
      <c r="OLW6" s="29"/>
      <c r="OLX6" s="29"/>
      <c r="OLY6" s="29"/>
      <c r="OLZ6" s="29"/>
      <c r="OMA6" s="29"/>
      <c r="OMB6" s="29"/>
      <c r="OMC6" s="29"/>
      <c r="OMD6" s="29"/>
      <c r="OME6" s="29"/>
      <c r="OMF6" s="29"/>
      <c r="OMG6" s="29"/>
      <c r="OMH6" s="29"/>
      <c r="OMI6" s="29"/>
      <c r="OMJ6" s="29"/>
      <c r="OMK6" s="29"/>
      <c r="OML6" s="29"/>
      <c r="OMM6" s="29"/>
      <c r="OMN6" s="29"/>
      <c r="OMO6" s="29"/>
      <c r="OMP6" s="29"/>
      <c r="OMQ6" s="29"/>
      <c r="OMR6" s="29"/>
      <c r="OMS6" s="29"/>
      <c r="OMT6" s="29"/>
      <c r="OMU6" s="29"/>
      <c r="OMV6" s="29"/>
      <c r="OMW6" s="29"/>
      <c r="OMX6" s="29"/>
      <c r="OMY6" s="29"/>
      <c r="OMZ6" s="29"/>
      <c r="ONA6" s="29"/>
      <c r="ONB6" s="29"/>
      <c r="ONC6" s="29"/>
      <c r="OND6" s="29"/>
      <c r="ONE6" s="29"/>
      <c r="ONF6" s="29"/>
      <c r="ONG6" s="29"/>
      <c r="ONH6" s="29"/>
      <c r="ONI6" s="29"/>
      <c r="ONJ6" s="29"/>
      <c r="ONK6" s="29"/>
      <c r="ONL6" s="29"/>
      <c r="ONM6" s="29"/>
      <c r="ONN6" s="29"/>
      <c r="ONO6" s="29"/>
      <c r="ONP6" s="29"/>
      <c r="ONQ6" s="29"/>
      <c r="ONR6" s="29"/>
      <c r="ONS6" s="29"/>
      <c r="ONT6" s="29"/>
      <c r="ONU6" s="29"/>
      <c r="ONV6" s="29"/>
      <c r="ONW6" s="29"/>
      <c r="ONX6" s="29"/>
      <c r="ONY6" s="29"/>
      <c r="ONZ6" s="29"/>
      <c r="OOA6" s="29"/>
      <c r="OOB6" s="29"/>
      <c r="OOC6" s="29"/>
      <c r="OOD6" s="29"/>
      <c r="OOE6" s="29"/>
      <c r="OOF6" s="29"/>
      <c r="OOG6" s="29"/>
      <c r="OOH6" s="29"/>
      <c r="OOI6" s="29"/>
      <c r="OOJ6" s="29"/>
      <c r="OOK6" s="29"/>
      <c r="OOL6" s="29"/>
      <c r="OOM6" s="29"/>
      <c r="OON6" s="29"/>
      <c r="OOO6" s="29"/>
      <c r="OOP6" s="29"/>
      <c r="OOQ6" s="29"/>
      <c r="OOR6" s="29"/>
      <c r="OOS6" s="29"/>
      <c r="OOT6" s="29"/>
      <c r="OOU6" s="29"/>
      <c r="OOV6" s="29"/>
      <c r="OOW6" s="29"/>
      <c r="OOX6" s="29"/>
      <c r="OOY6" s="29"/>
      <c r="OOZ6" s="29"/>
      <c r="OPA6" s="29"/>
      <c r="OPB6" s="29"/>
      <c r="OPC6" s="29"/>
      <c r="OPD6" s="29"/>
      <c r="OPE6" s="29"/>
      <c r="OPF6" s="29"/>
      <c r="OPG6" s="29"/>
      <c r="OPH6" s="29"/>
      <c r="OPI6" s="29"/>
      <c r="OPJ6" s="29"/>
      <c r="OPK6" s="29"/>
      <c r="OPL6" s="29"/>
      <c r="OPM6" s="29"/>
      <c r="OPN6" s="29"/>
      <c r="OPO6" s="29"/>
      <c r="OPP6" s="29"/>
      <c r="OPQ6" s="29"/>
      <c r="OPR6" s="29"/>
      <c r="OPS6" s="29"/>
      <c r="OPT6" s="29"/>
      <c r="OPU6" s="29"/>
      <c r="OPV6" s="29"/>
      <c r="OPW6" s="29"/>
      <c r="OPX6" s="29"/>
      <c r="OPY6" s="29"/>
      <c r="OPZ6" s="29"/>
      <c r="OQA6" s="29"/>
      <c r="OQB6" s="29"/>
      <c r="OQC6" s="29"/>
      <c r="OQD6" s="29"/>
      <c r="OQE6" s="29"/>
      <c r="OQF6" s="29"/>
      <c r="OQG6" s="29"/>
      <c r="OQH6" s="29"/>
      <c r="OQI6" s="29"/>
      <c r="OQJ6" s="29"/>
      <c r="OQK6" s="29"/>
      <c r="OQL6" s="29"/>
      <c r="OQM6" s="29"/>
      <c r="OQN6" s="29"/>
      <c r="OQO6" s="29"/>
      <c r="OQP6" s="29"/>
      <c r="OQQ6" s="29"/>
      <c r="OQR6" s="29"/>
      <c r="OQS6" s="29"/>
      <c r="OQT6" s="29"/>
      <c r="OQU6" s="29"/>
      <c r="OQV6" s="29"/>
      <c r="OQW6" s="29"/>
      <c r="OQX6" s="29"/>
      <c r="OQY6" s="29"/>
      <c r="OQZ6" s="29"/>
      <c r="ORA6" s="29"/>
      <c r="ORB6" s="29"/>
      <c r="ORC6" s="29"/>
      <c r="ORD6" s="29"/>
      <c r="ORE6" s="29"/>
      <c r="ORF6" s="29"/>
      <c r="ORG6" s="29"/>
      <c r="ORH6" s="29"/>
      <c r="ORI6" s="29"/>
      <c r="ORJ6" s="29"/>
      <c r="ORK6" s="29"/>
      <c r="ORL6" s="29"/>
      <c r="ORM6" s="29"/>
      <c r="ORN6" s="29"/>
      <c r="ORO6" s="29"/>
      <c r="ORP6" s="29"/>
      <c r="ORQ6" s="29"/>
      <c r="ORR6" s="29"/>
      <c r="ORS6" s="29"/>
      <c r="ORT6" s="29"/>
      <c r="ORU6" s="29"/>
      <c r="ORV6" s="29"/>
      <c r="ORW6" s="29"/>
      <c r="ORX6" s="29"/>
      <c r="ORY6" s="29"/>
      <c r="ORZ6" s="29"/>
      <c r="OSA6" s="29"/>
      <c r="OSB6" s="29"/>
      <c r="OSC6" s="29"/>
      <c r="OSD6" s="29"/>
      <c r="OSE6" s="29"/>
      <c r="OSF6" s="29"/>
      <c r="OSG6" s="29"/>
      <c r="OSH6" s="29"/>
      <c r="OSI6" s="29"/>
      <c r="OSJ6" s="29"/>
      <c r="OSK6" s="29"/>
      <c r="OSL6" s="29"/>
      <c r="OSM6" s="29"/>
      <c r="OSN6" s="29"/>
      <c r="OSO6" s="29"/>
      <c r="OSP6" s="29"/>
      <c r="OSQ6" s="29"/>
      <c r="OSR6" s="29"/>
      <c r="OSS6" s="29"/>
      <c r="OST6" s="29"/>
      <c r="OSU6" s="29"/>
      <c r="OSV6" s="29"/>
      <c r="OSW6" s="29"/>
      <c r="OSX6" s="29"/>
      <c r="OSY6" s="29"/>
      <c r="OSZ6" s="29"/>
      <c r="OTA6" s="29"/>
      <c r="OTB6" s="29"/>
      <c r="OTC6" s="29"/>
      <c r="OTD6" s="29"/>
      <c r="OTE6" s="29"/>
      <c r="OTF6" s="29"/>
      <c r="OTG6" s="29"/>
      <c r="OTH6" s="29"/>
      <c r="OTI6" s="29"/>
      <c r="OTJ6" s="29"/>
      <c r="OTK6" s="29"/>
      <c r="OTL6" s="29"/>
      <c r="OTM6" s="29"/>
      <c r="OTN6" s="29"/>
      <c r="OTO6" s="29"/>
      <c r="OTP6" s="29"/>
      <c r="OTQ6" s="29"/>
      <c r="OTR6" s="29"/>
      <c r="OTS6" s="29"/>
      <c r="OTT6" s="29"/>
      <c r="OTU6" s="29"/>
      <c r="OTV6" s="29"/>
      <c r="OTW6" s="29"/>
      <c r="OTX6" s="29"/>
      <c r="OTY6" s="29"/>
      <c r="OTZ6" s="29"/>
      <c r="OUA6" s="29"/>
      <c r="OUB6" s="29"/>
      <c r="OUC6" s="29"/>
      <c r="OUD6" s="29"/>
      <c r="OUE6" s="29"/>
      <c r="OUF6" s="29"/>
      <c r="OUG6" s="29"/>
      <c r="OUH6" s="29"/>
      <c r="OUI6" s="29"/>
      <c r="OUJ6" s="29"/>
      <c r="OUK6" s="29"/>
      <c r="OUL6" s="29"/>
      <c r="OUM6" s="29"/>
      <c r="OUN6" s="29"/>
      <c r="OUO6" s="29"/>
      <c r="OUP6" s="29"/>
      <c r="OUQ6" s="29"/>
      <c r="OUR6" s="29"/>
      <c r="OUS6" s="29"/>
      <c r="OUT6" s="29"/>
      <c r="OUU6" s="29"/>
      <c r="OUV6" s="29"/>
      <c r="OUW6" s="29"/>
      <c r="OUX6" s="29"/>
      <c r="OUY6" s="29"/>
      <c r="OUZ6" s="29"/>
      <c r="OVA6" s="29"/>
      <c r="OVB6" s="29"/>
      <c r="OVC6" s="29"/>
      <c r="OVD6" s="29"/>
      <c r="OVE6" s="29"/>
      <c r="OVF6" s="29"/>
      <c r="OVG6" s="29"/>
      <c r="OVH6" s="29"/>
      <c r="OVI6" s="29"/>
      <c r="OVJ6" s="29"/>
      <c r="OVK6" s="29"/>
      <c r="OVL6" s="29"/>
      <c r="OVM6" s="29"/>
      <c r="OVN6" s="29"/>
      <c r="OVO6" s="29"/>
      <c r="OVP6" s="29"/>
      <c r="OVQ6" s="29"/>
      <c r="OVR6" s="29"/>
      <c r="OVS6" s="29"/>
      <c r="OVT6" s="29"/>
      <c r="OVU6" s="29"/>
      <c r="OVV6" s="29"/>
      <c r="OVW6" s="29"/>
      <c r="OVX6" s="29"/>
      <c r="OVY6" s="29"/>
      <c r="OVZ6" s="29"/>
      <c r="OWA6" s="29"/>
      <c r="OWB6" s="29"/>
      <c r="OWC6" s="29"/>
      <c r="OWD6" s="29"/>
      <c r="OWE6" s="29"/>
      <c r="OWF6" s="29"/>
      <c r="OWG6" s="29"/>
      <c r="OWH6" s="29"/>
      <c r="OWI6" s="29"/>
      <c r="OWJ6" s="29"/>
      <c r="OWK6" s="29"/>
      <c r="OWL6" s="29"/>
      <c r="OWM6" s="29"/>
      <c r="OWN6" s="29"/>
      <c r="OWO6" s="29"/>
      <c r="OWP6" s="29"/>
      <c r="OWQ6" s="29"/>
      <c r="OWR6" s="29"/>
      <c r="OWS6" s="29"/>
      <c r="OWT6" s="29"/>
      <c r="OWU6" s="29"/>
      <c r="OWV6" s="29"/>
      <c r="OWW6" s="29"/>
      <c r="OWX6" s="29"/>
      <c r="OWY6" s="29"/>
      <c r="OWZ6" s="29"/>
      <c r="OXA6" s="29"/>
      <c r="OXB6" s="29"/>
      <c r="OXC6" s="29"/>
      <c r="OXD6" s="29"/>
      <c r="OXE6" s="29"/>
      <c r="OXF6" s="29"/>
      <c r="OXG6" s="29"/>
      <c r="OXH6" s="29"/>
      <c r="OXI6" s="29"/>
      <c r="OXJ6" s="29"/>
      <c r="OXK6" s="29"/>
      <c r="OXL6" s="29"/>
      <c r="OXM6" s="29"/>
      <c r="OXN6" s="29"/>
      <c r="OXO6" s="29"/>
      <c r="OXP6" s="29"/>
      <c r="OXQ6" s="29"/>
      <c r="OXR6" s="29"/>
      <c r="OXS6" s="29"/>
      <c r="OXT6" s="29"/>
      <c r="OXU6" s="29"/>
      <c r="OXV6" s="29"/>
      <c r="OXW6" s="29"/>
      <c r="OXX6" s="29"/>
      <c r="OXY6" s="29"/>
      <c r="OXZ6" s="29"/>
      <c r="OYA6" s="29"/>
      <c r="OYB6" s="29"/>
      <c r="OYC6" s="29"/>
      <c r="OYD6" s="29"/>
      <c r="OYE6" s="29"/>
      <c r="OYF6" s="29"/>
      <c r="OYG6" s="29"/>
      <c r="OYH6" s="29"/>
      <c r="OYI6" s="29"/>
      <c r="OYJ6" s="29"/>
      <c r="OYK6" s="29"/>
      <c r="OYL6" s="29"/>
      <c r="OYM6" s="29"/>
      <c r="OYN6" s="29"/>
      <c r="OYO6" s="29"/>
      <c r="OYP6" s="29"/>
      <c r="OYQ6" s="29"/>
      <c r="OYR6" s="29"/>
      <c r="OYS6" s="29"/>
      <c r="OYT6" s="29"/>
      <c r="OYU6" s="29"/>
      <c r="OYV6" s="29"/>
      <c r="OYW6" s="29"/>
      <c r="OYX6" s="29"/>
      <c r="OYY6" s="29"/>
      <c r="OYZ6" s="29"/>
      <c r="OZA6" s="29"/>
      <c r="OZB6" s="29"/>
      <c r="OZC6" s="29"/>
      <c r="OZD6" s="29"/>
      <c r="OZE6" s="29"/>
      <c r="OZF6" s="29"/>
      <c r="OZG6" s="29"/>
      <c r="OZH6" s="29"/>
      <c r="OZI6" s="29"/>
      <c r="OZJ6" s="29"/>
      <c r="OZK6" s="29"/>
      <c r="OZL6" s="29"/>
      <c r="OZM6" s="29"/>
      <c r="OZN6" s="29"/>
      <c r="OZO6" s="29"/>
      <c r="OZP6" s="29"/>
      <c r="OZQ6" s="29"/>
      <c r="OZR6" s="29"/>
      <c r="OZS6" s="29"/>
      <c r="OZT6" s="29"/>
      <c r="OZU6" s="29"/>
      <c r="OZV6" s="29"/>
      <c r="OZW6" s="29"/>
      <c r="OZX6" s="29"/>
      <c r="OZY6" s="29"/>
      <c r="OZZ6" s="29"/>
      <c r="PAA6" s="29"/>
      <c r="PAB6" s="29"/>
      <c r="PAC6" s="29"/>
      <c r="PAD6" s="29"/>
      <c r="PAE6" s="29"/>
      <c r="PAF6" s="29"/>
      <c r="PAG6" s="29"/>
      <c r="PAH6" s="29"/>
      <c r="PAI6" s="29"/>
      <c r="PAJ6" s="29"/>
      <c r="PAK6" s="29"/>
      <c r="PAL6" s="29"/>
      <c r="PAM6" s="29"/>
      <c r="PAN6" s="29"/>
      <c r="PAO6" s="29"/>
      <c r="PAP6" s="29"/>
      <c r="PAQ6" s="29"/>
      <c r="PAR6" s="29"/>
      <c r="PAS6" s="29"/>
      <c r="PAT6" s="29"/>
      <c r="PAU6" s="29"/>
      <c r="PAV6" s="29"/>
      <c r="PAW6" s="29"/>
      <c r="PAX6" s="29"/>
      <c r="PAY6" s="29"/>
      <c r="PAZ6" s="29"/>
      <c r="PBA6" s="29"/>
      <c r="PBB6" s="29"/>
      <c r="PBC6" s="29"/>
      <c r="PBD6" s="29"/>
      <c r="PBE6" s="29"/>
      <c r="PBF6" s="29"/>
      <c r="PBG6" s="29"/>
      <c r="PBH6" s="29"/>
      <c r="PBI6" s="29"/>
      <c r="PBJ6" s="29"/>
      <c r="PBK6" s="29"/>
      <c r="PBL6" s="29"/>
      <c r="PBM6" s="29"/>
      <c r="PBN6" s="29"/>
      <c r="PBO6" s="29"/>
      <c r="PBP6" s="29"/>
      <c r="PBQ6" s="29"/>
      <c r="PBR6" s="29"/>
      <c r="PBS6" s="29"/>
      <c r="PBT6" s="29"/>
      <c r="PBU6" s="29"/>
      <c r="PBV6" s="29"/>
      <c r="PBW6" s="29"/>
      <c r="PBX6" s="29"/>
      <c r="PBY6" s="29"/>
      <c r="PBZ6" s="29"/>
      <c r="PCA6" s="29"/>
      <c r="PCB6" s="29"/>
      <c r="PCC6" s="29"/>
      <c r="PCD6" s="29"/>
      <c r="PCE6" s="29"/>
      <c r="PCF6" s="29"/>
      <c r="PCG6" s="29"/>
      <c r="PCH6" s="29"/>
      <c r="PCI6" s="29"/>
      <c r="PCJ6" s="29"/>
      <c r="PCK6" s="29"/>
      <c r="PCL6" s="29"/>
      <c r="PCM6" s="29"/>
      <c r="PCN6" s="29"/>
      <c r="PCO6" s="29"/>
      <c r="PCP6" s="29"/>
      <c r="PCQ6" s="29"/>
      <c r="PCR6" s="29"/>
      <c r="PCS6" s="29"/>
      <c r="PCT6" s="29"/>
      <c r="PCU6" s="29"/>
      <c r="PCV6" s="29"/>
      <c r="PCW6" s="29"/>
      <c r="PCX6" s="29"/>
      <c r="PCY6" s="29"/>
      <c r="PCZ6" s="29"/>
      <c r="PDA6" s="29"/>
      <c r="PDB6" s="29"/>
      <c r="PDC6" s="29"/>
      <c r="PDD6" s="29"/>
      <c r="PDE6" s="29"/>
      <c r="PDF6" s="29"/>
      <c r="PDG6" s="29"/>
      <c r="PDH6" s="29"/>
      <c r="PDI6" s="29"/>
      <c r="PDJ6" s="29"/>
      <c r="PDK6" s="29"/>
      <c r="PDL6" s="29"/>
      <c r="PDM6" s="29"/>
      <c r="PDN6" s="29"/>
      <c r="PDO6" s="29"/>
      <c r="PDP6" s="29"/>
      <c r="PDQ6" s="29"/>
      <c r="PDR6" s="29"/>
      <c r="PDS6" s="29"/>
      <c r="PDT6" s="29"/>
      <c r="PDU6" s="29"/>
      <c r="PDV6" s="29"/>
      <c r="PDW6" s="29"/>
      <c r="PDX6" s="29"/>
      <c r="PDY6" s="29"/>
      <c r="PDZ6" s="29"/>
      <c r="PEA6" s="29"/>
      <c r="PEB6" s="29"/>
      <c r="PEC6" s="29"/>
      <c r="PED6" s="29"/>
      <c r="PEE6" s="29"/>
      <c r="PEF6" s="29"/>
      <c r="PEG6" s="29"/>
      <c r="PEH6" s="29"/>
      <c r="PEI6" s="29"/>
      <c r="PEJ6" s="29"/>
      <c r="PEK6" s="29"/>
      <c r="PEL6" s="29"/>
      <c r="PEM6" s="29"/>
      <c r="PEN6" s="29"/>
      <c r="PEO6" s="29"/>
      <c r="PEP6" s="29"/>
      <c r="PEQ6" s="29"/>
      <c r="PER6" s="29"/>
      <c r="PES6" s="29"/>
      <c r="PET6" s="29"/>
      <c r="PEU6" s="29"/>
      <c r="PEV6" s="29"/>
      <c r="PEW6" s="29"/>
      <c r="PEX6" s="29"/>
      <c r="PEY6" s="29"/>
      <c r="PEZ6" s="29"/>
      <c r="PFA6" s="29"/>
      <c r="PFB6" s="29"/>
      <c r="PFC6" s="29"/>
      <c r="PFD6" s="29"/>
      <c r="PFE6" s="29"/>
      <c r="PFF6" s="29"/>
      <c r="PFG6" s="29"/>
      <c r="PFH6" s="29"/>
      <c r="PFI6" s="29"/>
      <c r="PFJ6" s="29"/>
      <c r="PFK6" s="29"/>
      <c r="PFL6" s="29"/>
      <c r="PFM6" s="29"/>
      <c r="PFN6" s="29"/>
      <c r="PFO6" s="29"/>
      <c r="PFP6" s="29"/>
      <c r="PFQ6" s="29"/>
      <c r="PFR6" s="29"/>
      <c r="PFS6" s="29"/>
      <c r="PFT6" s="29"/>
      <c r="PFU6" s="29"/>
      <c r="PFV6" s="29"/>
      <c r="PFW6" s="29"/>
      <c r="PFX6" s="29"/>
      <c r="PFY6" s="29"/>
      <c r="PFZ6" s="29"/>
      <c r="PGA6" s="29"/>
      <c r="PGB6" s="29"/>
      <c r="PGC6" s="29"/>
      <c r="PGD6" s="29"/>
      <c r="PGE6" s="29"/>
      <c r="PGF6" s="29"/>
      <c r="PGG6" s="29"/>
      <c r="PGH6" s="29"/>
      <c r="PGI6" s="29"/>
      <c r="PGJ6" s="29"/>
      <c r="PGK6" s="29"/>
      <c r="PGL6" s="29"/>
      <c r="PGM6" s="29"/>
      <c r="PGN6" s="29"/>
      <c r="PGO6" s="29"/>
      <c r="PGP6" s="29"/>
      <c r="PGQ6" s="29"/>
      <c r="PGR6" s="29"/>
      <c r="PGS6" s="29"/>
      <c r="PGT6" s="29"/>
      <c r="PGU6" s="29"/>
      <c r="PGV6" s="29"/>
      <c r="PGW6" s="29"/>
      <c r="PGX6" s="29"/>
      <c r="PGY6" s="29"/>
      <c r="PGZ6" s="29"/>
      <c r="PHA6" s="29"/>
      <c r="PHB6" s="29"/>
      <c r="PHC6" s="29"/>
      <c r="PHD6" s="29"/>
      <c r="PHE6" s="29"/>
      <c r="PHF6" s="29"/>
      <c r="PHG6" s="29"/>
      <c r="PHH6" s="29"/>
      <c r="PHI6" s="29"/>
      <c r="PHJ6" s="29"/>
      <c r="PHK6" s="29"/>
      <c r="PHL6" s="29"/>
      <c r="PHM6" s="29"/>
      <c r="PHN6" s="29"/>
      <c r="PHO6" s="29"/>
      <c r="PHP6" s="29"/>
      <c r="PHQ6" s="29"/>
      <c r="PHR6" s="29"/>
      <c r="PHS6" s="29"/>
      <c r="PHT6" s="29"/>
      <c r="PHU6" s="29"/>
      <c r="PHV6" s="29"/>
      <c r="PHW6" s="29"/>
      <c r="PHX6" s="29"/>
      <c r="PHY6" s="29"/>
      <c r="PHZ6" s="29"/>
      <c r="PIA6" s="29"/>
      <c r="PIB6" s="29"/>
      <c r="PIC6" s="29"/>
      <c r="PID6" s="29"/>
      <c r="PIE6" s="29"/>
      <c r="PIF6" s="29"/>
      <c r="PIG6" s="29"/>
      <c r="PIH6" s="29"/>
      <c r="PII6" s="29"/>
      <c r="PIJ6" s="29"/>
      <c r="PIK6" s="29"/>
      <c r="PIL6" s="29"/>
      <c r="PIM6" s="29"/>
      <c r="PIN6" s="29"/>
      <c r="PIO6" s="29"/>
      <c r="PIP6" s="29"/>
      <c r="PIQ6" s="29"/>
      <c r="PIR6" s="29"/>
      <c r="PIS6" s="29"/>
      <c r="PIT6" s="29"/>
      <c r="PIU6" s="29"/>
      <c r="PIV6" s="29"/>
      <c r="PIW6" s="29"/>
      <c r="PIX6" s="29"/>
      <c r="PIY6" s="29"/>
      <c r="PIZ6" s="29"/>
      <c r="PJA6" s="29"/>
      <c r="PJB6" s="29"/>
      <c r="PJC6" s="29"/>
      <c r="PJD6" s="29"/>
      <c r="PJE6" s="29"/>
      <c r="PJF6" s="29"/>
      <c r="PJG6" s="29"/>
      <c r="PJH6" s="29"/>
      <c r="PJI6" s="29"/>
      <c r="PJJ6" s="29"/>
      <c r="PJK6" s="29"/>
      <c r="PJL6" s="29"/>
      <c r="PJM6" s="29"/>
      <c r="PJN6" s="29"/>
      <c r="PJO6" s="29"/>
      <c r="PJP6" s="29"/>
      <c r="PJQ6" s="29"/>
      <c r="PJR6" s="29"/>
      <c r="PJS6" s="29"/>
      <c r="PJT6" s="29"/>
      <c r="PJU6" s="29"/>
      <c r="PJV6" s="29"/>
      <c r="PJW6" s="29"/>
      <c r="PJX6" s="29"/>
      <c r="PJY6" s="29"/>
      <c r="PJZ6" s="29"/>
      <c r="PKA6" s="29"/>
      <c r="PKB6" s="29"/>
      <c r="PKC6" s="29"/>
      <c r="PKD6" s="29"/>
      <c r="PKE6" s="29"/>
      <c r="PKF6" s="29"/>
      <c r="PKG6" s="29"/>
      <c r="PKH6" s="29"/>
      <c r="PKI6" s="29"/>
      <c r="PKJ6" s="29"/>
      <c r="PKK6" s="29"/>
      <c r="PKL6" s="29"/>
      <c r="PKM6" s="29"/>
      <c r="PKN6" s="29"/>
      <c r="PKO6" s="29"/>
      <c r="PKP6" s="29"/>
      <c r="PKQ6" s="29"/>
      <c r="PKR6" s="29"/>
      <c r="PKS6" s="29"/>
      <c r="PKT6" s="29"/>
      <c r="PKU6" s="29"/>
      <c r="PKV6" s="29"/>
      <c r="PKW6" s="29"/>
      <c r="PKX6" s="29"/>
      <c r="PKY6" s="29"/>
      <c r="PKZ6" s="29"/>
      <c r="PLA6" s="29"/>
      <c r="PLB6" s="29"/>
      <c r="PLC6" s="29"/>
      <c r="PLD6" s="29"/>
      <c r="PLE6" s="29"/>
      <c r="PLF6" s="29"/>
      <c r="PLG6" s="29"/>
      <c r="PLH6" s="29"/>
      <c r="PLI6" s="29"/>
      <c r="PLJ6" s="29"/>
      <c r="PLK6" s="29"/>
      <c r="PLL6" s="29"/>
      <c r="PLM6" s="29"/>
      <c r="PLN6" s="29"/>
      <c r="PLO6" s="29"/>
      <c r="PLP6" s="29"/>
      <c r="PLQ6" s="29"/>
      <c r="PLR6" s="29"/>
      <c r="PLS6" s="29"/>
      <c r="PLT6" s="29"/>
      <c r="PLU6" s="29"/>
      <c r="PLV6" s="29"/>
      <c r="PLW6" s="29"/>
      <c r="PLX6" s="29"/>
      <c r="PLY6" s="29"/>
      <c r="PLZ6" s="29"/>
      <c r="PMA6" s="29"/>
      <c r="PMB6" s="29"/>
      <c r="PMC6" s="29"/>
      <c r="PMD6" s="29"/>
      <c r="PME6" s="29"/>
      <c r="PMF6" s="29"/>
      <c r="PMG6" s="29"/>
      <c r="PMH6" s="29"/>
      <c r="PMI6" s="29"/>
      <c r="PMJ6" s="29"/>
      <c r="PMK6" s="29"/>
      <c r="PML6" s="29"/>
      <c r="PMM6" s="29"/>
      <c r="PMN6" s="29"/>
      <c r="PMO6" s="29"/>
      <c r="PMP6" s="29"/>
      <c r="PMQ6" s="29"/>
      <c r="PMR6" s="29"/>
      <c r="PMS6" s="29"/>
      <c r="PMT6" s="29"/>
      <c r="PMU6" s="29"/>
      <c r="PMV6" s="29"/>
      <c r="PMW6" s="29"/>
      <c r="PMX6" s="29"/>
      <c r="PMY6" s="29"/>
      <c r="PMZ6" s="29"/>
      <c r="PNA6" s="29"/>
      <c r="PNB6" s="29"/>
      <c r="PNC6" s="29"/>
      <c r="PND6" s="29"/>
      <c r="PNE6" s="29"/>
      <c r="PNF6" s="29"/>
      <c r="PNG6" s="29"/>
      <c r="PNH6" s="29"/>
      <c r="PNI6" s="29"/>
      <c r="PNJ6" s="29"/>
      <c r="PNK6" s="29"/>
      <c r="PNL6" s="29"/>
      <c r="PNM6" s="29"/>
      <c r="PNN6" s="29"/>
      <c r="PNO6" s="29"/>
      <c r="PNP6" s="29"/>
      <c r="PNQ6" s="29"/>
      <c r="PNR6" s="29"/>
      <c r="PNS6" s="29"/>
      <c r="PNT6" s="29"/>
      <c r="PNU6" s="29"/>
      <c r="PNV6" s="29"/>
      <c r="PNW6" s="29"/>
      <c r="PNX6" s="29"/>
      <c r="PNY6" s="29"/>
      <c r="PNZ6" s="29"/>
      <c r="POA6" s="29"/>
      <c r="POB6" s="29"/>
      <c r="POC6" s="29"/>
      <c r="POD6" s="29"/>
      <c r="POE6" s="29"/>
      <c r="POF6" s="29"/>
      <c r="POG6" s="29"/>
      <c r="POH6" s="29"/>
      <c r="POI6" s="29"/>
      <c r="POJ6" s="29"/>
      <c r="POK6" s="29"/>
      <c r="POL6" s="29"/>
      <c r="POM6" s="29"/>
      <c r="PON6" s="29"/>
      <c r="POO6" s="29"/>
      <c r="POP6" s="29"/>
      <c r="POQ6" s="29"/>
      <c r="POR6" s="29"/>
      <c r="POS6" s="29"/>
      <c r="POT6" s="29"/>
      <c r="POU6" s="29"/>
      <c r="POV6" s="29"/>
      <c r="POW6" s="29"/>
      <c r="POX6" s="29"/>
      <c r="POY6" s="29"/>
      <c r="POZ6" s="29"/>
      <c r="PPA6" s="29"/>
      <c r="PPB6" s="29"/>
      <c r="PPC6" s="29"/>
      <c r="PPD6" s="29"/>
      <c r="PPE6" s="29"/>
      <c r="PPF6" s="29"/>
      <c r="PPG6" s="29"/>
      <c r="PPH6" s="29"/>
      <c r="PPI6" s="29"/>
      <c r="PPJ6" s="29"/>
      <c r="PPK6" s="29"/>
      <c r="PPL6" s="29"/>
      <c r="PPM6" s="29"/>
      <c r="PPN6" s="29"/>
      <c r="PPO6" s="29"/>
      <c r="PPP6" s="29"/>
      <c r="PPQ6" s="29"/>
      <c r="PPR6" s="29"/>
      <c r="PPS6" s="29"/>
      <c r="PPT6" s="29"/>
      <c r="PPU6" s="29"/>
      <c r="PPV6" s="29"/>
      <c r="PPW6" s="29"/>
      <c r="PPX6" s="29"/>
      <c r="PPY6" s="29"/>
      <c r="PPZ6" s="29"/>
      <c r="PQA6" s="29"/>
      <c r="PQB6" s="29"/>
      <c r="PQC6" s="29"/>
      <c r="PQD6" s="29"/>
      <c r="PQE6" s="29"/>
      <c r="PQF6" s="29"/>
      <c r="PQG6" s="29"/>
      <c r="PQH6" s="29"/>
      <c r="PQI6" s="29"/>
      <c r="PQJ6" s="29"/>
      <c r="PQK6" s="29"/>
      <c r="PQL6" s="29"/>
      <c r="PQM6" s="29"/>
      <c r="PQN6" s="29"/>
      <c r="PQO6" s="29"/>
      <c r="PQP6" s="29"/>
      <c r="PQQ6" s="29"/>
      <c r="PQR6" s="29"/>
      <c r="PQS6" s="29"/>
      <c r="PQT6" s="29"/>
      <c r="PQU6" s="29"/>
      <c r="PQV6" s="29"/>
      <c r="PQW6" s="29"/>
      <c r="PQX6" s="29"/>
      <c r="PQY6" s="29"/>
      <c r="PQZ6" s="29"/>
      <c r="PRA6" s="29"/>
      <c r="PRB6" s="29"/>
      <c r="PRC6" s="29"/>
      <c r="PRD6" s="29"/>
      <c r="PRE6" s="29"/>
      <c r="PRF6" s="29"/>
      <c r="PRG6" s="29"/>
      <c r="PRH6" s="29"/>
      <c r="PRI6" s="29"/>
      <c r="PRJ6" s="29"/>
      <c r="PRK6" s="29"/>
      <c r="PRL6" s="29"/>
      <c r="PRM6" s="29"/>
      <c r="PRN6" s="29"/>
      <c r="PRO6" s="29"/>
      <c r="PRP6" s="29"/>
      <c r="PRQ6" s="29"/>
      <c r="PRR6" s="29"/>
      <c r="PRS6" s="29"/>
      <c r="PRT6" s="29"/>
      <c r="PRU6" s="29"/>
      <c r="PRV6" s="29"/>
      <c r="PRW6" s="29"/>
      <c r="PRX6" s="29"/>
      <c r="PRY6" s="29"/>
      <c r="PRZ6" s="29"/>
      <c r="PSA6" s="29"/>
      <c r="PSB6" s="29"/>
      <c r="PSC6" s="29"/>
      <c r="PSD6" s="29"/>
      <c r="PSE6" s="29"/>
      <c r="PSF6" s="29"/>
      <c r="PSG6" s="29"/>
      <c r="PSH6" s="29"/>
      <c r="PSI6" s="29"/>
      <c r="PSJ6" s="29"/>
      <c r="PSK6" s="29"/>
      <c r="PSL6" s="29"/>
      <c r="PSM6" s="29"/>
      <c r="PSN6" s="29"/>
      <c r="PSO6" s="29"/>
      <c r="PSP6" s="29"/>
      <c r="PSQ6" s="29"/>
      <c r="PSR6" s="29"/>
      <c r="PSS6" s="29"/>
      <c r="PST6" s="29"/>
      <c r="PSU6" s="29"/>
      <c r="PSV6" s="29"/>
      <c r="PSW6" s="29"/>
      <c r="PSX6" s="29"/>
      <c r="PSY6" s="29"/>
      <c r="PSZ6" s="29"/>
      <c r="PTA6" s="29"/>
      <c r="PTB6" s="29"/>
      <c r="PTC6" s="29"/>
      <c r="PTD6" s="29"/>
      <c r="PTE6" s="29"/>
      <c r="PTF6" s="29"/>
      <c r="PTG6" s="29"/>
      <c r="PTH6" s="29"/>
      <c r="PTI6" s="29"/>
      <c r="PTJ6" s="29"/>
      <c r="PTK6" s="29"/>
      <c r="PTL6" s="29"/>
      <c r="PTM6" s="29"/>
      <c r="PTN6" s="29"/>
      <c r="PTO6" s="29"/>
      <c r="PTP6" s="29"/>
      <c r="PTQ6" s="29"/>
      <c r="PTR6" s="29"/>
      <c r="PTS6" s="29"/>
      <c r="PTT6" s="29"/>
      <c r="PTU6" s="29"/>
      <c r="PTV6" s="29"/>
      <c r="PTW6" s="29"/>
      <c r="PTX6" s="29"/>
      <c r="PTY6" s="29"/>
      <c r="PTZ6" s="29"/>
      <c r="PUA6" s="29"/>
      <c r="PUB6" s="29"/>
      <c r="PUC6" s="29"/>
      <c r="PUD6" s="29"/>
      <c r="PUE6" s="29"/>
      <c r="PUF6" s="29"/>
      <c r="PUG6" s="29"/>
      <c r="PUH6" s="29"/>
      <c r="PUI6" s="29"/>
      <c r="PUJ6" s="29"/>
      <c r="PUK6" s="29"/>
      <c r="PUL6" s="29"/>
      <c r="PUM6" s="29"/>
      <c r="PUN6" s="29"/>
      <c r="PUO6" s="29"/>
      <c r="PUP6" s="29"/>
      <c r="PUQ6" s="29"/>
      <c r="PUR6" s="29"/>
      <c r="PUS6" s="29"/>
      <c r="PUT6" s="29"/>
      <c r="PUU6" s="29"/>
      <c r="PUV6" s="29"/>
      <c r="PUW6" s="29"/>
      <c r="PUX6" s="29"/>
      <c r="PUY6" s="29"/>
      <c r="PUZ6" s="29"/>
      <c r="PVA6" s="29"/>
      <c r="PVB6" s="29"/>
      <c r="PVC6" s="29"/>
      <c r="PVD6" s="29"/>
      <c r="PVE6" s="29"/>
      <c r="PVF6" s="29"/>
      <c r="PVG6" s="29"/>
      <c r="PVH6" s="29"/>
      <c r="PVI6" s="29"/>
      <c r="PVJ6" s="29"/>
      <c r="PVK6" s="29"/>
      <c r="PVL6" s="29"/>
      <c r="PVM6" s="29"/>
      <c r="PVN6" s="29"/>
      <c r="PVO6" s="29"/>
      <c r="PVP6" s="29"/>
      <c r="PVQ6" s="29"/>
      <c r="PVR6" s="29"/>
      <c r="PVS6" s="29"/>
      <c r="PVT6" s="29"/>
      <c r="PVU6" s="29"/>
      <c r="PVV6" s="29"/>
      <c r="PVW6" s="29"/>
      <c r="PVX6" s="29"/>
      <c r="PVY6" s="29"/>
      <c r="PVZ6" s="29"/>
      <c r="PWA6" s="29"/>
      <c r="PWB6" s="29"/>
      <c r="PWC6" s="29"/>
      <c r="PWD6" s="29"/>
      <c r="PWE6" s="29"/>
      <c r="PWF6" s="29"/>
      <c r="PWG6" s="29"/>
      <c r="PWH6" s="29"/>
      <c r="PWI6" s="29"/>
      <c r="PWJ6" s="29"/>
      <c r="PWK6" s="29"/>
      <c r="PWL6" s="29"/>
      <c r="PWM6" s="29"/>
      <c r="PWN6" s="29"/>
      <c r="PWO6" s="29"/>
      <c r="PWP6" s="29"/>
      <c r="PWQ6" s="29"/>
      <c r="PWR6" s="29"/>
      <c r="PWS6" s="29"/>
      <c r="PWT6" s="29"/>
      <c r="PWU6" s="29"/>
      <c r="PWV6" s="29"/>
      <c r="PWW6" s="29"/>
      <c r="PWX6" s="29"/>
      <c r="PWY6" s="29"/>
      <c r="PWZ6" s="29"/>
      <c r="PXA6" s="29"/>
      <c r="PXB6" s="29"/>
      <c r="PXC6" s="29"/>
      <c r="PXD6" s="29"/>
      <c r="PXE6" s="29"/>
      <c r="PXF6" s="29"/>
      <c r="PXG6" s="29"/>
      <c r="PXH6" s="29"/>
      <c r="PXI6" s="29"/>
      <c r="PXJ6" s="29"/>
      <c r="PXK6" s="29"/>
      <c r="PXL6" s="29"/>
      <c r="PXM6" s="29"/>
      <c r="PXN6" s="29"/>
      <c r="PXO6" s="29"/>
      <c r="PXP6" s="29"/>
      <c r="PXQ6" s="29"/>
      <c r="PXR6" s="29"/>
      <c r="PXS6" s="29"/>
      <c r="PXT6" s="29"/>
      <c r="PXU6" s="29"/>
      <c r="PXV6" s="29"/>
      <c r="PXW6" s="29"/>
      <c r="PXX6" s="29"/>
      <c r="PXY6" s="29"/>
      <c r="PXZ6" s="29"/>
      <c r="PYA6" s="29"/>
      <c r="PYB6" s="29"/>
      <c r="PYC6" s="29"/>
      <c r="PYD6" s="29"/>
      <c r="PYE6" s="29"/>
      <c r="PYF6" s="29"/>
      <c r="PYG6" s="29"/>
      <c r="PYH6" s="29"/>
      <c r="PYI6" s="29"/>
      <c r="PYJ6" s="29"/>
      <c r="PYK6" s="29"/>
      <c r="PYL6" s="29"/>
      <c r="PYM6" s="29"/>
      <c r="PYN6" s="29"/>
      <c r="PYO6" s="29"/>
      <c r="PYP6" s="29"/>
      <c r="PYQ6" s="29"/>
      <c r="PYR6" s="29"/>
      <c r="PYS6" s="29"/>
      <c r="PYT6" s="29"/>
      <c r="PYU6" s="29"/>
      <c r="PYV6" s="29"/>
      <c r="PYW6" s="29"/>
      <c r="PYX6" s="29"/>
      <c r="PYY6" s="29"/>
      <c r="PYZ6" s="29"/>
      <c r="PZA6" s="29"/>
      <c r="PZB6" s="29"/>
      <c r="PZC6" s="29"/>
      <c r="PZD6" s="29"/>
      <c r="PZE6" s="29"/>
      <c r="PZF6" s="29"/>
      <c r="PZG6" s="29"/>
      <c r="PZH6" s="29"/>
      <c r="PZI6" s="29"/>
      <c r="PZJ6" s="29"/>
      <c r="PZK6" s="29"/>
      <c r="PZL6" s="29"/>
      <c r="PZM6" s="29"/>
      <c r="PZN6" s="29"/>
      <c r="PZO6" s="29"/>
      <c r="PZP6" s="29"/>
      <c r="PZQ6" s="29"/>
      <c r="PZR6" s="29"/>
      <c r="PZS6" s="29"/>
      <c r="PZT6" s="29"/>
      <c r="PZU6" s="29"/>
      <c r="PZV6" s="29"/>
      <c r="PZW6" s="29"/>
      <c r="PZX6" s="29"/>
      <c r="PZY6" s="29"/>
      <c r="PZZ6" s="29"/>
      <c r="QAA6" s="29"/>
      <c r="QAB6" s="29"/>
      <c r="QAC6" s="29"/>
      <c r="QAD6" s="29"/>
      <c r="QAE6" s="29"/>
      <c r="QAF6" s="29"/>
      <c r="QAG6" s="29"/>
      <c r="QAH6" s="29"/>
      <c r="QAI6" s="29"/>
      <c r="QAJ6" s="29"/>
      <c r="QAK6" s="29"/>
      <c r="QAL6" s="29"/>
      <c r="QAM6" s="29"/>
      <c r="QAN6" s="29"/>
      <c r="QAO6" s="29"/>
      <c r="QAP6" s="29"/>
      <c r="QAQ6" s="29"/>
      <c r="QAR6" s="29"/>
      <c r="QAS6" s="29"/>
      <c r="QAT6" s="29"/>
      <c r="QAU6" s="29"/>
      <c r="QAV6" s="29"/>
      <c r="QAW6" s="29"/>
      <c r="QAX6" s="29"/>
      <c r="QAY6" s="29"/>
      <c r="QAZ6" s="29"/>
      <c r="QBA6" s="29"/>
      <c r="QBB6" s="29"/>
      <c r="QBC6" s="29"/>
      <c r="QBD6" s="29"/>
      <c r="QBE6" s="29"/>
      <c r="QBF6" s="29"/>
      <c r="QBG6" s="29"/>
      <c r="QBH6" s="29"/>
      <c r="QBI6" s="29"/>
      <c r="QBJ6" s="29"/>
      <c r="QBK6" s="29"/>
      <c r="QBL6" s="29"/>
      <c r="QBM6" s="29"/>
      <c r="QBN6" s="29"/>
      <c r="QBO6" s="29"/>
      <c r="QBP6" s="29"/>
      <c r="QBQ6" s="29"/>
      <c r="QBR6" s="29"/>
      <c r="QBS6" s="29"/>
      <c r="QBT6" s="29"/>
      <c r="QBU6" s="29"/>
      <c r="QBV6" s="29"/>
      <c r="QBW6" s="29"/>
      <c r="QBX6" s="29"/>
      <c r="QBY6" s="29"/>
      <c r="QBZ6" s="29"/>
      <c r="QCA6" s="29"/>
      <c r="QCB6" s="29"/>
      <c r="QCC6" s="29"/>
      <c r="QCD6" s="29"/>
      <c r="QCE6" s="29"/>
      <c r="QCF6" s="29"/>
      <c r="QCG6" s="29"/>
      <c r="QCH6" s="29"/>
      <c r="QCI6" s="29"/>
      <c r="QCJ6" s="29"/>
      <c r="QCK6" s="29"/>
      <c r="QCL6" s="29"/>
      <c r="QCM6" s="29"/>
      <c r="QCN6" s="29"/>
      <c r="QCO6" s="29"/>
      <c r="QCP6" s="29"/>
      <c r="QCQ6" s="29"/>
      <c r="QCR6" s="29"/>
      <c r="QCS6" s="29"/>
      <c r="QCT6" s="29"/>
      <c r="QCU6" s="29"/>
      <c r="QCV6" s="29"/>
      <c r="QCW6" s="29"/>
      <c r="QCX6" s="29"/>
      <c r="QCY6" s="29"/>
      <c r="QCZ6" s="29"/>
      <c r="QDA6" s="29"/>
      <c r="QDB6" s="29"/>
      <c r="QDC6" s="29"/>
      <c r="QDD6" s="29"/>
      <c r="QDE6" s="29"/>
      <c r="QDF6" s="29"/>
      <c r="QDG6" s="29"/>
      <c r="QDH6" s="29"/>
      <c r="QDI6" s="29"/>
      <c r="QDJ6" s="29"/>
      <c r="QDK6" s="29"/>
      <c r="QDL6" s="29"/>
      <c r="QDM6" s="29"/>
      <c r="QDN6" s="29"/>
      <c r="QDO6" s="29"/>
      <c r="QDP6" s="29"/>
      <c r="QDQ6" s="29"/>
      <c r="QDR6" s="29"/>
      <c r="QDS6" s="29"/>
      <c r="QDT6" s="29"/>
      <c r="QDU6" s="29"/>
      <c r="QDV6" s="29"/>
      <c r="QDW6" s="29"/>
      <c r="QDX6" s="29"/>
      <c r="QDY6" s="29"/>
      <c r="QDZ6" s="29"/>
      <c r="QEA6" s="29"/>
      <c r="QEB6" s="29"/>
      <c r="QEC6" s="29"/>
      <c r="QED6" s="29"/>
      <c r="QEE6" s="29"/>
      <c r="QEF6" s="29"/>
      <c r="QEG6" s="29"/>
      <c r="QEH6" s="29"/>
      <c r="QEI6" s="29"/>
      <c r="QEJ6" s="29"/>
      <c r="QEK6" s="29"/>
      <c r="QEL6" s="29"/>
      <c r="QEM6" s="29"/>
      <c r="QEN6" s="29"/>
      <c r="QEO6" s="29"/>
      <c r="QEP6" s="29"/>
      <c r="QEQ6" s="29"/>
      <c r="QER6" s="29"/>
      <c r="QES6" s="29"/>
      <c r="QET6" s="29"/>
      <c r="QEU6" s="29"/>
      <c r="QEV6" s="29"/>
      <c r="QEW6" s="29"/>
      <c r="QEX6" s="29"/>
      <c r="QEY6" s="29"/>
      <c r="QEZ6" s="29"/>
      <c r="QFA6" s="29"/>
      <c r="QFB6" s="29"/>
      <c r="QFC6" s="29"/>
      <c r="QFD6" s="29"/>
      <c r="QFE6" s="29"/>
      <c r="QFF6" s="29"/>
      <c r="QFG6" s="29"/>
      <c r="QFH6" s="29"/>
      <c r="QFI6" s="29"/>
      <c r="QFJ6" s="29"/>
      <c r="QFK6" s="29"/>
      <c r="QFL6" s="29"/>
      <c r="QFM6" s="29"/>
      <c r="QFN6" s="29"/>
      <c r="QFO6" s="29"/>
      <c r="QFP6" s="29"/>
      <c r="QFQ6" s="29"/>
      <c r="QFR6" s="29"/>
      <c r="QFS6" s="29"/>
      <c r="QFT6" s="29"/>
      <c r="QFU6" s="29"/>
      <c r="QFV6" s="29"/>
      <c r="QFW6" s="29"/>
      <c r="QFX6" s="29"/>
      <c r="QFY6" s="29"/>
      <c r="QFZ6" s="29"/>
      <c r="QGA6" s="29"/>
      <c r="QGB6" s="29"/>
      <c r="QGC6" s="29"/>
      <c r="QGD6" s="29"/>
      <c r="QGE6" s="29"/>
      <c r="QGF6" s="29"/>
      <c r="QGG6" s="29"/>
      <c r="QGH6" s="29"/>
      <c r="QGI6" s="29"/>
      <c r="QGJ6" s="29"/>
      <c r="QGK6" s="29"/>
      <c r="QGL6" s="29"/>
      <c r="QGM6" s="29"/>
      <c r="QGN6" s="29"/>
      <c r="QGO6" s="29"/>
      <c r="QGP6" s="29"/>
      <c r="QGQ6" s="29"/>
      <c r="QGR6" s="29"/>
      <c r="QGS6" s="29"/>
      <c r="QGT6" s="29"/>
      <c r="QGU6" s="29"/>
      <c r="QGV6" s="29"/>
      <c r="QGW6" s="29"/>
      <c r="QGX6" s="29"/>
      <c r="QGY6" s="29"/>
      <c r="QGZ6" s="29"/>
      <c r="QHA6" s="29"/>
      <c r="QHB6" s="29"/>
      <c r="QHC6" s="29"/>
      <c r="QHD6" s="29"/>
      <c r="QHE6" s="29"/>
      <c r="QHF6" s="29"/>
      <c r="QHG6" s="29"/>
      <c r="QHH6" s="29"/>
      <c r="QHI6" s="29"/>
      <c r="QHJ6" s="29"/>
      <c r="QHK6" s="29"/>
      <c r="QHL6" s="29"/>
      <c r="QHM6" s="29"/>
      <c r="QHN6" s="29"/>
      <c r="QHO6" s="29"/>
      <c r="QHP6" s="29"/>
      <c r="QHQ6" s="29"/>
      <c r="QHR6" s="29"/>
      <c r="QHS6" s="29"/>
      <c r="QHT6" s="29"/>
      <c r="QHU6" s="29"/>
      <c r="QHV6" s="29"/>
      <c r="QHW6" s="29"/>
      <c r="QHX6" s="29"/>
      <c r="QHY6" s="29"/>
      <c r="QHZ6" s="29"/>
      <c r="QIA6" s="29"/>
      <c r="QIB6" s="29"/>
      <c r="QIC6" s="29"/>
      <c r="QID6" s="29"/>
      <c r="QIE6" s="29"/>
      <c r="QIF6" s="29"/>
      <c r="QIG6" s="29"/>
      <c r="QIH6" s="29"/>
      <c r="QII6" s="29"/>
      <c r="QIJ6" s="29"/>
      <c r="QIK6" s="29"/>
      <c r="QIL6" s="29"/>
      <c r="QIM6" s="29"/>
      <c r="QIN6" s="29"/>
      <c r="QIO6" s="29"/>
      <c r="QIP6" s="29"/>
      <c r="QIQ6" s="29"/>
      <c r="QIR6" s="29"/>
      <c r="QIS6" s="29"/>
      <c r="QIT6" s="29"/>
      <c r="QIU6" s="29"/>
      <c r="QIV6" s="29"/>
      <c r="QIW6" s="29"/>
      <c r="QIX6" s="29"/>
      <c r="QIY6" s="29"/>
      <c r="QIZ6" s="29"/>
      <c r="QJA6" s="29"/>
      <c r="QJB6" s="29"/>
      <c r="QJC6" s="29"/>
      <c r="QJD6" s="29"/>
      <c r="QJE6" s="29"/>
      <c r="QJF6" s="29"/>
      <c r="QJG6" s="29"/>
      <c r="QJH6" s="29"/>
      <c r="QJI6" s="29"/>
      <c r="QJJ6" s="29"/>
      <c r="QJK6" s="29"/>
      <c r="QJL6" s="29"/>
      <c r="QJM6" s="29"/>
      <c r="QJN6" s="29"/>
      <c r="QJO6" s="29"/>
      <c r="QJP6" s="29"/>
      <c r="QJQ6" s="29"/>
      <c r="QJR6" s="29"/>
      <c r="QJS6" s="29"/>
      <c r="QJT6" s="29"/>
      <c r="QJU6" s="29"/>
      <c r="QJV6" s="29"/>
      <c r="QJW6" s="29"/>
      <c r="QJX6" s="29"/>
      <c r="QJY6" s="29"/>
      <c r="QJZ6" s="29"/>
      <c r="QKA6" s="29"/>
      <c r="QKB6" s="29"/>
      <c r="QKC6" s="29"/>
      <c r="QKD6" s="29"/>
      <c r="QKE6" s="29"/>
      <c r="QKF6" s="29"/>
      <c r="QKG6" s="29"/>
      <c r="QKH6" s="29"/>
      <c r="QKI6" s="29"/>
      <c r="QKJ6" s="29"/>
      <c r="QKK6" s="29"/>
      <c r="QKL6" s="29"/>
      <c r="QKM6" s="29"/>
      <c r="QKN6" s="29"/>
      <c r="QKO6" s="29"/>
      <c r="QKP6" s="29"/>
      <c r="QKQ6" s="29"/>
      <c r="QKR6" s="29"/>
      <c r="QKS6" s="29"/>
      <c r="QKT6" s="29"/>
      <c r="QKU6" s="29"/>
      <c r="QKV6" s="29"/>
      <c r="QKW6" s="29"/>
      <c r="QKX6" s="29"/>
      <c r="QKY6" s="29"/>
      <c r="QKZ6" s="29"/>
      <c r="QLA6" s="29"/>
      <c r="QLB6" s="29"/>
      <c r="QLC6" s="29"/>
      <c r="QLD6" s="29"/>
      <c r="QLE6" s="29"/>
      <c r="QLF6" s="29"/>
      <c r="QLG6" s="29"/>
      <c r="QLH6" s="29"/>
      <c r="QLI6" s="29"/>
      <c r="QLJ6" s="29"/>
      <c r="QLK6" s="29"/>
      <c r="QLL6" s="29"/>
      <c r="QLM6" s="29"/>
      <c r="QLN6" s="29"/>
      <c r="QLO6" s="29"/>
      <c r="QLP6" s="29"/>
      <c r="QLQ6" s="29"/>
      <c r="QLR6" s="29"/>
      <c r="QLS6" s="29"/>
      <c r="QLT6" s="29"/>
      <c r="QLU6" s="29"/>
      <c r="QLV6" s="29"/>
      <c r="QLW6" s="29"/>
      <c r="QLX6" s="29"/>
      <c r="QLY6" s="29"/>
      <c r="QLZ6" s="29"/>
      <c r="QMA6" s="29"/>
      <c r="QMB6" s="29"/>
      <c r="QMC6" s="29"/>
      <c r="QMD6" s="29"/>
      <c r="QME6" s="29"/>
      <c r="QMF6" s="29"/>
      <c r="QMG6" s="29"/>
      <c r="QMH6" s="29"/>
      <c r="QMI6" s="29"/>
      <c r="QMJ6" s="29"/>
      <c r="QMK6" s="29"/>
      <c r="QML6" s="29"/>
      <c r="QMM6" s="29"/>
      <c r="QMN6" s="29"/>
      <c r="QMO6" s="29"/>
      <c r="QMP6" s="29"/>
      <c r="QMQ6" s="29"/>
      <c r="QMR6" s="29"/>
      <c r="QMS6" s="29"/>
      <c r="QMT6" s="29"/>
      <c r="QMU6" s="29"/>
      <c r="QMV6" s="29"/>
      <c r="QMW6" s="29"/>
      <c r="QMX6" s="29"/>
      <c r="QMY6" s="29"/>
      <c r="QMZ6" s="29"/>
      <c r="QNA6" s="29"/>
      <c r="QNB6" s="29"/>
      <c r="QNC6" s="29"/>
      <c r="QND6" s="29"/>
      <c r="QNE6" s="29"/>
      <c r="QNF6" s="29"/>
      <c r="QNG6" s="29"/>
      <c r="QNH6" s="29"/>
      <c r="QNI6" s="29"/>
      <c r="QNJ6" s="29"/>
      <c r="QNK6" s="29"/>
      <c r="QNL6" s="29"/>
      <c r="QNM6" s="29"/>
      <c r="QNN6" s="29"/>
      <c r="QNO6" s="29"/>
      <c r="QNP6" s="29"/>
      <c r="QNQ6" s="29"/>
      <c r="QNR6" s="29"/>
      <c r="QNS6" s="29"/>
      <c r="QNT6" s="29"/>
      <c r="QNU6" s="29"/>
      <c r="QNV6" s="29"/>
      <c r="QNW6" s="29"/>
      <c r="QNX6" s="29"/>
      <c r="QNY6" s="29"/>
      <c r="QNZ6" s="29"/>
      <c r="QOA6" s="29"/>
      <c r="QOB6" s="29"/>
      <c r="QOC6" s="29"/>
      <c r="QOD6" s="29"/>
      <c r="QOE6" s="29"/>
      <c r="QOF6" s="29"/>
      <c r="QOG6" s="29"/>
      <c r="QOH6" s="29"/>
      <c r="QOI6" s="29"/>
      <c r="QOJ6" s="29"/>
      <c r="QOK6" s="29"/>
      <c r="QOL6" s="29"/>
      <c r="QOM6" s="29"/>
      <c r="QON6" s="29"/>
      <c r="QOO6" s="29"/>
      <c r="QOP6" s="29"/>
      <c r="QOQ6" s="29"/>
      <c r="QOR6" s="29"/>
      <c r="QOS6" s="29"/>
      <c r="QOT6" s="29"/>
      <c r="QOU6" s="29"/>
      <c r="QOV6" s="29"/>
      <c r="QOW6" s="29"/>
      <c r="QOX6" s="29"/>
      <c r="QOY6" s="29"/>
      <c r="QOZ6" s="29"/>
      <c r="QPA6" s="29"/>
      <c r="QPB6" s="29"/>
      <c r="QPC6" s="29"/>
      <c r="QPD6" s="29"/>
      <c r="QPE6" s="29"/>
      <c r="QPF6" s="29"/>
      <c r="QPG6" s="29"/>
      <c r="QPH6" s="29"/>
      <c r="QPI6" s="29"/>
      <c r="QPJ6" s="29"/>
      <c r="QPK6" s="29"/>
      <c r="QPL6" s="29"/>
      <c r="QPM6" s="29"/>
      <c r="QPN6" s="29"/>
      <c r="QPO6" s="29"/>
      <c r="QPP6" s="29"/>
      <c r="QPQ6" s="29"/>
      <c r="QPR6" s="29"/>
      <c r="QPS6" s="29"/>
      <c r="QPT6" s="29"/>
      <c r="QPU6" s="29"/>
      <c r="QPV6" s="29"/>
      <c r="QPW6" s="29"/>
      <c r="QPX6" s="29"/>
      <c r="QPY6" s="29"/>
      <c r="QPZ6" s="29"/>
      <c r="QQA6" s="29"/>
      <c r="QQB6" s="29"/>
      <c r="QQC6" s="29"/>
      <c r="QQD6" s="29"/>
      <c r="QQE6" s="29"/>
      <c r="QQF6" s="29"/>
      <c r="QQG6" s="29"/>
      <c r="QQH6" s="29"/>
      <c r="QQI6" s="29"/>
      <c r="QQJ6" s="29"/>
      <c r="QQK6" s="29"/>
      <c r="QQL6" s="29"/>
      <c r="QQM6" s="29"/>
      <c r="QQN6" s="29"/>
      <c r="QQO6" s="29"/>
      <c r="QQP6" s="29"/>
      <c r="QQQ6" s="29"/>
      <c r="QQR6" s="29"/>
      <c r="QQS6" s="29"/>
      <c r="QQT6" s="29"/>
      <c r="QQU6" s="29"/>
      <c r="QQV6" s="29"/>
      <c r="QQW6" s="29"/>
      <c r="QQX6" s="29"/>
      <c r="QQY6" s="29"/>
      <c r="QQZ6" s="29"/>
      <c r="QRA6" s="29"/>
      <c r="QRB6" s="29"/>
      <c r="QRC6" s="29"/>
      <c r="QRD6" s="29"/>
      <c r="QRE6" s="29"/>
      <c r="QRF6" s="29"/>
      <c r="QRG6" s="29"/>
      <c r="QRH6" s="29"/>
      <c r="QRI6" s="29"/>
      <c r="QRJ6" s="29"/>
      <c r="QRK6" s="29"/>
      <c r="QRL6" s="29"/>
      <c r="QRM6" s="29"/>
      <c r="QRN6" s="29"/>
      <c r="QRO6" s="29"/>
      <c r="QRP6" s="29"/>
      <c r="QRQ6" s="29"/>
      <c r="QRR6" s="29"/>
      <c r="QRS6" s="29"/>
      <c r="QRT6" s="29"/>
      <c r="QRU6" s="29"/>
      <c r="QRV6" s="29"/>
      <c r="QRW6" s="29"/>
      <c r="QRX6" s="29"/>
      <c r="QRY6" s="29"/>
      <c r="QRZ6" s="29"/>
      <c r="QSA6" s="29"/>
      <c r="QSB6" s="29"/>
      <c r="QSC6" s="29"/>
      <c r="QSD6" s="29"/>
      <c r="QSE6" s="29"/>
      <c r="QSF6" s="29"/>
      <c r="QSG6" s="29"/>
      <c r="QSH6" s="29"/>
      <c r="QSI6" s="29"/>
      <c r="QSJ6" s="29"/>
      <c r="QSK6" s="29"/>
      <c r="QSL6" s="29"/>
      <c r="QSM6" s="29"/>
      <c r="QSN6" s="29"/>
      <c r="QSO6" s="29"/>
      <c r="QSP6" s="29"/>
      <c r="QSQ6" s="29"/>
      <c r="QSR6" s="29"/>
      <c r="QSS6" s="29"/>
      <c r="QST6" s="29"/>
      <c r="QSU6" s="29"/>
      <c r="QSV6" s="29"/>
      <c r="QSW6" s="29"/>
      <c r="QSX6" s="29"/>
      <c r="QSY6" s="29"/>
      <c r="QSZ6" s="29"/>
      <c r="QTA6" s="29"/>
      <c r="QTB6" s="29"/>
      <c r="QTC6" s="29"/>
      <c r="QTD6" s="29"/>
      <c r="QTE6" s="29"/>
      <c r="QTF6" s="29"/>
      <c r="QTG6" s="29"/>
      <c r="QTH6" s="29"/>
      <c r="QTI6" s="29"/>
      <c r="QTJ6" s="29"/>
      <c r="QTK6" s="29"/>
      <c r="QTL6" s="29"/>
      <c r="QTM6" s="29"/>
      <c r="QTN6" s="29"/>
      <c r="QTO6" s="29"/>
      <c r="QTP6" s="29"/>
      <c r="QTQ6" s="29"/>
      <c r="QTR6" s="29"/>
      <c r="QTS6" s="29"/>
      <c r="QTT6" s="29"/>
      <c r="QTU6" s="29"/>
      <c r="QTV6" s="29"/>
      <c r="QTW6" s="29"/>
      <c r="QTX6" s="29"/>
      <c r="QTY6" s="29"/>
      <c r="QTZ6" s="29"/>
      <c r="QUA6" s="29"/>
      <c r="QUB6" s="29"/>
      <c r="QUC6" s="29"/>
      <c r="QUD6" s="29"/>
      <c r="QUE6" s="29"/>
      <c r="QUF6" s="29"/>
      <c r="QUG6" s="29"/>
      <c r="QUH6" s="29"/>
      <c r="QUI6" s="29"/>
      <c r="QUJ6" s="29"/>
      <c r="QUK6" s="29"/>
      <c r="QUL6" s="29"/>
      <c r="QUM6" s="29"/>
      <c r="QUN6" s="29"/>
      <c r="QUO6" s="29"/>
      <c r="QUP6" s="29"/>
      <c r="QUQ6" s="29"/>
      <c r="QUR6" s="29"/>
      <c r="QUS6" s="29"/>
      <c r="QUT6" s="29"/>
      <c r="QUU6" s="29"/>
      <c r="QUV6" s="29"/>
      <c r="QUW6" s="29"/>
      <c r="QUX6" s="29"/>
      <c r="QUY6" s="29"/>
      <c r="QUZ6" s="29"/>
      <c r="QVA6" s="29"/>
      <c r="QVB6" s="29"/>
      <c r="QVC6" s="29"/>
      <c r="QVD6" s="29"/>
      <c r="QVE6" s="29"/>
      <c r="QVF6" s="29"/>
      <c r="QVG6" s="29"/>
      <c r="QVH6" s="29"/>
      <c r="QVI6" s="29"/>
      <c r="QVJ6" s="29"/>
      <c r="QVK6" s="29"/>
      <c r="QVL6" s="29"/>
      <c r="QVM6" s="29"/>
      <c r="QVN6" s="29"/>
      <c r="QVO6" s="29"/>
      <c r="QVP6" s="29"/>
      <c r="QVQ6" s="29"/>
      <c r="QVR6" s="29"/>
      <c r="QVS6" s="29"/>
      <c r="QVT6" s="29"/>
      <c r="QVU6" s="29"/>
      <c r="QVV6" s="29"/>
      <c r="QVW6" s="29"/>
      <c r="QVX6" s="29"/>
      <c r="QVY6" s="29"/>
      <c r="QVZ6" s="29"/>
      <c r="QWA6" s="29"/>
      <c r="QWB6" s="29"/>
      <c r="QWC6" s="29"/>
      <c r="QWD6" s="29"/>
      <c r="QWE6" s="29"/>
      <c r="QWF6" s="29"/>
      <c r="QWG6" s="29"/>
      <c r="QWH6" s="29"/>
      <c r="QWI6" s="29"/>
      <c r="QWJ6" s="29"/>
      <c r="QWK6" s="29"/>
      <c r="QWL6" s="29"/>
      <c r="QWM6" s="29"/>
      <c r="QWN6" s="29"/>
      <c r="QWO6" s="29"/>
      <c r="QWP6" s="29"/>
      <c r="QWQ6" s="29"/>
      <c r="QWR6" s="29"/>
      <c r="QWS6" s="29"/>
      <c r="QWT6" s="29"/>
      <c r="QWU6" s="29"/>
      <c r="QWV6" s="29"/>
      <c r="QWW6" s="29"/>
      <c r="QWX6" s="29"/>
      <c r="QWY6" s="29"/>
      <c r="QWZ6" s="29"/>
      <c r="QXA6" s="29"/>
      <c r="QXB6" s="29"/>
      <c r="QXC6" s="29"/>
      <c r="QXD6" s="29"/>
      <c r="QXE6" s="29"/>
      <c r="QXF6" s="29"/>
      <c r="QXG6" s="29"/>
      <c r="QXH6" s="29"/>
      <c r="QXI6" s="29"/>
      <c r="QXJ6" s="29"/>
      <c r="QXK6" s="29"/>
      <c r="QXL6" s="29"/>
      <c r="QXM6" s="29"/>
      <c r="QXN6" s="29"/>
      <c r="QXO6" s="29"/>
      <c r="QXP6" s="29"/>
      <c r="QXQ6" s="29"/>
      <c r="QXR6" s="29"/>
      <c r="QXS6" s="29"/>
      <c r="QXT6" s="29"/>
      <c r="QXU6" s="29"/>
      <c r="QXV6" s="29"/>
      <c r="QXW6" s="29"/>
      <c r="QXX6" s="29"/>
      <c r="QXY6" s="29"/>
      <c r="QXZ6" s="29"/>
      <c r="QYA6" s="29"/>
      <c r="QYB6" s="29"/>
      <c r="QYC6" s="29"/>
      <c r="QYD6" s="29"/>
      <c r="QYE6" s="29"/>
      <c r="QYF6" s="29"/>
      <c r="QYG6" s="29"/>
      <c r="QYH6" s="29"/>
      <c r="QYI6" s="29"/>
      <c r="QYJ6" s="29"/>
      <c r="QYK6" s="29"/>
      <c r="QYL6" s="29"/>
      <c r="QYM6" s="29"/>
      <c r="QYN6" s="29"/>
      <c r="QYO6" s="29"/>
      <c r="QYP6" s="29"/>
      <c r="QYQ6" s="29"/>
      <c r="QYR6" s="29"/>
      <c r="QYS6" s="29"/>
      <c r="QYT6" s="29"/>
      <c r="QYU6" s="29"/>
      <c r="QYV6" s="29"/>
      <c r="QYW6" s="29"/>
      <c r="QYX6" s="29"/>
      <c r="QYY6" s="29"/>
      <c r="QYZ6" s="29"/>
      <c r="QZA6" s="29"/>
      <c r="QZB6" s="29"/>
      <c r="QZC6" s="29"/>
      <c r="QZD6" s="29"/>
      <c r="QZE6" s="29"/>
      <c r="QZF6" s="29"/>
      <c r="QZG6" s="29"/>
      <c r="QZH6" s="29"/>
      <c r="QZI6" s="29"/>
      <c r="QZJ6" s="29"/>
      <c r="QZK6" s="29"/>
      <c r="QZL6" s="29"/>
      <c r="QZM6" s="29"/>
      <c r="QZN6" s="29"/>
      <c r="QZO6" s="29"/>
      <c r="QZP6" s="29"/>
      <c r="QZQ6" s="29"/>
      <c r="QZR6" s="29"/>
      <c r="QZS6" s="29"/>
      <c r="QZT6" s="29"/>
      <c r="QZU6" s="29"/>
      <c r="QZV6" s="29"/>
      <c r="QZW6" s="29"/>
      <c r="QZX6" s="29"/>
      <c r="QZY6" s="29"/>
      <c r="QZZ6" s="29"/>
      <c r="RAA6" s="29"/>
      <c r="RAB6" s="29"/>
      <c r="RAC6" s="29"/>
      <c r="RAD6" s="29"/>
      <c r="RAE6" s="29"/>
      <c r="RAF6" s="29"/>
      <c r="RAG6" s="29"/>
      <c r="RAH6" s="29"/>
      <c r="RAI6" s="29"/>
      <c r="RAJ6" s="29"/>
      <c r="RAK6" s="29"/>
      <c r="RAL6" s="29"/>
      <c r="RAM6" s="29"/>
      <c r="RAN6" s="29"/>
      <c r="RAO6" s="29"/>
      <c r="RAP6" s="29"/>
      <c r="RAQ6" s="29"/>
      <c r="RAR6" s="29"/>
      <c r="RAS6" s="29"/>
      <c r="RAT6" s="29"/>
      <c r="RAU6" s="29"/>
      <c r="RAV6" s="29"/>
      <c r="RAW6" s="29"/>
      <c r="RAX6" s="29"/>
      <c r="RAY6" s="29"/>
      <c r="RAZ6" s="29"/>
      <c r="RBA6" s="29"/>
      <c r="RBB6" s="29"/>
      <c r="RBC6" s="29"/>
      <c r="RBD6" s="29"/>
      <c r="RBE6" s="29"/>
      <c r="RBF6" s="29"/>
      <c r="RBG6" s="29"/>
      <c r="RBH6" s="29"/>
      <c r="RBI6" s="29"/>
      <c r="RBJ6" s="29"/>
      <c r="RBK6" s="29"/>
      <c r="RBL6" s="29"/>
      <c r="RBM6" s="29"/>
      <c r="RBN6" s="29"/>
      <c r="RBO6" s="29"/>
      <c r="RBP6" s="29"/>
      <c r="RBQ6" s="29"/>
      <c r="RBR6" s="29"/>
      <c r="RBS6" s="29"/>
      <c r="RBT6" s="29"/>
      <c r="RBU6" s="29"/>
      <c r="RBV6" s="29"/>
      <c r="RBW6" s="29"/>
      <c r="RBX6" s="29"/>
      <c r="RBY6" s="29"/>
      <c r="RBZ6" s="29"/>
      <c r="RCA6" s="29"/>
      <c r="RCB6" s="29"/>
      <c r="RCC6" s="29"/>
      <c r="RCD6" s="29"/>
      <c r="RCE6" s="29"/>
      <c r="RCF6" s="29"/>
      <c r="RCG6" s="29"/>
      <c r="RCH6" s="29"/>
      <c r="RCI6" s="29"/>
      <c r="RCJ6" s="29"/>
      <c r="RCK6" s="29"/>
      <c r="RCL6" s="29"/>
      <c r="RCM6" s="29"/>
      <c r="RCN6" s="29"/>
      <c r="RCO6" s="29"/>
      <c r="RCP6" s="29"/>
      <c r="RCQ6" s="29"/>
      <c r="RCR6" s="29"/>
      <c r="RCS6" s="29"/>
      <c r="RCT6" s="29"/>
      <c r="RCU6" s="29"/>
      <c r="RCV6" s="29"/>
      <c r="RCW6" s="29"/>
      <c r="RCX6" s="29"/>
      <c r="RCY6" s="29"/>
      <c r="RCZ6" s="29"/>
      <c r="RDA6" s="29"/>
      <c r="RDB6" s="29"/>
      <c r="RDC6" s="29"/>
      <c r="RDD6" s="29"/>
      <c r="RDE6" s="29"/>
      <c r="RDF6" s="29"/>
      <c r="RDG6" s="29"/>
      <c r="RDH6" s="29"/>
      <c r="RDI6" s="29"/>
      <c r="RDJ6" s="29"/>
      <c r="RDK6" s="29"/>
      <c r="RDL6" s="29"/>
      <c r="RDM6" s="29"/>
      <c r="RDN6" s="29"/>
      <c r="RDO6" s="29"/>
      <c r="RDP6" s="29"/>
      <c r="RDQ6" s="29"/>
      <c r="RDR6" s="29"/>
      <c r="RDS6" s="29"/>
      <c r="RDT6" s="29"/>
      <c r="RDU6" s="29"/>
      <c r="RDV6" s="29"/>
      <c r="RDW6" s="29"/>
      <c r="RDX6" s="29"/>
      <c r="RDY6" s="29"/>
      <c r="RDZ6" s="29"/>
      <c r="REA6" s="29"/>
      <c r="REB6" s="29"/>
      <c r="REC6" s="29"/>
      <c r="RED6" s="29"/>
      <c r="REE6" s="29"/>
      <c r="REF6" s="29"/>
      <c r="REG6" s="29"/>
      <c r="REH6" s="29"/>
      <c r="REI6" s="29"/>
      <c r="REJ6" s="29"/>
      <c r="REK6" s="29"/>
      <c r="REL6" s="29"/>
      <c r="REM6" s="29"/>
      <c r="REN6" s="29"/>
      <c r="REO6" s="29"/>
      <c r="REP6" s="29"/>
      <c r="REQ6" s="29"/>
      <c r="RER6" s="29"/>
      <c r="RES6" s="29"/>
      <c r="RET6" s="29"/>
      <c r="REU6" s="29"/>
      <c r="REV6" s="29"/>
      <c r="REW6" s="29"/>
      <c r="REX6" s="29"/>
      <c r="REY6" s="29"/>
      <c r="REZ6" s="29"/>
      <c r="RFA6" s="29"/>
      <c r="RFB6" s="29"/>
      <c r="RFC6" s="29"/>
      <c r="RFD6" s="29"/>
      <c r="RFE6" s="29"/>
      <c r="RFF6" s="29"/>
      <c r="RFG6" s="29"/>
      <c r="RFH6" s="29"/>
      <c r="RFI6" s="29"/>
      <c r="RFJ6" s="29"/>
      <c r="RFK6" s="29"/>
      <c r="RFL6" s="29"/>
      <c r="RFM6" s="29"/>
      <c r="RFN6" s="29"/>
      <c r="RFO6" s="29"/>
      <c r="RFP6" s="29"/>
      <c r="RFQ6" s="29"/>
      <c r="RFR6" s="29"/>
      <c r="RFS6" s="29"/>
      <c r="RFT6" s="29"/>
      <c r="RFU6" s="29"/>
      <c r="RFV6" s="29"/>
      <c r="RFW6" s="29"/>
      <c r="RFX6" s="29"/>
      <c r="RFY6" s="29"/>
      <c r="RFZ6" s="29"/>
      <c r="RGA6" s="29"/>
      <c r="RGB6" s="29"/>
      <c r="RGC6" s="29"/>
      <c r="RGD6" s="29"/>
      <c r="RGE6" s="29"/>
      <c r="RGF6" s="29"/>
      <c r="RGG6" s="29"/>
      <c r="RGH6" s="29"/>
      <c r="RGI6" s="29"/>
      <c r="RGJ6" s="29"/>
      <c r="RGK6" s="29"/>
      <c r="RGL6" s="29"/>
      <c r="RGM6" s="29"/>
      <c r="RGN6" s="29"/>
      <c r="RGO6" s="29"/>
      <c r="RGP6" s="29"/>
      <c r="RGQ6" s="29"/>
      <c r="RGR6" s="29"/>
      <c r="RGS6" s="29"/>
      <c r="RGT6" s="29"/>
      <c r="RGU6" s="29"/>
      <c r="RGV6" s="29"/>
      <c r="RGW6" s="29"/>
      <c r="RGX6" s="29"/>
      <c r="RGY6" s="29"/>
      <c r="RGZ6" s="29"/>
      <c r="RHA6" s="29"/>
      <c r="RHB6" s="29"/>
      <c r="RHC6" s="29"/>
      <c r="RHD6" s="29"/>
      <c r="RHE6" s="29"/>
      <c r="RHF6" s="29"/>
      <c r="RHG6" s="29"/>
      <c r="RHH6" s="29"/>
      <c r="RHI6" s="29"/>
      <c r="RHJ6" s="29"/>
      <c r="RHK6" s="29"/>
      <c r="RHL6" s="29"/>
      <c r="RHM6" s="29"/>
      <c r="RHN6" s="29"/>
      <c r="RHO6" s="29"/>
      <c r="RHP6" s="29"/>
      <c r="RHQ6" s="29"/>
      <c r="RHR6" s="29"/>
      <c r="RHS6" s="29"/>
      <c r="RHT6" s="29"/>
      <c r="RHU6" s="29"/>
      <c r="RHV6" s="29"/>
      <c r="RHW6" s="29"/>
      <c r="RHX6" s="29"/>
      <c r="RHY6" s="29"/>
      <c r="RHZ6" s="29"/>
      <c r="RIA6" s="29"/>
      <c r="RIB6" s="29"/>
      <c r="RIC6" s="29"/>
      <c r="RID6" s="29"/>
      <c r="RIE6" s="29"/>
      <c r="RIF6" s="29"/>
      <c r="RIG6" s="29"/>
      <c r="RIH6" s="29"/>
      <c r="RII6" s="29"/>
      <c r="RIJ6" s="29"/>
      <c r="RIK6" s="29"/>
      <c r="RIL6" s="29"/>
      <c r="RIM6" s="29"/>
      <c r="RIN6" s="29"/>
      <c r="RIO6" s="29"/>
      <c r="RIP6" s="29"/>
      <c r="RIQ6" s="29"/>
      <c r="RIR6" s="29"/>
      <c r="RIS6" s="29"/>
      <c r="RIT6" s="29"/>
      <c r="RIU6" s="29"/>
      <c r="RIV6" s="29"/>
      <c r="RIW6" s="29"/>
      <c r="RIX6" s="29"/>
      <c r="RIY6" s="29"/>
      <c r="RIZ6" s="29"/>
      <c r="RJA6" s="29"/>
      <c r="RJB6" s="29"/>
      <c r="RJC6" s="29"/>
      <c r="RJD6" s="29"/>
      <c r="RJE6" s="29"/>
      <c r="RJF6" s="29"/>
      <c r="RJG6" s="29"/>
      <c r="RJH6" s="29"/>
      <c r="RJI6" s="29"/>
      <c r="RJJ6" s="29"/>
      <c r="RJK6" s="29"/>
      <c r="RJL6" s="29"/>
      <c r="RJM6" s="29"/>
      <c r="RJN6" s="29"/>
      <c r="RJO6" s="29"/>
      <c r="RJP6" s="29"/>
      <c r="RJQ6" s="29"/>
      <c r="RJR6" s="29"/>
      <c r="RJS6" s="29"/>
      <c r="RJT6" s="29"/>
      <c r="RJU6" s="29"/>
      <c r="RJV6" s="29"/>
      <c r="RJW6" s="29"/>
      <c r="RJX6" s="29"/>
      <c r="RJY6" s="29"/>
      <c r="RJZ6" s="29"/>
      <c r="RKA6" s="29"/>
      <c r="RKB6" s="29"/>
      <c r="RKC6" s="29"/>
      <c r="RKD6" s="29"/>
      <c r="RKE6" s="29"/>
      <c r="RKF6" s="29"/>
      <c r="RKG6" s="29"/>
      <c r="RKH6" s="29"/>
      <c r="RKI6" s="29"/>
      <c r="RKJ6" s="29"/>
      <c r="RKK6" s="29"/>
      <c r="RKL6" s="29"/>
      <c r="RKM6" s="29"/>
      <c r="RKN6" s="29"/>
      <c r="RKO6" s="29"/>
      <c r="RKP6" s="29"/>
      <c r="RKQ6" s="29"/>
      <c r="RKR6" s="29"/>
      <c r="RKS6" s="29"/>
      <c r="RKT6" s="29"/>
      <c r="RKU6" s="29"/>
      <c r="RKV6" s="29"/>
      <c r="RKW6" s="29"/>
      <c r="RKX6" s="29"/>
      <c r="RKY6" s="29"/>
      <c r="RKZ6" s="29"/>
      <c r="RLA6" s="29"/>
      <c r="RLB6" s="29"/>
      <c r="RLC6" s="29"/>
      <c r="RLD6" s="29"/>
      <c r="RLE6" s="29"/>
      <c r="RLF6" s="29"/>
      <c r="RLG6" s="29"/>
      <c r="RLH6" s="29"/>
      <c r="RLI6" s="29"/>
      <c r="RLJ6" s="29"/>
      <c r="RLK6" s="29"/>
      <c r="RLL6" s="29"/>
      <c r="RLM6" s="29"/>
      <c r="RLN6" s="29"/>
      <c r="RLO6" s="29"/>
      <c r="RLP6" s="29"/>
      <c r="RLQ6" s="29"/>
      <c r="RLR6" s="29"/>
      <c r="RLS6" s="29"/>
      <c r="RLT6" s="29"/>
      <c r="RLU6" s="29"/>
      <c r="RLV6" s="29"/>
      <c r="RLW6" s="29"/>
      <c r="RLX6" s="29"/>
      <c r="RLY6" s="29"/>
      <c r="RLZ6" s="29"/>
      <c r="RMA6" s="29"/>
      <c r="RMB6" s="29"/>
      <c r="RMC6" s="29"/>
      <c r="RMD6" s="29"/>
      <c r="RME6" s="29"/>
      <c r="RMF6" s="29"/>
      <c r="RMG6" s="29"/>
      <c r="RMH6" s="29"/>
      <c r="RMI6" s="29"/>
      <c r="RMJ6" s="29"/>
      <c r="RMK6" s="29"/>
      <c r="RML6" s="29"/>
      <c r="RMM6" s="29"/>
      <c r="RMN6" s="29"/>
      <c r="RMO6" s="29"/>
      <c r="RMP6" s="29"/>
      <c r="RMQ6" s="29"/>
      <c r="RMR6" s="29"/>
      <c r="RMS6" s="29"/>
      <c r="RMT6" s="29"/>
      <c r="RMU6" s="29"/>
      <c r="RMV6" s="29"/>
      <c r="RMW6" s="29"/>
      <c r="RMX6" s="29"/>
      <c r="RMY6" s="29"/>
      <c r="RMZ6" s="29"/>
      <c r="RNA6" s="29"/>
      <c r="RNB6" s="29"/>
      <c r="RNC6" s="29"/>
      <c r="RND6" s="29"/>
      <c r="RNE6" s="29"/>
      <c r="RNF6" s="29"/>
      <c r="RNG6" s="29"/>
      <c r="RNH6" s="29"/>
      <c r="RNI6" s="29"/>
      <c r="RNJ6" s="29"/>
      <c r="RNK6" s="29"/>
      <c r="RNL6" s="29"/>
      <c r="RNM6" s="29"/>
      <c r="RNN6" s="29"/>
      <c r="RNO6" s="29"/>
      <c r="RNP6" s="29"/>
      <c r="RNQ6" s="29"/>
      <c r="RNR6" s="29"/>
      <c r="RNS6" s="29"/>
      <c r="RNT6" s="29"/>
      <c r="RNU6" s="29"/>
      <c r="RNV6" s="29"/>
      <c r="RNW6" s="29"/>
      <c r="RNX6" s="29"/>
      <c r="RNY6" s="29"/>
      <c r="RNZ6" s="29"/>
      <c r="ROA6" s="29"/>
      <c r="ROB6" s="29"/>
      <c r="ROC6" s="29"/>
      <c r="ROD6" s="29"/>
      <c r="ROE6" s="29"/>
      <c r="ROF6" s="29"/>
      <c r="ROG6" s="29"/>
      <c r="ROH6" s="29"/>
      <c r="ROI6" s="29"/>
      <c r="ROJ6" s="29"/>
      <c r="ROK6" s="29"/>
      <c r="ROL6" s="29"/>
      <c r="ROM6" s="29"/>
      <c r="RON6" s="29"/>
      <c r="ROO6" s="29"/>
      <c r="ROP6" s="29"/>
      <c r="ROQ6" s="29"/>
      <c r="ROR6" s="29"/>
      <c r="ROS6" s="29"/>
      <c r="ROT6" s="29"/>
      <c r="ROU6" s="29"/>
      <c r="ROV6" s="29"/>
      <c r="ROW6" s="29"/>
      <c r="ROX6" s="29"/>
      <c r="ROY6" s="29"/>
      <c r="ROZ6" s="29"/>
      <c r="RPA6" s="29"/>
      <c r="RPB6" s="29"/>
      <c r="RPC6" s="29"/>
      <c r="RPD6" s="29"/>
      <c r="RPE6" s="29"/>
      <c r="RPF6" s="29"/>
      <c r="RPG6" s="29"/>
      <c r="RPH6" s="29"/>
      <c r="RPI6" s="29"/>
      <c r="RPJ6" s="29"/>
      <c r="RPK6" s="29"/>
      <c r="RPL6" s="29"/>
      <c r="RPM6" s="29"/>
      <c r="RPN6" s="29"/>
      <c r="RPO6" s="29"/>
      <c r="RPP6" s="29"/>
      <c r="RPQ6" s="29"/>
      <c r="RPR6" s="29"/>
      <c r="RPS6" s="29"/>
      <c r="RPT6" s="29"/>
      <c r="RPU6" s="29"/>
      <c r="RPV6" s="29"/>
      <c r="RPW6" s="29"/>
      <c r="RPX6" s="29"/>
      <c r="RPY6" s="29"/>
      <c r="RPZ6" s="29"/>
      <c r="RQA6" s="29"/>
      <c r="RQB6" s="29"/>
      <c r="RQC6" s="29"/>
      <c r="RQD6" s="29"/>
      <c r="RQE6" s="29"/>
      <c r="RQF6" s="29"/>
      <c r="RQG6" s="29"/>
      <c r="RQH6" s="29"/>
      <c r="RQI6" s="29"/>
      <c r="RQJ6" s="29"/>
      <c r="RQK6" s="29"/>
      <c r="RQL6" s="29"/>
      <c r="RQM6" s="29"/>
      <c r="RQN6" s="29"/>
      <c r="RQO6" s="29"/>
      <c r="RQP6" s="29"/>
      <c r="RQQ6" s="29"/>
      <c r="RQR6" s="29"/>
      <c r="RQS6" s="29"/>
      <c r="RQT6" s="29"/>
      <c r="RQU6" s="29"/>
      <c r="RQV6" s="29"/>
      <c r="RQW6" s="29"/>
      <c r="RQX6" s="29"/>
      <c r="RQY6" s="29"/>
      <c r="RQZ6" s="29"/>
      <c r="RRA6" s="29"/>
      <c r="RRB6" s="29"/>
      <c r="RRC6" s="29"/>
      <c r="RRD6" s="29"/>
      <c r="RRE6" s="29"/>
      <c r="RRF6" s="29"/>
      <c r="RRG6" s="29"/>
      <c r="RRH6" s="29"/>
      <c r="RRI6" s="29"/>
      <c r="RRJ6" s="29"/>
      <c r="RRK6" s="29"/>
      <c r="RRL6" s="29"/>
      <c r="RRM6" s="29"/>
      <c r="RRN6" s="29"/>
      <c r="RRO6" s="29"/>
      <c r="RRP6" s="29"/>
      <c r="RRQ6" s="29"/>
      <c r="RRR6" s="29"/>
      <c r="RRS6" s="29"/>
      <c r="RRT6" s="29"/>
      <c r="RRU6" s="29"/>
      <c r="RRV6" s="29"/>
      <c r="RRW6" s="29"/>
      <c r="RRX6" s="29"/>
      <c r="RRY6" s="29"/>
      <c r="RRZ6" s="29"/>
      <c r="RSA6" s="29"/>
      <c r="RSB6" s="29"/>
      <c r="RSC6" s="29"/>
      <c r="RSD6" s="29"/>
      <c r="RSE6" s="29"/>
      <c r="RSF6" s="29"/>
      <c r="RSG6" s="29"/>
      <c r="RSH6" s="29"/>
      <c r="RSI6" s="29"/>
      <c r="RSJ6" s="29"/>
      <c r="RSK6" s="29"/>
      <c r="RSL6" s="29"/>
      <c r="RSM6" s="29"/>
      <c r="RSN6" s="29"/>
      <c r="RSO6" s="29"/>
      <c r="RSP6" s="29"/>
      <c r="RSQ6" s="29"/>
      <c r="RSR6" s="29"/>
      <c r="RSS6" s="29"/>
      <c r="RST6" s="29"/>
      <c r="RSU6" s="29"/>
      <c r="RSV6" s="29"/>
      <c r="RSW6" s="29"/>
      <c r="RSX6" s="29"/>
      <c r="RSY6" s="29"/>
      <c r="RSZ6" s="29"/>
      <c r="RTA6" s="29"/>
      <c r="RTB6" s="29"/>
      <c r="RTC6" s="29"/>
      <c r="RTD6" s="29"/>
      <c r="RTE6" s="29"/>
      <c r="RTF6" s="29"/>
      <c r="RTG6" s="29"/>
      <c r="RTH6" s="29"/>
      <c r="RTI6" s="29"/>
      <c r="RTJ6" s="29"/>
      <c r="RTK6" s="29"/>
      <c r="RTL6" s="29"/>
      <c r="RTM6" s="29"/>
      <c r="RTN6" s="29"/>
      <c r="RTO6" s="29"/>
      <c r="RTP6" s="29"/>
      <c r="RTQ6" s="29"/>
      <c r="RTR6" s="29"/>
      <c r="RTS6" s="29"/>
      <c r="RTT6" s="29"/>
      <c r="RTU6" s="29"/>
      <c r="RTV6" s="29"/>
      <c r="RTW6" s="29"/>
      <c r="RTX6" s="29"/>
      <c r="RTY6" s="29"/>
      <c r="RTZ6" s="29"/>
      <c r="RUA6" s="29"/>
      <c r="RUB6" s="29"/>
      <c r="RUC6" s="29"/>
      <c r="RUD6" s="29"/>
      <c r="RUE6" s="29"/>
      <c r="RUF6" s="29"/>
      <c r="RUG6" s="29"/>
      <c r="RUH6" s="29"/>
      <c r="RUI6" s="29"/>
      <c r="RUJ6" s="29"/>
      <c r="RUK6" s="29"/>
      <c r="RUL6" s="29"/>
      <c r="RUM6" s="29"/>
      <c r="RUN6" s="29"/>
      <c r="RUO6" s="29"/>
      <c r="RUP6" s="29"/>
      <c r="RUQ6" s="29"/>
      <c r="RUR6" s="29"/>
      <c r="RUS6" s="29"/>
      <c r="RUT6" s="29"/>
      <c r="RUU6" s="29"/>
      <c r="RUV6" s="29"/>
      <c r="RUW6" s="29"/>
      <c r="RUX6" s="29"/>
      <c r="RUY6" s="29"/>
      <c r="RUZ6" s="29"/>
      <c r="RVA6" s="29"/>
      <c r="RVB6" s="29"/>
      <c r="RVC6" s="29"/>
      <c r="RVD6" s="29"/>
      <c r="RVE6" s="29"/>
      <c r="RVF6" s="29"/>
      <c r="RVG6" s="29"/>
      <c r="RVH6" s="29"/>
      <c r="RVI6" s="29"/>
      <c r="RVJ6" s="29"/>
      <c r="RVK6" s="29"/>
      <c r="RVL6" s="29"/>
      <c r="RVM6" s="29"/>
      <c r="RVN6" s="29"/>
      <c r="RVO6" s="29"/>
      <c r="RVP6" s="29"/>
      <c r="RVQ6" s="29"/>
      <c r="RVR6" s="29"/>
      <c r="RVS6" s="29"/>
      <c r="RVT6" s="29"/>
      <c r="RVU6" s="29"/>
      <c r="RVV6" s="29"/>
      <c r="RVW6" s="29"/>
      <c r="RVX6" s="29"/>
      <c r="RVY6" s="29"/>
      <c r="RVZ6" s="29"/>
      <c r="RWA6" s="29"/>
      <c r="RWB6" s="29"/>
      <c r="RWC6" s="29"/>
      <c r="RWD6" s="29"/>
      <c r="RWE6" s="29"/>
      <c r="RWF6" s="29"/>
      <c r="RWG6" s="29"/>
      <c r="RWH6" s="29"/>
      <c r="RWI6" s="29"/>
      <c r="RWJ6" s="29"/>
      <c r="RWK6" s="29"/>
      <c r="RWL6" s="29"/>
      <c r="RWM6" s="29"/>
      <c r="RWN6" s="29"/>
      <c r="RWO6" s="29"/>
      <c r="RWP6" s="29"/>
      <c r="RWQ6" s="29"/>
      <c r="RWR6" s="29"/>
      <c r="RWS6" s="29"/>
      <c r="RWT6" s="29"/>
      <c r="RWU6" s="29"/>
      <c r="RWV6" s="29"/>
      <c r="RWW6" s="29"/>
      <c r="RWX6" s="29"/>
      <c r="RWY6" s="29"/>
      <c r="RWZ6" s="29"/>
      <c r="RXA6" s="29"/>
      <c r="RXB6" s="29"/>
      <c r="RXC6" s="29"/>
      <c r="RXD6" s="29"/>
      <c r="RXE6" s="29"/>
      <c r="RXF6" s="29"/>
      <c r="RXG6" s="29"/>
      <c r="RXH6" s="29"/>
      <c r="RXI6" s="29"/>
      <c r="RXJ6" s="29"/>
      <c r="RXK6" s="29"/>
      <c r="RXL6" s="29"/>
      <c r="RXM6" s="29"/>
      <c r="RXN6" s="29"/>
      <c r="RXO6" s="29"/>
      <c r="RXP6" s="29"/>
      <c r="RXQ6" s="29"/>
      <c r="RXR6" s="29"/>
      <c r="RXS6" s="29"/>
      <c r="RXT6" s="29"/>
      <c r="RXU6" s="29"/>
      <c r="RXV6" s="29"/>
      <c r="RXW6" s="29"/>
      <c r="RXX6" s="29"/>
      <c r="RXY6" s="29"/>
      <c r="RXZ6" s="29"/>
      <c r="RYA6" s="29"/>
      <c r="RYB6" s="29"/>
      <c r="RYC6" s="29"/>
      <c r="RYD6" s="29"/>
      <c r="RYE6" s="29"/>
      <c r="RYF6" s="29"/>
      <c r="RYG6" s="29"/>
      <c r="RYH6" s="29"/>
      <c r="RYI6" s="29"/>
      <c r="RYJ6" s="29"/>
      <c r="RYK6" s="29"/>
      <c r="RYL6" s="29"/>
      <c r="RYM6" s="29"/>
      <c r="RYN6" s="29"/>
      <c r="RYO6" s="29"/>
      <c r="RYP6" s="29"/>
      <c r="RYQ6" s="29"/>
      <c r="RYR6" s="29"/>
      <c r="RYS6" s="29"/>
      <c r="RYT6" s="29"/>
      <c r="RYU6" s="29"/>
      <c r="RYV6" s="29"/>
      <c r="RYW6" s="29"/>
      <c r="RYX6" s="29"/>
      <c r="RYY6" s="29"/>
      <c r="RYZ6" s="29"/>
      <c r="RZA6" s="29"/>
      <c r="RZB6" s="29"/>
      <c r="RZC6" s="29"/>
      <c r="RZD6" s="29"/>
      <c r="RZE6" s="29"/>
      <c r="RZF6" s="29"/>
      <c r="RZG6" s="29"/>
      <c r="RZH6" s="29"/>
      <c r="RZI6" s="29"/>
      <c r="RZJ6" s="29"/>
      <c r="RZK6" s="29"/>
      <c r="RZL6" s="29"/>
      <c r="RZM6" s="29"/>
      <c r="RZN6" s="29"/>
      <c r="RZO6" s="29"/>
      <c r="RZP6" s="29"/>
      <c r="RZQ6" s="29"/>
      <c r="RZR6" s="29"/>
      <c r="RZS6" s="29"/>
      <c r="RZT6" s="29"/>
      <c r="RZU6" s="29"/>
      <c r="RZV6" s="29"/>
      <c r="RZW6" s="29"/>
      <c r="RZX6" s="29"/>
      <c r="RZY6" s="29"/>
      <c r="RZZ6" s="29"/>
      <c r="SAA6" s="29"/>
      <c r="SAB6" s="29"/>
      <c r="SAC6" s="29"/>
      <c r="SAD6" s="29"/>
      <c r="SAE6" s="29"/>
      <c r="SAF6" s="29"/>
      <c r="SAG6" s="29"/>
      <c r="SAH6" s="29"/>
      <c r="SAI6" s="29"/>
      <c r="SAJ6" s="29"/>
      <c r="SAK6" s="29"/>
      <c r="SAL6" s="29"/>
      <c r="SAM6" s="29"/>
      <c r="SAN6" s="29"/>
      <c r="SAO6" s="29"/>
      <c r="SAP6" s="29"/>
      <c r="SAQ6" s="29"/>
      <c r="SAR6" s="29"/>
      <c r="SAS6" s="29"/>
      <c r="SAT6" s="29"/>
      <c r="SAU6" s="29"/>
      <c r="SAV6" s="29"/>
      <c r="SAW6" s="29"/>
      <c r="SAX6" s="29"/>
      <c r="SAY6" s="29"/>
      <c r="SAZ6" s="29"/>
      <c r="SBA6" s="29"/>
      <c r="SBB6" s="29"/>
      <c r="SBC6" s="29"/>
      <c r="SBD6" s="29"/>
      <c r="SBE6" s="29"/>
      <c r="SBF6" s="29"/>
      <c r="SBG6" s="29"/>
      <c r="SBH6" s="29"/>
      <c r="SBI6" s="29"/>
      <c r="SBJ6" s="29"/>
      <c r="SBK6" s="29"/>
      <c r="SBL6" s="29"/>
      <c r="SBM6" s="29"/>
      <c r="SBN6" s="29"/>
      <c r="SBO6" s="29"/>
      <c r="SBP6" s="29"/>
      <c r="SBQ6" s="29"/>
      <c r="SBR6" s="29"/>
      <c r="SBS6" s="29"/>
      <c r="SBT6" s="29"/>
      <c r="SBU6" s="29"/>
      <c r="SBV6" s="29"/>
      <c r="SBW6" s="29"/>
      <c r="SBX6" s="29"/>
      <c r="SBY6" s="29"/>
      <c r="SBZ6" s="29"/>
      <c r="SCA6" s="29"/>
      <c r="SCB6" s="29"/>
      <c r="SCC6" s="29"/>
      <c r="SCD6" s="29"/>
      <c r="SCE6" s="29"/>
      <c r="SCF6" s="29"/>
      <c r="SCG6" s="29"/>
      <c r="SCH6" s="29"/>
      <c r="SCI6" s="29"/>
      <c r="SCJ6" s="29"/>
      <c r="SCK6" s="29"/>
      <c r="SCL6" s="29"/>
      <c r="SCM6" s="29"/>
      <c r="SCN6" s="29"/>
      <c r="SCO6" s="29"/>
      <c r="SCP6" s="29"/>
      <c r="SCQ6" s="29"/>
      <c r="SCR6" s="29"/>
      <c r="SCS6" s="29"/>
      <c r="SCT6" s="29"/>
      <c r="SCU6" s="29"/>
      <c r="SCV6" s="29"/>
      <c r="SCW6" s="29"/>
      <c r="SCX6" s="29"/>
      <c r="SCY6" s="29"/>
      <c r="SCZ6" s="29"/>
      <c r="SDA6" s="29"/>
      <c r="SDB6" s="29"/>
      <c r="SDC6" s="29"/>
      <c r="SDD6" s="29"/>
      <c r="SDE6" s="29"/>
      <c r="SDF6" s="29"/>
      <c r="SDG6" s="29"/>
      <c r="SDH6" s="29"/>
      <c r="SDI6" s="29"/>
      <c r="SDJ6" s="29"/>
      <c r="SDK6" s="29"/>
      <c r="SDL6" s="29"/>
      <c r="SDM6" s="29"/>
      <c r="SDN6" s="29"/>
      <c r="SDO6" s="29"/>
      <c r="SDP6" s="29"/>
      <c r="SDQ6" s="29"/>
      <c r="SDR6" s="29"/>
      <c r="SDS6" s="29"/>
      <c r="SDT6" s="29"/>
      <c r="SDU6" s="29"/>
      <c r="SDV6" s="29"/>
      <c r="SDW6" s="29"/>
      <c r="SDX6" s="29"/>
      <c r="SDY6" s="29"/>
      <c r="SDZ6" s="29"/>
      <c r="SEA6" s="29"/>
      <c r="SEB6" s="29"/>
      <c r="SEC6" s="29"/>
      <c r="SED6" s="29"/>
      <c r="SEE6" s="29"/>
      <c r="SEF6" s="29"/>
      <c r="SEG6" s="29"/>
      <c r="SEH6" s="29"/>
      <c r="SEI6" s="29"/>
      <c r="SEJ6" s="29"/>
      <c r="SEK6" s="29"/>
      <c r="SEL6" s="29"/>
      <c r="SEM6" s="29"/>
      <c r="SEN6" s="29"/>
      <c r="SEO6" s="29"/>
      <c r="SEP6" s="29"/>
      <c r="SEQ6" s="29"/>
      <c r="SER6" s="29"/>
      <c r="SES6" s="29"/>
      <c r="SET6" s="29"/>
      <c r="SEU6" s="29"/>
      <c r="SEV6" s="29"/>
      <c r="SEW6" s="29"/>
      <c r="SEX6" s="29"/>
      <c r="SEY6" s="29"/>
      <c r="SEZ6" s="29"/>
      <c r="SFA6" s="29"/>
      <c r="SFB6" s="29"/>
      <c r="SFC6" s="29"/>
      <c r="SFD6" s="29"/>
      <c r="SFE6" s="29"/>
      <c r="SFF6" s="29"/>
      <c r="SFG6" s="29"/>
      <c r="SFH6" s="29"/>
      <c r="SFI6" s="29"/>
      <c r="SFJ6" s="29"/>
      <c r="SFK6" s="29"/>
      <c r="SFL6" s="29"/>
      <c r="SFM6" s="29"/>
      <c r="SFN6" s="29"/>
      <c r="SFO6" s="29"/>
      <c r="SFP6" s="29"/>
      <c r="SFQ6" s="29"/>
      <c r="SFR6" s="29"/>
      <c r="SFS6" s="29"/>
      <c r="SFT6" s="29"/>
      <c r="SFU6" s="29"/>
      <c r="SFV6" s="29"/>
      <c r="SFW6" s="29"/>
      <c r="SFX6" s="29"/>
      <c r="SFY6" s="29"/>
      <c r="SFZ6" s="29"/>
      <c r="SGA6" s="29"/>
      <c r="SGB6" s="29"/>
      <c r="SGC6" s="29"/>
      <c r="SGD6" s="29"/>
      <c r="SGE6" s="29"/>
      <c r="SGF6" s="29"/>
      <c r="SGG6" s="29"/>
      <c r="SGH6" s="29"/>
      <c r="SGI6" s="29"/>
      <c r="SGJ6" s="29"/>
      <c r="SGK6" s="29"/>
      <c r="SGL6" s="29"/>
      <c r="SGM6" s="29"/>
      <c r="SGN6" s="29"/>
      <c r="SGO6" s="29"/>
      <c r="SGP6" s="29"/>
      <c r="SGQ6" s="29"/>
      <c r="SGR6" s="29"/>
      <c r="SGS6" s="29"/>
      <c r="SGT6" s="29"/>
      <c r="SGU6" s="29"/>
      <c r="SGV6" s="29"/>
      <c r="SGW6" s="29"/>
      <c r="SGX6" s="29"/>
      <c r="SGY6" s="29"/>
      <c r="SGZ6" s="29"/>
      <c r="SHA6" s="29"/>
      <c r="SHB6" s="29"/>
      <c r="SHC6" s="29"/>
      <c r="SHD6" s="29"/>
      <c r="SHE6" s="29"/>
      <c r="SHF6" s="29"/>
      <c r="SHG6" s="29"/>
      <c r="SHH6" s="29"/>
      <c r="SHI6" s="29"/>
      <c r="SHJ6" s="29"/>
      <c r="SHK6" s="29"/>
      <c r="SHL6" s="29"/>
      <c r="SHM6" s="29"/>
      <c r="SHN6" s="29"/>
      <c r="SHO6" s="29"/>
      <c r="SHP6" s="29"/>
      <c r="SHQ6" s="29"/>
      <c r="SHR6" s="29"/>
      <c r="SHS6" s="29"/>
      <c r="SHT6" s="29"/>
      <c r="SHU6" s="29"/>
      <c r="SHV6" s="29"/>
      <c r="SHW6" s="29"/>
      <c r="SHX6" s="29"/>
      <c r="SHY6" s="29"/>
      <c r="SHZ6" s="29"/>
      <c r="SIA6" s="29"/>
      <c r="SIB6" s="29"/>
      <c r="SIC6" s="29"/>
      <c r="SID6" s="29"/>
      <c r="SIE6" s="29"/>
      <c r="SIF6" s="29"/>
      <c r="SIG6" s="29"/>
      <c r="SIH6" s="29"/>
      <c r="SII6" s="29"/>
      <c r="SIJ6" s="29"/>
      <c r="SIK6" s="29"/>
      <c r="SIL6" s="29"/>
      <c r="SIM6" s="29"/>
      <c r="SIN6" s="29"/>
      <c r="SIO6" s="29"/>
      <c r="SIP6" s="29"/>
      <c r="SIQ6" s="29"/>
      <c r="SIR6" s="29"/>
      <c r="SIS6" s="29"/>
      <c r="SIT6" s="29"/>
      <c r="SIU6" s="29"/>
      <c r="SIV6" s="29"/>
      <c r="SIW6" s="29"/>
      <c r="SIX6" s="29"/>
      <c r="SIY6" s="29"/>
      <c r="SIZ6" s="29"/>
      <c r="SJA6" s="29"/>
      <c r="SJB6" s="29"/>
      <c r="SJC6" s="29"/>
      <c r="SJD6" s="29"/>
      <c r="SJE6" s="29"/>
      <c r="SJF6" s="29"/>
      <c r="SJG6" s="29"/>
      <c r="SJH6" s="29"/>
      <c r="SJI6" s="29"/>
      <c r="SJJ6" s="29"/>
      <c r="SJK6" s="29"/>
      <c r="SJL6" s="29"/>
      <c r="SJM6" s="29"/>
      <c r="SJN6" s="29"/>
      <c r="SJO6" s="29"/>
      <c r="SJP6" s="29"/>
      <c r="SJQ6" s="29"/>
      <c r="SJR6" s="29"/>
      <c r="SJS6" s="29"/>
      <c r="SJT6" s="29"/>
      <c r="SJU6" s="29"/>
      <c r="SJV6" s="29"/>
      <c r="SJW6" s="29"/>
      <c r="SJX6" s="29"/>
      <c r="SJY6" s="29"/>
      <c r="SJZ6" s="29"/>
      <c r="SKA6" s="29"/>
      <c r="SKB6" s="29"/>
      <c r="SKC6" s="29"/>
      <c r="SKD6" s="29"/>
      <c r="SKE6" s="29"/>
      <c r="SKF6" s="29"/>
      <c r="SKG6" s="29"/>
      <c r="SKH6" s="29"/>
      <c r="SKI6" s="29"/>
      <c r="SKJ6" s="29"/>
      <c r="SKK6" s="29"/>
      <c r="SKL6" s="29"/>
      <c r="SKM6" s="29"/>
      <c r="SKN6" s="29"/>
      <c r="SKO6" s="29"/>
      <c r="SKP6" s="29"/>
      <c r="SKQ6" s="29"/>
      <c r="SKR6" s="29"/>
      <c r="SKS6" s="29"/>
      <c r="SKT6" s="29"/>
      <c r="SKU6" s="29"/>
      <c r="SKV6" s="29"/>
      <c r="SKW6" s="29"/>
      <c r="SKX6" s="29"/>
      <c r="SKY6" s="29"/>
      <c r="SKZ6" s="29"/>
      <c r="SLA6" s="29"/>
      <c r="SLB6" s="29"/>
      <c r="SLC6" s="29"/>
      <c r="SLD6" s="29"/>
      <c r="SLE6" s="29"/>
      <c r="SLF6" s="29"/>
      <c r="SLG6" s="29"/>
      <c r="SLH6" s="29"/>
      <c r="SLI6" s="29"/>
      <c r="SLJ6" s="29"/>
      <c r="SLK6" s="29"/>
      <c r="SLL6" s="29"/>
      <c r="SLM6" s="29"/>
      <c r="SLN6" s="29"/>
      <c r="SLO6" s="29"/>
      <c r="SLP6" s="29"/>
      <c r="SLQ6" s="29"/>
      <c r="SLR6" s="29"/>
      <c r="SLS6" s="29"/>
      <c r="SLT6" s="29"/>
      <c r="SLU6" s="29"/>
      <c r="SLV6" s="29"/>
      <c r="SLW6" s="29"/>
      <c r="SLX6" s="29"/>
      <c r="SLY6" s="29"/>
      <c r="SLZ6" s="29"/>
      <c r="SMA6" s="29"/>
      <c r="SMB6" s="29"/>
      <c r="SMC6" s="29"/>
      <c r="SMD6" s="29"/>
      <c r="SME6" s="29"/>
      <c r="SMF6" s="29"/>
      <c r="SMG6" s="29"/>
      <c r="SMH6" s="29"/>
      <c r="SMI6" s="29"/>
      <c r="SMJ6" s="29"/>
      <c r="SMK6" s="29"/>
      <c r="SML6" s="29"/>
      <c r="SMM6" s="29"/>
      <c r="SMN6" s="29"/>
      <c r="SMO6" s="29"/>
      <c r="SMP6" s="29"/>
      <c r="SMQ6" s="29"/>
      <c r="SMR6" s="29"/>
      <c r="SMS6" s="29"/>
      <c r="SMT6" s="29"/>
      <c r="SMU6" s="29"/>
      <c r="SMV6" s="29"/>
      <c r="SMW6" s="29"/>
      <c r="SMX6" s="29"/>
      <c r="SMY6" s="29"/>
      <c r="SMZ6" s="29"/>
      <c r="SNA6" s="29"/>
      <c r="SNB6" s="29"/>
      <c r="SNC6" s="29"/>
      <c r="SND6" s="29"/>
      <c r="SNE6" s="29"/>
      <c r="SNF6" s="29"/>
      <c r="SNG6" s="29"/>
      <c r="SNH6" s="29"/>
      <c r="SNI6" s="29"/>
      <c r="SNJ6" s="29"/>
      <c r="SNK6" s="29"/>
      <c r="SNL6" s="29"/>
      <c r="SNM6" s="29"/>
      <c r="SNN6" s="29"/>
      <c r="SNO6" s="29"/>
      <c r="SNP6" s="29"/>
      <c r="SNQ6" s="29"/>
      <c r="SNR6" s="29"/>
      <c r="SNS6" s="29"/>
      <c r="SNT6" s="29"/>
      <c r="SNU6" s="29"/>
      <c r="SNV6" s="29"/>
      <c r="SNW6" s="29"/>
      <c r="SNX6" s="29"/>
      <c r="SNY6" s="29"/>
      <c r="SNZ6" s="29"/>
      <c r="SOA6" s="29"/>
      <c r="SOB6" s="29"/>
      <c r="SOC6" s="29"/>
      <c r="SOD6" s="29"/>
      <c r="SOE6" s="29"/>
      <c r="SOF6" s="29"/>
      <c r="SOG6" s="29"/>
      <c r="SOH6" s="29"/>
      <c r="SOI6" s="29"/>
      <c r="SOJ6" s="29"/>
      <c r="SOK6" s="29"/>
      <c r="SOL6" s="29"/>
      <c r="SOM6" s="29"/>
      <c r="SON6" s="29"/>
      <c r="SOO6" s="29"/>
      <c r="SOP6" s="29"/>
      <c r="SOQ6" s="29"/>
      <c r="SOR6" s="29"/>
      <c r="SOS6" s="29"/>
      <c r="SOT6" s="29"/>
      <c r="SOU6" s="29"/>
      <c r="SOV6" s="29"/>
      <c r="SOW6" s="29"/>
      <c r="SOX6" s="29"/>
      <c r="SOY6" s="29"/>
      <c r="SOZ6" s="29"/>
      <c r="SPA6" s="29"/>
      <c r="SPB6" s="29"/>
      <c r="SPC6" s="29"/>
      <c r="SPD6" s="29"/>
      <c r="SPE6" s="29"/>
      <c r="SPF6" s="29"/>
      <c r="SPG6" s="29"/>
      <c r="SPH6" s="29"/>
      <c r="SPI6" s="29"/>
      <c r="SPJ6" s="29"/>
      <c r="SPK6" s="29"/>
      <c r="SPL6" s="29"/>
      <c r="SPM6" s="29"/>
      <c r="SPN6" s="29"/>
      <c r="SPO6" s="29"/>
      <c r="SPP6" s="29"/>
      <c r="SPQ6" s="29"/>
      <c r="SPR6" s="29"/>
      <c r="SPS6" s="29"/>
      <c r="SPT6" s="29"/>
      <c r="SPU6" s="29"/>
      <c r="SPV6" s="29"/>
      <c r="SPW6" s="29"/>
      <c r="SPX6" s="29"/>
      <c r="SPY6" s="29"/>
      <c r="SPZ6" s="29"/>
      <c r="SQA6" s="29"/>
      <c r="SQB6" s="29"/>
      <c r="SQC6" s="29"/>
      <c r="SQD6" s="29"/>
      <c r="SQE6" s="29"/>
      <c r="SQF6" s="29"/>
      <c r="SQG6" s="29"/>
      <c r="SQH6" s="29"/>
      <c r="SQI6" s="29"/>
      <c r="SQJ6" s="29"/>
      <c r="SQK6" s="29"/>
      <c r="SQL6" s="29"/>
      <c r="SQM6" s="29"/>
      <c r="SQN6" s="29"/>
      <c r="SQO6" s="29"/>
      <c r="SQP6" s="29"/>
      <c r="SQQ6" s="29"/>
      <c r="SQR6" s="29"/>
      <c r="SQS6" s="29"/>
      <c r="SQT6" s="29"/>
      <c r="SQU6" s="29"/>
      <c r="SQV6" s="29"/>
      <c r="SQW6" s="29"/>
      <c r="SQX6" s="29"/>
      <c r="SQY6" s="29"/>
      <c r="SQZ6" s="29"/>
      <c r="SRA6" s="29"/>
      <c r="SRB6" s="29"/>
      <c r="SRC6" s="29"/>
      <c r="SRD6" s="29"/>
      <c r="SRE6" s="29"/>
      <c r="SRF6" s="29"/>
      <c r="SRG6" s="29"/>
      <c r="SRH6" s="29"/>
      <c r="SRI6" s="29"/>
      <c r="SRJ6" s="29"/>
      <c r="SRK6" s="29"/>
      <c r="SRL6" s="29"/>
      <c r="SRM6" s="29"/>
      <c r="SRN6" s="29"/>
      <c r="SRO6" s="29"/>
      <c r="SRP6" s="29"/>
      <c r="SRQ6" s="29"/>
      <c r="SRR6" s="29"/>
      <c r="SRS6" s="29"/>
      <c r="SRT6" s="29"/>
      <c r="SRU6" s="29"/>
      <c r="SRV6" s="29"/>
      <c r="SRW6" s="29"/>
      <c r="SRX6" s="29"/>
      <c r="SRY6" s="29"/>
      <c r="SRZ6" s="29"/>
      <c r="SSA6" s="29"/>
      <c r="SSB6" s="29"/>
      <c r="SSC6" s="29"/>
      <c r="SSD6" s="29"/>
      <c r="SSE6" s="29"/>
      <c r="SSF6" s="29"/>
      <c r="SSG6" s="29"/>
      <c r="SSH6" s="29"/>
      <c r="SSI6" s="29"/>
      <c r="SSJ6" s="29"/>
      <c r="SSK6" s="29"/>
      <c r="SSL6" s="29"/>
      <c r="SSM6" s="29"/>
      <c r="SSN6" s="29"/>
      <c r="SSO6" s="29"/>
      <c r="SSP6" s="29"/>
      <c r="SSQ6" s="29"/>
      <c r="SSR6" s="29"/>
      <c r="SSS6" s="29"/>
      <c r="SST6" s="29"/>
      <c r="SSU6" s="29"/>
      <c r="SSV6" s="29"/>
      <c r="SSW6" s="29"/>
      <c r="SSX6" s="29"/>
      <c r="SSY6" s="29"/>
      <c r="SSZ6" s="29"/>
      <c r="STA6" s="29"/>
      <c r="STB6" s="29"/>
      <c r="STC6" s="29"/>
      <c r="STD6" s="29"/>
      <c r="STE6" s="29"/>
      <c r="STF6" s="29"/>
      <c r="STG6" s="29"/>
      <c r="STH6" s="29"/>
      <c r="STI6" s="29"/>
      <c r="STJ6" s="29"/>
      <c r="STK6" s="29"/>
      <c r="STL6" s="29"/>
      <c r="STM6" s="29"/>
      <c r="STN6" s="29"/>
      <c r="STO6" s="29"/>
      <c r="STP6" s="29"/>
      <c r="STQ6" s="29"/>
      <c r="STR6" s="29"/>
      <c r="STS6" s="29"/>
      <c r="STT6" s="29"/>
      <c r="STU6" s="29"/>
      <c r="STV6" s="29"/>
      <c r="STW6" s="29"/>
      <c r="STX6" s="29"/>
      <c r="STY6" s="29"/>
      <c r="STZ6" s="29"/>
      <c r="SUA6" s="29"/>
      <c r="SUB6" s="29"/>
      <c r="SUC6" s="29"/>
      <c r="SUD6" s="29"/>
      <c r="SUE6" s="29"/>
      <c r="SUF6" s="29"/>
      <c r="SUG6" s="29"/>
      <c r="SUH6" s="29"/>
      <c r="SUI6" s="29"/>
      <c r="SUJ6" s="29"/>
      <c r="SUK6" s="29"/>
      <c r="SUL6" s="29"/>
      <c r="SUM6" s="29"/>
      <c r="SUN6" s="29"/>
      <c r="SUO6" s="29"/>
      <c r="SUP6" s="29"/>
      <c r="SUQ6" s="29"/>
      <c r="SUR6" s="29"/>
      <c r="SUS6" s="29"/>
      <c r="SUT6" s="29"/>
      <c r="SUU6" s="29"/>
      <c r="SUV6" s="29"/>
      <c r="SUW6" s="29"/>
      <c r="SUX6" s="29"/>
      <c r="SUY6" s="29"/>
      <c r="SUZ6" s="29"/>
      <c r="SVA6" s="29"/>
      <c r="SVB6" s="29"/>
      <c r="SVC6" s="29"/>
      <c r="SVD6" s="29"/>
      <c r="SVE6" s="29"/>
      <c r="SVF6" s="29"/>
      <c r="SVG6" s="29"/>
      <c r="SVH6" s="29"/>
      <c r="SVI6" s="29"/>
      <c r="SVJ6" s="29"/>
      <c r="SVK6" s="29"/>
      <c r="SVL6" s="29"/>
      <c r="SVM6" s="29"/>
      <c r="SVN6" s="29"/>
      <c r="SVO6" s="29"/>
      <c r="SVP6" s="29"/>
      <c r="SVQ6" s="29"/>
      <c r="SVR6" s="29"/>
      <c r="SVS6" s="29"/>
      <c r="SVT6" s="29"/>
      <c r="SVU6" s="29"/>
      <c r="SVV6" s="29"/>
      <c r="SVW6" s="29"/>
      <c r="SVX6" s="29"/>
      <c r="SVY6" s="29"/>
      <c r="SVZ6" s="29"/>
      <c r="SWA6" s="29"/>
      <c r="SWB6" s="29"/>
      <c r="SWC6" s="29"/>
      <c r="SWD6" s="29"/>
      <c r="SWE6" s="29"/>
      <c r="SWF6" s="29"/>
      <c r="SWG6" s="29"/>
      <c r="SWH6" s="29"/>
      <c r="SWI6" s="29"/>
      <c r="SWJ6" s="29"/>
      <c r="SWK6" s="29"/>
      <c r="SWL6" s="29"/>
      <c r="SWM6" s="29"/>
      <c r="SWN6" s="29"/>
      <c r="SWO6" s="29"/>
      <c r="SWP6" s="29"/>
      <c r="SWQ6" s="29"/>
      <c r="SWR6" s="29"/>
      <c r="SWS6" s="29"/>
      <c r="SWT6" s="29"/>
      <c r="SWU6" s="29"/>
      <c r="SWV6" s="29"/>
      <c r="SWW6" s="29"/>
      <c r="SWX6" s="29"/>
      <c r="SWY6" s="29"/>
      <c r="SWZ6" s="29"/>
      <c r="SXA6" s="29"/>
      <c r="SXB6" s="29"/>
      <c r="SXC6" s="29"/>
      <c r="SXD6" s="29"/>
      <c r="SXE6" s="29"/>
      <c r="SXF6" s="29"/>
      <c r="SXG6" s="29"/>
      <c r="SXH6" s="29"/>
      <c r="SXI6" s="29"/>
      <c r="SXJ6" s="29"/>
      <c r="SXK6" s="29"/>
      <c r="SXL6" s="29"/>
      <c r="SXM6" s="29"/>
      <c r="SXN6" s="29"/>
      <c r="SXO6" s="29"/>
      <c r="SXP6" s="29"/>
      <c r="SXQ6" s="29"/>
      <c r="SXR6" s="29"/>
      <c r="SXS6" s="29"/>
      <c r="SXT6" s="29"/>
      <c r="SXU6" s="29"/>
      <c r="SXV6" s="29"/>
      <c r="SXW6" s="29"/>
      <c r="SXX6" s="29"/>
      <c r="SXY6" s="29"/>
      <c r="SXZ6" s="29"/>
      <c r="SYA6" s="29"/>
      <c r="SYB6" s="29"/>
      <c r="SYC6" s="29"/>
      <c r="SYD6" s="29"/>
      <c r="SYE6" s="29"/>
      <c r="SYF6" s="29"/>
      <c r="SYG6" s="29"/>
      <c r="SYH6" s="29"/>
      <c r="SYI6" s="29"/>
      <c r="SYJ6" s="29"/>
      <c r="SYK6" s="29"/>
      <c r="SYL6" s="29"/>
      <c r="SYM6" s="29"/>
      <c r="SYN6" s="29"/>
      <c r="SYO6" s="29"/>
      <c r="SYP6" s="29"/>
      <c r="SYQ6" s="29"/>
      <c r="SYR6" s="29"/>
      <c r="SYS6" s="29"/>
      <c r="SYT6" s="29"/>
      <c r="SYU6" s="29"/>
      <c r="SYV6" s="29"/>
      <c r="SYW6" s="29"/>
      <c r="SYX6" s="29"/>
      <c r="SYY6" s="29"/>
      <c r="SYZ6" s="29"/>
      <c r="SZA6" s="29"/>
      <c r="SZB6" s="29"/>
      <c r="SZC6" s="29"/>
      <c r="SZD6" s="29"/>
      <c r="SZE6" s="29"/>
      <c r="SZF6" s="29"/>
      <c r="SZG6" s="29"/>
      <c r="SZH6" s="29"/>
      <c r="SZI6" s="29"/>
      <c r="SZJ6" s="29"/>
      <c r="SZK6" s="29"/>
      <c r="SZL6" s="29"/>
      <c r="SZM6" s="29"/>
      <c r="SZN6" s="29"/>
      <c r="SZO6" s="29"/>
      <c r="SZP6" s="29"/>
      <c r="SZQ6" s="29"/>
      <c r="SZR6" s="29"/>
      <c r="SZS6" s="29"/>
      <c r="SZT6" s="29"/>
      <c r="SZU6" s="29"/>
      <c r="SZV6" s="29"/>
      <c r="SZW6" s="29"/>
      <c r="SZX6" s="29"/>
      <c r="SZY6" s="29"/>
      <c r="SZZ6" s="29"/>
      <c r="TAA6" s="29"/>
      <c r="TAB6" s="29"/>
      <c r="TAC6" s="29"/>
      <c r="TAD6" s="29"/>
      <c r="TAE6" s="29"/>
      <c r="TAF6" s="29"/>
      <c r="TAG6" s="29"/>
      <c r="TAH6" s="29"/>
      <c r="TAI6" s="29"/>
      <c r="TAJ6" s="29"/>
      <c r="TAK6" s="29"/>
      <c r="TAL6" s="29"/>
      <c r="TAM6" s="29"/>
      <c r="TAN6" s="29"/>
      <c r="TAO6" s="29"/>
      <c r="TAP6" s="29"/>
      <c r="TAQ6" s="29"/>
      <c r="TAR6" s="29"/>
      <c r="TAS6" s="29"/>
      <c r="TAT6" s="29"/>
      <c r="TAU6" s="29"/>
      <c r="TAV6" s="29"/>
      <c r="TAW6" s="29"/>
      <c r="TAX6" s="29"/>
      <c r="TAY6" s="29"/>
      <c r="TAZ6" s="29"/>
      <c r="TBA6" s="29"/>
      <c r="TBB6" s="29"/>
      <c r="TBC6" s="29"/>
      <c r="TBD6" s="29"/>
      <c r="TBE6" s="29"/>
      <c r="TBF6" s="29"/>
      <c r="TBG6" s="29"/>
      <c r="TBH6" s="29"/>
      <c r="TBI6" s="29"/>
      <c r="TBJ6" s="29"/>
      <c r="TBK6" s="29"/>
      <c r="TBL6" s="29"/>
      <c r="TBM6" s="29"/>
      <c r="TBN6" s="29"/>
      <c r="TBO6" s="29"/>
      <c r="TBP6" s="29"/>
      <c r="TBQ6" s="29"/>
      <c r="TBR6" s="29"/>
      <c r="TBS6" s="29"/>
      <c r="TBT6" s="29"/>
      <c r="TBU6" s="29"/>
      <c r="TBV6" s="29"/>
      <c r="TBW6" s="29"/>
      <c r="TBX6" s="29"/>
      <c r="TBY6" s="29"/>
      <c r="TBZ6" s="29"/>
      <c r="TCA6" s="29"/>
      <c r="TCB6" s="29"/>
      <c r="TCC6" s="29"/>
      <c r="TCD6" s="29"/>
      <c r="TCE6" s="29"/>
      <c r="TCF6" s="29"/>
      <c r="TCG6" s="29"/>
      <c r="TCH6" s="29"/>
      <c r="TCI6" s="29"/>
      <c r="TCJ6" s="29"/>
      <c r="TCK6" s="29"/>
      <c r="TCL6" s="29"/>
      <c r="TCM6" s="29"/>
      <c r="TCN6" s="29"/>
      <c r="TCO6" s="29"/>
      <c r="TCP6" s="29"/>
      <c r="TCQ6" s="29"/>
      <c r="TCR6" s="29"/>
      <c r="TCS6" s="29"/>
      <c r="TCT6" s="29"/>
      <c r="TCU6" s="29"/>
      <c r="TCV6" s="29"/>
      <c r="TCW6" s="29"/>
      <c r="TCX6" s="29"/>
      <c r="TCY6" s="29"/>
      <c r="TCZ6" s="29"/>
      <c r="TDA6" s="29"/>
      <c r="TDB6" s="29"/>
      <c r="TDC6" s="29"/>
      <c r="TDD6" s="29"/>
      <c r="TDE6" s="29"/>
      <c r="TDF6" s="29"/>
      <c r="TDG6" s="29"/>
      <c r="TDH6" s="29"/>
      <c r="TDI6" s="29"/>
      <c r="TDJ6" s="29"/>
      <c r="TDK6" s="29"/>
      <c r="TDL6" s="29"/>
      <c r="TDM6" s="29"/>
      <c r="TDN6" s="29"/>
      <c r="TDO6" s="29"/>
      <c r="TDP6" s="29"/>
      <c r="TDQ6" s="29"/>
      <c r="TDR6" s="29"/>
      <c r="TDS6" s="29"/>
      <c r="TDT6" s="29"/>
      <c r="TDU6" s="29"/>
      <c r="TDV6" s="29"/>
      <c r="TDW6" s="29"/>
      <c r="TDX6" s="29"/>
      <c r="TDY6" s="29"/>
      <c r="TDZ6" s="29"/>
      <c r="TEA6" s="29"/>
      <c r="TEB6" s="29"/>
      <c r="TEC6" s="29"/>
      <c r="TED6" s="29"/>
      <c r="TEE6" s="29"/>
      <c r="TEF6" s="29"/>
      <c r="TEG6" s="29"/>
      <c r="TEH6" s="29"/>
      <c r="TEI6" s="29"/>
      <c r="TEJ6" s="29"/>
      <c r="TEK6" s="29"/>
      <c r="TEL6" s="29"/>
      <c r="TEM6" s="29"/>
      <c r="TEN6" s="29"/>
      <c r="TEO6" s="29"/>
      <c r="TEP6" s="29"/>
      <c r="TEQ6" s="29"/>
      <c r="TER6" s="29"/>
      <c r="TES6" s="29"/>
      <c r="TET6" s="29"/>
      <c r="TEU6" s="29"/>
      <c r="TEV6" s="29"/>
      <c r="TEW6" s="29"/>
      <c r="TEX6" s="29"/>
      <c r="TEY6" s="29"/>
      <c r="TEZ6" s="29"/>
      <c r="TFA6" s="29"/>
      <c r="TFB6" s="29"/>
      <c r="TFC6" s="29"/>
      <c r="TFD6" s="29"/>
      <c r="TFE6" s="29"/>
      <c r="TFF6" s="29"/>
      <c r="TFG6" s="29"/>
      <c r="TFH6" s="29"/>
      <c r="TFI6" s="29"/>
      <c r="TFJ6" s="29"/>
      <c r="TFK6" s="29"/>
      <c r="TFL6" s="29"/>
      <c r="TFM6" s="29"/>
      <c r="TFN6" s="29"/>
      <c r="TFO6" s="29"/>
      <c r="TFP6" s="29"/>
      <c r="TFQ6" s="29"/>
      <c r="TFR6" s="29"/>
      <c r="TFS6" s="29"/>
      <c r="TFT6" s="29"/>
      <c r="TFU6" s="29"/>
      <c r="TFV6" s="29"/>
      <c r="TFW6" s="29"/>
      <c r="TFX6" s="29"/>
      <c r="TFY6" s="29"/>
      <c r="TFZ6" s="29"/>
      <c r="TGA6" s="29"/>
      <c r="TGB6" s="29"/>
      <c r="TGC6" s="29"/>
      <c r="TGD6" s="29"/>
      <c r="TGE6" s="29"/>
      <c r="TGF6" s="29"/>
      <c r="TGG6" s="29"/>
      <c r="TGH6" s="29"/>
      <c r="TGI6" s="29"/>
      <c r="TGJ6" s="29"/>
      <c r="TGK6" s="29"/>
      <c r="TGL6" s="29"/>
      <c r="TGM6" s="29"/>
      <c r="TGN6" s="29"/>
      <c r="TGO6" s="29"/>
      <c r="TGP6" s="29"/>
      <c r="TGQ6" s="29"/>
      <c r="TGR6" s="29"/>
      <c r="TGS6" s="29"/>
      <c r="TGT6" s="29"/>
      <c r="TGU6" s="29"/>
      <c r="TGV6" s="29"/>
      <c r="TGW6" s="29"/>
      <c r="TGX6" s="29"/>
      <c r="TGY6" s="29"/>
      <c r="TGZ6" s="29"/>
      <c r="THA6" s="29"/>
      <c r="THB6" s="29"/>
      <c r="THC6" s="29"/>
      <c r="THD6" s="29"/>
      <c r="THE6" s="29"/>
      <c r="THF6" s="29"/>
      <c r="THG6" s="29"/>
      <c r="THH6" s="29"/>
      <c r="THI6" s="29"/>
      <c r="THJ6" s="29"/>
      <c r="THK6" s="29"/>
      <c r="THL6" s="29"/>
      <c r="THM6" s="29"/>
      <c r="THN6" s="29"/>
      <c r="THO6" s="29"/>
      <c r="THP6" s="29"/>
      <c r="THQ6" s="29"/>
      <c r="THR6" s="29"/>
      <c r="THS6" s="29"/>
      <c r="THT6" s="29"/>
      <c r="THU6" s="29"/>
      <c r="THV6" s="29"/>
      <c r="THW6" s="29"/>
      <c r="THX6" s="29"/>
      <c r="THY6" s="29"/>
      <c r="THZ6" s="29"/>
      <c r="TIA6" s="29"/>
      <c r="TIB6" s="29"/>
      <c r="TIC6" s="29"/>
      <c r="TID6" s="29"/>
      <c r="TIE6" s="29"/>
      <c r="TIF6" s="29"/>
      <c r="TIG6" s="29"/>
      <c r="TIH6" s="29"/>
      <c r="TII6" s="29"/>
      <c r="TIJ6" s="29"/>
      <c r="TIK6" s="29"/>
      <c r="TIL6" s="29"/>
      <c r="TIM6" s="29"/>
      <c r="TIN6" s="29"/>
      <c r="TIO6" s="29"/>
      <c r="TIP6" s="29"/>
      <c r="TIQ6" s="29"/>
      <c r="TIR6" s="29"/>
      <c r="TIS6" s="29"/>
      <c r="TIT6" s="29"/>
      <c r="TIU6" s="29"/>
      <c r="TIV6" s="29"/>
      <c r="TIW6" s="29"/>
      <c r="TIX6" s="29"/>
      <c r="TIY6" s="29"/>
      <c r="TIZ6" s="29"/>
      <c r="TJA6" s="29"/>
      <c r="TJB6" s="29"/>
      <c r="TJC6" s="29"/>
      <c r="TJD6" s="29"/>
      <c r="TJE6" s="29"/>
      <c r="TJF6" s="29"/>
      <c r="TJG6" s="29"/>
      <c r="TJH6" s="29"/>
      <c r="TJI6" s="29"/>
      <c r="TJJ6" s="29"/>
      <c r="TJK6" s="29"/>
      <c r="TJL6" s="29"/>
      <c r="TJM6" s="29"/>
      <c r="TJN6" s="29"/>
      <c r="TJO6" s="29"/>
      <c r="TJP6" s="29"/>
      <c r="TJQ6" s="29"/>
      <c r="TJR6" s="29"/>
      <c r="TJS6" s="29"/>
      <c r="TJT6" s="29"/>
      <c r="TJU6" s="29"/>
      <c r="TJV6" s="29"/>
      <c r="TJW6" s="29"/>
      <c r="TJX6" s="29"/>
      <c r="TJY6" s="29"/>
      <c r="TJZ6" s="29"/>
      <c r="TKA6" s="29"/>
      <c r="TKB6" s="29"/>
      <c r="TKC6" s="29"/>
      <c r="TKD6" s="29"/>
      <c r="TKE6" s="29"/>
      <c r="TKF6" s="29"/>
      <c r="TKG6" s="29"/>
      <c r="TKH6" s="29"/>
      <c r="TKI6" s="29"/>
      <c r="TKJ6" s="29"/>
      <c r="TKK6" s="29"/>
      <c r="TKL6" s="29"/>
      <c r="TKM6" s="29"/>
      <c r="TKN6" s="29"/>
      <c r="TKO6" s="29"/>
      <c r="TKP6" s="29"/>
      <c r="TKQ6" s="29"/>
      <c r="TKR6" s="29"/>
      <c r="TKS6" s="29"/>
      <c r="TKT6" s="29"/>
      <c r="TKU6" s="29"/>
      <c r="TKV6" s="29"/>
      <c r="TKW6" s="29"/>
      <c r="TKX6" s="29"/>
      <c r="TKY6" s="29"/>
      <c r="TKZ6" s="29"/>
      <c r="TLA6" s="29"/>
      <c r="TLB6" s="29"/>
      <c r="TLC6" s="29"/>
      <c r="TLD6" s="29"/>
      <c r="TLE6" s="29"/>
      <c r="TLF6" s="29"/>
      <c r="TLG6" s="29"/>
      <c r="TLH6" s="29"/>
      <c r="TLI6" s="29"/>
      <c r="TLJ6" s="29"/>
      <c r="TLK6" s="29"/>
      <c r="TLL6" s="29"/>
      <c r="TLM6" s="29"/>
      <c r="TLN6" s="29"/>
      <c r="TLO6" s="29"/>
      <c r="TLP6" s="29"/>
      <c r="TLQ6" s="29"/>
      <c r="TLR6" s="29"/>
      <c r="TLS6" s="29"/>
      <c r="TLT6" s="29"/>
      <c r="TLU6" s="29"/>
      <c r="TLV6" s="29"/>
      <c r="TLW6" s="29"/>
      <c r="TLX6" s="29"/>
      <c r="TLY6" s="29"/>
      <c r="TLZ6" s="29"/>
      <c r="TMA6" s="29"/>
      <c r="TMB6" s="29"/>
      <c r="TMC6" s="29"/>
      <c r="TMD6" s="29"/>
      <c r="TME6" s="29"/>
      <c r="TMF6" s="29"/>
      <c r="TMG6" s="29"/>
      <c r="TMH6" s="29"/>
      <c r="TMI6" s="29"/>
      <c r="TMJ6" s="29"/>
      <c r="TMK6" s="29"/>
      <c r="TML6" s="29"/>
      <c r="TMM6" s="29"/>
      <c r="TMN6" s="29"/>
      <c r="TMO6" s="29"/>
      <c r="TMP6" s="29"/>
      <c r="TMQ6" s="29"/>
      <c r="TMR6" s="29"/>
      <c r="TMS6" s="29"/>
      <c r="TMT6" s="29"/>
      <c r="TMU6" s="29"/>
      <c r="TMV6" s="29"/>
      <c r="TMW6" s="29"/>
      <c r="TMX6" s="29"/>
      <c r="TMY6" s="29"/>
      <c r="TMZ6" s="29"/>
      <c r="TNA6" s="29"/>
      <c r="TNB6" s="29"/>
      <c r="TNC6" s="29"/>
      <c r="TND6" s="29"/>
      <c r="TNE6" s="29"/>
      <c r="TNF6" s="29"/>
      <c r="TNG6" s="29"/>
      <c r="TNH6" s="29"/>
      <c r="TNI6" s="29"/>
      <c r="TNJ6" s="29"/>
      <c r="TNK6" s="29"/>
      <c r="TNL6" s="29"/>
      <c r="TNM6" s="29"/>
      <c r="TNN6" s="29"/>
      <c r="TNO6" s="29"/>
      <c r="TNP6" s="29"/>
      <c r="TNQ6" s="29"/>
      <c r="TNR6" s="29"/>
      <c r="TNS6" s="29"/>
      <c r="TNT6" s="29"/>
      <c r="TNU6" s="29"/>
      <c r="TNV6" s="29"/>
      <c r="TNW6" s="29"/>
      <c r="TNX6" s="29"/>
      <c r="TNY6" s="29"/>
      <c r="TNZ6" s="29"/>
      <c r="TOA6" s="29"/>
      <c r="TOB6" s="29"/>
      <c r="TOC6" s="29"/>
      <c r="TOD6" s="29"/>
      <c r="TOE6" s="29"/>
      <c r="TOF6" s="29"/>
      <c r="TOG6" s="29"/>
      <c r="TOH6" s="29"/>
      <c r="TOI6" s="29"/>
      <c r="TOJ6" s="29"/>
      <c r="TOK6" s="29"/>
      <c r="TOL6" s="29"/>
      <c r="TOM6" s="29"/>
      <c r="TON6" s="29"/>
      <c r="TOO6" s="29"/>
      <c r="TOP6" s="29"/>
      <c r="TOQ6" s="29"/>
      <c r="TOR6" s="29"/>
      <c r="TOS6" s="29"/>
      <c r="TOT6" s="29"/>
      <c r="TOU6" s="29"/>
      <c r="TOV6" s="29"/>
      <c r="TOW6" s="29"/>
      <c r="TOX6" s="29"/>
      <c r="TOY6" s="29"/>
      <c r="TOZ6" s="29"/>
      <c r="TPA6" s="29"/>
      <c r="TPB6" s="29"/>
      <c r="TPC6" s="29"/>
      <c r="TPD6" s="29"/>
      <c r="TPE6" s="29"/>
      <c r="TPF6" s="29"/>
      <c r="TPG6" s="29"/>
      <c r="TPH6" s="29"/>
      <c r="TPI6" s="29"/>
      <c r="TPJ6" s="29"/>
      <c r="TPK6" s="29"/>
      <c r="TPL6" s="29"/>
      <c r="TPM6" s="29"/>
      <c r="TPN6" s="29"/>
      <c r="TPO6" s="29"/>
      <c r="TPP6" s="29"/>
      <c r="TPQ6" s="29"/>
      <c r="TPR6" s="29"/>
      <c r="TPS6" s="29"/>
      <c r="TPT6" s="29"/>
      <c r="TPU6" s="29"/>
      <c r="TPV6" s="29"/>
      <c r="TPW6" s="29"/>
      <c r="TPX6" s="29"/>
      <c r="TPY6" s="29"/>
      <c r="TPZ6" s="29"/>
      <c r="TQA6" s="29"/>
      <c r="TQB6" s="29"/>
      <c r="TQC6" s="29"/>
      <c r="TQD6" s="29"/>
      <c r="TQE6" s="29"/>
      <c r="TQF6" s="29"/>
      <c r="TQG6" s="29"/>
      <c r="TQH6" s="29"/>
      <c r="TQI6" s="29"/>
      <c r="TQJ6" s="29"/>
      <c r="TQK6" s="29"/>
      <c r="TQL6" s="29"/>
      <c r="TQM6" s="29"/>
      <c r="TQN6" s="29"/>
      <c r="TQO6" s="29"/>
      <c r="TQP6" s="29"/>
      <c r="TQQ6" s="29"/>
      <c r="TQR6" s="29"/>
      <c r="TQS6" s="29"/>
      <c r="TQT6" s="29"/>
      <c r="TQU6" s="29"/>
      <c r="TQV6" s="29"/>
      <c r="TQW6" s="29"/>
      <c r="TQX6" s="29"/>
      <c r="TQY6" s="29"/>
      <c r="TQZ6" s="29"/>
      <c r="TRA6" s="29"/>
      <c r="TRB6" s="29"/>
      <c r="TRC6" s="29"/>
      <c r="TRD6" s="29"/>
      <c r="TRE6" s="29"/>
      <c r="TRF6" s="29"/>
      <c r="TRG6" s="29"/>
      <c r="TRH6" s="29"/>
      <c r="TRI6" s="29"/>
      <c r="TRJ6" s="29"/>
      <c r="TRK6" s="29"/>
      <c r="TRL6" s="29"/>
      <c r="TRM6" s="29"/>
      <c r="TRN6" s="29"/>
      <c r="TRO6" s="29"/>
      <c r="TRP6" s="29"/>
      <c r="TRQ6" s="29"/>
      <c r="TRR6" s="29"/>
      <c r="TRS6" s="29"/>
      <c r="TRT6" s="29"/>
      <c r="TRU6" s="29"/>
      <c r="TRV6" s="29"/>
      <c r="TRW6" s="29"/>
      <c r="TRX6" s="29"/>
      <c r="TRY6" s="29"/>
      <c r="TRZ6" s="29"/>
      <c r="TSA6" s="29"/>
      <c r="TSB6" s="29"/>
      <c r="TSC6" s="29"/>
      <c r="TSD6" s="29"/>
      <c r="TSE6" s="29"/>
      <c r="TSF6" s="29"/>
      <c r="TSG6" s="29"/>
      <c r="TSH6" s="29"/>
      <c r="TSI6" s="29"/>
      <c r="TSJ6" s="29"/>
      <c r="TSK6" s="29"/>
      <c r="TSL6" s="29"/>
      <c r="TSM6" s="29"/>
      <c r="TSN6" s="29"/>
      <c r="TSO6" s="29"/>
      <c r="TSP6" s="29"/>
      <c r="TSQ6" s="29"/>
      <c r="TSR6" s="29"/>
      <c r="TSS6" s="29"/>
      <c r="TST6" s="29"/>
      <c r="TSU6" s="29"/>
      <c r="TSV6" s="29"/>
      <c r="TSW6" s="29"/>
      <c r="TSX6" s="29"/>
      <c r="TSY6" s="29"/>
      <c r="TSZ6" s="29"/>
      <c r="TTA6" s="29"/>
      <c r="TTB6" s="29"/>
      <c r="TTC6" s="29"/>
      <c r="TTD6" s="29"/>
      <c r="TTE6" s="29"/>
      <c r="TTF6" s="29"/>
      <c r="TTG6" s="29"/>
      <c r="TTH6" s="29"/>
      <c r="TTI6" s="29"/>
      <c r="TTJ6" s="29"/>
      <c r="TTK6" s="29"/>
      <c r="TTL6" s="29"/>
      <c r="TTM6" s="29"/>
      <c r="TTN6" s="29"/>
      <c r="TTO6" s="29"/>
      <c r="TTP6" s="29"/>
      <c r="TTQ6" s="29"/>
      <c r="TTR6" s="29"/>
      <c r="TTS6" s="29"/>
      <c r="TTT6" s="29"/>
      <c r="TTU6" s="29"/>
      <c r="TTV6" s="29"/>
      <c r="TTW6" s="29"/>
      <c r="TTX6" s="29"/>
      <c r="TTY6" s="29"/>
      <c r="TTZ6" s="29"/>
      <c r="TUA6" s="29"/>
      <c r="TUB6" s="29"/>
      <c r="TUC6" s="29"/>
      <c r="TUD6" s="29"/>
      <c r="TUE6" s="29"/>
      <c r="TUF6" s="29"/>
      <c r="TUG6" s="29"/>
      <c r="TUH6" s="29"/>
      <c r="TUI6" s="29"/>
      <c r="TUJ6" s="29"/>
      <c r="TUK6" s="29"/>
      <c r="TUL6" s="29"/>
      <c r="TUM6" s="29"/>
      <c r="TUN6" s="29"/>
      <c r="TUO6" s="29"/>
      <c r="TUP6" s="29"/>
      <c r="TUQ6" s="29"/>
      <c r="TUR6" s="29"/>
      <c r="TUS6" s="29"/>
      <c r="TUT6" s="29"/>
      <c r="TUU6" s="29"/>
      <c r="TUV6" s="29"/>
      <c r="TUW6" s="29"/>
      <c r="TUX6" s="29"/>
      <c r="TUY6" s="29"/>
      <c r="TUZ6" s="29"/>
      <c r="TVA6" s="29"/>
      <c r="TVB6" s="29"/>
      <c r="TVC6" s="29"/>
      <c r="TVD6" s="29"/>
      <c r="TVE6" s="29"/>
      <c r="TVF6" s="29"/>
      <c r="TVG6" s="29"/>
      <c r="TVH6" s="29"/>
      <c r="TVI6" s="29"/>
      <c r="TVJ6" s="29"/>
      <c r="TVK6" s="29"/>
      <c r="TVL6" s="29"/>
      <c r="TVM6" s="29"/>
      <c r="TVN6" s="29"/>
      <c r="TVO6" s="29"/>
      <c r="TVP6" s="29"/>
      <c r="TVQ6" s="29"/>
      <c r="TVR6" s="29"/>
      <c r="TVS6" s="29"/>
      <c r="TVT6" s="29"/>
      <c r="TVU6" s="29"/>
      <c r="TVV6" s="29"/>
      <c r="TVW6" s="29"/>
      <c r="TVX6" s="29"/>
      <c r="TVY6" s="29"/>
      <c r="TVZ6" s="29"/>
      <c r="TWA6" s="29"/>
      <c r="TWB6" s="29"/>
      <c r="TWC6" s="29"/>
      <c r="TWD6" s="29"/>
      <c r="TWE6" s="29"/>
      <c r="TWF6" s="29"/>
      <c r="TWG6" s="29"/>
      <c r="TWH6" s="29"/>
      <c r="TWI6" s="29"/>
      <c r="TWJ6" s="29"/>
      <c r="TWK6" s="29"/>
      <c r="TWL6" s="29"/>
      <c r="TWM6" s="29"/>
      <c r="TWN6" s="29"/>
      <c r="TWO6" s="29"/>
      <c r="TWP6" s="29"/>
      <c r="TWQ6" s="29"/>
      <c r="TWR6" s="29"/>
      <c r="TWS6" s="29"/>
      <c r="TWT6" s="29"/>
      <c r="TWU6" s="29"/>
      <c r="TWV6" s="29"/>
      <c r="TWW6" s="29"/>
      <c r="TWX6" s="29"/>
      <c r="TWY6" s="29"/>
      <c r="TWZ6" s="29"/>
      <c r="TXA6" s="29"/>
      <c r="TXB6" s="29"/>
      <c r="TXC6" s="29"/>
      <c r="TXD6" s="29"/>
      <c r="TXE6" s="29"/>
      <c r="TXF6" s="29"/>
      <c r="TXG6" s="29"/>
      <c r="TXH6" s="29"/>
      <c r="TXI6" s="29"/>
      <c r="TXJ6" s="29"/>
      <c r="TXK6" s="29"/>
      <c r="TXL6" s="29"/>
      <c r="TXM6" s="29"/>
      <c r="TXN6" s="29"/>
      <c r="TXO6" s="29"/>
      <c r="TXP6" s="29"/>
      <c r="TXQ6" s="29"/>
      <c r="TXR6" s="29"/>
      <c r="TXS6" s="29"/>
      <c r="TXT6" s="29"/>
      <c r="TXU6" s="29"/>
      <c r="TXV6" s="29"/>
      <c r="TXW6" s="29"/>
      <c r="TXX6" s="29"/>
      <c r="TXY6" s="29"/>
      <c r="TXZ6" s="29"/>
      <c r="TYA6" s="29"/>
      <c r="TYB6" s="29"/>
      <c r="TYC6" s="29"/>
      <c r="TYD6" s="29"/>
      <c r="TYE6" s="29"/>
      <c r="TYF6" s="29"/>
      <c r="TYG6" s="29"/>
      <c r="TYH6" s="29"/>
      <c r="TYI6" s="29"/>
      <c r="TYJ6" s="29"/>
      <c r="TYK6" s="29"/>
      <c r="TYL6" s="29"/>
      <c r="TYM6" s="29"/>
      <c r="TYN6" s="29"/>
      <c r="TYO6" s="29"/>
      <c r="TYP6" s="29"/>
      <c r="TYQ6" s="29"/>
      <c r="TYR6" s="29"/>
      <c r="TYS6" s="29"/>
      <c r="TYT6" s="29"/>
      <c r="TYU6" s="29"/>
      <c r="TYV6" s="29"/>
      <c r="TYW6" s="29"/>
      <c r="TYX6" s="29"/>
      <c r="TYY6" s="29"/>
      <c r="TYZ6" s="29"/>
      <c r="TZA6" s="29"/>
      <c r="TZB6" s="29"/>
      <c r="TZC6" s="29"/>
      <c r="TZD6" s="29"/>
      <c r="TZE6" s="29"/>
      <c r="TZF6" s="29"/>
      <c r="TZG6" s="29"/>
      <c r="TZH6" s="29"/>
      <c r="TZI6" s="29"/>
      <c r="TZJ6" s="29"/>
      <c r="TZK6" s="29"/>
      <c r="TZL6" s="29"/>
      <c r="TZM6" s="29"/>
      <c r="TZN6" s="29"/>
      <c r="TZO6" s="29"/>
      <c r="TZP6" s="29"/>
      <c r="TZQ6" s="29"/>
      <c r="TZR6" s="29"/>
      <c r="TZS6" s="29"/>
      <c r="TZT6" s="29"/>
      <c r="TZU6" s="29"/>
      <c r="TZV6" s="29"/>
      <c r="TZW6" s="29"/>
      <c r="TZX6" s="29"/>
      <c r="TZY6" s="29"/>
      <c r="TZZ6" s="29"/>
      <c r="UAA6" s="29"/>
      <c r="UAB6" s="29"/>
      <c r="UAC6" s="29"/>
      <c r="UAD6" s="29"/>
      <c r="UAE6" s="29"/>
      <c r="UAF6" s="29"/>
      <c r="UAG6" s="29"/>
      <c r="UAH6" s="29"/>
      <c r="UAI6" s="29"/>
      <c r="UAJ6" s="29"/>
      <c r="UAK6" s="29"/>
      <c r="UAL6" s="29"/>
      <c r="UAM6" s="29"/>
      <c r="UAN6" s="29"/>
      <c r="UAO6" s="29"/>
      <c r="UAP6" s="29"/>
      <c r="UAQ6" s="29"/>
      <c r="UAR6" s="29"/>
      <c r="UAS6" s="29"/>
      <c r="UAT6" s="29"/>
      <c r="UAU6" s="29"/>
      <c r="UAV6" s="29"/>
      <c r="UAW6" s="29"/>
      <c r="UAX6" s="29"/>
      <c r="UAY6" s="29"/>
      <c r="UAZ6" s="29"/>
      <c r="UBA6" s="29"/>
      <c r="UBB6" s="29"/>
      <c r="UBC6" s="29"/>
      <c r="UBD6" s="29"/>
      <c r="UBE6" s="29"/>
      <c r="UBF6" s="29"/>
      <c r="UBG6" s="29"/>
      <c r="UBH6" s="29"/>
      <c r="UBI6" s="29"/>
      <c r="UBJ6" s="29"/>
      <c r="UBK6" s="29"/>
      <c r="UBL6" s="29"/>
      <c r="UBM6" s="29"/>
      <c r="UBN6" s="29"/>
      <c r="UBO6" s="29"/>
      <c r="UBP6" s="29"/>
      <c r="UBQ6" s="29"/>
      <c r="UBR6" s="29"/>
      <c r="UBS6" s="29"/>
      <c r="UBT6" s="29"/>
      <c r="UBU6" s="29"/>
      <c r="UBV6" s="29"/>
      <c r="UBW6" s="29"/>
      <c r="UBX6" s="29"/>
      <c r="UBY6" s="29"/>
      <c r="UBZ6" s="29"/>
      <c r="UCA6" s="29"/>
      <c r="UCB6" s="29"/>
      <c r="UCC6" s="29"/>
      <c r="UCD6" s="29"/>
      <c r="UCE6" s="29"/>
      <c r="UCF6" s="29"/>
      <c r="UCG6" s="29"/>
      <c r="UCH6" s="29"/>
      <c r="UCI6" s="29"/>
      <c r="UCJ6" s="29"/>
      <c r="UCK6" s="29"/>
      <c r="UCL6" s="29"/>
      <c r="UCM6" s="29"/>
      <c r="UCN6" s="29"/>
      <c r="UCO6" s="29"/>
      <c r="UCP6" s="29"/>
      <c r="UCQ6" s="29"/>
      <c r="UCR6" s="29"/>
      <c r="UCS6" s="29"/>
      <c r="UCT6" s="29"/>
      <c r="UCU6" s="29"/>
      <c r="UCV6" s="29"/>
      <c r="UCW6" s="29"/>
      <c r="UCX6" s="29"/>
      <c r="UCY6" s="29"/>
      <c r="UCZ6" s="29"/>
      <c r="UDA6" s="29"/>
      <c r="UDB6" s="29"/>
      <c r="UDC6" s="29"/>
      <c r="UDD6" s="29"/>
      <c r="UDE6" s="29"/>
      <c r="UDF6" s="29"/>
      <c r="UDG6" s="29"/>
      <c r="UDH6" s="29"/>
      <c r="UDI6" s="29"/>
      <c r="UDJ6" s="29"/>
      <c r="UDK6" s="29"/>
      <c r="UDL6" s="29"/>
      <c r="UDM6" s="29"/>
      <c r="UDN6" s="29"/>
      <c r="UDO6" s="29"/>
      <c r="UDP6" s="29"/>
      <c r="UDQ6" s="29"/>
      <c r="UDR6" s="29"/>
      <c r="UDS6" s="29"/>
      <c r="UDT6" s="29"/>
      <c r="UDU6" s="29"/>
      <c r="UDV6" s="29"/>
      <c r="UDW6" s="29"/>
      <c r="UDX6" s="29"/>
      <c r="UDY6" s="29"/>
      <c r="UDZ6" s="29"/>
      <c r="UEA6" s="29"/>
      <c r="UEB6" s="29"/>
      <c r="UEC6" s="29"/>
      <c r="UED6" s="29"/>
      <c r="UEE6" s="29"/>
      <c r="UEF6" s="29"/>
      <c r="UEG6" s="29"/>
      <c r="UEH6" s="29"/>
      <c r="UEI6" s="29"/>
      <c r="UEJ6" s="29"/>
      <c r="UEK6" s="29"/>
      <c r="UEL6" s="29"/>
      <c r="UEM6" s="29"/>
      <c r="UEN6" s="29"/>
      <c r="UEO6" s="29"/>
      <c r="UEP6" s="29"/>
      <c r="UEQ6" s="29"/>
      <c r="UER6" s="29"/>
      <c r="UES6" s="29"/>
      <c r="UET6" s="29"/>
      <c r="UEU6" s="29"/>
      <c r="UEV6" s="29"/>
      <c r="UEW6" s="29"/>
      <c r="UEX6" s="29"/>
      <c r="UEY6" s="29"/>
      <c r="UEZ6" s="29"/>
      <c r="UFA6" s="29"/>
      <c r="UFB6" s="29"/>
      <c r="UFC6" s="29"/>
      <c r="UFD6" s="29"/>
      <c r="UFE6" s="29"/>
      <c r="UFF6" s="29"/>
      <c r="UFG6" s="29"/>
      <c r="UFH6" s="29"/>
      <c r="UFI6" s="29"/>
      <c r="UFJ6" s="29"/>
      <c r="UFK6" s="29"/>
      <c r="UFL6" s="29"/>
      <c r="UFM6" s="29"/>
      <c r="UFN6" s="29"/>
      <c r="UFO6" s="29"/>
      <c r="UFP6" s="29"/>
      <c r="UFQ6" s="29"/>
      <c r="UFR6" s="29"/>
      <c r="UFS6" s="29"/>
      <c r="UFT6" s="29"/>
      <c r="UFU6" s="29"/>
      <c r="UFV6" s="29"/>
      <c r="UFW6" s="29"/>
      <c r="UFX6" s="29"/>
      <c r="UFY6" s="29"/>
      <c r="UFZ6" s="29"/>
      <c r="UGA6" s="29"/>
      <c r="UGB6" s="29"/>
      <c r="UGC6" s="29"/>
      <c r="UGD6" s="29"/>
      <c r="UGE6" s="29"/>
      <c r="UGF6" s="29"/>
      <c r="UGG6" s="29"/>
      <c r="UGH6" s="29"/>
      <c r="UGI6" s="29"/>
      <c r="UGJ6" s="29"/>
      <c r="UGK6" s="29"/>
      <c r="UGL6" s="29"/>
      <c r="UGM6" s="29"/>
      <c r="UGN6" s="29"/>
      <c r="UGO6" s="29"/>
      <c r="UGP6" s="29"/>
      <c r="UGQ6" s="29"/>
      <c r="UGR6" s="29"/>
      <c r="UGS6" s="29"/>
      <c r="UGT6" s="29"/>
      <c r="UGU6" s="29"/>
      <c r="UGV6" s="29"/>
      <c r="UGW6" s="29"/>
      <c r="UGX6" s="29"/>
      <c r="UGY6" s="29"/>
      <c r="UGZ6" s="29"/>
      <c r="UHA6" s="29"/>
      <c r="UHB6" s="29"/>
      <c r="UHC6" s="29"/>
      <c r="UHD6" s="29"/>
      <c r="UHE6" s="29"/>
      <c r="UHF6" s="29"/>
      <c r="UHG6" s="29"/>
      <c r="UHH6" s="29"/>
      <c r="UHI6" s="29"/>
      <c r="UHJ6" s="29"/>
      <c r="UHK6" s="29"/>
      <c r="UHL6" s="29"/>
      <c r="UHM6" s="29"/>
      <c r="UHN6" s="29"/>
      <c r="UHO6" s="29"/>
      <c r="UHP6" s="29"/>
      <c r="UHQ6" s="29"/>
      <c r="UHR6" s="29"/>
      <c r="UHS6" s="29"/>
      <c r="UHT6" s="29"/>
      <c r="UHU6" s="29"/>
      <c r="UHV6" s="29"/>
      <c r="UHW6" s="29"/>
      <c r="UHX6" s="29"/>
      <c r="UHY6" s="29"/>
      <c r="UHZ6" s="29"/>
      <c r="UIA6" s="29"/>
      <c r="UIB6" s="29"/>
      <c r="UIC6" s="29"/>
      <c r="UID6" s="29"/>
      <c r="UIE6" s="29"/>
      <c r="UIF6" s="29"/>
      <c r="UIG6" s="29"/>
      <c r="UIH6" s="29"/>
      <c r="UII6" s="29"/>
      <c r="UIJ6" s="29"/>
      <c r="UIK6" s="29"/>
      <c r="UIL6" s="29"/>
      <c r="UIM6" s="29"/>
      <c r="UIN6" s="29"/>
      <c r="UIO6" s="29"/>
      <c r="UIP6" s="29"/>
      <c r="UIQ6" s="29"/>
      <c r="UIR6" s="29"/>
      <c r="UIS6" s="29"/>
      <c r="UIT6" s="29"/>
      <c r="UIU6" s="29"/>
      <c r="UIV6" s="29"/>
      <c r="UIW6" s="29"/>
      <c r="UIX6" s="29"/>
      <c r="UIY6" s="29"/>
      <c r="UIZ6" s="29"/>
      <c r="UJA6" s="29"/>
      <c r="UJB6" s="29"/>
      <c r="UJC6" s="29"/>
      <c r="UJD6" s="29"/>
      <c r="UJE6" s="29"/>
      <c r="UJF6" s="29"/>
      <c r="UJG6" s="29"/>
      <c r="UJH6" s="29"/>
      <c r="UJI6" s="29"/>
      <c r="UJJ6" s="29"/>
      <c r="UJK6" s="29"/>
      <c r="UJL6" s="29"/>
      <c r="UJM6" s="29"/>
      <c r="UJN6" s="29"/>
      <c r="UJO6" s="29"/>
      <c r="UJP6" s="29"/>
      <c r="UJQ6" s="29"/>
      <c r="UJR6" s="29"/>
      <c r="UJS6" s="29"/>
      <c r="UJT6" s="29"/>
      <c r="UJU6" s="29"/>
      <c r="UJV6" s="29"/>
      <c r="UJW6" s="29"/>
      <c r="UJX6" s="29"/>
      <c r="UJY6" s="29"/>
      <c r="UJZ6" s="29"/>
      <c r="UKA6" s="29"/>
      <c r="UKB6" s="29"/>
      <c r="UKC6" s="29"/>
      <c r="UKD6" s="29"/>
      <c r="UKE6" s="29"/>
      <c r="UKF6" s="29"/>
      <c r="UKG6" s="29"/>
      <c r="UKH6" s="29"/>
      <c r="UKI6" s="29"/>
      <c r="UKJ6" s="29"/>
      <c r="UKK6" s="29"/>
      <c r="UKL6" s="29"/>
      <c r="UKM6" s="29"/>
      <c r="UKN6" s="29"/>
      <c r="UKO6" s="29"/>
      <c r="UKP6" s="29"/>
      <c r="UKQ6" s="29"/>
      <c r="UKR6" s="29"/>
      <c r="UKS6" s="29"/>
      <c r="UKT6" s="29"/>
      <c r="UKU6" s="29"/>
      <c r="UKV6" s="29"/>
      <c r="UKW6" s="29"/>
      <c r="UKX6" s="29"/>
      <c r="UKY6" s="29"/>
      <c r="UKZ6" s="29"/>
      <c r="ULA6" s="29"/>
      <c r="ULB6" s="29"/>
      <c r="ULC6" s="29"/>
      <c r="ULD6" s="29"/>
      <c r="ULE6" s="29"/>
      <c r="ULF6" s="29"/>
      <c r="ULG6" s="29"/>
      <c r="ULH6" s="29"/>
      <c r="ULI6" s="29"/>
      <c r="ULJ6" s="29"/>
      <c r="ULK6" s="29"/>
      <c r="ULL6" s="29"/>
      <c r="ULM6" s="29"/>
      <c r="ULN6" s="29"/>
      <c r="ULO6" s="29"/>
      <c r="ULP6" s="29"/>
      <c r="ULQ6" s="29"/>
      <c r="ULR6" s="29"/>
      <c r="ULS6" s="29"/>
      <c r="ULT6" s="29"/>
      <c r="ULU6" s="29"/>
      <c r="ULV6" s="29"/>
      <c r="ULW6" s="29"/>
      <c r="ULX6" s="29"/>
      <c r="ULY6" s="29"/>
      <c r="ULZ6" s="29"/>
      <c r="UMA6" s="29"/>
      <c r="UMB6" s="29"/>
      <c r="UMC6" s="29"/>
      <c r="UMD6" s="29"/>
      <c r="UME6" s="29"/>
      <c r="UMF6" s="29"/>
      <c r="UMG6" s="29"/>
      <c r="UMH6" s="29"/>
      <c r="UMI6" s="29"/>
      <c r="UMJ6" s="29"/>
      <c r="UMK6" s="29"/>
      <c r="UML6" s="29"/>
      <c r="UMM6" s="29"/>
      <c r="UMN6" s="29"/>
      <c r="UMO6" s="29"/>
      <c r="UMP6" s="29"/>
      <c r="UMQ6" s="29"/>
      <c r="UMR6" s="29"/>
      <c r="UMS6" s="29"/>
      <c r="UMT6" s="29"/>
      <c r="UMU6" s="29"/>
      <c r="UMV6" s="29"/>
      <c r="UMW6" s="29"/>
      <c r="UMX6" s="29"/>
      <c r="UMY6" s="29"/>
      <c r="UMZ6" s="29"/>
      <c r="UNA6" s="29"/>
      <c r="UNB6" s="29"/>
      <c r="UNC6" s="29"/>
      <c r="UND6" s="29"/>
      <c r="UNE6" s="29"/>
      <c r="UNF6" s="29"/>
      <c r="UNG6" s="29"/>
      <c r="UNH6" s="29"/>
      <c r="UNI6" s="29"/>
      <c r="UNJ6" s="29"/>
      <c r="UNK6" s="29"/>
      <c r="UNL6" s="29"/>
      <c r="UNM6" s="29"/>
      <c r="UNN6" s="29"/>
      <c r="UNO6" s="29"/>
      <c r="UNP6" s="29"/>
      <c r="UNQ6" s="29"/>
      <c r="UNR6" s="29"/>
      <c r="UNS6" s="29"/>
      <c r="UNT6" s="29"/>
      <c r="UNU6" s="29"/>
      <c r="UNV6" s="29"/>
      <c r="UNW6" s="29"/>
      <c r="UNX6" s="29"/>
      <c r="UNY6" s="29"/>
      <c r="UNZ6" s="29"/>
      <c r="UOA6" s="29"/>
      <c r="UOB6" s="29"/>
      <c r="UOC6" s="29"/>
      <c r="UOD6" s="29"/>
      <c r="UOE6" s="29"/>
      <c r="UOF6" s="29"/>
      <c r="UOG6" s="29"/>
      <c r="UOH6" s="29"/>
      <c r="UOI6" s="29"/>
      <c r="UOJ6" s="29"/>
      <c r="UOK6" s="29"/>
      <c r="UOL6" s="29"/>
      <c r="UOM6" s="29"/>
      <c r="UON6" s="29"/>
      <c r="UOO6" s="29"/>
      <c r="UOP6" s="29"/>
      <c r="UOQ6" s="29"/>
      <c r="UOR6" s="29"/>
      <c r="UOS6" s="29"/>
      <c r="UOT6" s="29"/>
      <c r="UOU6" s="29"/>
      <c r="UOV6" s="29"/>
      <c r="UOW6" s="29"/>
      <c r="UOX6" s="29"/>
      <c r="UOY6" s="29"/>
      <c r="UOZ6" s="29"/>
      <c r="UPA6" s="29"/>
      <c r="UPB6" s="29"/>
      <c r="UPC6" s="29"/>
      <c r="UPD6" s="29"/>
      <c r="UPE6" s="29"/>
      <c r="UPF6" s="29"/>
      <c r="UPG6" s="29"/>
      <c r="UPH6" s="29"/>
      <c r="UPI6" s="29"/>
      <c r="UPJ6" s="29"/>
      <c r="UPK6" s="29"/>
      <c r="UPL6" s="29"/>
      <c r="UPM6" s="29"/>
      <c r="UPN6" s="29"/>
      <c r="UPO6" s="29"/>
      <c r="UPP6" s="29"/>
      <c r="UPQ6" s="29"/>
      <c r="UPR6" s="29"/>
      <c r="UPS6" s="29"/>
      <c r="UPT6" s="29"/>
      <c r="UPU6" s="29"/>
      <c r="UPV6" s="29"/>
      <c r="UPW6" s="29"/>
      <c r="UPX6" s="29"/>
      <c r="UPY6" s="29"/>
      <c r="UPZ6" s="29"/>
      <c r="UQA6" s="29"/>
      <c r="UQB6" s="29"/>
      <c r="UQC6" s="29"/>
      <c r="UQD6" s="29"/>
      <c r="UQE6" s="29"/>
      <c r="UQF6" s="29"/>
      <c r="UQG6" s="29"/>
      <c r="UQH6" s="29"/>
      <c r="UQI6" s="29"/>
      <c r="UQJ6" s="29"/>
      <c r="UQK6" s="29"/>
      <c r="UQL6" s="29"/>
      <c r="UQM6" s="29"/>
      <c r="UQN6" s="29"/>
      <c r="UQO6" s="29"/>
      <c r="UQP6" s="29"/>
      <c r="UQQ6" s="29"/>
      <c r="UQR6" s="29"/>
      <c r="UQS6" s="29"/>
      <c r="UQT6" s="29"/>
      <c r="UQU6" s="29"/>
      <c r="UQV6" s="29"/>
      <c r="UQW6" s="29"/>
      <c r="UQX6" s="29"/>
      <c r="UQY6" s="29"/>
      <c r="UQZ6" s="29"/>
      <c r="URA6" s="29"/>
      <c r="URB6" s="29"/>
      <c r="URC6" s="29"/>
      <c r="URD6" s="29"/>
      <c r="URE6" s="29"/>
      <c r="URF6" s="29"/>
      <c r="URG6" s="29"/>
      <c r="URH6" s="29"/>
      <c r="URI6" s="29"/>
      <c r="URJ6" s="29"/>
      <c r="URK6" s="29"/>
      <c r="URL6" s="29"/>
      <c r="URM6" s="29"/>
      <c r="URN6" s="29"/>
      <c r="URO6" s="29"/>
      <c r="URP6" s="29"/>
      <c r="URQ6" s="29"/>
      <c r="URR6" s="29"/>
      <c r="URS6" s="29"/>
      <c r="URT6" s="29"/>
      <c r="URU6" s="29"/>
      <c r="URV6" s="29"/>
      <c r="URW6" s="29"/>
      <c r="URX6" s="29"/>
      <c r="URY6" s="29"/>
      <c r="URZ6" s="29"/>
      <c r="USA6" s="29"/>
      <c r="USB6" s="29"/>
      <c r="USC6" s="29"/>
      <c r="USD6" s="29"/>
      <c r="USE6" s="29"/>
      <c r="USF6" s="29"/>
      <c r="USG6" s="29"/>
      <c r="USH6" s="29"/>
      <c r="USI6" s="29"/>
      <c r="USJ6" s="29"/>
      <c r="USK6" s="29"/>
      <c r="USL6" s="29"/>
      <c r="USM6" s="29"/>
      <c r="USN6" s="29"/>
      <c r="USO6" s="29"/>
      <c r="USP6" s="29"/>
      <c r="USQ6" s="29"/>
      <c r="USR6" s="29"/>
      <c r="USS6" s="29"/>
      <c r="UST6" s="29"/>
      <c r="USU6" s="29"/>
      <c r="USV6" s="29"/>
      <c r="USW6" s="29"/>
      <c r="USX6" s="29"/>
      <c r="USY6" s="29"/>
      <c r="USZ6" s="29"/>
      <c r="UTA6" s="29"/>
      <c r="UTB6" s="29"/>
      <c r="UTC6" s="29"/>
      <c r="UTD6" s="29"/>
      <c r="UTE6" s="29"/>
      <c r="UTF6" s="29"/>
      <c r="UTG6" s="29"/>
      <c r="UTH6" s="29"/>
      <c r="UTI6" s="29"/>
      <c r="UTJ6" s="29"/>
      <c r="UTK6" s="29"/>
      <c r="UTL6" s="29"/>
      <c r="UTM6" s="29"/>
      <c r="UTN6" s="29"/>
      <c r="UTO6" s="29"/>
      <c r="UTP6" s="29"/>
      <c r="UTQ6" s="29"/>
      <c r="UTR6" s="29"/>
      <c r="UTS6" s="29"/>
      <c r="UTT6" s="29"/>
      <c r="UTU6" s="29"/>
      <c r="UTV6" s="29"/>
      <c r="UTW6" s="29"/>
      <c r="UTX6" s="29"/>
      <c r="UTY6" s="29"/>
      <c r="UTZ6" s="29"/>
      <c r="UUA6" s="29"/>
      <c r="UUB6" s="29"/>
      <c r="UUC6" s="29"/>
      <c r="UUD6" s="29"/>
      <c r="UUE6" s="29"/>
      <c r="UUF6" s="29"/>
      <c r="UUG6" s="29"/>
      <c r="UUH6" s="29"/>
      <c r="UUI6" s="29"/>
      <c r="UUJ6" s="29"/>
      <c r="UUK6" s="29"/>
      <c r="UUL6" s="29"/>
      <c r="UUM6" s="29"/>
      <c r="UUN6" s="29"/>
      <c r="UUO6" s="29"/>
      <c r="UUP6" s="29"/>
      <c r="UUQ6" s="29"/>
      <c r="UUR6" s="29"/>
      <c r="UUS6" s="29"/>
      <c r="UUT6" s="29"/>
      <c r="UUU6" s="29"/>
      <c r="UUV6" s="29"/>
      <c r="UUW6" s="29"/>
      <c r="UUX6" s="29"/>
      <c r="UUY6" s="29"/>
      <c r="UUZ6" s="29"/>
      <c r="UVA6" s="29"/>
      <c r="UVB6" s="29"/>
      <c r="UVC6" s="29"/>
      <c r="UVD6" s="29"/>
      <c r="UVE6" s="29"/>
      <c r="UVF6" s="29"/>
      <c r="UVG6" s="29"/>
      <c r="UVH6" s="29"/>
      <c r="UVI6" s="29"/>
      <c r="UVJ6" s="29"/>
      <c r="UVK6" s="29"/>
      <c r="UVL6" s="29"/>
      <c r="UVM6" s="29"/>
      <c r="UVN6" s="29"/>
      <c r="UVO6" s="29"/>
      <c r="UVP6" s="29"/>
      <c r="UVQ6" s="29"/>
      <c r="UVR6" s="29"/>
      <c r="UVS6" s="29"/>
      <c r="UVT6" s="29"/>
      <c r="UVU6" s="29"/>
      <c r="UVV6" s="29"/>
      <c r="UVW6" s="29"/>
      <c r="UVX6" s="29"/>
      <c r="UVY6" s="29"/>
      <c r="UVZ6" s="29"/>
      <c r="UWA6" s="29"/>
      <c r="UWB6" s="29"/>
      <c r="UWC6" s="29"/>
      <c r="UWD6" s="29"/>
      <c r="UWE6" s="29"/>
      <c r="UWF6" s="29"/>
      <c r="UWG6" s="29"/>
      <c r="UWH6" s="29"/>
      <c r="UWI6" s="29"/>
      <c r="UWJ6" s="29"/>
      <c r="UWK6" s="29"/>
      <c r="UWL6" s="29"/>
      <c r="UWM6" s="29"/>
      <c r="UWN6" s="29"/>
      <c r="UWO6" s="29"/>
      <c r="UWP6" s="29"/>
      <c r="UWQ6" s="29"/>
      <c r="UWR6" s="29"/>
      <c r="UWS6" s="29"/>
      <c r="UWT6" s="29"/>
      <c r="UWU6" s="29"/>
      <c r="UWV6" s="29"/>
      <c r="UWW6" s="29"/>
      <c r="UWX6" s="29"/>
      <c r="UWY6" s="29"/>
      <c r="UWZ6" s="29"/>
      <c r="UXA6" s="29"/>
      <c r="UXB6" s="29"/>
      <c r="UXC6" s="29"/>
      <c r="UXD6" s="29"/>
      <c r="UXE6" s="29"/>
      <c r="UXF6" s="29"/>
      <c r="UXG6" s="29"/>
      <c r="UXH6" s="29"/>
      <c r="UXI6" s="29"/>
      <c r="UXJ6" s="29"/>
      <c r="UXK6" s="29"/>
      <c r="UXL6" s="29"/>
      <c r="UXM6" s="29"/>
      <c r="UXN6" s="29"/>
      <c r="UXO6" s="29"/>
      <c r="UXP6" s="29"/>
      <c r="UXQ6" s="29"/>
      <c r="UXR6" s="29"/>
      <c r="UXS6" s="29"/>
      <c r="UXT6" s="29"/>
      <c r="UXU6" s="29"/>
      <c r="UXV6" s="29"/>
      <c r="UXW6" s="29"/>
      <c r="UXX6" s="29"/>
      <c r="UXY6" s="29"/>
      <c r="UXZ6" s="29"/>
      <c r="UYA6" s="29"/>
      <c r="UYB6" s="29"/>
      <c r="UYC6" s="29"/>
      <c r="UYD6" s="29"/>
      <c r="UYE6" s="29"/>
      <c r="UYF6" s="29"/>
      <c r="UYG6" s="29"/>
      <c r="UYH6" s="29"/>
      <c r="UYI6" s="29"/>
      <c r="UYJ6" s="29"/>
      <c r="UYK6" s="29"/>
      <c r="UYL6" s="29"/>
      <c r="UYM6" s="29"/>
      <c r="UYN6" s="29"/>
      <c r="UYO6" s="29"/>
      <c r="UYP6" s="29"/>
      <c r="UYQ6" s="29"/>
      <c r="UYR6" s="29"/>
      <c r="UYS6" s="29"/>
      <c r="UYT6" s="29"/>
      <c r="UYU6" s="29"/>
      <c r="UYV6" s="29"/>
      <c r="UYW6" s="29"/>
      <c r="UYX6" s="29"/>
      <c r="UYY6" s="29"/>
      <c r="UYZ6" s="29"/>
      <c r="UZA6" s="29"/>
      <c r="UZB6" s="29"/>
      <c r="UZC6" s="29"/>
      <c r="UZD6" s="29"/>
      <c r="UZE6" s="29"/>
      <c r="UZF6" s="29"/>
      <c r="UZG6" s="29"/>
      <c r="UZH6" s="29"/>
      <c r="UZI6" s="29"/>
      <c r="UZJ6" s="29"/>
      <c r="UZK6" s="29"/>
      <c r="UZL6" s="29"/>
      <c r="UZM6" s="29"/>
      <c r="UZN6" s="29"/>
      <c r="UZO6" s="29"/>
      <c r="UZP6" s="29"/>
      <c r="UZQ6" s="29"/>
      <c r="UZR6" s="29"/>
      <c r="UZS6" s="29"/>
      <c r="UZT6" s="29"/>
      <c r="UZU6" s="29"/>
      <c r="UZV6" s="29"/>
      <c r="UZW6" s="29"/>
      <c r="UZX6" s="29"/>
      <c r="UZY6" s="29"/>
      <c r="UZZ6" s="29"/>
      <c r="VAA6" s="29"/>
      <c r="VAB6" s="29"/>
      <c r="VAC6" s="29"/>
      <c r="VAD6" s="29"/>
      <c r="VAE6" s="29"/>
      <c r="VAF6" s="29"/>
      <c r="VAG6" s="29"/>
      <c r="VAH6" s="29"/>
      <c r="VAI6" s="29"/>
      <c r="VAJ6" s="29"/>
      <c r="VAK6" s="29"/>
      <c r="VAL6" s="29"/>
      <c r="VAM6" s="29"/>
      <c r="VAN6" s="29"/>
      <c r="VAO6" s="29"/>
      <c r="VAP6" s="29"/>
      <c r="VAQ6" s="29"/>
      <c r="VAR6" s="29"/>
      <c r="VAS6" s="29"/>
      <c r="VAT6" s="29"/>
      <c r="VAU6" s="29"/>
      <c r="VAV6" s="29"/>
      <c r="VAW6" s="29"/>
      <c r="VAX6" s="29"/>
      <c r="VAY6" s="29"/>
      <c r="VAZ6" s="29"/>
      <c r="VBA6" s="29"/>
      <c r="VBB6" s="29"/>
      <c r="VBC6" s="29"/>
      <c r="VBD6" s="29"/>
      <c r="VBE6" s="29"/>
      <c r="VBF6" s="29"/>
      <c r="VBG6" s="29"/>
      <c r="VBH6" s="29"/>
      <c r="VBI6" s="29"/>
      <c r="VBJ6" s="29"/>
      <c r="VBK6" s="29"/>
      <c r="VBL6" s="29"/>
      <c r="VBM6" s="29"/>
      <c r="VBN6" s="29"/>
      <c r="VBO6" s="29"/>
      <c r="VBP6" s="29"/>
      <c r="VBQ6" s="29"/>
      <c r="VBR6" s="29"/>
      <c r="VBS6" s="29"/>
      <c r="VBT6" s="29"/>
      <c r="VBU6" s="29"/>
      <c r="VBV6" s="29"/>
      <c r="VBW6" s="29"/>
      <c r="VBX6" s="29"/>
      <c r="VBY6" s="29"/>
      <c r="VBZ6" s="29"/>
      <c r="VCA6" s="29"/>
      <c r="VCB6" s="29"/>
      <c r="VCC6" s="29"/>
      <c r="VCD6" s="29"/>
      <c r="VCE6" s="29"/>
      <c r="VCF6" s="29"/>
      <c r="VCG6" s="29"/>
      <c r="VCH6" s="29"/>
      <c r="VCI6" s="29"/>
      <c r="VCJ6" s="29"/>
      <c r="VCK6" s="29"/>
      <c r="VCL6" s="29"/>
      <c r="VCM6" s="29"/>
      <c r="VCN6" s="29"/>
      <c r="VCO6" s="29"/>
      <c r="VCP6" s="29"/>
      <c r="VCQ6" s="29"/>
      <c r="VCR6" s="29"/>
      <c r="VCS6" s="29"/>
      <c r="VCT6" s="29"/>
      <c r="VCU6" s="29"/>
      <c r="VCV6" s="29"/>
      <c r="VCW6" s="29"/>
      <c r="VCX6" s="29"/>
      <c r="VCY6" s="29"/>
      <c r="VCZ6" s="29"/>
      <c r="VDA6" s="29"/>
      <c r="VDB6" s="29"/>
      <c r="VDC6" s="29"/>
      <c r="VDD6" s="29"/>
      <c r="VDE6" s="29"/>
      <c r="VDF6" s="29"/>
      <c r="VDG6" s="29"/>
      <c r="VDH6" s="29"/>
      <c r="VDI6" s="29"/>
      <c r="VDJ6" s="29"/>
      <c r="VDK6" s="29"/>
      <c r="VDL6" s="29"/>
      <c r="VDM6" s="29"/>
      <c r="VDN6" s="29"/>
      <c r="VDO6" s="29"/>
      <c r="VDP6" s="29"/>
      <c r="VDQ6" s="29"/>
      <c r="VDR6" s="29"/>
      <c r="VDS6" s="29"/>
      <c r="VDT6" s="29"/>
      <c r="VDU6" s="29"/>
      <c r="VDV6" s="29"/>
      <c r="VDW6" s="29"/>
      <c r="VDX6" s="29"/>
      <c r="VDY6" s="29"/>
      <c r="VDZ6" s="29"/>
      <c r="VEA6" s="29"/>
      <c r="VEB6" s="29"/>
      <c r="VEC6" s="29"/>
      <c r="VED6" s="29"/>
      <c r="VEE6" s="29"/>
      <c r="VEF6" s="29"/>
      <c r="VEG6" s="29"/>
      <c r="VEH6" s="29"/>
      <c r="VEI6" s="29"/>
      <c r="VEJ6" s="29"/>
      <c r="VEK6" s="29"/>
      <c r="VEL6" s="29"/>
      <c r="VEM6" s="29"/>
      <c r="VEN6" s="29"/>
      <c r="VEO6" s="29"/>
      <c r="VEP6" s="29"/>
      <c r="VEQ6" s="29"/>
      <c r="VER6" s="29"/>
      <c r="VES6" s="29"/>
      <c r="VET6" s="29"/>
      <c r="VEU6" s="29"/>
      <c r="VEV6" s="29"/>
      <c r="VEW6" s="29"/>
      <c r="VEX6" s="29"/>
      <c r="VEY6" s="29"/>
      <c r="VEZ6" s="29"/>
      <c r="VFA6" s="29"/>
      <c r="VFB6" s="29"/>
      <c r="VFC6" s="29"/>
      <c r="VFD6" s="29"/>
      <c r="VFE6" s="29"/>
      <c r="VFF6" s="29"/>
      <c r="VFG6" s="29"/>
      <c r="VFH6" s="29"/>
      <c r="VFI6" s="29"/>
      <c r="VFJ6" s="29"/>
      <c r="VFK6" s="29"/>
      <c r="VFL6" s="29"/>
      <c r="VFM6" s="29"/>
      <c r="VFN6" s="29"/>
      <c r="VFO6" s="29"/>
      <c r="VFP6" s="29"/>
      <c r="VFQ6" s="29"/>
      <c r="VFR6" s="29"/>
      <c r="VFS6" s="29"/>
      <c r="VFT6" s="29"/>
      <c r="VFU6" s="29"/>
      <c r="VFV6" s="29"/>
      <c r="VFW6" s="29"/>
      <c r="VFX6" s="29"/>
      <c r="VFY6" s="29"/>
      <c r="VFZ6" s="29"/>
      <c r="VGA6" s="29"/>
      <c r="VGB6" s="29"/>
      <c r="VGC6" s="29"/>
      <c r="VGD6" s="29"/>
      <c r="VGE6" s="29"/>
      <c r="VGF6" s="29"/>
      <c r="VGG6" s="29"/>
      <c r="VGH6" s="29"/>
      <c r="VGI6" s="29"/>
      <c r="VGJ6" s="29"/>
      <c r="VGK6" s="29"/>
      <c r="VGL6" s="29"/>
      <c r="VGM6" s="29"/>
      <c r="VGN6" s="29"/>
      <c r="VGO6" s="29"/>
      <c r="VGP6" s="29"/>
      <c r="VGQ6" s="29"/>
      <c r="VGR6" s="29"/>
      <c r="VGS6" s="29"/>
      <c r="VGT6" s="29"/>
      <c r="VGU6" s="29"/>
      <c r="VGV6" s="29"/>
      <c r="VGW6" s="29"/>
      <c r="VGX6" s="29"/>
      <c r="VGY6" s="29"/>
      <c r="VGZ6" s="29"/>
      <c r="VHA6" s="29"/>
      <c r="VHB6" s="29"/>
      <c r="VHC6" s="29"/>
      <c r="VHD6" s="29"/>
      <c r="VHE6" s="29"/>
      <c r="VHF6" s="29"/>
      <c r="VHG6" s="29"/>
      <c r="VHH6" s="29"/>
      <c r="VHI6" s="29"/>
      <c r="VHJ6" s="29"/>
      <c r="VHK6" s="29"/>
      <c r="VHL6" s="29"/>
      <c r="VHM6" s="29"/>
      <c r="VHN6" s="29"/>
      <c r="VHO6" s="29"/>
      <c r="VHP6" s="29"/>
      <c r="VHQ6" s="29"/>
      <c r="VHR6" s="29"/>
      <c r="VHS6" s="29"/>
      <c r="VHT6" s="29"/>
      <c r="VHU6" s="29"/>
      <c r="VHV6" s="29"/>
      <c r="VHW6" s="29"/>
      <c r="VHX6" s="29"/>
      <c r="VHY6" s="29"/>
      <c r="VHZ6" s="29"/>
      <c r="VIA6" s="29"/>
      <c r="VIB6" s="29"/>
      <c r="VIC6" s="29"/>
      <c r="VID6" s="29"/>
      <c r="VIE6" s="29"/>
      <c r="VIF6" s="29"/>
      <c r="VIG6" s="29"/>
      <c r="VIH6" s="29"/>
      <c r="VII6" s="29"/>
      <c r="VIJ6" s="29"/>
      <c r="VIK6" s="29"/>
      <c r="VIL6" s="29"/>
      <c r="VIM6" s="29"/>
      <c r="VIN6" s="29"/>
      <c r="VIO6" s="29"/>
      <c r="VIP6" s="29"/>
      <c r="VIQ6" s="29"/>
      <c r="VIR6" s="29"/>
      <c r="VIS6" s="29"/>
      <c r="VIT6" s="29"/>
      <c r="VIU6" s="29"/>
      <c r="VIV6" s="29"/>
      <c r="VIW6" s="29"/>
      <c r="VIX6" s="29"/>
      <c r="VIY6" s="29"/>
      <c r="VIZ6" s="29"/>
      <c r="VJA6" s="29"/>
      <c r="VJB6" s="29"/>
      <c r="VJC6" s="29"/>
      <c r="VJD6" s="29"/>
      <c r="VJE6" s="29"/>
      <c r="VJF6" s="29"/>
      <c r="VJG6" s="29"/>
      <c r="VJH6" s="29"/>
      <c r="VJI6" s="29"/>
      <c r="VJJ6" s="29"/>
      <c r="VJK6" s="29"/>
      <c r="VJL6" s="29"/>
      <c r="VJM6" s="29"/>
      <c r="VJN6" s="29"/>
      <c r="VJO6" s="29"/>
      <c r="VJP6" s="29"/>
      <c r="VJQ6" s="29"/>
      <c r="VJR6" s="29"/>
      <c r="VJS6" s="29"/>
      <c r="VJT6" s="29"/>
      <c r="VJU6" s="29"/>
      <c r="VJV6" s="29"/>
      <c r="VJW6" s="29"/>
      <c r="VJX6" s="29"/>
      <c r="VJY6" s="29"/>
      <c r="VJZ6" s="29"/>
      <c r="VKA6" s="29"/>
      <c r="VKB6" s="29"/>
      <c r="VKC6" s="29"/>
      <c r="VKD6" s="29"/>
      <c r="VKE6" s="29"/>
      <c r="VKF6" s="29"/>
      <c r="VKG6" s="29"/>
      <c r="VKH6" s="29"/>
      <c r="VKI6" s="29"/>
      <c r="VKJ6" s="29"/>
      <c r="VKK6" s="29"/>
      <c r="VKL6" s="29"/>
      <c r="VKM6" s="29"/>
      <c r="VKN6" s="29"/>
      <c r="VKO6" s="29"/>
      <c r="VKP6" s="29"/>
      <c r="VKQ6" s="29"/>
      <c r="VKR6" s="29"/>
      <c r="VKS6" s="29"/>
      <c r="VKT6" s="29"/>
      <c r="VKU6" s="29"/>
      <c r="VKV6" s="29"/>
      <c r="VKW6" s="29"/>
      <c r="VKX6" s="29"/>
      <c r="VKY6" s="29"/>
      <c r="VKZ6" s="29"/>
      <c r="VLA6" s="29"/>
      <c r="VLB6" s="29"/>
      <c r="VLC6" s="29"/>
      <c r="VLD6" s="29"/>
      <c r="VLE6" s="29"/>
      <c r="VLF6" s="29"/>
      <c r="VLG6" s="29"/>
      <c r="VLH6" s="29"/>
      <c r="VLI6" s="29"/>
      <c r="VLJ6" s="29"/>
      <c r="VLK6" s="29"/>
      <c r="VLL6" s="29"/>
      <c r="VLM6" s="29"/>
      <c r="VLN6" s="29"/>
      <c r="VLO6" s="29"/>
      <c r="VLP6" s="29"/>
      <c r="VLQ6" s="29"/>
      <c r="VLR6" s="29"/>
      <c r="VLS6" s="29"/>
      <c r="VLT6" s="29"/>
      <c r="VLU6" s="29"/>
      <c r="VLV6" s="29"/>
      <c r="VLW6" s="29"/>
      <c r="VLX6" s="29"/>
      <c r="VLY6" s="29"/>
      <c r="VLZ6" s="29"/>
      <c r="VMA6" s="29"/>
      <c r="VMB6" s="29"/>
      <c r="VMC6" s="29"/>
      <c r="VMD6" s="29"/>
      <c r="VME6" s="29"/>
      <c r="VMF6" s="29"/>
      <c r="VMG6" s="29"/>
      <c r="VMH6" s="29"/>
      <c r="VMI6" s="29"/>
      <c r="VMJ6" s="29"/>
      <c r="VMK6" s="29"/>
      <c r="VML6" s="29"/>
      <c r="VMM6" s="29"/>
      <c r="VMN6" s="29"/>
      <c r="VMO6" s="29"/>
      <c r="VMP6" s="29"/>
      <c r="VMQ6" s="29"/>
      <c r="VMR6" s="29"/>
      <c r="VMS6" s="29"/>
      <c r="VMT6" s="29"/>
      <c r="VMU6" s="29"/>
      <c r="VMV6" s="29"/>
      <c r="VMW6" s="29"/>
      <c r="VMX6" s="29"/>
      <c r="VMY6" s="29"/>
      <c r="VMZ6" s="29"/>
      <c r="VNA6" s="29"/>
      <c r="VNB6" s="29"/>
      <c r="VNC6" s="29"/>
      <c r="VND6" s="29"/>
      <c r="VNE6" s="29"/>
      <c r="VNF6" s="29"/>
      <c r="VNG6" s="29"/>
      <c r="VNH6" s="29"/>
      <c r="VNI6" s="29"/>
      <c r="VNJ6" s="29"/>
      <c r="VNK6" s="29"/>
      <c r="VNL6" s="29"/>
      <c r="VNM6" s="29"/>
      <c r="VNN6" s="29"/>
      <c r="VNO6" s="29"/>
      <c r="VNP6" s="29"/>
      <c r="VNQ6" s="29"/>
      <c r="VNR6" s="29"/>
      <c r="VNS6" s="29"/>
      <c r="VNT6" s="29"/>
      <c r="VNU6" s="29"/>
      <c r="VNV6" s="29"/>
      <c r="VNW6" s="29"/>
      <c r="VNX6" s="29"/>
      <c r="VNY6" s="29"/>
      <c r="VNZ6" s="29"/>
      <c r="VOA6" s="29"/>
      <c r="VOB6" s="29"/>
      <c r="VOC6" s="29"/>
      <c r="VOD6" s="29"/>
      <c r="VOE6" s="29"/>
      <c r="VOF6" s="29"/>
      <c r="VOG6" s="29"/>
      <c r="VOH6" s="29"/>
      <c r="VOI6" s="29"/>
      <c r="VOJ6" s="29"/>
      <c r="VOK6" s="29"/>
      <c r="VOL6" s="29"/>
      <c r="VOM6" s="29"/>
      <c r="VON6" s="29"/>
      <c r="VOO6" s="29"/>
      <c r="VOP6" s="29"/>
      <c r="VOQ6" s="29"/>
      <c r="VOR6" s="29"/>
      <c r="VOS6" s="29"/>
      <c r="VOT6" s="29"/>
      <c r="VOU6" s="29"/>
      <c r="VOV6" s="29"/>
      <c r="VOW6" s="29"/>
      <c r="VOX6" s="29"/>
      <c r="VOY6" s="29"/>
      <c r="VOZ6" s="29"/>
      <c r="VPA6" s="29"/>
      <c r="VPB6" s="29"/>
      <c r="VPC6" s="29"/>
      <c r="VPD6" s="29"/>
      <c r="VPE6" s="29"/>
      <c r="VPF6" s="29"/>
      <c r="VPG6" s="29"/>
      <c r="VPH6" s="29"/>
      <c r="VPI6" s="29"/>
      <c r="VPJ6" s="29"/>
      <c r="VPK6" s="29"/>
      <c r="VPL6" s="29"/>
      <c r="VPM6" s="29"/>
      <c r="VPN6" s="29"/>
      <c r="VPO6" s="29"/>
      <c r="VPP6" s="29"/>
      <c r="VPQ6" s="29"/>
      <c r="VPR6" s="29"/>
      <c r="VPS6" s="29"/>
      <c r="VPT6" s="29"/>
      <c r="VPU6" s="29"/>
      <c r="VPV6" s="29"/>
      <c r="VPW6" s="29"/>
      <c r="VPX6" s="29"/>
      <c r="VPY6" s="29"/>
      <c r="VPZ6" s="29"/>
      <c r="VQA6" s="29"/>
      <c r="VQB6" s="29"/>
      <c r="VQC6" s="29"/>
      <c r="VQD6" s="29"/>
      <c r="VQE6" s="29"/>
      <c r="VQF6" s="29"/>
      <c r="VQG6" s="29"/>
      <c r="VQH6" s="29"/>
      <c r="VQI6" s="29"/>
      <c r="VQJ6" s="29"/>
      <c r="VQK6" s="29"/>
      <c r="VQL6" s="29"/>
      <c r="VQM6" s="29"/>
      <c r="VQN6" s="29"/>
      <c r="VQO6" s="29"/>
      <c r="VQP6" s="29"/>
      <c r="VQQ6" s="29"/>
      <c r="VQR6" s="29"/>
      <c r="VQS6" s="29"/>
      <c r="VQT6" s="29"/>
      <c r="VQU6" s="29"/>
      <c r="VQV6" s="29"/>
      <c r="VQW6" s="29"/>
      <c r="VQX6" s="29"/>
      <c r="VQY6" s="29"/>
      <c r="VQZ6" s="29"/>
      <c r="VRA6" s="29"/>
      <c r="VRB6" s="29"/>
      <c r="VRC6" s="29"/>
      <c r="VRD6" s="29"/>
      <c r="VRE6" s="29"/>
      <c r="VRF6" s="29"/>
      <c r="VRG6" s="29"/>
      <c r="VRH6" s="29"/>
      <c r="VRI6" s="29"/>
      <c r="VRJ6" s="29"/>
      <c r="VRK6" s="29"/>
      <c r="VRL6" s="29"/>
      <c r="VRM6" s="29"/>
      <c r="VRN6" s="29"/>
      <c r="VRO6" s="29"/>
      <c r="VRP6" s="29"/>
      <c r="VRQ6" s="29"/>
      <c r="VRR6" s="29"/>
      <c r="VRS6" s="29"/>
      <c r="VRT6" s="29"/>
      <c r="VRU6" s="29"/>
      <c r="VRV6" s="29"/>
      <c r="VRW6" s="29"/>
      <c r="VRX6" s="29"/>
      <c r="VRY6" s="29"/>
      <c r="VRZ6" s="29"/>
      <c r="VSA6" s="29"/>
      <c r="VSB6" s="29"/>
      <c r="VSC6" s="29"/>
      <c r="VSD6" s="29"/>
      <c r="VSE6" s="29"/>
      <c r="VSF6" s="29"/>
      <c r="VSG6" s="29"/>
      <c r="VSH6" s="29"/>
      <c r="VSI6" s="29"/>
      <c r="VSJ6" s="29"/>
      <c r="VSK6" s="29"/>
      <c r="VSL6" s="29"/>
      <c r="VSM6" s="29"/>
      <c r="VSN6" s="29"/>
      <c r="VSO6" s="29"/>
      <c r="VSP6" s="29"/>
      <c r="VSQ6" s="29"/>
      <c r="VSR6" s="29"/>
      <c r="VSS6" s="29"/>
      <c r="VST6" s="29"/>
      <c r="VSU6" s="29"/>
      <c r="VSV6" s="29"/>
      <c r="VSW6" s="29"/>
      <c r="VSX6" s="29"/>
      <c r="VSY6" s="29"/>
      <c r="VSZ6" s="29"/>
      <c r="VTA6" s="29"/>
      <c r="VTB6" s="29"/>
      <c r="VTC6" s="29"/>
      <c r="VTD6" s="29"/>
      <c r="VTE6" s="29"/>
      <c r="VTF6" s="29"/>
      <c r="VTG6" s="29"/>
      <c r="VTH6" s="29"/>
      <c r="VTI6" s="29"/>
      <c r="VTJ6" s="29"/>
      <c r="VTK6" s="29"/>
      <c r="VTL6" s="29"/>
      <c r="VTM6" s="29"/>
      <c r="VTN6" s="29"/>
      <c r="VTO6" s="29"/>
      <c r="VTP6" s="29"/>
      <c r="VTQ6" s="29"/>
      <c r="VTR6" s="29"/>
      <c r="VTS6" s="29"/>
      <c r="VTT6" s="29"/>
      <c r="VTU6" s="29"/>
      <c r="VTV6" s="29"/>
      <c r="VTW6" s="29"/>
      <c r="VTX6" s="29"/>
      <c r="VTY6" s="29"/>
      <c r="VTZ6" s="29"/>
      <c r="VUA6" s="29"/>
      <c r="VUB6" s="29"/>
      <c r="VUC6" s="29"/>
      <c r="VUD6" s="29"/>
      <c r="VUE6" s="29"/>
      <c r="VUF6" s="29"/>
      <c r="VUG6" s="29"/>
      <c r="VUH6" s="29"/>
      <c r="VUI6" s="29"/>
      <c r="VUJ6" s="29"/>
      <c r="VUK6" s="29"/>
      <c r="VUL6" s="29"/>
      <c r="VUM6" s="29"/>
      <c r="VUN6" s="29"/>
      <c r="VUO6" s="29"/>
      <c r="VUP6" s="29"/>
      <c r="VUQ6" s="29"/>
      <c r="VUR6" s="29"/>
      <c r="VUS6" s="29"/>
      <c r="VUT6" s="29"/>
      <c r="VUU6" s="29"/>
      <c r="VUV6" s="29"/>
      <c r="VUW6" s="29"/>
      <c r="VUX6" s="29"/>
      <c r="VUY6" s="29"/>
      <c r="VUZ6" s="29"/>
      <c r="VVA6" s="29"/>
      <c r="VVB6" s="29"/>
      <c r="VVC6" s="29"/>
      <c r="VVD6" s="29"/>
      <c r="VVE6" s="29"/>
      <c r="VVF6" s="29"/>
      <c r="VVG6" s="29"/>
      <c r="VVH6" s="29"/>
      <c r="VVI6" s="29"/>
      <c r="VVJ6" s="29"/>
      <c r="VVK6" s="29"/>
      <c r="VVL6" s="29"/>
      <c r="VVM6" s="29"/>
      <c r="VVN6" s="29"/>
      <c r="VVO6" s="29"/>
      <c r="VVP6" s="29"/>
      <c r="VVQ6" s="29"/>
      <c r="VVR6" s="29"/>
      <c r="VVS6" s="29"/>
      <c r="VVT6" s="29"/>
      <c r="VVU6" s="29"/>
      <c r="VVV6" s="29"/>
      <c r="VVW6" s="29"/>
      <c r="VVX6" s="29"/>
      <c r="VVY6" s="29"/>
      <c r="VVZ6" s="29"/>
      <c r="VWA6" s="29"/>
      <c r="VWB6" s="29"/>
      <c r="VWC6" s="29"/>
      <c r="VWD6" s="29"/>
      <c r="VWE6" s="29"/>
      <c r="VWF6" s="29"/>
      <c r="VWG6" s="29"/>
      <c r="VWH6" s="29"/>
      <c r="VWI6" s="29"/>
      <c r="VWJ6" s="29"/>
      <c r="VWK6" s="29"/>
      <c r="VWL6" s="29"/>
      <c r="VWM6" s="29"/>
      <c r="VWN6" s="29"/>
      <c r="VWO6" s="29"/>
      <c r="VWP6" s="29"/>
      <c r="VWQ6" s="29"/>
      <c r="VWR6" s="29"/>
      <c r="VWS6" s="29"/>
      <c r="VWT6" s="29"/>
      <c r="VWU6" s="29"/>
      <c r="VWV6" s="29"/>
      <c r="VWW6" s="29"/>
      <c r="VWX6" s="29"/>
      <c r="VWY6" s="29"/>
      <c r="VWZ6" s="29"/>
      <c r="VXA6" s="29"/>
      <c r="VXB6" s="29"/>
      <c r="VXC6" s="29"/>
      <c r="VXD6" s="29"/>
      <c r="VXE6" s="29"/>
      <c r="VXF6" s="29"/>
      <c r="VXG6" s="29"/>
      <c r="VXH6" s="29"/>
      <c r="VXI6" s="29"/>
      <c r="VXJ6" s="29"/>
      <c r="VXK6" s="29"/>
      <c r="VXL6" s="29"/>
      <c r="VXM6" s="29"/>
      <c r="VXN6" s="29"/>
      <c r="VXO6" s="29"/>
      <c r="VXP6" s="29"/>
      <c r="VXQ6" s="29"/>
      <c r="VXR6" s="29"/>
      <c r="VXS6" s="29"/>
      <c r="VXT6" s="29"/>
      <c r="VXU6" s="29"/>
      <c r="VXV6" s="29"/>
      <c r="VXW6" s="29"/>
      <c r="VXX6" s="29"/>
      <c r="VXY6" s="29"/>
      <c r="VXZ6" s="29"/>
      <c r="VYA6" s="29"/>
      <c r="VYB6" s="29"/>
      <c r="VYC6" s="29"/>
      <c r="VYD6" s="29"/>
      <c r="VYE6" s="29"/>
      <c r="VYF6" s="29"/>
      <c r="VYG6" s="29"/>
      <c r="VYH6" s="29"/>
      <c r="VYI6" s="29"/>
      <c r="VYJ6" s="29"/>
      <c r="VYK6" s="29"/>
      <c r="VYL6" s="29"/>
      <c r="VYM6" s="29"/>
      <c r="VYN6" s="29"/>
      <c r="VYO6" s="29"/>
      <c r="VYP6" s="29"/>
      <c r="VYQ6" s="29"/>
      <c r="VYR6" s="29"/>
      <c r="VYS6" s="29"/>
      <c r="VYT6" s="29"/>
      <c r="VYU6" s="29"/>
      <c r="VYV6" s="29"/>
      <c r="VYW6" s="29"/>
      <c r="VYX6" s="29"/>
      <c r="VYY6" s="29"/>
      <c r="VYZ6" s="29"/>
      <c r="VZA6" s="29"/>
      <c r="VZB6" s="29"/>
      <c r="VZC6" s="29"/>
      <c r="VZD6" s="29"/>
      <c r="VZE6" s="29"/>
      <c r="VZF6" s="29"/>
      <c r="VZG6" s="29"/>
      <c r="VZH6" s="29"/>
      <c r="VZI6" s="29"/>
      <c r="VZJ6" s="29"/>
      <c r="VZK6" s="29"/>
      <c r="VZL6" s="29"/>
      <c r="VZM6" s="29"/>
      <c r="VZN6" s="29"/>
      <c r="VZO6" s="29"/>
      <c r="VZP6" s="29"/>
      <c r="VZQ6" s="29"/>
      <c r="VZR6" s="29"/>
      <c r="VZS6" s="29"/>
      <c r="VZT6" s="29"/>
      <c r="VZU6" s="29"/>
      <c r="VZV6" s="29"/>
      <c r="VZW6" s="29"/>
      <c r="VZX6" s="29"/>
      <c r="VZY6" s="29"/>
      <c r="VZZ6" s="29"/>
      <c r="WAA6" s="29"/>
      <c r="WAB6" s="29"/>
      <c r="WAC6" s="29"/>
      <c r="WAD6" s="29"/>
      <c r="WAE6" s="29"/>
      <c r="WAF6" s="29"/>
      <c r="WAG6" s="29"/>
      <c r="WAH6" s="29"/>
      <c r="WAI6" s="29"/>
      <c r="WAJ6" s="29"/>
      <c r="WAK6" s="29"/>
      <c r="WAL6" s="29"/>
      <c r="WAM6" s="29"/>
      <c r="WAN6" s="29"/>
      <c r="WAO6" s="29"/>
      <c r="WAP6" s="29"/>
      <c r="WAQ6" s="29"/>
      <c r="WAR6" s="29"/>
      <c r="WAS6" s="29"/>
      <c r="WAT6" s="29"/>
      <c r="WAU6" s="29"/>
      <c r="WAV6" s="29"/>
      <c r="WAW6" s="29"/>
      <c r="WAX6" s="29"/>
      <c r="WAY6" s="29"/>
      <c r="WAZ6" s="29"/>
      <c r="WBA6" s="29"/>
      <c r="WBB6" s="29"/>
      <c r="WBC6" s="29"/>
      <c r="WBD6" s="29"/>
      <c r="WBE6" s="29"/>
      <c r="WBF6" s="29"/>
      <c r="WBG6" s="29"/>
      <c r="WBH6" s="29"/>
      <c r="WBI6" s="29"/>
      <c r="WBJ6" s="29"/>
      <c r="WBK6" s="29"/>
      <c r="WBL6" s="29"/>
      <c r="WBM6" s="29"/>
      <c r="WBN6" s="29"/>
      <c r="WBO6" s="29"/>
      <c r="WBP6" s="29"/>
      <c r="WBQ6" s="29"/>
      <c r="WBR6" s="29"/>
      <c r="WBS6" s="29"/>
      <c r="WBT6" s="29"/>
      <c r="WBU6" s="29"/>
      <c r="WBV6" s="29"/>
      <c r="WBW6" s="29"/>
      <c r="WBX6" s="29"/>
      <c r="WBY6" s="29"/>
      <c r="WBZ6" s="29"/>
      <c r="WCA6" s="29"/>
      <c r="WCB6" s="29"/>
      <c r="WCC6" s="29"/>
      <c r="WCD6" s="29"/>
      <c r="WCE6" s="29"/>
      <c r="WCF6" s="29"/>
      <c r="WCG6" s="29"/>
      <c r="WCH6" s="29"/>
      <c r="WCI6" s="29"/>
      <c r="WCJ6" s="29"/>
      <c r="WCK6" s="29"/>
      <c r="WCL6" s="29"/>
      <c r="WCM6" s="29"/>
      <c r="WCN6" s="29"/>
      <c r="WCO6" s="29"/>
      <c r="WCP6" s="29"/>
      <c r="WCQ6" s="29"/>
      <c r="WCR6" s="29"/>
      <c r="WCS6" s="29"/>
      <c r="WCT6" s="29"/>
      <c r="WCU6" s="29"/>
      <c r="WCV6" s="29"/>
      <c r="WCW6" s="29"/>
      <c r="WCX6" s="29"/>
      <c r="WCY6" s="29"/>
      <c r="WCZ6" s="29"/>
      <c r="WDA6" s="29"/>
      <c r="WDB6" s="29"/>
      <c r="WDC6" s="29"/>
      <c r="WDD6" s="29"/>
      <c r="WDE6" s="29"/>
      <c r="WDF6" s="29"/>
      <c r="WDG6" s="29"/>
      <c r="WDH6" s="29"/>
      <c r="WDI6" s="29"/>
      <c r="WDJ6" s="29"/>
      <c r="WDK6" s="29"/>
      <c r="WDL6" s="29"/>
      <c r="WDM6" s="29"/>
      <c r="WDN6" s="29"/>
      <c r="WDO6" s="29"/>
      <c r="WDP6" s="29"/>
      <c r="WDQ6" s="29"/>
      <c r="WDR6" s="29"/>
      <c r="WDS6" s="29"/>
      <c r="WDT6" s="29"/>
      <c r="WDU6" s="29"/>
      <c r="WDV6" s="29"/>
      <c r="WDW6" s="29"/>
      <c r="WDX6" s="29"/>
      <c r="WDY6" s="29"/>
      <c r="WDZ6" s="29"/>
      <c r="WEA6" s="29"/>
      <c r="WEB6" s="29"/>
      <c r="WEC6" s="29"/>
      <c r="WED6" s="29"/>
      <c r="WEE6" s="29"/>
      <c r="WEF6" s="29"/>
      <c r="WEG6" s="29"/>
      <c r="WEH6" s="29"/>
      <c r="WEI6" s="29"/>
      <c r="WEJ6" s="29"/>
      <c r="WEK6" s="29"/>
      <c r="WEL6" s="29"/>
      <c r="WEM6" s="29"/>
      <c r="WEN6" s="29"/>
      <c r="WEO6" s="29"/>
      <c r="WEP6" s="29"/>
      <c r="WEQ6" s="29"/>
      <c r="WER6" s="29"/>
      <c r="WES6" s="29"/>
      <c r="WET6" s="29"/>
      <c r="WEU6" s="29"/>
      <c r="WEV6" s="29"/>
      <c r="WEW6" s="29"/>
      <c r="WEX6" s="29"/>
      <c r="WEY6" s="29"/>
      <c r="WEZ6" s="29"/>
      <c r="WFA6" s="29"/>
      <c r="WFB6" s="29"/>
      <c r="WFC6" s="29"/>
      <c r="WFD6" s="29"/>
      <c r="WFE6" s="29"/>
      <c r="WFF6" s="29"/>
      <c r="WFG6" s="29"/>
      <c r="WFH6" s="29"/>
      <c r="WFI6" s="29"/>
      <c r="WFJ6" s="29"/>
      <c r="WFK6" s="29"/>
      <c r="WFL6" s="29"/>
      <c r="WFM6" s="29"/>
      <c r="WFN6" s="29"/>
      <c r="WFO6" s="29"/>
      <c r="WFP6" s="29"/>
      <c r="WFQ6" s="29"/>
      <c r="WFR6" s="29"/>
      <c r="WFS6" s="29"/>
      <c r="WFT6" s="29"/>
      <c r="WFU6" s="29"/>
      <c r="WFV6" s="29"/>
      <c r="WFW6" s="29"/>
      <c r="WFX6" s="29"/>
      <c r="WFY6" s="29"/>
      <c r="WFZ6" s="29"/>
      <c r="WGA6" s="29"/>
      <c r="WGB6" s="29"/>
      <c r="WGC6" s="29"/>
      <c r="WGD6" s="29"/>
      <c r="WGE6" s="29"/>
      <c r="WGF6" s="29"/>
      <c r="WGG6" s="29"/>
      <c r="WGH6" s="29"/>
      <c r="WGI6" s="29"/>
      <c r="WGJ6" s="29"/>
      <c r="WGK6" s="29"/>
      <c r="WGL6" s="29"/>
      <c r="WGM6" s="29"/>
      <c r="WGN6" s="29"/>
      <c r="WGO6" s="29"/>
      <c r="WGP6" s="29"/>
      <c r="WGQ6" s="29"/>
      <c r="WGR6" s="29"/>
      <c r="WGS6" s="29"/>
      <c r="WGT6" s="29"/>
      <c r="WGU6" s="29"/>
      <c r="WGV6" s="29"/>
      <c r="WGW6" s="29"/>
      <c r="WGX6" s="29"/>
      <c r="WGY6" s="29"/>
      <c r="WGZ6" s="29"/>
      <c r="WHA6" s="29"/>
      <c r="WHB6" s="29"/>
      <c r="WHC6" s="29"/>
      <c r="WHD6" s="29"/>
      <c r="WHE6" s="29"/>
      <c r="WHF6" s="29"/>
      <c r="WHG6" s="29"/>
      <c r="WHH6" s="29"/>
      <c r="WHI6" s="29"/>
      <c r="WHJ6" s="29"/>
      <c r="WHK6" s="29"/>
      <c r="WHL6" s="29"/>
      <c r="WHM6" s="29"/>
      <c r="WHN6" s="29"/>
      <c r="WHO6" s="29"/>
      <c r="WHP6" s="29"/>
      <c r="WHQ6" s="29"/>
      <c r="WHR6" s="29"/>
      <c r="WHS6" s="29"/>
      <c r="WHT6" s="29"/>
      <c r="WHU6" s="29"/>
      <c r="WHV6" s="29"/>
      <c r="WHW6" s="29"/>
      <c r="WHX6" s="29"/>
      <c r="WHY6" s="29"/>
      <c r="WHZ6" s="29"/>
      <c r="WIA6" s="29"/>
      <c r="WIB6" s="29"/>
      <c r="WIC6" s="29"/>
      <c r="WID6" s="29"/>
      <c r="WIE6" s="29"/>
      <c r="WIF6" s="29"/>
      <c r="WIG6" s="29"/>
      <c r="WIH6" s="29"/>
      <c r="WII6" s="29"/>
      <c r="WIJ6" s="29"/>
      <c r="WIK6" s="29"/>
      <c r="WIL6" s="29"/>
      <c r="WIM6" s="29"/>
      <c r="WIN6" s="29"/>
      <c r="WIO6" s="29"/>
      <c r="WIP6" s="29"/>
      <c r="WIQ6" s="29"/>
      <c r="WIR6" s="29"/>
      <c r="WIS6" s="29"/>
      <c r="WIT6" s="29"/>
      <c r="WIU6" s="29"/>
      <c r="WIV6" s="29"/>
      <c r="WIW6" s="29"/>
      <c r="WIX6" s="29"/>
      <c r="WIY6" s="29"/>
      <c r="WIZ6" s="29"/>
      <c r="WJA6" s="29"/>
      <c r="WJB6" s="29"/>
      <c r="WJC6" s="29"/>
      <c r="WJD6" s="29"/>
      <c r="WJE6" s="29"/>
      <c r="WJF6" s="29"/>
      <c r="WJG6" s="29"/>
      <c r="WJH6" s="29"/>
      <c r="WJI6" s="29"/>
      <c r="WJJ6" s="29"/>
      <c r="WJK6" s="29"/>
      <c r="WJL6" s="29"/>
      <c r="WJM6" s="29"/>
      <c r="WJN6" s="29"/>
      <c r="WJO6" s="29"/>
      <c r="WJP6" s="29"/>
      <c r="WJQ6" s="29"/>
      <c r="WJR6" s="29"/>
      <c r="WJS6" s="29"/>
      <c r="WJT6" s="29"/>
      <c r="WJU6" s="29"/>
      <c r="WJV6" s="29"/>
      <c r="WJW6" s="29"/>
      <c r="WJX6" s="29"/>
      <c r="WJY6" s="29"/>
      <c r="WJZ6" s="29"/>
      <c r="WKA6" s="29"/>
      <c r="WKB6" s="29"/>
      <c r="WKC6" s="29"/>
      <c r="WKD6" s="29"/>
      <c r="WKE6" s="29"/>
      <c r="WKF6" s="29"/>
      <c r="WKG6" s="29"/>
      <c r="WKH6" s="29"/>
      <c r="WKI6" s="29"/>
      <c r="WKJ6" s="29"/>
      <c r="WKK6" s="29"/>
      <c r="WKL6" s="29"/>
      <c r="WKM6" s="29"/>
      <c r="WKN6" s="29"/>
      <c r="WKO6" s="29"/>
      <c r="WKP6" s="29"/>
      <c r="WKQ6" s="29"/>
      <c r="WKR6" s="29"/>
      <c r="WKS6" s="29"/>
      <c r="WKT6" s="29"/>
      <c r="WKU6" s="29"/>
      <c r="WKV6" s="29"/>
      <c r="WKW6" s="29"/>
      <c r="WKX6" s="29"/>
      <c r="WKY6" s="29"/>
      <c r="WKZ6" s="29"/>
      <c r="WLA6" s="29"/>
      <c r="WLB6" s="29"/>
      <c r="WLC6" s="29"/>
      <c r="WLD6" s="29"/>
      <c r="WLE6" s="29"/>
      <c r="WLF6" s="29"/>
      <c r="WLG6" s="29"/>
      <c r="WLH6" s="29"/>
      <c r="WLI6" s="29"/>
      <c r="WLJ6" s="29"/>
      <c r="WLK6" s="29"/>
      <c r="WLL6" s="29"/>
      <c r="WLM6" s="29"/>
      <c r="WLN6" s="29"/>
      <c r="WLO6" s="29"/>
      <c r="WLP6" s="29"/>
      <c r="WLQ6" s="29"/>
      <c r="WLR6" s="29"/>
      <c r="WLS6" s="29"/>
      <c r="WLT6" s="29"/>
      <c r="WLU6" s="29"/>
      <c r="WLV6" s="29"/>
      <c r="WLW6" s="29"/>
      <c r="WLX6" s="29"/>
      <c r="WLY6" s="29"/>
      <c r="WLZ6" s="29"/>
      <c r="WMA6" s="29"/>
      <c r="WMB6" s="29"/>
      <c r="WMC6" s="29"/>
      <c r="WMD6" s="29"/>
      <c r="WME6" s="29"/>
      <c r="WMF6" s="29"/>
      <c r="WMG6" s="29"/>
      <c r="WMH6" s="29"/>
      <c r="WMI6" s="29"/>
      <c r="WMJ6" s="29"/>
      <c r="WMK6" s="29"/>
      <c r="WML6" s="29"/>
      <c r="WMM6" s="29"/>
      <c r="WMN6" s="29"/>
      <c r="WMO6" s="29"/>
      <c r="WMP6" s="29"/>
      <c r="WMQ6" s="29"/>
      <c r="WMR6" s="29"/>
      <c r="WMS6" s="29"/>
      <c r="WMT6" s="29"/>
      <c r="WMU6" s="29"/>
      <c r="WMV6" s="29"/>
      <c r="WMW6" s="29"/>
      <c r="WMX6" s="29"/>
      <c r="WMY6" s="29"/>
      <c r="WMZ6" s="29"/>
      <c r="WNA6" s="29"/>
      <c r="WNB6" s="29"/>
      <c r="WNC6" s="29"/>
      <c r="WND6" s="29"/>
      <c r="WNE6" s="29"/>
      <c r="WNF6" s="29"/>
      <c r="WNG6" s="29"/>
      <c r="WNH6" s="29"/>
      <c r="WNI6" s="29"/>
      <c r="WNJ6" s="29"/>
      <c r="WNK6" s="29"/>
      <c r="WNL6" s="29"/>
      <c r="WNM6" s="29"/>
      <c r="WNN6" s="29"/>
      <c r="WNO6" s="29"/>
      <c r="WNP6" s="29"/>
      <c r="WNQ6" s="29"/>
      <c r="WNR6" s="29"/>
      <c r="WNS6" s="29"/>
      <c r="WNT6" s="29"/>
      <c r="WNU6" s="29"/>
      <c r="WNV6" s="29"/>
      <c r="WNW6" s="29"/>
      <c r="WNX6" s="29"/>
      <c r="WNY6" s="29"/>
      <c r="WNZ6" s="29"/>
      <c r="WOA6" s="29"/>
      <c r="WOB6" s="29"/>
      <c r="WOC6" s="29"/>
      <c r="WOD6" s="29"/>
      <c r="WOE6" s="29"/>
      <c r="WOF6" s="29"/>
      <c r="WOG6" s="29"/>
      <c r="WOH6" s="29"/>
      <c r="WOI6" s="29"/>
      <c r="WOJ6" s="29"/>
      <c r="WOK6" s="29"/>
      <c r="WOL6" s="29"/>
      <c r="WOM6" s="29"/>
      <c r="WON6" s="29"/>
      <c r="WOO6" s="29"/>
      <c r="WOP6" s="29"/>
      <c r="WOQ6" s="29"/>
      <c r="WOR6" s="29"/>
      <c r="WOS6" s="29"/>
      <c r="WOT6" s="29"/>
      <c r="WOU6" s="29"/>
      <c r="WOV6" s="29"/>
      <c r="WOW6" s="29"/>
      <c r="WOX6" s="29"/>
      <c r="WOY6" s="29"/>
      <c r="WOZ6" s="29"/>
      <c r="WPA6" s="29"/>
      <c r="WPB6" s="29"/>
      <c r="WPC6" s="29"/>
      <c r="WPD6" s="29"/>
      <c r="WPE6" s="29"/>
      <c r="WPF6" s="29"/>
      <c r="WPG6" s="29"/>
      <c r="WPH6" s="29"/>
      <c r="WPI6" s="29"/>
      <c r="WPJ6" s="29"/>
      <c r="WPK6" s="29"/>
      <c r="WPL6" s="29"/>
      <c r="WPM6" s="29"/>
      <c r="WPN6" s="29"/>
      <c r="WPO6" s="29"/>
      <c r="WPP6" s="29"/>
      <c r="WPQ6" s="29"/>
      <c r="WPR6" s="29"/>
      <c r="WPS6" s="29"/>
      <c r="WPT6" s="29"/>
      <c r="WPU6" s="29"/>
      <c r="WPV6" s="29"/>
      <c r="WPW6" s="29"/>
      <c r="WPX6" s="29"/>
      <c r="WPY6" s="29"/>
      <c r="WPZ6" s="29"/>
      <c r="WQA6" s="29"/>
      <c r="WQB6" s="29"/>
      <c r="WQC6" s="29"/>
      <c r="WQD6" s="29"/>
      <c r="WQE6" s="29"/>
      <c r="WQF6" s="29"/>
      <c r="WQG6" s="29"/>
      <c r="WQH6" s="29"/>
      <c r="WQI6" s="29"/>
      <c r="WQJ6" s="29"/>
      <c r="WQK6" s="29"/>
      <c r="WQL6" s="29"/>
      <c r="WQM6" s="29"/>
      <c r="WQN6" s="29"/>
      <c r="WQO6" s="29"/>
      <c r="WQP6" s="29"/>
      <c r="WQQ6" s="29"/>
      <c r="WQR6" s="29"/>
      <c r="WQS6" s="29"/>
      <c r="WQT6" s="29"/>
      <c r="WQU6" s="29"/>
      <c r="WQV6" s="29"/>
      <c r="WQW6" s="29"/>
      <c r="WQX6" s="29"/>
      <c r="WQY6" s="29"/>
      <c r="WQZ6" s="29"/>
      <c r="WRA6" s="29"/>
      <c r="WRB6" s="29"/>
      <c r="WRC6" s="29"/>
      <c r="WRD6" s="29"/>
      <c r="WRE6" s="29"/>
      <c r="WRF6" s="29"/>
      <c r="WRG6" s="29"/>
      <c r="WRH6" s="29"/>
      <c r="WRI6" s="29"/>
      <c r="WRJ6" s="29"/>
      <c r="WRK6" s="29"/>
      <c r="WRL6" s="29"/>
      <c r="WRM6" s="29"/>
      <c r="WRN6" s="29"/>
      <c r="WRO6" s="29"/>
      <c r="WRP6" s="29"/>
      <c r="WRQ6" s="29"/>
      <c r="WRR6" s="29"/>
      <c r="WRS6" s="29"/>
      <c r="WRT6" s="29"/>
      <c r="WRU6" s="29"/>
      <c r="WRV6" s="29"/>
      <c r="WRW6" s="29"/>
      <c r="WRX6" s="29"/>
      <c r="WRY6" s="29"/>
      <c r="WRZ6" s="29"/>
      <c r="WSA6" s="29"/>
      <c r="WSB6" s="29"/>
      <c r="WSC6" s="29"/>
      <c r="WSD6" s="29"/>
      <c r="WSE6" s="29"/>
      <c r="WSF6" s="29"/>
      <c r="WSG6" s="29"/>
      <c r="WSH6" s="29"/>
      <c r="WSI6" s="29"/>
      <c r="WSJ6" s="29"/>
      <c r="WSK6" s="29"/>
      <c r="WSL6" s="29"/>
      <c r="WSM6" s="29"/>
      <c r="WSN6" s="29"/>
      <c r="WSO6" s="29"/>
      <c r="WSP6" s="29"/>
      <c r="WSQ6" s="29"/>
      <c r="WSR6" s="29"/>
      <c r="WSS6" s="29"/>
      <c r="WST6" s="29"/>
      <c r="WSU6" s="29"/>
      <c r="WSV6" s="29"/>
      <c r="WSW6" s="29"/>
      <c r="WSX6" s="29"/>
      <c r="WSY6" s="29"/>
      <c r="WSZ6" s="29"/>
      <c r="WTA6" s="29"/>
      <c r="WTB6" s="29"/>
      <c r="WTC6" s="29"/>
      <c r="WTD6" s="29"/>
      <c r="WTE6" s="29"/>
      <c r="WTF6" s="29"/>
      <c r="WTG6" s="29"/>
      <c r="WTH6" s="29"/>
      <c r="WTI6" s="29"/>
      <c r="WTJ6" s="29"/>
      <c r="WTK6" s="29"/>
      <c r="WTL6" s="29"/>
      <c r="WTM6" s="29"/>
      <c r="WTN6" s="29"/>
      <c r="WTO6" s="29"/>
      <c r="WTP6" s="29"/>
      <c r="WTQ6" s="29"/>
      <c r="WTR6" s="29"/>
      <c r="WTS6" s="29"/>
      <c r="WTT6" s="29"/>
      <c r="WTU6" s="29"/>
      <c r="WTV6" s="29"/>
      <c r="WTW6" s="29"/>
      <c r="WTX6" s="29"/>
      <c r="WTY6" s="29"/>
      <c r="WTZ6" s="29"/>
      <c r="WUA6" s="29"/>
      <c r="WUB6" s="29"/>
      <c r="WUC6" s="29"/>
      <c r="WUD6" s="29"/>
      <c r="WUE6" s="29"/>
      <c r="WUF6" s="29"/>
      <c r="WUG6" s="29"/>
      <c r="WUH6" s="29"/>
      <c r="WUI6" s="29"/>
      <c r="WUJ6" s="29"/>
      <c r="WUK6" s="29"/>
      <c r="WUL6" s="29"/>
      <c r="WUM6" s="29"/>
      <c r="WUN6" s="29"/>
      <c r="WUO6" s="29"/>
      <c r="WUP6" s="29"/>
      <c r="WUQ6" s="29"/>
      <c r="WUR6" s="29"/>
      <c r="WUS6" s="29"/>
      <c r="WUT6" s="29"/>
      <c r="WUU6" s="29"/>
      <c r="WUV6" s="29"/>
      <c r="WUW6" s="29"/>
      <c r="WUX6" s="29"/>
      <c r="WUY6" s="29"/>
      <c r="WUZ6" s="29"/>
      <c r="WVA6" s="29"/>
      <c r="WVB6" s="29"/>
      <c r="WVC6" s="29"/>
      <c r="WVD6" s="29"/>
      <c r="WVE6" s="29"/>
      <c r="WVF6" s="29"/>
      <c r="WVG6" s="29"/>
      <c r="WVH6" s="29"/>
      <c r="WVI6" s="29"/>
      <c r="WVJ6" s="29"/>
      <c r="WVK6" s="29"/>
      <c r="WVL6" s="29"/>
      <c r="WVM6" s="29"/>
      <c r="WVN6" s="29"/>
      <c r="WVO6" s="29"/>
      <c r="WVP6" s="29"/>
      <c r="WVQ6" s="29"/>
      <c r="WVR6" s="29"/>
      <c r="WVS6" s="29"/>
      <c r="WVT6" s="29"/>
      <c r="WVU6" s="29"/>
      <c r="WVV6" s="29"/>
      <c r="WVW6" s="29"/>
      <c r="WVX6" s="29"/>
      <c r="WVY6" s="29"/>
      <c r="WVZ6" s="29"/>
      <c r="WWA6" s="29"/>
      <c r="WWB6" s="29"/>
      <c r="WWC6" s="29"/>
      <c r="WWD6" s="29"/>
      <c r="WWE6" s="29"/>
      <c r="WWF6" s="29"/>
      <c r="WWG6" s="29"/>
      <c r="WWH6" s="29"/>
      <c r="WWI6" s="29"/>
      <c r="WWJ6" s="29"/>
      <c r="WWK6" s="29"/>
      <c r="WWL6" s="29"/>
      <c r="WWM6" s="29"/>
      <c r="WWN6" s="29"/>
      <c r="WWO6" s="29"/>
      <c r="WWP6" s="29"/>
      <c r="WWQ6" s="29"/>
      <c r="WWR6" s="29"/>
      <c r="WWS6" s="29"/>
      <c r="WWT6" s="29"/>
      <c r="WWU6" s="29"/>
      <c r="WWV6" s="29"/>
      <c r="WWW6" s="29"/>
      <c r="WWX6" s="29"/>
      <c r="WWY6" s="29"/>
      <c r="WWZ6" s="29"/>
      <c r="WXA6" s="29"/>
      <c r="WXB6" s="29"/>
      <c r="WXC6" s="29"/>
      <c r="WXD6" s="29"/>
      <c r="WXE6" s="29"/>
      <c r="WXF6" s="29"/>
      <c r="WXG6" s="29"/>
      <c r="WXH6" s="29"/>
      <c r="WXI6" s="29"/>
      <c r="WXJ6" s="29"/>
      <c r="WXK6" s="29"/>
      <c r="WXL6" s="29"/>
      <c r="WXM6" s="29"/>
      <c r="WXN6" s="29"/>
      <c r="WXO6" s="29"/>
      <c r="WXP6" s="29"/>
      <c r="WXQ6" s="29"/>
      <c r="WXR6" s="29"/>
      <c r="WXS6" s="29"/>
      <c r="WXT6" s="29"/>
      <c r="WXU6" s="29"/>
      <c r="WXV6" s="29"/>
      <c r="WXW6" s="29"/>
      <c r="WXX6" s="29"/>
      <c r="WXY6" s="29"/>
      <c r="WXZ6" s="29"/>
      <c r="WYA6" s="29"/>
      <c r="WYB6" s="29"/>
      <c r="WYC6" s="29"/>
      <c r="WYD6" s="29"/>
      <c r="WYE6" s="29"/>
      <c r="WYF6" s="29"/>
      <c r="WYG6" s="29"/>
      <c r="WYH6" s="29"/>
      <c r="WYI6" s="29"/>
      <c r="WYJ6" s="29"/>
      <c r="WYK6" s="29"/>
      <c r="WYL6" s="29"/>
      <c r="WYM6" s="29"/>
      <c r="WYN6" s="29"/>
      <c r="WYO6" s="29"/>
      <c r="WYP6" s="29"/>
      <c r="WYQ6" s="29"/>
      <c r="WYR6" s="29"/>
      <c r="WYS6" s="29"/>
      <c r="WYT6" s="29"/>
      <c r="WYU6" s="29"/>
      <c r="WYV6" s="29"/>
      <c r="WYW6" s="29"/>
      <c r="WYX6" s="29"/>
      <c r="WYY6" s="29"/>
      <c r="WYZ6" s="29"/>
      <c r="WZA6" s="29"/>
      <c r="WZB6" s="29"/>
      <c r="WZC6" s="29"/>
      <c r="WZD6" s="29"/>
      <c r="WZE6" s="29"/>
      <c r="WZF6" s="29"/>
      <c r="WZG6" s="29"/>
      <c r="WZH6" s="29"/>
      <c r="WZI6" s="29"/>
      <c r="WZJ6" s="29"/>
      <c r="WZK6" s="29"/>
      <c r="WZL6" s="29"/>
      <c r="WZM6" s="29"/>
      <c r="WZN6" s="29"/>
      <c r="WZO6" s="29"/>
      <c r="WZP6" s="29"/>
      <c r="WZQ6" s="29"/>
      <c r="WZR6" s="29"/>
      <c r="WZS6" s="29"/>
      <c r="WZT6" s="29"/>
      <c r="WZU6" s="29"/>
      <c r="WZV6" s="29"/>
      <c r="WZW6" s="29"/>
      <c r="WZX6" s="29"/>
      <c r="WZY6" s="29"/>
      <c r="WZZ6" s="29"/>
      <c r="XAA6" s="29"/>
      <c r="XAB6" s="29"/>
      <c r="XAC6" s="29"/>
      <c r="XAD6" s="29"/>
      <c r="XAE6" s="29"/>
      <c r="XAF6" s="29"/>
      <c r="XAG6" s="29"/>
      <c r="XAH6" s="29"/>
      <c r="XAI6" s="29"/>
      <c r="XAJ6" s="29"/>
      <c r="XAK6" s="29"/>
      <c r="XAL6" s="29"/>
      <c r="XAM6" s="29"/>
      <c r="XAN6" s="29"/>
      <c r="XAO6" s="29"/>
      <c r="XAP6" s="29"/>
      <c r="XAQ6" s="29"/>
      <c r="XAR6" s="29"/>
      <c r="XAS6" s="29"/>
      <c r="XAT6" s="29"/>
      <c r="XAU6" s="29"/>
      <c r="XAV6" s="29"/>
      <c r="XAW6" s="29"/>
      <c r="XAX6" s="29"/>
      <c r="XAY6" s="29"/>
      <c r="XAZ6" s="29"/>
      <c r="XBA6" s="29"/>
      <c r="XBB6" s="29"/>
      <c r="XBC6" s="29"/>
      <c r="XBD6" s="29"/>
      <c r="XBE6" s="29"/>
      <c r="XBF6" s="29"/>
      <c r="XBG6" s="29"/>
      <c r="XBH6" s="29"/>
      <c r="XBI6" s="29"/>
      <c r="XBJ6" s="29"/>
      <c r="XBK6" s="29"/>
      <c r="XBL6" s="29"/>
      <c r="XBM6" s="29"/>
      <c r="XBN6" s="29"/>
      <c r="XBO6" s="29"/>
      <c r="XBP6" s="29"/>
      <c r="XBQ6" s="29"/>
      <c r="XBR6" s="29"/>
      <c r="XBS6" s="29"/>
      <c r="XBT6" s="29"/>
      <c r="XBU6" s="29"/>
      <c r="XBV6" s="29"/>
      <c r="XBW6" s="29"/>
      <c r="XBX6" s="29"/>
      <c r="XBY6" s="29"/>
      <c r="XBZ6" s="29"/>
      <c r="XCA6" s="29"/>
      <c r="XCB6" s="29"/>
      <c r="XCC6" s="29"/>
      <c r="XCD6" s="29"/>
      <c r="XCE6" s="29"/>
      <c r="XCF6" s="29"/>
      <c r="XCG6" s="29"/>
      <c r="XCH6" s="29"/>
      <c r="XCI6" s="29"/>
      <c r="XCJ6" s="29"/>
      <c r="XCK6" s="29"/>
      <c r="XCL6" s="29"/>
      <c r="XCM6" s="29"/>
      <c r="XCN6" s="29"/>
      <c r="XCO6" s="29"/>
      <c r="XCP6" s="29"/>
      <c r="XCQ6" s="29"/>
      <c r="XCR6" s="29"/>
      <c r="XCS6" s="29"/>
      <c r="XCT6" s="29"/>
      <c r="XCU6" s="29"/>
      <c r="XCV6" s="29"/>
      <c r="XCW6" s="29"/>
      <c r="XCX6" s="29"/>
      <c r="XCY6" s="29"/>
      <c r="XCZ6" s="29"/>
      <c r="XDA6" s="29"/>
      <c r="XDB6" s="29"/>
      <c r="XDC6" s="29"/>
      <c r="XDD6" s="29"/>
      <c r="XDE6" s="29"/>
      <c r="XDF6" s="29"/>
      <c r="XDG6" s="29"/>
      <c r="XDH6" s="29"/>
      <c r="XDI6" s="29"/>
      <c r="XDJ6" s="29"/>
      <c r="XDK6" s="29"/>
      <c r="XDL6" s="29"/>
      <c r="XDM6" s="29"/>
      <c r="XDN6" s="29"/>
      <c r="XDO6" s="29"/>
      <c r="XDP6" s="29"/>
      <c r="XDQ6" s="29"/>
      <c r="XDR6" s="29"/>
      <c r="XDS6" s="29"/>
      <c r="XDT6" s="29"/>
      <c r="XDU6" s="29"/>
      <c r="XDV6" s="29"/>
      <c r="XDW6" s="29"/>
      <c r="XDX6" s="29"/>
      <c r="XDY6" s="29"/>
      <c r="XDZ6" s="29"/>
      <c r="XEA6" s="29"/>
      <c r="XEB6" s="29"/>
      <c r="XEC6" s="29"/>
      <c r="XED6" s="29"/>
      <c r="XEE6" s="29"/>
      <c r="XEF6" s="29"/>
      <c r="XEG6" s="29"/>
      <c r="XEH6" s="29"/>
      <c r="XEI6" s="29"/>
      <c r="XEJ6" s="29"/>
      <c r="XEK6" s="29"/>
      <c r="XEL6" s="29"/>
      <c r="XEM6" s="29"/>
      <c r="XEN6" s="29"/>
      <c r="XEO6" s="29"/>
      <c r="XEP6" s="72"/>
      <c r="XEQ6" s="72"/>
      <c r="XER6" s="72"/>
      <c r="XES6" s="72"/>
      <c r="XET6" s="72"/>
      <c r="XEU6" s="72"/>
      <c r="XEV6" s="72"/>
      <c r="XEW6" s="72"/>
      <c r="XEX6" s="72"/>
      <c r="XEY6" s="72"/>
      <c r="XEZ6" s="72"/>
      <c r="XFA6" s="72"/>
    </row>
    <row r="7" ht="15.95" customHeight="1" spans="1:41">
      <c r="A7" s="14" t="s">
        <v>6</v>
      </c>
      <c r="B7" s="36"/>
      <c r="C7" s="36"/>
      <c r="D7" s="36" t="s">
        <v>106</v>
      </c>
      <c r="E7" s="37">
        <v>510</v>
      </c>
      <c r="F7" s="38">
        <f>H7/E7</f>
        <v>109.5</v>
      </c>
      <c r="G7" s="38">
        <f>I7/E7</f>
        <v>7.3</v>
      </c>
      <c r="H7" s="37">
        <v>55845</v>
      </c>
      <c r="I7" s="37">
        <v>3723</v>
      </c>
      <c r="J7" s="54">
        <f>VLOOKUP($A7,在途仓!$A:$N,14,0)</f>
        <v>580</v>
      </c>
      <c r="K7" s="55">
        <f>VLOOKUP($A7,在途仓!$A:$V,14,0)</f>
        <v>580</v>
      </c>
      <c r="L7" s="55">
        <f>IFERROR(N7/J7,0)</f>
        <v>7.70584415584416</v>
      </c>
      <c r="M7" s="54">
        <f>-VLOOKUP($A7,在途仓!$A:$R,17,0)</f>
        <v>50418.5714285714</v>
      </c>
      <c r="N7" s="54">
        <f>-VLOOKUP($A7,在途仓!$A:$R,18,0)</f>
        <v>4469.38961038961</v>
      </c>
      <c r="O7" s="56">
        <f>IF(ISERROR(VLOOKUP($A7,库存调整表US!$A:$K,11,0)),0,VLOOKUP($A7,库存调整表US!$A:$K,11,0))</f>
        <v>-586</v>
      </c>
      <c r="P7" s="57">
        <f>(H7+M7)/($E7+$J7)</f>
        <v>97.4895150720839</v>
      </c>
      <c r="Q7" s="57">
        <f>(I7+N7)/($E7+$J7)</f>
        <v>7.51595377099964</v>
      </c>
      <c r="R7" s="57">
        <f>IFERROR($O7*P7,0)</f>
        <v>-57128.8558322411</v>
      </c>
      <c r="S7" s="57">
        <f>IFERROR($O7*Q7,0)</f>
        <v>-4404.34890980579</v>
      </c>
      <c r="T7" s="64">
        <f>VLOOKUP($A7,库存调整表US!$A:$I,9,0)</f>
        <v>77</v>
      </c>
      <c r="U7" s="65">
        <f t="shared" ref="U7:X7" si="0">$T7*P7</f>
        <v>7506.69266055046</v>
      </c>
      <c r="V7" s="65">
        <f t="shared" si="0"/>
        <v>578.728440366973</v>
      </c>
      <c r="W7" s="66">
        <f>VLOOKUP($A7,库存调整表US!$A:$P,MATCH(W$5,库存调整表US!$A$2:$P$2,0),0)</f>
        <v>0</v>
      </c>
      <c r="X7" s="65">
        <f>$W7*S7</f>
        <v>0</v>
      </c>
      <c r="Y7" s="65">
        <f>$W7*T7</f>
        <v>0</v>
      </c>
      <c r="Z7" s="66">
        <f>VLOOKUP($A7,库存调整表US!$A:$P,MATCH(Z$6,库存调整表US!$A$2:$P$2,0),0)</f>
        <v>0</v>
      </c>
      <c r="AA7" s="66">
        <f>VLOOKUP($A7,库存调整表US!$A:$P,MATCH(AA$6,库存调整表US!$A$2:$P$2,0),0)</f>
        <v>0</v>
      </c>
      <c r="AB7" s="66">
        <f>VLOOKUP($A7,库存调整表US!$A:$P,MATCH(AB$6,库存调整表US!$A$2:$P$2,0),0)</f>
        <v>0</v>
      </c>
      <c r="AC7" s="66">
        <f>VLOOKUP($A7,库存调整表US!$A:$P,MATCH(AC$6,库存调整表US!$A$2:$P$2,0),0)</f>
        <v>0</v>
      </c>
      <c r="AD7" s="66">
        <f>SUM(Z7:AC7)</f>
        <v>0</v>
      </c>
      <c r="AE7" s="57">
        <f>$AD7*P7</f>
        <v>0</v>
      </c>
      <c r="AF7" s="57">
        <f t="shared" ref="AF7:AF24" si="1">$AD7*Q7</f>
        <v>0</v>
      </c>
      <c r="AG7" s="68">
        <f>E7+J7+O7+T7+AD7</f>
        <v>581</v>
      </c>
      <c r="AH7" s="57">
        <f>IF(ISERROR(AJ7/$AG7),0,AJ7/$AG7)</f>
        <v>97.4895150720839</v>
      </c>
      <c r="AI7" s="57">
        <f>IF(ISERROR(AK7/$AG7),0,AK7/$AG7)</f>
        <v>7.51595377099964</v>
      </c>
      <c r="AJ7" s="57">
        <f>H7+M7+R7+U7+AE7+X7</f>
        <v>56641.4082568807</v>
      </c>
      <c r="AK7" s="57">
        <f>I7+N7+S7+V7+AF7+Y7</f>
        <v>4366.76914095079</v>
      </c>
      <c r="AL7" s="21">
        <v>581</v>
      </c>
      <c r="AM7" s="21">
        <f>AG7-AL7</f>
        <v>0</v>
      </c>
      <c r="AN7" s="69">
        <f>R7+S7+U7+V7+X7+Y7</f>
        <v>-53447.7836411295</v>
      </c>
      <c r="AO7" s="69">
        <f>AE7+AF7</f>
        <v>0</v>
      </c>
    </row>
    <row r="8" ht="15.95" customHeight="1" spans="1:41">
      <c r="A8" s="14" t="s">
        <v>7</v>
      </c>
      <c r="B8" s="36"/>
      <c r="C8" s="36"/>
      <c r="D8" s="36" t="s">
        <v>106</v>
      </c>
      <c r="E8" s="37">
        <v>3054</v>
      </c>
      <c r="F8" s="38">
        <f t="shared" ref="F8:F24" si="2">H8/E8</f>
        <v>340.5</v>
      </c>
      <c r="G8" s="38">
        <f t="shared" ref="G8:G24" si="3">I8/E8</f>
        <v>2.38</v>
      </c>
      <c r="H8" s="37">
        <v>1039887</v>
      </c>
      <c r="I8" s="37">
        <v>7268.52</v>
      </c>
      <c r="J8" s="54">
        <f>VLOOKUP($A8,在途仓!$A:$N,14,0)</f>
        <v>2292</v>
      </c>
      <c r="K8" s="55">
        <f>VLOOKUP($A8,在途仓!$A:$V,14,0)</f>
        <v>2292</v>
      </c>
      <c r="L8" s="55">
        <f t="shared" ref="L8:L25" si="4">IFERROR(N8/J8,0)</f>
        <v>2.45696566998893</v>
      </c>
      <c r="M8" s="54">
        <f>-VLOOKUP($A8,在途仓!$A:$R,17,0)</f>
        <v>684659.572978959</v>
      </c>
      <c r="N8" s="54">
        <f>-VLOOKUP($A8,在途仓!$A:$R,18,0)</f>
        <v>5631.36531561462</v>
      </c>
      <c r="O8" s="56">
        <f>IF(ISERROR(VLOOKUP($A8,库存调整表US!$A:$K,11,0)),0,VLOOKUP($A8,库存调整表US!$A:$K,11,0))</f>
        <v>-1877</v>
      </c>
      <c r="P8" s="57">
        <f t="shared" ref="P8:P24" si="5">(H8+M8)/($E8+$J8)</f>
        <v>322.586339876348</v>
      </c>
      <c r="Q8" s="57">
        <f t="shared" ref="Q8:Q24" si="6">(I8+N8)/($E8+$J8)</f>
        <v>2.41299762731287</v>
      </c>
      <c r="R8" s="57">
        <f t="shared" ref="R8:R24" si="7">IFERROR($O8*P8,0)</f>
        <v>-605494.559947906</v>
      </c>
      <c r="S8" s="57">
        <f t="shared" ref="S8:S24" si="8">IFERROR($O8*Q8,0)</f>
        <v>-4529.19654646626</v>
      </c>
      <c r="T8" s="64">
        <f>VLOOKUP($A8,库存调整表US!$A:$I,9,0)</f>
        <v>182</v>
      </c>
      <c r="U8" s="65">
        <f t="shared" ref="U8:U25" si="9">$T8*$P8</f>
        <v>58710.7138574954</v>
      </c>
      <c r="V8" s="65">
        <f t="shared" ref="V8:V24" si="10">$T8*Q8</f>
        <v>439.165568170943</v>
      </c>
      <c r="W8" s="66">
        <f>VLOOKUP($A8,库存调整表US!$A:$P,MATCH(W$5,库存调整表US!$A$2:$P$2,0),0)</f>
        <v>-4</v>
      </c>
      <c r="X8" s="65">
        <f t="shared" ref="X8:X24" si="11">$W8*S8</f>
        <v>18116.7861858651</v>
      </c>
      <c r="Y8" s="65">
        <f t="shared" ref="Y8:Y24" si="12">$W8*T8</f>
        <v>-728</v>
      </c>
      <c r="Z8" s="66">
        <f>VLOOKUP($A8,库存调整表US!$A:$P,MATCH(Z$6,库存调整表US!$A$2:$P$2,0),0)</f>
        <v>2</v>
      </c>
      <c r="AA8" s="66">
        <f>VLOOKUP($A8,库存调整表US!$A:$P,MATCH(AA$6,库存调整表US!$A$2:$P$2,0),0)</f>
        <v>0</v>
      </c>
      <c r="AB8" s="66">
        <f>VLOOKUP($A8,库存调整表US!$A:$P,MATCH(AB$6,库存调整表US!$A$2:$P$2,0),0)</f>
        <v>0</v>
      </c>
      <c r="AC8" s="66">
        <f>VLOOKUP($A8,库存调整表US!$A:$P,MATCH(AC$6,库存调整表US!$A$2:$P$2,0),0)</f>
        <v>0</v>
      </c>
      <c r="AD8" s="66">
        <f t="shared" ref="AD8:AD24" si="13">SUM(Z8:AC8)</f>
        <v>2</v>
      </c>
      <c r="AE8" s="57">
        <f t="shared" ref="AE8:AE24" si="14">$AD8*P8</f>
        <v>645.172679752697</v>
      </c>
      <c r="AF8" s="57">
        <f t="shared" si="1"/>
        <v>4.82599525462575</v>
      </c>
      <c r="AG8" s="68">
        <f t="shared" ref="AG8:AG25" si="15">E8+J8+O8+T8+AD8</f>
        <v>3653</v>
      </c>
      <c r="AH8" s="57">
        <f t="shared" ref="AH8:AH24" si="16">IF(ISERROR(AJ8/AG8),0,AJ8/AG8)</f>
        <v>327.545766699744</v>
      </c>
      <c r="AI8" s="57">
        <f t="shared" ref="AI8:AI24" si="17">IF(ISERROR(AK8/$AG8),0,AK8/$AG8)</f>
        <v>2.21370937108512</v>
      </c>
      <c r="AJ8" s="57">
        <f t="shared" ref="AJ8:AJ24" si="18">H8+M8+R8+U8+AE8+X8</f>
        <v>1196524.68575417</v>
      </c>
      <c r="AK8" s="57">
        <f t="shared" ref="AK7:AK24" si="19">I8+N8+S8+V8+AF8+Y8</f>
        <v>8086.68033257393</v>
      </c>
      <c r="AL8" s="21">
        <v>3649</v>
      </c>
      <c r="AM8" s="21">
        <f t="shared" ref="AM8:AM24" si="20">AG8-AL8</f>
        <v>4</v>
      </c>
      <c r="AN8" s="69">
        <f t="shared" ref="AN8:AN24" si="21">R8+S8+U8+V8+X8+Y8</f>
        <v>-533485.090882841</v>
      </c>
      <c r="AO8" s="69">
        <f t="shared" ref="AO8:AO24" si="22">AE8+AF8</f>
        <v>649.998675007323</v>
      </c>
    </row>
    <row r="9" ht="15.95" customHeight="1" spans="1:41">
      <c r="A9" s="14" t="s">
        <v>8</v>
      </c>
      <c r="B9" s="36"/>
      <c r="C9" s="36"/>
      <c r="D9" s="36" t="s">
        <v>106</v>
      </c>
      <c r="E9" s="37">
        <v>2</v>
      </c>
      <c r="F9" s="38">
        <f t="shared" si="2"/>
        <v>60.1270659575145</v>
      </c>
      <c r="G9" s="38">
        <f t="shared" si="3"/>
        <v>4</v>
      </c>
      <c r="H9" s="37">
        <v>120.254131915029</v>
      </c>
      <c r="I9" s="37">
        <v>8</v>
      </c>
      <c r="J9" s="54">
        <f>VLOOKUP($A9,在途仓!$A:$N,14,0)</f>
        <v>3</v>
      </c>
      <c r="K9" s="55">
        <f>VLOOKUP($A9,在途仓!$A:$V,14,0)</f>
        <v>3</v>
      </c>
      <c r="L9" s="55">
        <f t="shared" si="4"/>
        <v>4</v>
      </c>
      <c r="M9" s="54">
        <f>-VLOOKUP($A9,在途仓!$A:$R,17,0)</f>
        <v>187.33763380872</v>
      </c>
      <c r="N9" s="54">
        <f>-VLOOKUP($A9,在途仓!$A:$R,18,0)</f>
        <v>12</v>
      </c>
      <c r="O9" s="56">
        <f>IF(ISERROR(VLOOKUP($A9,库存调整表US!$A:$K,11,0)),0,VLOOKUP($A9,库存调整表US!$A:$K,11,0))</f>
        <v>-1</v>
      </c>
      <c r="P9" s="57">
        <f t="shared" si="5"/>
        <v>61.5183531447498</v>
      </c>
      <c r="Q9" s="57">
        <f t="shared" si="6"/>
        <v>4</v>
      </c>
      <c r="R9" s="57">
        <f t="shared" si="7"/>
        <v>-61.5183531447498</v>
      </c>
      <c r="S9" s="57">
        <f t="shared" si="8"/>
        <v>-4</v>
      </c>
      <c r="T9" s="64">
        <f>VLOOKUP($A9,库存调整表US!$A:$I,9,0)</f>
        <v>0</v>
      </c>
      <c r="U9" s="65">
        <f t="shared" si="9"/>
        <v>0</v>
      </c>
      <c r="V9" s="65">
        <f t="shared" si="10"/>
        <v>0</v>
      </c>
      <c r="W9" s="66">
        <f>VLOOKUP($A9,库存调整表US!$A:$P,MATCH(W$5,库存调整表US!$A$2:$P$2,0),0)</f>
        <v>0</v>
      </c>
      <c r="X9" s="65">
        <f t="shared" si="11"/>
        <v>0</v>
      </c>
      <c r="Y9" s="65">
        <f t="shared" si="12"/>
        <v>0</v>
      </c>
      <c r="Z9" s="66">
        <f>VLOOKUP($A9,库存调整表US!$A:$P,MATCH(Z$6,库存调整表US!$A$2:$P$2,0),0)</f>
        <v>2</v>
      </c>
      <c r="AA9" s="66">
        <f>VLOOKUP($A9,库存调整表US!$A:$P,MATCH(AA$6,库存调整表US!$A$2:$P$2,0),0)</f>
        <v>0</v>
      </c>
      <c r="AB9" s="66">
        <f>VLOOKUP($A9,库存调整表US!$A:$P,MATCH(AB$6,库存调整表US!$A$2:$P$2,0),0)</f>
        <v>0</v>
      </c>
      <c r="AC9" s="66">
        <f>VLOOKUP($A9,库存调整表US!$A:$P,MATCH(AC$6,库存调整表US!$A$2:$P$2,0),0)</f>
        <v>0</v>
      </c>
      <c r="AD9" s="66">
        <f t="shared" si="13"/>
        <v>2</v>
      </c>
      <c r="AE9" s="57">
        <f t="shared" si="14"/>
        <v>123.0367062895</v>
      </c>
      <c r="AF9" s="57">
        <f t="shared" si="1"/>
        <v>8</v>
      </c>
      <c r="AG9" s="68">
        <f t="shared" si="15"/>
        <v>6</v>
      </c>
      <c r="AH9" s="57">
        <f t="shared" si="16"/>
        <v>61.5183531447498</v>
      </c>
      <c r="AI9" s="57">
        <f t="shared" si="17"/>
        <v>4</v>
      </c>
      <c r="AJ9" s="57">
        <f t="shared" si="18"/>
        <v>369.110118868499</v>
      </c>
      <c r="AK9" s="57">
        <f t="shared" si="19"/>
        <v>24</v>
      </c>
      <c r="AL9" s="21">
        <v>6</v>
      </c>
      <c r="AM9" s="21">
        <f t="shared" si="20"/>
        <v>0</v>
      </c>
      <c r="AN9" s="69">
        <f t="shared" si="21"/>
        <v>-65.5183531447498</v>
      </c>
      <c r="AO9" s="69">
        <f t="shared" si="22"/>
        <v>131.0367062895</v>
      </c>
    </row>
    <row r="10" ht="15.95" customHeight="1" spans="1:41">
      <c r="A10" s="14" t="s">
        <v>9</v>
      </c>
      <c r="B10" s="36"/>
      <c r="C10" s="36"/>
      <c r="D10" s="36" t="s">
        <v>106</v>
      </c>
      <c r="E10" s="37">
        <v>3138</v>
      </c>
      <c r="F10" s="38">
        <f t="shared" si="2"/>
        <v>77.5480256138547</v>
      </c>
      <c r="G10" s="38">
        <f t="shared" si="3"/>
        <v>20.45</v>
      </c>
      <c r="H10" s="37">
        <v>243345.704376276</v>
      </c>
      <c r="I10" s="37">
        <v>64172.1</v>
      </c>
      <c r="J10" s="54">
        <f>VLOOKUP($A10,在途仓!$A:$N,14,0)</f>
        <v>3431</v>
      </c>
      <c r="K10" s="55">
        <f>VLOOKUP($A10,在途仓!$A:$V,14,0)</f>
        <v>3431</v>
      </c>
      <c r="L10" s="55">
        <f t="shared" si="4"/>
        <v>20.45</v>
      </c>
      <c r="M10" s="54">
        <f>-VLOOKUP($A10,在途仓!$A:$R,17,0)</f>
        <v>0</v>
      </c>
      <c r="N10" s="54">
        <f>-VLOOKUP($A10,在途仓!$A:$R,18,0)</f>
        <v>70163.95</v>
      </c>
      <c r="O10" s="56">
        <f>IF(ISERROR(VLOOKUP($A10,库存调整表US!$A:$K,11,0)),0,VLOOKUP($A10,库存调整表US!$A:$K,11,0))</f>
        <v>-5627</v>
      </c>
      <c r="P10" s="57">
        <f t="shared" si="5"/>
        <v>37.0445584375515</v>
      </c>
      <c r="Q10" s="57">
        <f t="shared" si="6"/>
        <v>20.45</v>
      </c>
      <c r="R10" s="57">
        <f t="shared" si="7"/>
        <v>-208449.730328102</v>
      </c>
      <c r="S10" s="57">
        <f t="shared" si="8"/>
        <v>-115072.15</v>
      </c>
      <c r="T10" s="64">
        <f>VLOOKUP($A10,库存调整表US!$A:$I,9,0)</f>
        <v>136</v>
      </c>
      <c r="U10" s="65">
        <f t="shared" si="9"/>
        <v>5038.05994750701</v>
      </c>
      <c r="V10" s="65">
        <f t="shared" si="10"/>
        <v>2781.2</v>
      </c>
      <c r="W10" s="66">
        <f>VLOOKUP($A10,库存调整表US!$A:$P,MATCH(W$5,库存调整表US!$A$2:$P$2,0),0)</f>
        <v>-2</v>
      </c>
      <c r="X10" s="65">
        <f t="shared" si="11"/>
        <v>230144.3</v>
      </c>
      <c r="Y10" s="65">
        <f t="shared" si="12"/>
        <v>-272</v>
      </c>
      <c r="Z10" s="66">
        <f>VLOOKUP($A10,库存调整表US!$A:$P,MATCH(Z$6,库存调整表US!$A$2:$P$2,0),0)</f>
        <v>8</v>
      </c>
      <c r="AA10" s="66">
        <f>VLOOKUP($A10,库存调整表US!$A:$P,MATCH(AA$6,库存调整表US!$A$2:$P$2,0),0)</f>
        <v>0</v>
      </c>
      <c r="AB10" s="66">
        <f>VLOOKUP($A10,库存调整表US!$A:$P,MATCH(AB$6,库存调整表US!$A$2:$P$2,0),0)</f>
        <v>-3</v>
      </c>
      <c r="AC10" s="66">
        <f>VLOOKUP($A10,库存调整表US!$A:$P,MATCH(AC$6,库存调整表US!$A$2:$P$2,0),0)</f>
        <v>-4</v>
      </c>
      <c r="AD10" s="66">
        <f t="shared" si="13"/>
        <v>1</v>
      </c>
      <c r="AE10" s="57">
        <f t="shared" si="14"/>
        <v>37.0445584375515</v>
      </c>
      <c r="AF10" s="57">
        <f t="shared" si="1"/>
        <v>20.45</v>
      </c>
      <c r="AG10" s="68">
        <f t="shared" si="15"/>
        <v>1079</v>
      </c>
      <c r="AH10" s="57">
        <f t="shared" si="16"/>
        <v>250.338627019572</v>
      </c>
      <c r="AI10" s="57">
        <f t="shared" si="17"/>
        <v>20.1979147358665</v>
      </c>
      <c r="AJ10" s="57">
        <f t="shared" si="18"/>
        <v>270115.378554118</v>
      </c>
      <c r="AK10" s="57">
        <f t="shared" si="19"/>
        <v>21793.55</v>
      </c>
      <c r="AL10" s="21">
        <v>1077</v>
      </c>
      <c r="AM10" s="21">
        <f t="shared" si="20"/>
        <v>2</v>
      </c>
      <c r="AN10" s="69">
        <f t="shared" si="21"/>
        <v>-85830.3203805955</v>
      </c>
      <c r="AO10" s="69">
        <f t="shared" si="22"/>
        <v>57.4945584375515</v>
      </c>
    </row>
    <row r="11" ht="15.95" customHeight="1" spans="1:41">
      <c r="A11" s="14" t="s">
        <v>10</v>
      </c>
      <c r="B11" s="36"/>
      <c r="C11" s="36"/>
      <c r="D11" s="36" t="s">
        <v>106</v>
      </c>
      <c r="E11" s="37">
        <v>2055</v>
      </c>
      <c r="F11" s="38">
        <f t="shared" si="2"/>
        <v>86.4439755404818</v>
      </c>
      <c r="G11" s="38">
        <f t="shared" si="3"/>
        <v>11</v>
      </c>
      <c r="H11" s="37">
        <v>177642.36973569</v>
      </c>
      <c r="I11" s="37">
        <v>22605</v>
      </c>
      <c r="J11" s="54">
        <f>VLOOKUP($A11,在途仓!$A:$N,14,0)</f>
        <v>1324</v>
      </c>
      <c r="K11" s="55">
        <f>VLOOKUP($A11,在途仓!$A:$V,14,0)</f>
        <v>1324</v>
      </c>
      <c r="L11" s="55">
        <f t="shared" si="4"/>
        <v>11.1128330614465</v>
      </c>
      <c r="M11" s="54">
        <f>-VLOOKUP($A11,在途仓!$A:$R,17,0)</f>
        <v>96051.3789713344</v>
      </c>
      <c r="N11" s="54">
        <f>-VLOOKUP($A11,在途仓!$A:$R,18,0)</f>
        <v>14713.3909733551</v>
      </c>
      <c r="O11" s="56">
        <f>IF(ISERROR(VLOOKUP($A11,库存调整表US!$A:$K,11,0)),0,VLOOKUP($A11,库存调整表US!$A:$K,11,0))</f>
        <v>-1526</v>
      </c>
      <c r="P11" s="57">
        <f t="shared" si="5"/>
        <v>80.998445903233</v>
      </c>
      <c r="Q11" s="57">
        <f t="shared" si="6"/>
        <v>11.04421159318</v>
      </c>
      <c r="R11" s="57">
        <f t="shared" si="7"/>
        <v>-123603.628448334</v>
      </c>
      <c r="S11" s="57">
        <f t="shared" si="8"/>
        <v>-16853.4668911926</v>
      </c>
      <c r="T11" s="64">
        <f>VLOOKUP($A11,库存调整表US!$A:$I,9,0)</f>
        <v>78</v>
      </c>
      <c r="U11" s="65">
        <f t="shared" si="9"/>
        <v>6317.87878045218</v>
      </c>
      <c r="V11" s="65">
        <f t="shared" si="10"/>
        <v>861.448504268037</v>
      </c>
      <c r="W11" s="66">
        <f>VLOOKUP($A11,库存调整表US!$A:$P,MATCH(W$5,库存调整表US!$A$2:$P$2,0),0)</f>
        <v>-1</v>
      </c>
      <c r="X11" s="65">
        <f t="shared" si="11"/>
        <v>16853.4668911926</v>
      </c>
      <c r="Y11" s="65">
        <f t="shared" si="12"/>
        <v>-78</v>
      </c>
      <c r="Z11" s="66">
        <f>VLOOKUP($A11,库存调整表US!$A:$P,MATCH(Z$6,库存调整表US!$A$2:$P$2,0),0)</f>
        <v>0</v>
      </c>
      <c r="AA11" s="66">
        <f>VLOOKUP($A11,库存调整表US!$A:$P,MATCH(AA$6,库存调整表US!$A$2:$P$2,0),0)</f>
        <v>-1</v>
      </c>
      <c r="AB11" s="66">
        <f>VLOOKUP($A11,库存调整表US!$A:$P,MATCH(AB$6,库存调整表US!$A$2:$P$2,0),0)</f>
        <v>0</v>
      </c>
      <c r="AC11" s="66">
        <f>VLOOKUP($A11,库存调整表US!$A:$P,MATCH(AC$6,库存调整表US!$A$2:$P$2,0),0)</f>
        <v>0</v>
      </c>
      <c r="AD11" s="66">
        <f t="shared" si="13"/>
        <v>-1</v>
      </c>
      <c r="AE11" s="57">
        <f t="shared" si="14"/>
        <v>-80.998445903233</v>
      </c>
      <c r="AF11" s="57">
        <f t="shared" si="1"/>
        <v>-11.04421159318</v>
      </c>
      <c r="AG11" s="68">
        <f t="shared" si="15"/>
        <v>1930</v>
      </c>
      <c r="AH11" s="57">
        <f t="shared" si="16"/>
        <v>89.7308121680997</v>
      </c>
      <c r="AI11" s="57">
        <f t="shared" si="17"/>
        <v>11.0037970854079</v>
      </c>
      <c r="AJ11" s="57">
        <f t="shared" si="18"/>
        <v>173180.467484432</v>
      </c>
      <c r="AK11" s="57">
        <f t="shared" si="19"/>
        <v>21237.3283748373</v>
      </c>
      <c r="AL11" s="21">
        <v>1929</v>
      </c>
      <c r="AM11" s="21">
        <f t="shared" si="20"/>
        <v>1</v>
      </c>
      <c r="AN11" s="69">
        <f t="shared" si="21"/>
        <v>-116502.301163613</v>
      </c>
      <c r="AO11" s="69">
        <f t="shared" si="22"/>
        <v>-92.042657496413</v>
      </c>
    </row>
    <row r="12" ht="15.95" customHeight="1" spans="1:41">
      <c r="A12" s="14" t="s">
        <v>11</v>
      </c>
      <c r="B12" s="36"/>
      <c r="C12" s="36"/>
      <c r="D12" s="36" t="s">
        <v>106</v>
      </c>
      <c r="E12" s="37">
        <v>1113</v>
      </c>
      <c r="F12" s="38">
        <f t="shared" si="2"/>
        <v>100.977241033397</v>
      </c>
      <c r="G12" s="38">
        <f t="shared" si="3"/>
        <v>10</v>
      </c>
      <c r="H12" s="37">
        <v>112387.669270171</v>
      </c>
      <c r="I12" s="37">
        <v>11130</v>
      </c>
      <c r="J12" s="54">
        <f>VLOOKUP($A12,在途仓!$A:$N,14,0)</f>
        <v>500</v>
      </c>
      <c r="K12" s="55">
        <f>VLOOKUP($A12,在途仓!$A:$V,14,0)</f>
        <v>500</v>
      </c>
      <c r="L12" s="55">
        <f t="shared" si="4"/>
        <v>10.2474747474747</v>
      </c>
      <c r="M12" s="54">
        <f>-VLOOKUP($A12,在途仓!$A:$R,17,0)</f>
        <v>50618.1051042245</v>
      </c>
      <c r="N12" s="54">
        <f>-VLOOKUP($A12,在途仓!$A:$R,18,0)</f>
        <v>5123.73737373737</v>
      </c>
      <c r="O12" s="56">
        <f>IF(ISERROR(VLOOKUP($A12,库存调整表US!$A:$K,11,0)),0,VLOOKUP($A12,库存调整表US!$A:$K,11,0))</f>
        <v>-579</v>
      </c>
      <c r="P12" s="57">
        <f t="shared" si="5"/>
        <v>101.057516661126</v>
      </c>
      <c r="Q12" s="57">
        <f t="shared" si="6"/>
        <v>10.076712568963</v>
      </c>
      <c r="R12" s="57">
        <f t="shared" si="7"/>
        <v>-58512.3021467917</v>
      </c>
      <c r="S12" s="57">
        <f t="shared" si="8"/>
        <v>-5834.4165774296</v>
      </c>
      <c r="T12" s="64">
        <f>VLOOKUP($A12,库存调整表US!$A:$I,9,0)</f>
        <v>75</v>
      </c>
      <c r="U12" s="65">
        <f t="shared" si="9"/>
        <v>7579.31374958441</v>
      </c>
      <c r="V12" s="65">
        <f t="shared" si="10"/>
        <v>755.753442672227</v>
      </c>
      <c r="W12" s="66">
        <f>VLOOKUP($A12,库存调整表US!$A:$P,MATCH(W$5,库存调整表US!$A$2:$P$2,0),0)</f>
        <v>-1</v>
      </c>
      <c r="X12" s="65">
        <f t="shared" si="11"/>
        <v>5834.4165774296</v>
      </c>
      <c r="Y12" s="65">
        <f t="shared" si="12"/>
        <v>-75</v>
      </c>
      <c r="Z12" s="66">
        <f>VLOOKUP($A12,库存调整表US!$A:$P,MATCH(Z$6,库存调整表US!$A$2:$P$2,0),0)</f>
        <v>0</v>
      </c>
      <c r="AA12" s="66">
        <f>VLOOKUP($A12,库存调整表US!$A:$P,MATCH(AA$6,库存调整表US!$A$2:$P$2,0),0)</f>
        <v>-1</v>
      </c>
      <c r="AB12" s="66">
        <f>VLOOKUP($A12,库存调整表US!$A:$P,MATCH(AB$6,库存调整表US!$A$2:$P$2,0),0)</f>
        <v>0</v>
      </c>
      <c r="AC12" s="66">
        <f>VLOOKUP($A12,库存调整表US!$A:$P,MATCH(AC$6,库存调整表US!$A$2:$P$2,0),0)</f>
        <v>0</v>
      </c>
      <c r="AD12" s="66">
        <f t="shared" si="13"/>
        <v>-1</v>
      </c>
      <c r="AE12" s="57">
        <f t="shared" si="14"/>
        <v>-101.057516661126</v>
      </c>
      <c r="AF12" s="57">
        <f t="shared" si="1"/>
        <v>-10.076712568963</v>
      </c>
      <c r="AG12" s="68">
        <f t="shared" si="15"/>
        <v>1108</v>
      </c>
      <c r="AH12" s="57">
        <f t="shared" si="16"/>
        <v>106.323235593824</v>
      </c>
      <c r="AI12" s="57">
        <f t="shared" si="17"/>
        <v>10.0090230382771</v>
      </c>
      <c r="AJ12" s="57">
        <f t="shared" si="18"/>
        <v>117806.145037957</v>
      </c>
      <c r="AK12" s="57">
        <f t="shared" si="19"/>
        <v>11089.997526411</v>
      </c>
      <c r="AL12" s="21">
        <v>1107</v>
      </c>
      <c r="AM12" s="21">
        <f t="shared" si="20"/>
        <v>1</v>
      </c>
      <c r="AN12" s="69">
        <f t="shared" si="21"/>
        <v>-50252.234954535</v>
      </c>
      <c r="AO12" s="69">
        <f t="shared" si="22"/>
        <v>-111.134229230089</v>
      </c>
    </row>
    <row r="13" ht="15.95" customHeight="1" spans="1:41">
      <c r="A13" s="14" t="s">
        <v>12</v>
      </c>
      <c r="B13" s="36"/>
      <c r="C13" s="36"/>
      <c r="D13" s="36" t="s">
        <v>106</v>
      </c>
      <c r="E13" s="37">
        <v>175</v>
      </c>
      <c r="F13" s="38">
        <f t="shared" si="2"/>
        <v>106.903512721822</v>
      </c>
      <c r="G13" s="38">
        <f t="shared" si="3"/>
        <v>3.1</v>
      </c>
      <c r="H13" s="37">
        <v>18708.1147263189</v>
      </c>
      <c r="I13" s="37">
        <v>542.5</v>
      </c>
      <c r="J13" s="54">
        <f>VLOOKUP($A13,在途仓!$A:$N,14,0)</f>
        <v>178</v>
      </c>
      <c r="K13" s="55">
        <f>VLOOKUP($A13,在途仓!$A:$V,14,0)</f>
        <v>178</v>
      </c>
      <c r="L13" s="55">
        <f t="shared" si="4"/>
        <v>3.1</v>
      </c>
      <c r="M13" s="54">
        <f>-VLOOKUP($A13,在途仓!$A:$R,17,0)</f>
        <v>19046</v>
      </c>
      <c r="N13" s="54">
        <f>-VLOOKUP($A13,在途仓!$A:$R,18,0)</f>
        <v>551.8</v>
      </c>
      <c r="O13" s="56">
        <f>IF(ISERROR(VLOOKUP($A13,库存调整表US!$A:$K,11,0)),0,VLOOKUP($A13,库存调整表US!$A:$K,11,0))</f>
        <v>-369</v>
      </c>
      <c r="P13" s="57">
        <f t="shared" si="5"/>
        <v>106.95216636351</v>
      </c>
      <c r="Q13" s="57">
        <f t="shared" si="6"/>
        <v>3.1</v>
      </c>
      <c r="R13" s="57">
        <f t="shared" si="7"/>
        <v>-39465.3493881351</v>
      </c>
      <c r="S13" s="57">
        <f t="shared" si="8"/>
        <v>-1143.9</v>
      </c>
      <c r="T13" s="64">
        <f>VLOOKUP($A13,库存调整表US!$A:$I,9,0)</f>
        <v>164</v>
      </c>
      <c r="U13" s="65">
        <f t="shared" si="9"/>
        <v>17540.1552836156</v>
      </c>
      <c r="V13" s="65">
        <f t="shared" si="10"/>
        <v>508.4</v>
      </c>
      <c r="W13" s="66">
        <f>VLOOKUP($A13,库存调整表US!$A:$P,MATCH(W$5,库存调整表US!$A$2:$P$2,0),0)</f>
        <v>-1</v>
      </c>
      <c r="X13" s="65">
        <f t="shared" si="11"/>
        <v>1143.9</v>
      </c>
      <c r="Y13" s="65">
        <f t="shared" si="12"/>
        <v>-164</v>
      </c>
      <c r="Z13" s="66">
        <f>VLOOKUP($A13,库存调整表US!$A:$P,MATCH(Z$6,库存调整表US!$A$2:$P$2,0),0)</f>
        <v>1</v>
      </c>
      <c r="AA13" s="66">
        <f>VLOOKUP($A13,库存调整表US!$A:$P,MATCH(AA$6,库存调整表US!$A$2:$P$2,0),0)</f>
        <v>-3</v>
      </c>
      <c r="AB13" s="66">
        <f>VLOOKUP($A13,库存调整表US!$A:$P,MATCH(AB$6,库存调整表US!$A$2:$P$2,0),0)</f>
        <v>0</v>
      </c>
      <c r="AC13" s="66">
        <f>VLOOKUP($A13,库存调整表US!$A:$P,MATCH(AC$6,库存调整表US!$A$2:$P$2,0),0)</f>
        <v>0</v>
      </c>
      <c r="AD13" s="66">
        <f t="shared" si="13"/>
        <v>-2</v>
      </c>
      <c r="AE13" s="57">
        <f t="shared" si="14"/>
        <v>-213.904332727019</v>
      </c>
      <c r="AF13" s="57">
        <f t="shared" si="1"/>
        <v>-6.2</v>
      </c>
      <c r="AG13" s="68">
        <f t="shared" si="15"/>
        <v>146</v>
      </c>
      <c r="AH13" s="57">
        <f t="shared" si="16"/>
        <v>114.787097870359</v>
      </c>
      <c r="AI13" s="57">
        <f t="shared" si="17"/>
        <v>1.97671232876712</v>
      </c>
      <c r="AJ13" s="57">
        <f t="shared" si="18"/>
        <v>16758.9162890724</v>
      </c>
      <c r="AK13" s="57">
        <f t="shared" si="19"/>
        <v>288.6</v>
      </c>
      <c r="AL13" s="21">
        <v>145</v>
      </c>
      <c r="AM13" s="21">
        <f t="shared" si="20"/>
        <v>1</v>
      </c>
      <c r="AN13" s="69">
        <f t="shared" si="21"/>
        <v>-21580.7941045195</v>
      </c>
      <c r="AO13" s="69">
        <f t="shared" si="22"/>
        <v>-220.104332727019</v>
      </c>
    </row>
    <row r="14" ht="15.95" customHeight="1" spans="1:41">
      <c r="A14" s="14" t="s">
        <v>13</v>
      </c>
      <c r="B14" s="36"/>
      <c r="C14" s="36"/>
      <c r="D14" s="36" t="s">
        <v>106</v>
      </c>
      <c r="E14" s="37">
        <v>107</v>
      </c>
      <c r="F14" s="38">
        <f t="shared" si="2"/>
        <v>226.958600054146</v>
      </c>
      <c r="G14" s="38">
        <f t="shared" si="3"/>
        <v>19.3</v>
      </c>
      <c r="H14" s="37">
        <v>24284.5702057936</v>
      </c>
      <c r="I14" s="37">
        <v>2065.1</v>
      </c>
      <c r="J14" s="54">
        <f>VLOOKUP($A14,在途仓!$A:$N,14,0)</f>
        <v>47</v>
      </c>
      <c r="K14" s="55">
        <f>VLOOKUP($A14,在途仓!$A:$V,14,0)</f>
        <v>47</v>
      </c>
      <c r="L14" s="55">
        <f t="shared" si="4"/>
        <v>19.3</v>
      </c>
      <c r="M14" s="54">
        <f>-VLOOKUP($A14,在途仓!$A:$R,17,0)</f>
        <v>10690.5542025449</v>
      </c>
      <c r="N14" s="54">
        <f>-VLOOKUP($A14,在途仓!$A:$R,18,0)</f>
        <v>907.1</v>
      </c>
      <c r="O14" s="56">
        <f>IF(ISERROR(VLOOKUP($A14,库存调整表US!$A:$K,11,0)),0,VLOOKUP($A14,库存调整表US!$A:$K,11,0))</f>
        <v>-143</v>
      </c>
      <c r="P14" s="57">
        <f t="shared" si="5"/>
        <v>227.111197456743</v>
      </c>
      <c r="Q14" s="57">
        <f t="shared" si="6"/>
        <v>19.3</v>
      </c>
      <c r="R14" s="57">
        <f t="shared" si="7"/>
        <v>-32476.9012363143</v>
      </c>
      <c r="S14" s="57">
        <f t="shared" si="8"/>
        <v>-2759.9</v>
      </c>
      <c r="T14" s="64">
        <f>VLOOKUP($A14,库存调整表US!$A:$I,9,0)</f>
        <v>0</v>
      </c>
      <c r="U14" s="65">
        <f t="shared" si="9"/>
        <v>0</v>
      </c>
      <c r="V14" s="65">
        <f t="shared" si="10"/>
        <v>0</v>
      </c>
      <c r="W14" s="66">
        <f>VLOOKUP($A14,库存调整表US!$A:$P,MATCH(W$5,库存调整表US!$A$2:$P$2,0),0)</f>
        <v>0</v>
      </c>
      <c r="X14" s="65">
        <f t="shared" si="11"/>
        <v>0</v>
      </c>
      <c r="Y14" s="65">
        <f t="shared" si="12"/>
        <v>0</v>
      </c>
      <c r="Z14" s="66">
        <f>VLOOKUP($A14,库存调整表US!$A:$P,MATCH(Z$6,库存调整表US!$A$2:$P$2,0),0)</f>
        <v>2</v>
      </c>
      <c r="AA14" s="66">
        <f>VLOOKUP($A14,库存调整表US!$A:$P,MATCH(AA$6,库存调整表US!$A$2:$P$2,0),0)</f>
        <v>0</v>
      </c>
      <c r="AB14" s="66">
        <f>VLOOKUP($A14,库存调整表US!$A:$P,MATCH(AB$6,库存调整表US!$A$2:$P$2,0),0)</f>
        <v>0</v>
      </c>
      <c r="AC14" s="66">
        <f>VLOOKUP($A14,库存调整表US!$A:$P,MATCH(AC$6,库存调整表US!$A$2:$P$2,0),0)</f>
        <v>0</v>
      </c>
      <c r="AD14" s="66">
        <f t="shared" si="13"/>
        <v>2</v>
      </c>
      <c r="AE14" s="57">
        <f t="shared" si="14"/>
        <v>454.222394913487</v>
      </c>
      <c r="AF14" s="57">
        <f t="shared" si="1"/>
        <v>38.6</v>
      </c>
      <c r="AG14" s="68">
        <f t="shared" si="15"/>
        <v>13</v>
      </c>
      <c r="AH14" s="57">
        <f t="shared" si="16"/>
        <v>227.111197456744</v>
      </c>
      <c r="AI14" s="57">
        <f t="shared" si="17"/>
        <v>19.3</v>
      </c>
      <c r="AJ14" s="57">
        <f t="shared" si="18"/>
        <v>2952.44556693767</v>
      </c>
      <c r="AK14" s="57">
        <f t="shared" si="19"/>
        <v>250.9</v>
      </c>
      <c r="AL14" s="21">
        <v>13</v>
      </c>
      <c r="AM14" s="21">
        <f t="shared" si="20"/>
        <v>0</v>
      </c>
      <c r="AN14" s="69">
        <f t="shared" si="21"/>
        <v>-35236.8012363143</v>
      </c>
      <c r="AO14" s="69">
        <f t="shared" si="22"/>
        <v>492.822394913487</v>
      </c>
    </row>
    <row r="15" ht="15.95" customHeight="1" spans="1:41">
      <c r="A15" s="14" t="s">
        <v>14</v>
      </c>
      <c r="B15" s="36"/>
      <c r="C15" s="36"/>
      <c r="D15" s="36" t="s">
        <v>106</v>
      </c>
      <c r="E15" s="37">
        <v>66</v>
      </c>
      <c r="F15" s="38">
        <f t="shared" si="2"/>
        <v>102.55168947413</v>
      </c>
      <c r="G15" s="38">
        <f t="shared" si="3"/>
        <v>19.9</v>
      </c>
      <c r="H15" s="37">
        <v>6768.41150529258</v>
      </c>
      <c r="I15" s="37">
        <v>1313.4</v>
      </c>
      <c r="J15" s="54">
        <f>VLOOKUP($A15,在途仓!$A:$N,14,0)</f>
        <v>24</v>
      </c>
      <c r="K15" s="55">
        <f>VLOOKUP($A15,在途仓!$A:$V,14,0)</f>
        <v>24</v>
      </c>
      <c r="L15" s="55">
        <f t="shared" si="4"/>
        <v>20.2947368421052</v>
      </c>
      <c r="M15" s="54">
        <f>-VLOOKUP($A15,在途仓!$A:$R,17,0)</f>
        <v>2478.03201108878</v>
      </c>
      <c r="N15" s="54">
        <f>-VLOOKUP($A15,在途仓!$A:$R,18,0)</f>
        <v>487.073684210526</v>
      </c>
      <c r="O15" s="56">
        <f>IF(ISERROR(VLOOKUP($A15,库存调整表US!$A:$K,11,0)),0,VLOOKUP($A15,库存调整表US!$A:$K,11,0))</f>
        <v>-19</v>
      </c>
      <c r="P15" s="57">
        <f t="shared" si="5"/>
        <v>102.738261293126</v>
      </c>
      <c r="Q15" s="57">
        <f t="shared" si="6"/>
        <v>20.0052631578947</v>
      </c>
      <c r="R15" s="57">
        <f t="shared" si="7"/>
        <v>-1952.0269645694</v>
      </c>
      <c r="S15" s="57">
        <f t="shared" si="8"/>
        <v>-380.1</v>
      </c>
      <c r="T15" s="64">
        <f>VLOOKUP($A15,库存调整表US!$A:$I,9,0)</f>
        <v>0</v>
      </c>
      <c r="U15" s="65">
        <f t="shared" si="9"/>
        <v>0</v>
      </c>
      <c r="V15" s="65">
        <f t="shared" si="10"/>
        <v>0</v>
      </c>
      <c r="W15" s="66">
        <f>VLOOKUP($A15,库存调整表US!$A:$P,MATCH(W$5,库存调整表US!$A$2:$P$2,0),0)</f>
        <v>0</v>
      </c>
      <c r="X15" s="65">
        <f t="shared" si="11"/>
        <v>0</v>
      </c>
      <c r="Y15" s="65">
        <f t="shared" si="12"/>
        <v>0</v>
      </c>
      <c r="Z15" s="66">
        <f>VLOOKUP($A15,库存调整表US!$A:$P,MATCH(Z$6,库存调整表US!$A$2:$P$2,0),0)</f>
        <v>0</v>
      </c>
      <c r="AA15" s="66">
        <f>VLOOKUP($A15,库存调整表US!$A:$P,MATCH(AA$6,库存调整表US!$A$2:$P$2,0),0)</f>
        <v>0</v>
      </c>
      <c r="AB15" s="66">
        <f>VLOOKUP($A15,库存调整表US!$A:$P,MATCH(AB$6,库存调整表US!$A$2:$P$2,0),0)</f>
        <v>0</v>
      </c>
      <c r="AC15" s="66">
        <f>VLOOKUP($A15,库存调整表US!$A:$P,MATCH(AC$6,库存调整表US!$A$2:$P$2,0),0)</f>
        <v>0</v>
      </c>
      <c r="AD15" s="66">
        <f t="shared" si="13"/>
        <v>0</v>
      </c>
      <c r="AE15" s="57">
        <f t="shared" si="14"/>
        <v>0</v>
      </c>
      <c r="AF15" s="57">
        <f t="shared" si="1"/>
        <v>0</v>
      </c>
      <c r="AG15" s="68">
        <f t="shared" si="15"/>
        <v>71</v>
      </c>
      <c r="AH15" s="57">
        <f t="shared" si="16"/>
        <v>102.738261293126</v>
      </c>
      <c r="AI15" s="57">
        <f t="shared" si="17"/>
        <v>20.0052631578947</v>
      </c>
      <c r="AJ15" s="57">
        <f t="shared" si="18"/>
        <v>7294.41655181196</v>
      </c>
      <c r="AK15" s="57">
        <f t="shared" si="19"/>
        <v>1420.37368421053</v>
      </c>
      <c r="AL15" s="21">
        <v>71</v>
      </c>
      <c r="AM15" s="21">
        <f t="shared" si="20"/>
        <v>0</v>
      </c>
      <c r="AN15" s="69">
        <f t="shared" si="21"/>
        <v>-2332.1269645694</v>
      </c>
      <c r="AO15" s="69">
        <f t="shared" si="22"/>
        <v>0</v>
      </c>
    </row>
    <row r="16" ht="15.95" customHeight="1" spans="1:41">
      <c r="A16" s="14" t="s">
        <v>15</v>
      </c>
      <c r="B16" s="36"/>
      <c r="C16" s="36"/>
      <c r="D16" s="36" t="s">
        <v>106</v>
      </c>
      <c r="E16" s="37">
        <v>180</v>
      </c>
      <c r="F16" s="38">
        <f t="shared" si="2"/>
        <v>200.246915576748</v>
      </c>
      <c r="G16" s="38">
        <f t="shared" si="3"/>
        <v>12</v>
      </c>
      <c r="H16" s="37">
        <v>36044.4448038146</v>
      </c>
      <c r="I16" s="37">
        <v>2160</v>
      </c>
      <c r="J16" s="54">
        <f>VLOOKUP($A16,在途仓!$A:$N,14,0)</f>
        <v>19</v>
      </c>
      <c r="K16" s="55">
        <f>VLOOKUP($A16,在途仓!$A:$V,14,0)</f>
        <v>19</v>
      </c>
      <c r="L16" s="55">
        <f t="shared" si="4"/>
        <v>12.4402515723271</v>
      </c>
      <c r="M16" s="54">
        <f>-VLOOKUP($A16,在途仓!$A:$R,17,0)</f>
        <v>3812.49556876824</v>
      </c>
      <c r="N16" s="54">
        <f>-VLOOKUP($A16,在途仓!$A:$R,18,0)</f>
        <v>236.364779874214</v>
      </c>
      <c r="O16" s="56">
        <f>IF(ISERROR(VLOOKUP($A16,库存调整表US!$A:$K,11,0)),0,VLOOKUP($A16,库存调整表US!$A:$K,11,0))</f>
        <v>-12</v>
      </c>
      <c r="P16" s="57">
        <f t="shared" si="5"/>
        <v>200.286132525542</v>
      </c>
      <c r="Q16" s="57">
        <f t="shared" si="6"/>
        <v>12.0420340697197</v>
      </c>
      <c r="R16" s="57">
        <f t="shared" si="7"/>
        <v>-2403.4335903065</v>
      </c>
      <c r="S16" s="57">
        <f t="shared" si="8"/>
        <v>-144.504408836636</v>
      </c>
      <c r="T16" s="64">
        <f>VLOOKUP($A16,库存调整表US!$A:$I,9,0)</f>
        <v>0</v>
      </c>
      <c r="U16" s="65">
        <f t="shared" si="9"/>
        <v>0</v>
      </c>
      <c r="V16" s="65">
        <f t="shared" si="10"/>
        <v>0</v>
      </c>
      <c r="W16" s="66">
        <f>VLOOKUP($A16,库存调整表US!$A:$P,MATCH(W$5,库存调整表US!$A$2:$P$2,0),0)</f>
        <v>0</v>
      </c>
      <c r="X16" s="65">
        <f t="shared" si="11"/>
        <v>0</v>
      </c>
      <c r="Y16" s="65">
        <f t="shared" si="12"/>
        <v>0</v>
      </c>
      <c r="Z16" s="66">
        <f>VLOOKUP($A16,库存调整表US!$A:$P,MATCH(Z$6,库存调整表US!$A$2:$P$2,0),0)</f>
        <v>0</v>
      </c>
      <c r="AA16" s="66">
        <f>VLOOKUP($A16,库存调整表US!$A:$P,MATCH(AA$6,库存调整表US!$A$2:$P$2,0),0)</f>
        <v>0</v>
      </c>
      <c r="AB16" s="66">
        <f>VLOOKUP($A16,库存调整表US!$A:$P,MATCH(AB$6,库存调整表US!$A$2:$P$2,0),0)</f>
        <v>0</v>
      </c>
      <c r="AC16" s="66">
        <f>VLOOKUP($A16,库存调整表US!$A:$P,MATCH(AC$6,库存调整表US!$A$2:$P$2,0),0)</f>
        <v>0</v>
      </c>
      <c r="AD16" s="66">
        <f t="shared" si="13"/>
        <v>0</v>
      </c>
      <c r="AE16" s="57">
        <f t="shared" si="14"/>
        <v>0</v>
      </c>
      <c r="AF16" s="57">
        <f t="shared" si="1"/>
        <v>0</v>
      </c>
      <c r="AG16" s="68">
        <f t="shared" si="15"/>
        <v>187</v>
      </c>
      <c r="AH16" s="57">
        <f t="shared" si="16"/>
        <v>200.286132525542</v>
      </c>
      <c r="AI16" s="57">
        <f t="shared" si="17"/>
        <v>12.0420340697197</v>
      </c>
      <c r="AJ16" s="57">
        <f t="shared" si="18"/>
        <v>37453.5067822763</v>
      </c>
      <c r="AK16" s="57">
        <f t="shared" si="19"/>
        <v>2251.86037103758</v>
      </c>
      <c r="AL16" s="21">
        <v>187</v>
      </c>
      <c r="AM16" s="21">
        <f t="shared" si="20"/>
        <v>0</v>
      </c>
      <c r="AN16" s="69">
        <f t="shared" si="21"/>
        <v>-2547.93799914314</v>
      </c>
      <c r="AO16" s="69">
        <f t="shared" si="22"/>
        <v>0</v>
      </c>
    </row>
    <row r="17" ht="15.95" customHeight="1" spans="1:41">
      <c r="A17" s="14" t="s">
        <v>16</v>
      </c>
      <c r="B17" s="36"/>
      <c r="C17" s="36"/>
      <c r="D17" s="36" t="s">
        <v>106</v>
      </c>
      <c r="E17" s="37">
        <v>103</v>
      </c>
      <c r="F17" s="38">
        <f t="shared" si="2"/>
        <v>110.372882227273</v>
      </c>
      <c r="G17" s="38">
        <f t="shared" si="3"/>
        <v>5</v>
      </c>
      <c r="H17" s="37">
        <v>11368.4068694091</v>
      </c>
      <c r="I17" s="37">
        <v>515</v>
      </c>
      <c r="J17" s="54">
        <f>VLOOKUP($A17,在途仓!$A:$N,14,0)</f>
        <v>48</v>
      </c>
      <c r="K17" s="55">
        <f>VLOOKUP($A17,在途仓!$A:$V,14,0)</f>
        <v>48</v>
      </c>
      <c r="L17" s="55">
        <f t="shared" si="4"/>
        <v>5.42899408284023</v>
      </c>
      <c r="M17" s="54">
        <f>-VLOOKUP($A17,在途仓!$A:$R,17,0)</f>
        <v>5481.00664800226</v>
      </c>
      <c r="N17" s="54">
        <f>-VLOOKUP($A17,在途仓!$A:$R,18,0)</f>
        <v>260.591715976331</v>
      </c>
      <c r="O17" s="56">
        <f>IF(ISERROR(VLOOKUP($A17,库存调整表US!$A:$K,11,0)),0,VLOOKUP($A17,库存调整表US!$A:$K,11,0))</f>
        <v>-28</v>
      </c>
      <c r="P17" s="57">
        <f t="shared" si="5"/>
        <v>111.585519982857</v>
      </c>
      <c r="Q17" s="57">
        <f t="shared" si="6"/>
        <v>5.1363689799757</v>
      </c>
      <c r="R17" s="57">
        <f t="shared" si="7"/>
        <v>-3124.39455951999</v>
      </c>
      <c r="S17" s="57">
        <f t="shared" si="8"/>
        <v>-143.81833143932</v>
      </c>
      <c r="T17" s="64">
        <f>VLOOKUP($A17,库存调整表US!$A:$I,9,0)</f>
        <v>0</v>
      </c>
      <c r="U17" s="65">
        <f t="shared" si="9"/>
        <v>0</v>
      </c>
      <c r="V17" s="65">
        <f t="shared" si="10"/>
        <v>0</v>
      </c>
      <c r="W17" s="66">
        <f>VLOOKUP($A17,库存调整表US!$A:$P,MATCH(W$5,库存调整表US!$A$2:$P$2,0),0)</f>
        <v>0</v>
      </c>
      <c r="X17" s="65">
        <f t="shared" si="11"/>
        <v>0</v>
      </c>
      <c r="Y17" s="65">
        <f t="shared" si="12"/>
        <v>0</v>
      </c>
      <c r="Z17" s="66">
        <f>VLOOKUP($A17,库存调整表US!$A:$P,MATCH(Z$6,库存调整表US!$A$2:$P$2,0),0)</f>
        <v>0</v>
      </c>
      <c r="AA17" s="66">
        <f>VLOOKUP($A17,库存调整表US!$A:$P,MATCH(AA$6,库存调整表US!$A$2:$P$2,0),0)</f>
        <v>0</v>
      </c>
      <c r="AB17" s="66">
        <f>VLOOKUP($A17,库存调整表US!$A:$P,MATCH(AB$6,库存调整表US!$A$2:$P$2,0),0)</f>
        <v>0</v>
      </c>
      <c r="AC17" s="66">
        <f>VLOOKUP($A17,库存调整表US!$A:$P,MATCH(AC$6,库存调整表US!$A$2:$P$2,0),0)</f>
        <v>-1</v>
      </c>
      <c r="AD17" s="66">
        <f t="shared" si="13"/>
        <v>-1</v>
      </c>
      <c r="AE17" s="57">
        <f t="shared" si="14"/>
        <v>-111.585519982857</v>
      </c>
      <c r="AF17" s="57">
        <f t="shared" si="1"/>
        <v>-5.1363689799757</v>
      </c>
      <c r="AG17" s="68">
        <f t="shared" si="15"/>
        <v>122</v>
      </c>
      <c r="AH17" s="57">
        <f t="shared" si="16"/>
        <v>111.585519982857</v>
      </c>
      <c r="AI17" s="57">
        <f t="shared" si="17"/>
        <v>5.1363689799757</v>
      </c>
      <c r="AJ17" s="57">
        <f t="shared" si="18"/>
        <v>13613.4334379085</v>
      </c>
      <c r="AK17" s="57">
        <f t="shared" si="19"/>
        <v>626.637015557036</v>
      </c>
      <c r="AL17" s="21">
        <v>122</v>
      </c>
      <c r="AM17" s="21">
        <f t="shared" si="20"/>
        <v>0</v>
      </c>
      <c r="AN17" s="69">
        <f t="shared" si="21"/>
        <v>-3268.21289095931</v>
      </c>
      <c r="AO17" s="69">
        <f t="shared" si="22"/>
        <v>-116.721888962832</v>
      </c>
    </row>
    <row r="18" ht="15.95" customHeight="1" spans="1:41">
      <c r="A18" s="14" t="s">
        <v>17</v>
      </c>
      <c r="B18" s="36"/>
      <c r="C18" s="36"/>
      <c r="D18" s="36" t="s">
        <v>106</v>
      </c>
      <c r="E18" s="37">
        <v>268</v>
      </c>
      <c r="F18" s="38">
        <f t="shared" si="2"/>
        <v>135.234099727272</v>
      </c>
      <c r="G18" s="38">
        <f t="shared" si="3"/>
        <v>9.5</v>
      </c>
      <c r="H18" s="37">
        <v>36242.7387269089</v>
      </c>
      <c r="I18" s="37">
        <v>2546</v>
      </c>
      <c r="J18" s="54">
        <f>VLOOKUP($A18,在途仓!$A:$N,14,0)</f>
        <v>31</v>
      </c>
      <c r="K18" s="55">
        <f>VLOOKUP($A18,在途仓!$A:$V,14,0)</f>
        <v>31</v>
      </c>
      <c r="L18" s="55">
        <f t="shared" si="4"/>
        <v>9.5</v>
      </c>
      <c r="M18" s="54">
        <f>-VLOOKUP($A18,在途仓!$A:$R,17,0)</f>
        <v>4333.98980429179</v>
      </c>
      <c r="N18" s="54">
        <f>-VLOOKUP($A18,在途仓!$A:$R,18,0)</f>
        <v>294.5</v>
      </c>
      <c r="O18" s="56">
        <f>IF(ISERROR(VLOOKUP($A18,库存调整表US!$A:$K,11,0)),0,VLOOKUP($A18,库存调整表US!$A:$K,11,0))</f>
        <v>0</v>
      </c>
      <c r="P18" s="57">
        <f t="shared" si="5"/>
        <v>135.708122177929</v>
      </c>
      <c r="Q18" s="57">
        <f t="shared" si="6"/>
        <v>9.5</v>
      </c>
      <c r="R18" s="57">
        <f t="shared" si="7"/>
        <v>0</v>
      </c>
      <c r="S18" s="57">
        <f t="shared" si="8"/>
        <v>0</v>
      </c>
      <c r="T18" s="64">
        <f>VLOOKUP($A18,库存调整表US!$A:$I,9,0)</f>
        <v>0</v>
      </c>
      <c r="U18" s="65">
        <f t="shared" si="9"/>
        <v>0</v>
      </c>
      <c r="V18" s="65">
        <f t="shared" si="10"/>
        <v>0</v>
      </c>
      <c r="W18" s="66">
        <f>VLOOKUP($A18,库存调整表US!$A:$P,MATCH(W$5,库存调整表US!$A$2:$P$2,0),0)</f>
        <v>0</v>
      </c>
      <c r="X18" s="65">
        <f t="shared" si="11"/>
        <v>0</v>
      </c>
      <c r="Y18" s="65">
        <f t="shared" si="12"/>
        <v>0</v>
      </c>
      <c r="Z18" s="66">
        <f>VLOOKUP($A18,库存调整表US!$A:$P,MATCH(Z$6,库存调整表US!$A$2:$P$2,0),0)</f>
        <v>2</v>
      </c>
      <c r="AA18" s="66">
        <f>VLOOKUP($A18,库存调整表US!$A:$P,MATCH(AA$6,库存调整表US!$A$2:$P$2,0),0)</f>
        <v>-2</v>
      </c>
      <c r="AB18" s="66">
        <f>VLOOKUP($A18,库存调整表US!$A:$P,MATCH(AB$6,库存调整表US!$A$2:$P$2,0),0)</f>
        <v>0</v>
      </c>
      <c r="AC18" s="66">
        <f>VLOOKUP($A18,库存调整表US!$A:$P,MATCH(AC$6,库存调整表US!$A$2:$P$2,0),0)</f>
        <v>0</v>
      </c>
      <c r="AD18" s="66">
        <f t="shared" si="13"/>
        <v>0</v>
      </c>
      <c r="AE18" s="57">
        <f t="shared" si="14"/>
        <v>0</v>
      </c>
      <c r="AF18" s="57">
        <f t="shared" si="1"/>
        <v>0</v>
      </c>
      <c r="AG18" s="68">
        <f t="shared" si="15"/>
        <v>299</v>
      </c>
      <c r="AH18" s="57">
        <f t="shared" si="16"/>
        <v>135.708122177929</v>
      </c>
      <c r="AI18" s="57">
        <f t="shared" si="17"/>
        <v>9.5</v>
      </c>
      <c r="AJ18" s="57">
        <f t="shared" si="18"/>
        <v>40576.7285312007</v>
      </c>
      <c r="AK18" s="57">
        <f t="shared" si="19"/>
        <v>2840.5</v>
      </c>
      <c r="AL18" s="21">
        <v>299</v>
      </c>
      <c r="AM18" s="21">
        <f t="shared" si="20"/>
        <v>0</v>
      </c>
      <c r="AN18" s="69">
        <f t="shared" si="21"/>
        <v>0</v>
      </c>
      <c r="AO18" s="69">
        <f t="shared" si="22"/>
        <v>0</v>
      </c>
    </row>
    <row r="19" ht="15.95" customHeight="1" spans="1:41">
      <c r="A19" s="14" t="s">
        <v>18</v>
      </c>
      <c r="B19" s="36"/>
      <c r="C19" s="36"/>
      <c r="D19" s="36" t="s">
        <v>106</v>
      </c>
      <c r="E19" s="37">
        <v>13</v>
      </c>
      <c r="F19" s="38">
        <f t="shared" si="2"/>
        <v>177.767347557951</v>
      </c>
      <c r="G19" s="38">
        <f t="shared" si="3"/>
        <v>3.5</v>
      </c>
      <c r="H19" s="37">
        <v>2310.97551825336</v>
      </c>
      <c r="I19" s="37">
        <v>45.5</v>
      </c>
      <c r="J19" s="54">
        <f>VLOOKUP($A19,在途仓!$A:$N,14,0)</f>
        <v>0</v>
      </c>
      <c r="K19" s="55">
        <f>VLOOKUP($A19,在途仓!$A:$V,14,0)</f>
        <v>0</v>
      </c>
      <c r="L19" s="55">
        <f t="shared" si="4"/>
        <v>0</v>
      </c>
      <c r="M19" s="54">
        <f>-VLOOKUP($A19,在途仓!$A:$R,17,0)</f>
        <v>0</v>
      </c>
      <c r="N19" s="54">
        <f>-VLOOKUP($A19,在途仓!$A:$R,18,0)</f>
        <v>0</v>
      </c>
      <c r="O19" s="56">
        <f>IF(ISERROR(VLOOKUP($A19,库存调整表US!$A:$K,11,0)),0,VLOOKUP($A19,库存调整表US!$A:$K,11,0))</f>
        <v>0</v>
      </c>
      <c r="P19" s="57">
        <f t="shared" si="5"/>
        <v>177.767347557951</v>
      </c>
      <c r="Q19" s="57">
        <f t="shared" si="6"/>
        <v>3.5</v>
      </c>
      <c r="R19" s="57">
        <f t="shared" si="7"/>
        <v>0</v>
      </c>
      <c r="S19" s="57">
        <f t="shared" si="8"/>
        <v>0</v>
      </c>
      <c r="T19" s="64">
        <f>VLOOKUP($A19,库存调整表US!$A:$I,9,0)</f>
        <v>27</v>
      </c>
      <c r="U19" s="65">
        <f t="shared" si="9"/>
        <v>4799.71838406467</v>
      </c>
      <c r="V19" s="65">
        <f t="shared" si="10"/>
        <v>94.5</v>
      </c>
      <c r="W19" s="66">
        <f>VLOOKUP($A19,库存调整表US!$A:$P,MATCH(W$5,库存调整表US!$A$2:$P$2,0),0)</f>
        <v>0</v>
      </c>
      <c r="X19" s="65">
        <f t="shared" si="11"/>
        <v>0</v>
      </c>
      <c r="Y19" s="65">
        <f t="shared" si="12"/>
        <v>0</v>
      </c>
      <c r="Z19" s="66">
        <f>VLOOKUP($A19,库存调整表US!$A:$P,MATCH(Z$6,库存调整表US!$A$2:$P$2,0),0)</f>
        <v>0</v>
      </c>
      <c r="AA19" s="66">
        <f>VLOOKUP($A19,库存调整表US!$A:$P,MATCH(AA$6,库存调整表US!$A$2:$P$2,0),0)</f>
        <v>0</v>
      </c>
      <c r="AB19" s="66">
        <f>VLOOKUP($A19,库存调整表US!$A:$P,MATCH(AB$6,库存调整表US!$A$2:$P$2,0),0)</f>
        <v>0</v>
      </c>
      <c r="AC19" s="66">
        <f>VLOOKUP($A19,库存调整表US!$A:$P,MATCH(AC$6,库存调整表US!$A$2:$P$2,0),0)</f>
        <v>0</v>
      </c>
      <c r="AD19" s="66">
        <f t="shared" si="13"/>
        <v>0</v>
      </c>
      <c r="AE19" s="57">
        <f t="shared" si="14"/>
        <v>0</v>
      </c>
      <c r="AF19" s="57">
        <f t="shared" si="1"/>
        <v>0</v>
      </c>
      <c r="AG19" s="68">
        <f t="shared" si="15"/>
        <v>40</v>
      </c>
      <c r="AH19" s="57">
        <f t="shared" si="16"/>
        <v>177.767347557951</v>
      </c>
      <c r="AI19" s="57">
        <f t="shared" si="17"/>
        <v>3.5</v>
      </c>
      <c r="AJ19" s="57">
        <f t="shared" si="18"/>
        <v>7110.69390231803</v>
      </c>
      <c r="AK19" s="57">
        <f t="shared" si="19"/>
        <v>140</v>
      </c>
      <c r="AL19" s="21">
        <v>40</v>
      </c>
      <c r="AM19" s="21">
        <f t="shared" si="20"/>
        <v>0</v>
      </c>
      <c r="AN19" s="69">
        <f t="shared" si="21"/>
        <v>4894.21838406467</v>
      </c>
      <c r="AO19" s="69">
        <f t="shared" si="22"/>
        <v>0</v>
      </c>
    </row>
    <row r="20" ht="15.95" customHeight="1" spans="1:41">
      <c r="A20" s="14" t="s">
        <v>19</v>
      </c>
      <c r="B20" s="36"/>
      <c r="C20" s="36"/>
      <c r="D20" s="36" t="s">
        <v>106</v>
      </c>
      <c r="E20" s="37">
        <v>91</v>
      </c>
      <c r="F20" s="38">
        <f t="shared" si="2"/>
        <v>114.257717017456</v>
      </c>
      <c r="G20" s="38">
        <f t="shared" si="3"/>
        <v>2.2</v>
      </c>
      <c r="H20" s="37">
        <v>10397.4522485885</v>
      </c>
      <c r="I20" s="37">
        <v>200.2</v>
      </c>
      <c r="J20" s="54">
        <f>VLOOKUP($A20,在途仓!$A:$N,14,0)</f>
        <v>0</v>
      </c>
      <c r="K20" s="55">
        <f>VLOOKUP($A20,在途仓!$A:$V,14,0)</f>
        <v>0</v>
      </c>
      <c r="L20" s="55">
        <f t="shared" si="4"/>
        <v>0</v>
      </c>
      <c r="M20" s="54">
        <f>-VLOOKUP($A20,在途仓!$A:$R,17,0)</f>
        <v>0</v>
      </c>
      <c r="N20" s="54">
        <f>-VLOOKUP($A20,在途仓!$A:$R,18,0)</f>
        <v>0</v>
      </c>
      <c r="O20" s="56">
        <f>IF(ISERROR(VLOOKUP($A20,库存调整表US!$A:$K,11,0)),0,VLOOKUP($A20,库存调整表US!$A:$K,11,0))</f>
        <v>0</v>
      </c>
      <c r="P20" s="57">
        <f t="shared" si="5"/>
        <v>114.257717017456</v>
      </c>
      <c r="Q20" s="57">
        <f t="shared" si="6"/>
        <v>2.2</v>
      </c>
      <c r="R20" s="57">
        <f t="shared" si="7"/>
        <v>0</v>
      </c>
      <c r="S20" s="57">
        <f t="shared" si="8"/>
        <v>0</v>
      </c>
      <c r="T20" s="64">
        <f>VLOOKUP($A20,库存调整表US!$A:$I,9,0)</f>
        <v>0</v>
      </c>
      <c r="U20" s="65">
        <f t="shared" si="9"/>
        <v>0</v>
      </c>
      <c r="V20" s="65">
        <f t="shared" si="10"/>
        <v>0</v>
      </c>
      <c r="W20" s="66">
        <f>VLOOKUP($A20,库存调整表US!$A:$P,MATCH(W$5,库存调整表US!$A$2:$P$2,0),0)</f>
        <v>0</v>
      </c>
      <c r="X20" s="65">
        <f t="shared" si="11"/>
        <v>0</v>
      </c>
      <c r="Y20" s="65">
        <f t="shared" si="12"/>
        <v>0</v>
      </c>
      <c r="Z20" s="66">
        <f>VLOOKUP($A20,库存调整表US!$A:$P,MATCH(Z$6,库存调整表US!$A$2:$P$2,0),0)</f>
        <v>0</v>
      </c>
      <c r="AA20" s="66">
        <f>VLOOKUP($A20,库存调整表US!$A:$P,MATCH(AA$6,库存调整表US!$A$2:$P$2,0),0)</f>
        <v>0</v>
      </c>
      <c r="AB20" s="66">
        <f>VLOOKUP($A20,库存调整表US!$A:$P,MATCH(AB$6,库存调整表US!$A$2:$P$2,0),0)</f>
        <v>0</v>
      </c>
      <c r="AC20" s="66">
        <f>VLOOKUP($A20,库存调整表US!$A:$P,MATCH(AC$6,库存调整表US!$A$2:$P$2,0),0)</f>
        <v>0</v>
      </c>
      <c r="AD20" s="66">
        <f t="shared" si="13"/>
        <v>0</v>
      </c>
      <c r="AE20" s="57">
        <f t="shared" si="14"/>
        <v>0</v>
      </c>
      <c r="AF20" s="57">
        <f t="shared" si="1"/>
        <v>0</v>
      </c>
      <c r="AG20" s="68">
        <f t="shared" si="15"/>
        <v>91</v>
      </c>
      <c r="AH20" s="57">
        <f t="shared" si="16"/>
        <v>114.257717017456</v>
      </c>
      <c r="AI20" s="57">
        <f t="shared" si="17"/>
        <v>2.2</v>
      </c>
      <c r="AJ20" s="57">
        <f t="shared" si="18"/>
        <v>10397.4522485885</v>
      </c>
      <c r="AK20" s="57">
        <f t="shared" si="19"/>
        <v>200.2</v>
      </c>
      <c r="AL20" s="21">
        <v>91</v>
      </c>
      <c r="AM20" s="21">
        <f t="shared" si="20"/>
        <v>0</v>
      </c>
      <c r="AN20" s="69">
        <f t="shared" si="21"/>
        <v>0</v>
      </c>
      <c r="AO20" s="69">
        <f t="shared" si="22"/>
        <v>0</v>
      </c>
    </row>
    <row r="21" ht="15.95" customHeight="1" spans="1:41">
      <c r="A21" s="14" t="s">
        <v>20</v>
      </c>
      <c r="B21" s="36"/>
      <c r="C21" s="36"/>
      <c r="D21" s="36" t="s">
        <v>106</v>
      </c>
      <c r="E21" s="37">
        <v>165</v>
      </c>
      <c r="F21" s="38">
        <f t="shared" si="2"/>
        <v>74.9236565418921</v>
      </c>
      <c r="G21" s="38">
        <f t="shared" si="3"/>
        <v>7.5</v>
      </c>
      <c r="H21" s="37">
        <v>12362.4033294122</v>
      </c>
      <c r="I21" s="37">
        <v>1237.5</v>
      </c>
      <c r="J21" s="54">
        <f>VLOOKUP($A21,在途仓!$A:$N,14,0)</f>
        <v>0</v>
      </c>
      <c r="K21" s="55">
        <f>VLOOKUP($A21,在途仓!$A:$V,14,0)</f>
        <v>0</v>
      </c>
      <c r="L21" s="55">
        <f t="shared" si="4"/>
        <v>0</v>
      </c>
      <c r="M21" s="54">
        <f>-VLOOKUP($A21,在途仓!$A:$R,17,0)</f>
        <v>0</v>
      </c>
      <c r="N21" s="54">
        <f>-VLOOKUP($A21,在途仓!$A:$R,18,0)</f>
        <v>0</v>
      </c>
      <c r="O21" s="56">
        <f>IF(ISERROR(VLOOKUP($A21,库存调整表US!$A:$K,11,0)),0,VLOOKUP($A21,库存调整表US!$A:$K,11,0))</f>
        <v>0</v>
      </c>
      <c r="P21" s="57">
        <f t="shared" si="5"/>
        <v>74.9236565418921</v>
      </c>
      <c r="Q21" s="57">
        <f t="shared" si="6"/>
        <v>7.5</v>
      </c>
      <c r="R21" s="57">
        <f t="shared" si="7"/>
        <v>0</v>
      </c>
      <c r="S21" s="57">
        <f t="shared" si="8"/>
        <v>0</v>
      </c>
      <c r="T21" s="64">
        <f>VLOOKUP($A21,库存调整表US!$A:$I,9,0)</f>
        <v>4</v>
      </c>
      <c r="U21" s="65">
        <f t="shared" si="9"/>
        <v>299.694626167568</v>
      </c>
      <c r="V21" s="65">
        <f t="shared" si="10"/>
        <v>30</v>
      </c>
      <c r="W21" s="66">
        <f>VLOOKUP($A21,库存调整表US!$A:$P,MATCH(W$5,库存调整表US!$A$2:$P$2,0),0)</f>
        <v>-1</v>
      </c>
      <c r="X21" s="65">
        <f t="shared" si="11"/>
        <v>0</v>
      </c>
      <c r="Y21" s="65">
        <f t="shared" si="12"/>
        <v>-4</v>
      </c>
      <c r="Z21" s="66">
        <f>VLOOKUP($A21,库存调整表US!$A:$P,MATCH(Z$6,库存调整表US!$A$2:$P$2,0),0)</f>
        <v>1</v>
      </c>
      <c r="AA21" s="66">
        <f>VLOOKUP($A21,库存调整表US!$A:$P,MATCH(AA$6,库存调整表US!$A$2:$P$2,0),0)</f>
        <v>0</v>
      </c>
      <c r="AB21" s="66">
        <f>VLOOKUP($A21,库存调整表US!$A:$P,MATCH(AB$6,库存调整表US!$A$2:$P$2,0),0)</f>
        <v>0</v>
      </c>
      <c r="AC21" s="66">
        <f>VLOOKUP($A21,库存调整表US!$A:$P,MATCH(AC$6,库存调整表US!$A$2:$P$2,0),0)</f>
        <v>0</v>
      </c>
      <c r="AD21" s="66">
        <f t="shared" si="13"/>
        <v>1</v>
      </c>
      <c r="AE21" s="57">
        <f t="shared" si="14"/>
        <v>74.9236565418921</v>
      </c>
      <c r="AF21" s="57">
        <f t="shared" si="1"/>
        <v>7.5</v>
      </c>
      <c r="AG21" s="68">
        <f t="shared" si="15"/>
        <v>170</v>
      </c>
      <c r="AH21" s="57">
        <f t="shared" si="16"/>
        <v>74.9236565418921</v>
      </c>
      <c r="AI21" s="57">
        <f t="shared" si="17"/>
        <v>7.47647058823529</v>
      </c>
      <c r="AJ21" s="57">
        <f t="shared" si="18"/>
        <v>12737.0216121217</v>
      </c>
      <c r="AK21" s="57">
        <f t="shared" si="19"/>
        <v>1271</v>
      </c>
      <c r="AL21" s="21">
        <v>169</v>
      </c>
      <c r="AM21" s="21">
        <f t="shared" si="20"/>
        <v>1</v>
      </c>
      <c r="AN21" s="69">
        <f t="shared" si="21"/>
        <v>325.694626167568</v>
      </c>
      <c r="AO21" s="69">
        <f t="shared" si="22"/>
        <v>82.4236565418921</v>
      </c>
    </row>
    <row r="22" ht="15.95" customHeight="1" spans="1:41">
      <c r="A22" s="14" t="s">
        <v>21</v>
      </c>
      <c r="B22" s="36"/>
      <c r="C22" s="36"/>
      <c r="D22" s="36" t="s">
        <v>106</v>
      </c>
      <c r="E22" s="37">
        <v>1900</v>
      </c>
      <c r="F22" s="38">
        <f t="shared" si="2"/>
        <v>71</v>
      </c>
      <c r="G22" s="38">
        <f t="shared" si="3"/>
        <v>9.5</v>
      </c>
      <c r="H22" s="37">
        <v>134900</v>
      </c>
      <c r="I22" s="37">
        <v>18050</v>
      </c>
      <c r="J22" s="54">
        <f>VLOOKUP($A22,在途仓!$A:$N,14,0)</f>
        <v>0</v>
      </c>
      <c r="K22" s="55">
        <f>VLOOKUP($A22,在途仓!$A:$V,14,0)</f>
        <v>0</v>
      </c>
      <c r="L22" s="55">
        <f t="shared" si="4"/>
        <v>0</v>
      </c>
      <c r="M22" s="54">
        <f>-VLOOKUP($A22,在途仓!$A:$R,17,0)</f>
        <v>0</v>
      </c>
      <c r="N22" s="54">
        <f>-VLOOKUP($A22,在途仓!$A:$R,18,0)</f>
        <v>0</v>
      </c>
      <c r="O22" s="56">
        <f>IF(ISERROR(VLOOKUP($A22,库存调整表US!$A:$K,11,0)),0,VLOOKUP($A22,库存调整表US!$A:$K,11,0))</f>
        <v>0</v>
      </c>
      <c r="P22" s="57">
        <f t="shared" si="5"/>
        <v>71</v>
      </c>
      <c r="Q22" s="57">
        <f t="shared" si="6"/>
        <v>9.5</v>
      </c>
      <c r="R22" s="57">
        <f t="shared" si="7"/>
        <v>0</v>
      </c>
      <c r="S22" s="57">
        <f t="shared" si="8"/>
        <v>0</v>
      </c>
      <c r="T22" s="64">
        <f>VLOOKUP($A22,库存调整表US!$A:$I,9,0)</f>
        <v>5</v>
      </c>
      <c r="U22" s="65">
        <f t="shared" si="9"/>
        <v>355</v>
      </c>
      <c r="V22" s="65">
        <f t="shared" si="10"/>
        <v>47.5</v>
      </c>
      <c r="W22" s="66">
        <f>VLOOKUP($A22,库存调整表US!$A:$P,MATCH(W$5,库存调整表US!$A$2:$P$2,0),0)</f>
        <v>0</v>
      </c>
      <c r="X22" s="65">
        <f t="shared" si="11"/>
        <v>0</v>
      </c>
      <c r="Y22" s="65">
        <f t="shared" si="12"/>
        <v>0</v>
      </c>
      <c r="Z22" s="66">
        <f>VLOOKUP($A22,库存调整表US!$A:$P,MATCH(Z$6,库存调整表US!$A$2:$P$2,0),0)</f>
        <v>8</v>
      </c>
      <c r="AA22" s="66">
        <f>VLOOKUP($A22,库存调整表US!$A:$P,MATCH(AA$6,库存调整表US!$A$2:$P$2,0),0)</f>
        <v>-1</v>
      </c>
      <c r="AB22" s="66">
        <f>VLOOKUP($A22,库存调整表US!$A:$P,MATCH(AB$6,库存调整表US!$A$2:$P$2,0),0)</f>
        <v>0</v>
      </c>
      <c r="AC22" s="66">
        <f>VLOOKUP($A22,库存调整表US!$A:$P,MATCH(AC$6,库存调整表US!$A$2:$P$2,0),0)</f>
        <v>-6</v>
      </c>
      <c r="AD22" s="66">
        <f t="shared" si="13"/>
        <v>1</v>
      </c>
      <c r="AE22" s="57">
        <f t="shared" si="14"/>
        <v>71</v>
      </c>
      <c r="AF22" s="57">
        <f t="shared" si="1"/>
        <v>9.5</v>
      </c>
      <c r="AG22" s="68">
        <f t="shared" si="15"/>
        <v>1906</v>
      </c>
      <c r="AH22" s="57">
        <f t="shared" si="16"/>
        <v>71</v>
      </c>
      <c r="AI22" s="57">
        <f t="shared" si="17"/>
        <v>9.5</v>
      </c>
      <c r="AJ22" s="57">
        <f t="shared" si="18"/>
        <v>135326</v>
      </c>
      <c r="AK22" s="57">
        <f t="shared" si="19"/>
        <v>18107</v>
      </c>
      <c r="AL22" s="21">
        <v>1906</v>
      </c>
      <c r="AM22" s="21">
        <f t="shared" si="20"/>
        <v>0</v>
      </c>
      <c r="AN22" s="69">
        <f t="shared" si="21"/>
        <v>402.5</v>
      </c>
      <c r="AO22" s="69">
        <f t="shared" si="22"/>
        <v>80.5</v>
      </c>
    </row>
    <row r="23" ht="15.95" customHeight="1" spans="1:41">
      <c r="A23" s="14" t="s">
        <v>22</v>
      </c>
      <c r="B23" s="36"/>
      <c r="C23" s="36"/>
      <c r="D23" s="36" t="s">
        <v>106</v>
      </c>
      <c r="E23" s="37">
        <v>12</v>
      </c>
      <c r="F23" s="38">
        <f t="shared" si="2"/>
        <v>105</v>
      </c>
      <c r="G23" s="38">
        <f t="shared" si="3"/>
        <v>8.5</v>
      </c>
      <c r="H23" s="37">
        <v>1260</v>
      </c>
      <c r="I23" s="37">
        <v>102</v>
      </c>
      <c r="J23" s="54">
        <f>VLOOKUP($A23,在途仓!$A:$N,14,0)</f>
        <v>0</v>
      </c>
      <c r="K23" s="55">
        <f>VLOOKUP($A23,在途仓!$A:$V,14,0)</f>
        <v>0</v>
      </c>
      <c r="L23" s="55">
        <f t="shared" si="4"/>
        <v>0</v>
      </c>
      <c r="M23" s="54">
        <f>-VLOOKUP($A23,在途仓!$A:$R,17,0)</f>
        <v>0</v>
      </c>
      <c r="N23" s="54">
        <f>-VLOOKUP($A23,在途仓!$A:$R,18,0)</f>
        <v>0</v>
      </c>
      <c r="O23" s="56">
        <f>IF(ISERROR(VLOOKUP($A23,库存调整表US!$A:$K,11,0)),0,VLOOKUP($A23,库存调整表US!$A:$K,11,0))</f>
        <v>0</v>
      </c>
      <c r="P23" s="57">
        <f t="shared" si="5"/>
        <v>105</v>
      </c>
      <c r="Q23" s="57">
        <f t="shared" si="6"/>
        <v>8.5</v>
      </c>
      <c r="R23" s="57">
        <f t="shared" si="7"/>
        <v>0</v>
      </c>
      <c r="S23" s="57">
        <f t="shared" si="8"/>
        <v>0</v>
      </c>
      <c r="T23" s="64">
        <f>VLOOKUP($A23,库存调整表US!$A:$I,9,0)</f>
        <v>2</v>
      </c>
      <c r="U23" s="65">
        <f t="shared" si="9"/>
        <v>210</v>
      </c>
      <c r="V23" s="65">
        <f t="shared" si="10"/>
        <v>17</v>
      </c>
      <c r="W23" s="66">
        <f>VLOOKUP($A23,库存调整表US!$A:$P,MATCH(W$5,库存调整表US!$A$2:$P$2,0),0)</f>
        <v>0</v>
      </c>
      <c r="X23" s="65">
        <f t="shared" si="11"/>
        <v>0</v>
      </c>
      <c r="Y23" s="65">
        <f t="shared" si="12"/>
        <v>0</v>
      </c>
      <c r="Z23" s="66">
        <f>VLOOKUP($A23,库存调整表US!$A:$P,MATCH(Z$6,库存调整表US!$A$2:$P$2,0),0)</f>
        <v>0</v>
      </c>
      <c r="AA23" s="66">
        <f>VLOOKUP($A23,库存调整表US!$A:$P,MATCH(AA$6,库存调整表US!$A$2:$P$2,0),0)</f>
        <v>0</v>
      </c>
      <c r="AB23" s="66">
        <f>VLOOKUP($A23,库存调整表US!$A:$P,MATCH(AB$6,库存调整表US!$A$2:$P$2,0),0)</f>
        <v>0</v>
      </c>
      <c r="AC23" s="66">
        <f>VLOOKUP($A23,库存调整表US!$A:$P,MATCH(AC$6,库存调整表US!$A$2:$P$2,0),0)</f>
        <v>0</v>
      </c>
      <c r="AD23" s="66">
        <f t="shared" si="13"/>
        <v>0</v>
      </c>
      <c r="AE23" s="57">
        <f t="shared" si="14"/>
        <v>0</v>
      </c>
      <c r="AF23" s="57">
        <f t="shared" si="1"/>
        <v>0</v>
      </c>
      <c r="AG23" s="68">
        <f t="shared" si="15"/>
        <v>14</v>
      </c>
      <c r="AH23" s="57">
        <f t="shared" si="16"/>
        <v>105</v>
      </c>
      <c r="AI23" s="57">
        <f t="shared" si="17"/>
        <v>8.5</v>
      </c>
      <c r="AJ23" s="57">
        <f t="shared" si="18"/>
        <v>1470</v>
      </c>
      <c r="AK23" s="57">
        <f t="shared" si="19"/>
        <v>119</v>
      </c>
      <c r="AL23" s="21">
        <v>14</v>
      </c>
      <c r="AM23" s="21">
        <f t="shared" si="20"/>
        <v>0</v>
      </c>
      <c r="AN23" s="69">
        <f t="shared" si="21"/>
        <v>227</v>
      </c>
      <c r="AO23" s="69">
        <f t="shared" si="22"/>
        <v>0</v>
      </c>
    </row>
    <row r="24" ht="15.95" customHeight="1" spans="1:41">
      <c r="A24" s="14" t="s">
        <v>23</v>
      </c>
      <c r="B24" s="36"/>
      <c r="C24" s="36"/>
      <c r="D24" s="36" t="s">
        <v>106</v>
      </c>
      <c r="E24" s="37">
        <v>98</v>
      </c>
      <c r="F24" s="38">
        <f t="shared" si="2"/>
        <v>102</v>
      </c>
      <c r="G24" s="38">
        <f t="shared" si="3"/>
        <v>3.5</v>
      </c>
      <c r="H24" s="37">
        <v>9996</v>
      </c>
      <c r="I24" s="37">
        <v>343</v>
      </c>
      <c r="J24" s="54">
        <f>VLOOKUP($A24,在途仓!$A:$N,14,0)</f>
        <v>0</v>
      </c>
      <c r="K24" s="55">
        <f>VLOOKUP($A24,在途仓!$A:$V,14,0)</f>
        <v>0</v>
      </c>
      <c r="L24" s="55">
        <f t="shared" si="4"/>
        <v>0</v>
      </c>
      <c r="M24" s="54">
        <f>-VLOOKUP($A24,在途仓!$A:$R,17,0)</f>
        <v>0</v>
      </c>
      <c r="N24" s="54">
        <f>-VLOOKUP($A24,在途仓!$A:$R,18,0)</f>
        <v>0</v>
      </c>
      <c r="O24" s="56">
        <f>IF(ISERROR(VLOOKUP($A24,库存调整表US!$A:$K,11,0)),0,VLOOKUP($A24,库存调整表US!$A:$K,11,0))</f>
        <v>0</v>
      </c>
      <c r="P24" s="57">
        <f t="shared" si="5"/>
        <v>102</v>
      </c>
      <c r="Q24" s="57">
        <f t="shared" si="6"/>
        <v>3.5</v>
      </c>
      <c r="R24" s="57">
        <f t="shared" si="7"/>
        <v>0</v>
      </c>
      <c r="S24" s="57">
        <f t="shared" si="8"/>
        <v>0</v>
      </c>
      <c r="T24" s="64">
        <f>VLOOKUP($A24,库存调整表US!$A:$I,9,0)</f>
        <v>0</v>
      </c>
      <c r="U24" s="65">
        <f t="shared" si="9"/>
        <v>0</v>
      </c>
      <c r="V24" s="65">
        <f t="shared" si="10"/>
        <v>0</v>
      </c>
      <c r="W24" s="66">
        <f>VLOOKUP($A24,库存调整表US!$A:$P,MATCH(W$5,库存调整表US!$A$2:$P$2,0),0)</f>
        <v>0</v>
      </c>
      <c r="X24" s="65">
        <f t="shared" si="11"/>
        <v>0</v>
      </c>
      <c r="Y24" s="65">
        <f t="shared" si="12"/>
        <v>0</v>
      </c>
      <c r="Z24" s="66">
        <f>VLOOKUP($A24,库存调整表US!$A:$P,MATCH(Z$6,库存调整表US!$A$2:$P$2,0),0)</f>
        <v>0</v>
      </c>
      <c r="AA24" s="66">
        <f>VLOOKUP($A24,库存调整表US!$A:$P,MATCH(AA$6,库存调整表US!$A$2:$P$2,0),0)</f>
        <v>0</v>
      </c>
      <c r="AB24" s="66">
        <f>VLOOKUP($A24,库存调整表US!$A:$P,MATCH(AB$6,库存调整表US!$A$2:$P$2,0),0)</f>
        <v>0</v>
      </c>
      <c r="AC24" s="66">
        <f>VLOOKUP($A24,库存调整表US!$A:$P,MATCH(AC$6,库存调整表US!$A$2:$P$2,0),0)</f>
        <v>0</v>
      </c>
      <c r="AD24" s="66">
        <f t="shared" si="13"/>
        <v>0</v>
      </c>
      <c r="AE24" s="57">
        <f t="shared" si="14"/>
        <v>0</v>
      </c>
      <c r="AF24" s="57">
        <f t="shared" si="1"/>
        <v>0</v>
      </c>
      <c r="AG24" s="68">
        <f t="shared" si="15"/>
        <v>98</v>
      </c>
      <c r="AH24" s="57">
        <f t="shared" si="16"/>
        <v>102</v>
      </c>
      <c r="AI24" s="57">
        <f t="shared" si="17"/>
        <v>3.5</v>
      </c>
      <c r="AJ24" s="57">
        <f t="shared" si="18"/>
        <v>9996</v>
      </c>
      <c r="AK24" s="57">
        <f t="shared" si="19"/>
        <v>343</v>
      </c>
      <c r="AL24" s="21">
        <v>98</v>
      </c>
      <c r="AM24" s="21">
        <f t="shared" si="20"/>
        <v>0</v>
      </c>
      <c r="AN24" s="69">
        <f t="shared" si="21"/>
        <v>0</v>
      </c>
      <c r="AO24" s="69">
        <f t="shared" si="22"/>
        <v>0</v>
      </c>
    </row>
    <row r="25" s="19" customFormat="1" ht="15.95" customHeight="1" spans="1:16369">
      <c r="A25" s="39" t="s">
        <v>107</v>
      </c>
      <c r="B25" s="39"/>
      <c r="C25" s="39"/>
      <c r="D25" s="39"/>
      <c r="E25" s="40">
        <f t="shared" ref="E25:J25" si="23">SUM(E7:E24)</f>
        <v>13050</v>
      </c>
      <c r="F25" s="41"/>
      <c r="G25" s="41"/>
      <c r="H25" s="42">
        <f t="shared" si="23"/>
        <v>1933871.51544784</v>
      </c>
      <c r="I25" s="42">
        <f t="shared" si="23"/>
        <v>138026.82</v>
      </c>
      <c r="J25" s="40">
        <f t="shared" si="23"/>
        <v>8477</v>
      </c>
      <c r="K25" s="41"/>
      <c r="L25" s="41"/>
      <c r="M25" s="42">
        <f>SUM(M7:M24)</f>
        <v>927777.044351594</v>
      </c>
      <c r="N25" s="42">
        <f>SUM(N7:N24)</f>
        <v>102851.263453158</v>
      </c>
      <c r="O25" s="40">
        <f>SUM(O7:O24)</f>
        <v>-10767</v>
      </c>
      <c r="P25" s="58"/>
      <c r="Q25" s="58"/>
      <c r="R25" s="42">
        <f>SUM(R7:R24)</f>
        <v>-1132672.70079537</v>
      </c>
      <c r="S25" s="42">
        <f>SUM(S7:S24)</f>
        <v>-151269.80166517</v>
      </c>
      <c r="T25" s="40">
        <f>SUM(T7:T24)</f>
        <v>750</v>
      </c>
      <c r="U25" s="42">
        <f>SUM(U7:U24)</f>
        <v>108357.227289437</v>
      </c>
      <c r="V25" s="42">
        <f>SUM(V7:V24)</f>
        <v>6113.69595547818</v>
      </c>
      <c r="W25" s="40">
        <f t="shared" ref="W25:Z25" si="24">SUM(W7:W24)</f>
        <v>-10</v>
      </c>
      <c r="X25" s="40">
        <f t="shared" si="24"/>
        <v>272092.869654487</v>
      </c>
      <c r="Y25" s="40">
        <f t="shared" si="24"/>
        <v>-1321</v>
      </c>
      <c r="Z25" s="40">
        <f t="shared" si="24"/>
        <v>26</v>
      </c>
      <c r="AA25" s="40">
        <f t="shared" ref="AA25:AF25" si="25">SUM(AA7:AA24)</f>
        <v>-8</v>
      </c>
      <c r="AB25" s="40">
        <f t="shared" si="25"/>
        <v>-3</v>
      </c>
      <c r="AC25" s="40">
        <f t="shared" si="25"/>
        <v>-11</v>
      </c>
      <c r="AD25" s="40">
        <f t="shared" si="25"/>
        <v>4</v>
      </c>
      <c r="AE25" s="67">
        <f t="shared" si="25"/>
        <v>897.854180660893</v>
      </c>
      <c r="AF25" s="40">
        <f t="shared" si="25"/>
        <v>56.418702112507</v>
      </c>
      <c r="AG25" s="40">
        <f t="shared" ref="AG25:AK25" si="26">SUM(AG7:AG24)</f>
        <v>11514</v>
      </c>
      <c r="AH25" s="40"/>
      <c r="AI25" s="40"/>
      <c r="AJ25" s="42">
        <f t="shared" si="26"/>
        <v>2110323.81012866</v>
      </c>
      <c r="AK25" s="42">
        <f t="shared" si="26"/>
        <v>94457.3964455782</v>
      </c>
      <c r="AL25" s="70"/>
      <c r="AM25" s="70"/>
      <c r="AN25" s="71">
        <f>SUM(AN7:AN24)</f>
        <v>-898699.709561132</v>
      </c>
      <c r="AO25" s="71">
        <f>SUM(AO7:AO24)</f>
        <v>954.2728827734</v>
      </c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70"/>
      <c r="BN25" s="70"/>
      <c r="BO25" s="70"/>
      <c r="BP25" s="70"/>
      <c r="BQ25" s="70"/>
      <c r="BR25" s="70"/>
      <c r="BS25" s="70"/>
      <c r="BT25" s="70"/>
      <c r="BU25" s="70"/>
      <c r="BV25" s="70"/>
      <c r="BW25" s="70"/>
      <c r="BX25" s="70"/>
      <c r="BY25" s="70"/>
      <c r="BZ25" s="70"/>
      <c r="CA25" s="70"/>
      <c r="CB25" s="70"/>
      <c r="CC25" s="70"/>
      <c r="CD25" s="70"/>
      <c r="CE25" s="70"/>
      <c r="CF25" s="70"/>
      <c r="CG25" s="70"/>
      <c r="CH25" s="70"/>
      <c r="CI25" s="70"/>
      <c r="CJ25" s="70"/>
      <c r="CK25" s="70"/>
      <c r="CL25" s="70"/>
      <c r="CM25" s="70"/>
      <c r="CN25" s="70"/>
      <c r="CO25" s="70"/>
      <c r="CP25" s="70"/>
      <c r="CQ25" s="70"/>
      <c r="CR25" s="70"/>
      <c r="CS25" s="70"/>
      <c r="CT25" s="70"/>
      <c r="CU25" s="70"/>
      <c r="CV25" s="70"/>
      <c r="CW25" s="70"/>
      <c r="CX25" s="70"/>
      <c r="CY25" s="70"/>
      <c r="CZ25" s="70"/>
      <c r="DA25" s="70"/>
      <c r="DB25" s="70"/>
      <c r="DC25" s="70"/>
      <c r="DD25" s="70"/>
      <c r="DE25" s="70"/>
      <c r="DF25" s="70"/>
      <c r="DG25" s="70"/>
      <c r="DH25" s="70"/>
      <c r="DI25" s="70"/>
      <c r="DJ25" s="70"/>
      <c r="DK25" s="70"/>
      <c r="DL25" s="70"/>
      <c r="DM25" s="70"/>
      <c r="DN25" s="70"/>
      <c r="DO25" s="70"/>
      <c r="DP25" s="70"/>
      <c r="DQ25" s="70"/>
      <c r="DR25" s="70"/>
      <c r="DS25" s="70"/>
      <c r="DT25" s="70"/>
      <c r="DU25" s="70"/>
      <c r="DV25" s="70"/>
      <c r="DW25" s="70"/>
      <c r="DX25" s="70"/>
      <c r="DY25" s="70"/>
      <c r="DZ25" s="70"/>
      <c r="EA25" s="70"/>
      <c r="EB25" s="70"/>
      <c r="EC25" s="70"/>
      <c r="ED25" s="70"/>
      <c r="EE25" s="70"/>
      <c r="EF25" s="70"/>
      <c r="EG25" s="70"/>
      <c r="EH25" s="70"/>
      <c r="EI25" s="70"/>
      <c r="EJ25" s="70"/>
      <c r="EK25" s="70"/>
      <c r="EL25" s="70"/>
      <c r="EM25" s="70"/>
      <c r="EN25" s="70"/>
      <c r="EO25" s="70"/>
      <c r="EP25" s="70"/>
      <c r="EQ25" s="70"/>
      <c r="ER25" s="70"/>
      <c r="ES25" s="70"/>
      <c r="ET25" s="70"/>
      <c r="EU25" s="70"/>
      <c r="EV25" s="70"/>
      <c r="EW25" s="70"/>
      <c r="EX25" s="70"/>
      <c r="EY25" s="70"/>
      <c r="EZ25" s="70"/>
      <c r="FA25" s="70"/>
      <c r="FB25" s="70"/>
      <c r="FC25" s="70"/>
      <c r="FD25" s="70"/>
      <c r="FE25" s="70"/>
      <c r="FF25" s="70"/>
      <c r="FG25" s="70"/>
      <c r="FH25" s="70"/>
      <c r="FI25" s="70"/>
      <c r="FJ25" s="70"/>
      <c r="FK25" s="70"/>
      <c r="FL25" s="70"/>
      <c r="FM25" s="70"/>
      <c r="FN25" s="70"/>
      <c r="FO25" s="70"/>
      <c r="FP25" s="70"/>
      <c r="FQ25" s="70"/>
      <c r="FR25" s="70"/>
      <c r="FS25" s="70"/>
      <c r="FT25" s="70"/>
      <c r="FU25" s="70"/>
      <c r="FV25" s="70"/>
      <c r="FW25" s="70"/>
      <c r="FX25" s="70"/>
      <c r="FY25" s="70"/>
      <c r="FZ25" s="70"/>
      <c r="GA25" s="70"/>
      <c r="GB25" s="70"/>
      <c r="GC25" s="70"/>
      <c r="GD25" s="70"/>
      <c r="GE25" s="70"/>
      <c r="GF25" s="70"/>
      <c r="GG25" s="70"/>
      <c r="GH25" s="70"/>
      <c r="GI25" s="70"/>
      <c r="GJ25" s="70"/>
      <c r="GK25" s="70"/>
      <c r="GL25" s="70"/>
      <c r="GM25" s="70"/>
      <c r="GN25" s="70"/>
      <c r="GO25" s="70"/>
      <c r="GP25" s="70"/>
      <c r="GQ25" s="70"/>
      <c r="GR25" s="70"/>
      <c r="GS25" s="70"/>
      <c r="GT25" s="70"/>
      <c r="GU25" s="70"/>
      <c r="GV25" s="70"/>
      <c r="GW25" s="70"/>
      <c r="GX25" s="70"/>
      <c r="GY25" s="70"/>
      <c r="GZ25" s="70"/>
      <c r="HA25" s="70"/>
      <c r="HB25" s="70"/>
      <c r="HC25" s="70"/>
      <c r="HD25" s="70"/>
      <c r="HE25" s="70"/>
      <c r="HF25" s="70"/>
      <c r="HG25" s="70"/>
      <c r="HH25" s="70"/>
      <c r="HI25" s="70"/>
      <c r="HJ25" s="70"/>
      <c r="HK25" s="70"/>
      <c r="HL25" s="70"/>
      <c r="HM25" s="70"/>
      <c r="HN25" s="70"/>
      <c r="HO25" s="70"/>
      <c r="HP25" s="70"/>
      <c r="HQ25" s="70"/>
      <c r="HR25" s="70"/>
      <c r="HS25" s="70"/>
      <c r="HT25" s="70"/>
      <c r="HU25" s="70"/>
      <c r="HV25" s="70"/>
      <c r="HW25" s="70"/>
      <c r="HX25" s="70"/>
      <c r="HY25" s="70"/>
      <c r="HZ25" s="70"/>
      <c r="IA25" s="70"/>
      <c r="IB25" s="70"/>
      <c r="IC25" s="70"/>
      <c r="ID25" s="70"/>
      <c r="IE25" s="70"/>
      <c r="IF25" s="70"/>
      <c r="IG25" s="70"/>
      <c r="IH25" s="70"/>
      <c r="II25" s="70"/>
      <c r="IJ25" s="70"/>
      <c r="IK25" s="70"/>
      <c r="IL25" s="70"/>
      <c r="IM25" s="70"/>
      <c r="IN25" s="70"/>
      <c r="IO25" s="70"/>
      <c r="IP25" s="70"/>
      <c r="IQ25" s="70"/>
      <c r="IR25" s="70"/>
      <c r="IS25" s="70"/>
      <c r="IT25" s="70"/>
      <c r="IU25" s="70"/>
      <c r="IV25" s="70"/>
      <c r="IW25" s="70"/>
      <c r="IX25" s="70"/>
      <c r="IY25" s="70"/>
      <c r="IZ25" s="70"/>
      <c r="JA25" s="70"/>
      <c r="JB25" s="70"/>
      <c r="JC25" s="70"/>
      <c r="JD25" s="70"/>
      <c r="JE25" s="70"/>
      <c r="JF25" s="70"/>
      <c r="JG25" s="70"/>
      <c r="JH25" s="70"/>
      <c r="JI25" s="70"/>
      <c r="JJ25" s="70"/>
      <c r="JK25" s="70"/>
      <c r="JL25" s="70"/>
      <c r="JM25" s="70"/>
      <c r="JN25" s="70"/>
      <c r="JO25" s="70"/>
      <c r="JP25" s="70"/>
      <c r="JQ25" s="70"/>
      <c r="JR25" s="70"/>
      <c r="JS25" s="70"/>
      <c r="JT25" s="70"/>
      <c r="JU25" s="70"/>
      <c r="JV25" s="70"/>
      <c r="JW25" s="70"/>
      <c r="JX25" s="70"/>
      <c r="JY25" s="70"/>
      <c r="JZ25" s="70"/>
      <c r="KA25" s="70"/>
      <c r="KB25" s="70"/>
      <c r="KC25" s="70"/>
      <c r="KD25" s="70"/>
      <c r="KE25" s="70"/>
      <c r="KF25" s="70"/>
      <c r="KG25" s="70"/>
      <c r="KH25" s="70"/>
      <c r="KI25" s="70"/>
      <c r="KJ25" s="70"/>
      <c r="KK25" s="70"/>
      <c r="KL25" s="70"/>
      <c r="KM25" s="70"/>
      <c r="KN25" s="70"/>
      <c r="KO25" s="70"/>
      <c r="KP25" s="70"/>
      <c r="KQ25" s="70"/>
      <c r="KR25" s="70"/>
      <c r="KS25" s="70"/>
      <c r="KT25" s="70"/>
      <c r="KU25" s="70"/>
      <c r="KV25" s="70"/>
      <c r="KW25" s="70"/>
      <c r="KX25" s="70"/>
      <c r="KY25" s="70"/>
      <c r="KZ25" s="70"/>
      <c r="LA25" s="70"/>
      <c r="LB25" s="70"/>
      <c r="LC25" s="70"/>
      <c r="LD25" s="70"/>
      <c r="LE25" s="70"/>
      <c r="LF25" s="70"/>
      <c r="LG25" s="70"/>
      <c r="LH25" s="70"/>
      <c r="LI25" s="70"/>
      <c r="LJ25" s="70"/>
      <c r="LK25" s="70"/>
      <c r="LL25" s="70"/>
      <c r="LM25" s="70"/>
      <c r="LN25" s="70"/>
      <c r="LO25" s="70"/>
      <c r="LP25" s="70"/>
      <c r="LQ25" s="70"/>
      <c r="LR25" s="70"/>
      <c r="LS25" s="70"/>
      <c r="LT25" s="70"/>
      <c r="LU25" s="70"/>
      <c r="LV25" s="70"/>
      <c r="LW25" s="70"/>
      <c r="LX25" s="70"/>
      <c r="LY25" s="70"/>
      <c r="LZ25" s="70"/>
      <c r="MA25" s="70"/>
      <c r="MB25" s="70"/>
      <c r="MC25" s="70"/>
      <c r="MD25" s="70"/>
      <c r="ME25" s="70"/>
      <c r="MF25" s="70"/>
      <c r="MG25" s="70"/>
      <c r="MH25" s="70"/>
      <c r="MI25" s="70"/>
      <c r="MJ25" s="70"/>
      <c r="MK25" s="70"/>
      <c r="ML25" s="70"/>
      <c r="MM25" s="70"/>
      <c r="MN25" s="70"/>
      <c r="MO25" s="70"/>
      <c r="MP25" s="70"/>
      <c r="MQ25" s="70"/>
      <c r="MR25" s="70"/>
      <c r="MS25" s="70"/>
      <c r="MT25" s="70"/>
      <c r="MU25" s="70"/>
      <c r="MV25" s="70"/>
      <c r="MW25" s="70"/>
      <c r="MX25" s="70"/>
      <c r="MY25" s="70"/>
      <c r="MZ25" s="70"/>
      <c r="NA25" s="70"/>
      <c r="NB25" s="70"/>
      <c r="NC25" s="70"/>
      <c r="ND25" s="70"/>
      <c r="NE25" s="70"/>
      <c r="NF25" s="70"/>
      <c r="NG25" s="70"/>
      <c r="NH25" s="70"/>
      <c r="NI25" s="70"/>
      <c r="NJ25" s="70"/>
      <c r="NK25" s="70"/>
      <c r="NL25" s="70"/>
      <c r="NM25" s="70"/>
      <c r="NN25" s="70"/>
      <c r="NO25" s="70"/>
      <c r="NP25" s="70"/>
      <c r="NQ25" s="70"/>
      <c r="NR25" s="70"/>
      <c r="NS25" s="70"/>
      <c r="NT25" s="70"/>
      <c r="NU25" s="70"/>
      <c r="NV25" s="70"/>
      <c r="NW25" s="70"/>
      <c r="NX25" s="70"/>
      <c r="NY25" s="70"/>
      <c r="NZ25" s="70"/>
      <c r="OA25" s="70"/>
      <c r="OB25" s="70"/>
      <c r="OC25" s="70"/>
      <c r="OD25" s="70"/>
      <c r="OE25" s="70"/>
      <c r="OF25" s="70"/>
      <c r="OG25" s="70"/>
      <c r="OH25" s="70"/>
      <c r="OI25" s="70"/>
      <c r="OJ25" s="70"/>
      <c r="OK25" s="70"/>
      <c r="OL25" s="70"/>
      <c r="OM25" s="70"/>
      <c r="ON25" s="70"/>
      <c r="OO25" s="70"/>
      <c r="OP25" s="70"/>
      <c r="OQ25" s="70"/>
      <c r="OR25" s="70"/>
      <c r="OS25" s="70"/>
      <c r="OT25" s="70"/>
      <c r="OU25" s="70"/>
      <c r="OV25" s="70"/>
      <c r="OW25" s="70"/>
      <c r="OX25" s="70"/>
      <c r="OY25" s="70"/>
      <c r="OZ25" s="70"/>
      <c r="PA25" s="70"/>
      <c r="PB25" s="70"/>
      <c r="PC25" s="70"/>
      <c r="PD25" s="70"/>
      <c r="PE25" s="70"/>
      <c r="PF25" s="70"/>
      <c r="PG25" s="70"/>
      <c r="PH25" s="70"/>
      <c r="PI25" s="70"/>
      <c r="PJ25" s="70"/>
      <c r="PK25" s="70"/>
      <c r="PL25" s="70"/>
      <c r="PM25" s="70"/>
      <c r="PN25" s="70"/>
      <c r="PO25" s="70"/>
      <c r="PP25" s="70"/>
      <c r="PQ25" s="70"/>
      <c r="PR25" s="70"/>
      <c r="PS25" s="70"/>
      <c r="PT25" s="70"/>
      <c r="PU25" s="70"/>
      <c r="PV25" s="70"/>
      <c r="PW25" s="70"/>
      <c r="PX25" s="70"/>
      <c r="PY25" s="70"/>
      <c r="PZ25" s="70"/>
      <c r="QA25" s="70"/>
      <c r="QB25" s="70"/>
      <c r="QC25" s="70"/>
      <c r="QD25" s="70"/>
      <c r="QE25" s="70"/>
      <c r="QF25" s="70"/>
      <c r="QG25" s="70"/>
      <c r="QH25" s="70"/>
      <c r="QI25" s="70"/>
      <c r="QJ25" s="70"/>
      <c r="QK25" s="70"/>
      <c r="QL25" s="70"/>
      <c r="QM25" s="70"/>
      <c r="QN25" s="70"/>
      <c r="QO25" s="70"/>
      <c r="QP25" s="70"/>
      <c r="QQ25" s="70"/>
      <c r="QR25" s="70"/>
      <c r="QS25" s="70"/>
      <c r="QT25" s="70"/>
      <c r="QU25" s="70"/>
      <c r="QV25" s="70"/>
      <c r="QW25" s="70"/>
      <c r="QX25" s="70"/>
      <c r="QY25" s="70"/>
      <c r="QZ25" s="70"/>
      <c r="RA25" s="70"/>
      <c r="RB25" s="70"/>
      <c r="RC25" s="70"/>
      <c r="RD25" s="70"/>
      <c r="RE25" s="70"/>
      <c r="RF25" s="70"/>
      <c r="RG25" s="70"/>
      <c r="RH25" s="70"/>
      <c r="RI25" s="70"/>
      <c r="RJ25" s="70"/>
      <c r="RK25" s="70"/>
      <c r="RL25" s="70"/>
      <c r="RM25" s="70"/>
      <c r="RN25" s="70"/>
      <c r="RO25" s="70"/>
      <c r="RP25" s="70"/>
      <c r="RQ25" s="70"/>
      <c r="RR25" s="70"/>
      <c r="RS25" s="70"/>
      <c r="RT25" s="70"/>
      <c r="RU25" s="70"/>
      <c r="RV25" s="70"/>
      <c r="RW25" s="70"/>
      <c r="RX25" s="70"/>
      <c r="RY25" s="70"/>
      <c r="RZ25" s="70"/>
      <c r="SA25" s="70"/>
      <c r="SB25" s="70"/>
      <c r="SC25" s="70"/>
      <c r="SD25" s="70"/>
      <c r="SE25" s="70"/>
      <c r="SF25" s="70"/>
      <c r="SG25" s="70"/>
      <c r="SH25" s="70"/>
      <c r="SI25" s="70"/>
      <c r="SJ25" s="70"/>
      <c r="SK25" s="70"/>
      <c r="SL25" s="70"/>
      <c r="SM25" s="70"/>
      <c r="SN25" s="70"/>
      <c r="SO25" s="70"/>
      <c r="SP25" s="70"/>
      <c r="SQ25" s="70"/>
      <c r="SR25" s="70"/>
      <c r="SS25" s="70"/>
      <c r="ST25" s="70"/>
      <c r="SU25" s="70"/>
      <c r="SV25" s="70"/>
      <c r="SW25" s="70"/>
      <c r="SX25" s="70"/>
      <c r="SY25" s="70"/>
      <c r="SZ25" s="70"/>
      <c r="TA25" s="70"/>
      <c r="TB25" s="70"/>
      <c r="TC25" s="70"/>
      <c r="TD25" s="70"/>
      <c r="TE25" s="70"/>
      <c r="TF25" s="70"/>
      <c r="TG25" s="70"/>
      <c r="TH25" s="70"/>
      <c r="TI25" s="70"/>
      <c r="TJ25" s="70"/>
      <c r="TK25" s="70"/>
      <c r="TL25" s="70"/>
      <c r="TM25" s="70"/>
      <c r="TN25" s="70"/>
      <c r="TO25" s="70"/>
      <c r="TP25" s="70"/>
      <c r="TQ25" s="70"/>
      <c r="TR25" s="70"/>
      <c r="TS25" s="70"/>
      <c r="TT25" s="70"/>
      <c r="TU25" s="70"/>
      <c r="TV25" s="70"/>
      <c r="TW25" s="70"/>
      <c r="TX25" s="70"/>
      <c r="TY25" s="70"/>
      <c r="TZ25" s="70"/>
      <c r="UA25" s="70"/>
      <c r="UB25" s="70"/>
      <c r="UC25" s="70"/>
      <c r="UD25" s="70"/>
      <c r="UE25" s="70"/>
      <c r="UF25" s="70"/>
      <c r="UG25" s="70"/>
      <c r="UH25" s="70"/>
      <c r="UI25" s="70"/>
      <c r="UJ25" s="70"/>
      <c r="UK25" s="70"/>
      <c r="UL25" s="70"/>
      <c r="UM25" s="70"/>
      <c r="UN25" s="70"/>
      <c r="UO25" s="70"/>
      <c r="UP25" s="70"/>
      <c r="UQ25" s="70"/>
      <c r="UR25" s="70"/>
      <c r="US25" s="70"/>
      <c r="UT25" s="70"/>
      <c r="UU25" s="70"/>
      <c r="UV25" s="70"/>
      <c r="UW25" s="70"/>
      <c r="UX25" s="70"/>
      <c r="UY25" s="70"/>
      <c r="UZ25" s="70"/>
      <c r="VA25" s="70"/>
      <c r="VB25" s="70"/>
      <c r="VC25" s="70"/>
      <c r="VD25" s="70"/>
      <c r="VE25" s="70"/>
      <c r="VF25" s="70"/>
      <c r="VG25" s="70"/>
      <c r="VH25" s="70"/>
      <c r="VI25" s="70"/>
      <c r="VJ25" s="70"/>
      <c r="VK25" s="70"/>
      <c r="VL25" s="70"/>
      <c r="VM25" s="70"/>
      <c r="VN25" s="70"/>
      <c r="VO25" s="70"/>
      <c r="VP25" s="70"/>
      <c r="VQ25" s="70"/>
      <c r="VR25" s="70"/>
      <c r="VS25" s="70"/>
      <c r="VT25" s="70"/>
      <c r="VU25" s="70"/>
      <c r="VV25" s="70"/>
      <c r="VW25" s="70"/>
      <c r="VX25" s="70"/>
      <c r="VY25" s="70"/>
      <c r="VZ25" s="70"/>
      <c r="WA25" s="70"/>
      <c r="WB25" s="70"/>
      <c r="WC25" s="70"/>
      <c r="WD25" s="70"/>
      <c r="WE25" s="70"/>
      <c r="WF25" s="70"/>
      <c r="WG25" s="70"/>
      <c r="WH25" s="70"/>
      <c r="WI25" s="70"/>
      <c r="WJ25" s="70"/>
      <c r="WK25" s="70"/>
      <c r="WL25" s="70"/>
      <c r="WM25" s="70"/>
      <c r="WN25" s="70"/>
      <c r="WO25" s="70"/>
      <c r="WP25" s="70"/>
      <c r="WQ25" s="70"/>
      <c r="WR25" s="70"/>
      <c r="WS25" s="70"/>
      <c r="WT25" s="70"/>
      <c r="WU25" s="70"/>
      <c r="WV25" s="70"/>
      <c r="WW25" s="70"/>
      <c r="WX25" s="70"/>
      <c r="WY25" s="70"/>
      <c r="WZ25" s="70"/>
      <c r="XA25" s="70"/>
      <c r="XB25" s="70"/>
      <c r="XC25" s="70"/>
      <c r="XD25" s="70"/>
      <c r="XE25" s="70"/>
      <c r="XF25" s="70"/>
      <c r="XG25" s="70"/>
      <c r="XH25" s="70"/>
      <c r="XI25" s="70"/>
      <c r="XJ25" s="70"/>
      <c r="XK25" s="70"/>
      <c r="XL25" s="70"/>
      <c r="XM25" s="70"/>
      <c r="XN25" s="70"/>
      <c r="XO25" s="70"/>
      <c r="XP25" s="70"/>
      <c r="XQ25" s="70"/>
      <c r="XR25" s="70"/>
      <c r="XS25" s="70"/>
      <c r="XT25" s="70"/>
      <c r="XU25" s="70"/>
      <c r="XV25" s="70"/>
      <c r="XW25" s="70"/>
      <c r="XX25" s="70"/>
      <c r="XY25" s="70"/>
      <c r="XZ25" s="70"/>
      <c r="YA25" s="70"/>
      <c r="YB25" s="70"/>
      <c r="YC25" s="70"/>
      <c r="YD25" s="70"/>
      <c r="YE25" s="70"/>
      <c r="YF25" s="70"/>
      <c r="YG25" s="70"/>
      <c r="YH25" s="70"/>
      <c r="YI25" s="70"/>
      <c r="YJ25" s="70"/>
      <c r="YK25" s="70"/>
      <c r="YL25" s="70"/>
      <c r="YM25" s="70"/>
      <c r="YN25" s="70"/>
      <c r="YO25" s="70"/>
      <c r="YP25" s="70"/>
      <c r="YQ25" s="70"/>
      <c r="YR25" s="70"/>
      <c r="YS25" s="70"/>
      <c r="YT25" s="70"/>
      <c r="YU25" s="70"/>
      <c r="YV25" s="70"/>
      <c r="YW25" s="70"/>
      <c r="YX25" s="70"/>
      <c r="YY25" s="70"/>
      <c r="YZ25" s="70"/>
      <c r="ZA25" s="70"/>
      <c r="ZB25" s="70"/>
      <c r="ZC25" s="70"/>
      <c r="ZD25" s="70"/>
      <c r="ZE25" s="70"/>
      <c r="ZF25" s="70"/>
      <c r="ZG25" s="70"/>
      <c r="ZH25" s="70"/>
      <c r="ZI25" s="70"/>
      <c r="ZJ25" s="70"/>
      <c r="ZK25" s="70"/>
      <c r="ZL25" s="70"/>
      <c r="ZM25" s="70"/>
      <c r="ZN25" s="70"/>
      <c r="ZO25" s="70"/>
      <c r="ZP25" s="70"/>
      <c r="ZQ25" s="70"/>
      <c r="ZR25" s="70"/>
      <c r="ZS25" s="70"/>
      <c r="ZT25" s="70"/>
      <c r="ZU25" s="70"/>
      <c r="ZV25" s="70"/>
      <c r="ZW25" s="70"/>
      <c r="ZX25" s="70"/>
      <c r="ZY25" s="70"/>
      <c r="ZZ25" s="70"/>
      <c r="AAA25" s="70"/>
      <c r="AAB25" s="70"/>
      <c r="AAC25" s="70"/>
      <c r="AAD25" s="70"/>
      <c r="AAE25" s="70"/>
      <c r="AAF25" s="70"/>
      <c r="AAG25" s="70"/>
      <c r="AAH25" s="70"/>
      <c r="AAI25" s="70"/>
      <c r="AAJ25" s="70"/>
      <c r="AAK25" s="70"/>
      <c r="AAL25" s="70"/>
      <c r="AAM25" s="70"/>
      <c r="AAN25" s="70"/>
      <c r="AAO25" s="70"/>
      <c r="AAP25" s="70"/>
      <c r="AAQ25" s="70"/>
      <c r="AAR25" s="70"/>
      <c r="AAS25" s="70"/>
      <c r="AAT25" s="70"/>
      <c r="AAU25" s="70"/>
      <c r="AAV25" s="70"/>
      <c r="AAW25" s="70"/>
      <c r="AAX25" s="70"/>
      <c r="AAY25" s="70"/>
      <c r="AAZ25" s="70"/>
      <c r="ABA25" s="70"/>
      <c r="ABB25" s="70"/>
      <c r="ABC25" s="70"/>
      <c r="ABD25" s="70"/>
      <c r="ABE25" s="70"/>
      <c r="ABF25" s="70"/>
      <c r="ABG25" s="70"/>
      <c r="ABH25" s="70"/>
      <c r="ABI25" s="70"/>
      <c r="ABJ25" s="70"/>
      <c r="ABK25" s="70"/>
      <c r="ABL25" s="70"/>
      <c r="ABM25" s="70"/>
      <c r="ABN25" s="70"/>
      <c r="ABO25" s="70"/>
      <c r="ABP25" s="70"/>
      <c r="ABQ25" s="70"/>
      <c r="ABR25" s="70"/>
      <c r="ABS25" s="70"/>
      <c r="ABT25" s="70"/>
      <c r="ABU25" s="70"/>
      <c r="ABV25" s="70"/>
      <c r="ABW25" s="70"/>
      <c r="ABX25" s="70"/>
      <c r="ABY25" s="70"/>
      <c r="ABZ25" s="70"/>
      <c r="ACA25" s="70"/>
      <c r="ACB25" s="70"/>
      <c r="ACC25" s="70"/>
      <c r="ACD25" s="70"/>
      <c r="ACE25" s="70"/>
      <c r="ACF25" s="70"/>
      <c r="ACG25" s="70"/>
      <c r="ACH25" s="70"/>
      <c r="ACI25" s="70"/>
      <c r="ACJ25" s="70"/>
      <c r="ACK25" s="70"/>
      <c r="ACL25" s="70"/>
      <c r="ACM25" s="70"/>
      <c r="ACN25" s="70"/>
      <c r="ACO25" s="70"/>
      <c r="ACP25" s="70"/>
      <c r="ACQ25" s="70"/>
      <c r="ACR25" s="70"/>
      <c r="ACS25" s="70"/>
      <c r="ACT25" s="70"/>
      <c r="ACU25" s="70"/>
      <c r="ACV25" s="70"/>
      <c r="ACW25" s="70"/>
      <c r="ACX25" s="70"/>
      <c r="ACY25" s="70"/>
      <c r="ACZ25" s="70"/>
      <c r="ADA25" s="70"/>
      <c r="ADB25" s="70"/>
      <c r="ADC25" s="70"/>
      <c r="ADD25" s="70"/>
      <c r="ADE25" s="70"/>
      <c r="ADF25" s="70"/>
      <c r="ADG25" s="70"/>
      <c r="ADH25" s="70"/>
      <c r="ADI25" s="70"/>
      <c r="ADJ25" s="70"/>
      <c r="ADK25" s="70"/>
      <c r="ADL25" s="70"/>
      <c r="ADM25" s="70"/>
      <c r="ADN25" s="70"/>
      <c r="ADO25" s="70"/>
      <c r="ADP25" s="70"/>
      <c r="ADQ25" s="70"/>
      <c r="ADR25" s="70"/>
      <c r="ADS25" s="70"/>
      <c r="ADT25" s="70"/>
      <c r="ADU25" s="70"/>
      <c r="ADV25" s="70"/>
      <c r="ADW25" s="70"/>
      <c r="ADX25" s="70"/>
      <c r="ADY25" s="70"/>
      <c r="ADZ25" s="70"/>
      <c r="AEA25" s="70"/>
      <c r="AEB25" s="70"/>
      <c r="AEC25" s="70"/>
      <c r="AED25" s="70"/>
      <c r="AEE25" s="70"/>
      <c r="AEF25" s="70"/>
      <c r="AEG25" s="70"/>
      <c r="AEH25" s="70"/>
      <c r="AEI25" s="70"/>
      <c r="AEJ25" s="70"/>
      <c r="AEK25" s="70"/>
      <c r="AEL25" s="70"/>
      <c r="AEM25" s="70"/>
      <c r="AEN25" s="70"/>
      <c r="AEO25" s="70"/>
      <c r="AEP25" s="70"/>
      <c r="AEQ25" s="70"/>
      <c r="AER25" s="70"/>
      <c r="AES25" s="70"/>
      <c r="AET25" s="70"/>
      <c r="AEU25" s="70"/>
      <c r="AEV25" s="70"/>
      <c r="AEW25" s="70"/>
      <c r="AEX25" s="70"/>
      <c r="AEY25" s="70"/>
      <c r="AEZ25" s="70"/>
      <c r="AFA25" s="70"/>
      <c r="AFB25" s="70"/>
      <c r="AFC25" s="70"/>
      <c r="AFD25" s="70"/>
      <c r="AFE25" s="70"/>
      <c r="AFF25" s="70"/>
      <c r="AFG25" s="70"/>
      <c r="AFH25" s="70"/>
      <c r="AFI25" s="70"/>
      <c r="AFJ25" s="70"/>
      <c r="AFK25" s="70"/>
      <c r="AFL25" s="70"/>
      <c r="AFM25" s="70"/>
      <c r="AFN25" s="70"/>
      <c r="AFO25" s="70"/>
      <c r="AFP25" s="70"/>
      <c r="AFQ25" s="70"/>
      <c r="AFR25" s="70"/>
      <c r="AFS25" s="70"/>
      <c r="AFT25" s="70"/>
      <c r="AFU25" s="70"/>
      <c r="AFV25" s="70"/>
      <c r="AFW25" s="70"/>
      <c r="AFX25" s="70"/>
      <c r="AFY25" s="70"/>
      <c r="AFZ25" s="70"/>
      <c r="AGA25" s="70"/>
      <c r="AGB25" s="70"/>
      <c r="AGC25" s="70"/>
      <c r="AGD25" s="70"/>
      <c r="AGE25" s="70"/>
      <c r="AGF25" s="70"/>
      <c r="AGG25" s="70"/>
      <c r="AGH25" s="70"/>
      <c r="AGI25" s="70"/>
      <c r="AGJ25" s="70"/>
      <c r="AGK25" s="70"/>
      <c r="AGL25" s="70"/>
      <c r="AGM25" s="70"/>
      <c r="AGN25" s="70"/>
      <c r="AGO25" s="70"/>
      <c r="AGP25" s="70"/>
      <c r="AGQ25" s="70"/>
      <c r="AGR25" s="70"/>
      <c r="AGS25" s="70"/>
      <c r="AGT25" s="70"/>
      <c r="AGU25" s="70"/>
      <c r="AGV25" s="70"/>
      <c r="AGW25" s="70"/>
      <c r="AGX25" s="70"/>
      <c r="AGY25" s="70"/>
      <c r="AGZ25" s="70"/>
      <c r="AHA25" s="70"/>
      <c r="AHB25" s="70"/>
      <c r="AHC25" s="70"/>
      <c r="AHD25" s="70"/>
      <c r="AHE25" s="70"/>
      <c r="AHF25" s="70"/>
      <c r="AHG25" s="70"/>
      <c r="AHH25" s="70"/>
      <c r="AHI25" s="70"/>
      <c r="AHJ25" s="70"/>
      <c r="AHK25" s="70"/>
      <c r="AHL25" s="70"/>
      <c r="AHM25" s="70"/>
      <c r="AHN25" s="70"/>
      <c r="AHO25" s="70"/>
      <c r="AHP25" s="70"/>
      <c r="AHQ25" s="70"/>
      <c r="AHR25" s="70"/>
      <c r="AHS25" s="70"/>
      <c r="AHT25" s="70"/>
      <c r="AHU25" s="70"/>
      <c r="AHV25" s="70"/>
      <c r="AHW25" s="70"/>
      <c r="AHX25" s="70"/>
      <c r="AHY25" s="70"/>
      <c r="AHZ25" s="70"/>
      <c r="AIA25" s="70"/>
      <c r="AIB25" s="70"/>
      <c r="AIC25" s="70"/>
      <c r="AID25" s="70"/>
      <c r="AIE25" s="70"/>
      <c r="AIF25" s="70"/>
      <c r="AIG25" s="70"/>
      <c r="AIH25" s="70"/>
      <c r="AII25" s="70"/>
      <c r="AIJ25" s="70"/>
      <c r="AIK25" s="70"/>
      <c r="AIL25" s="70"/>
      <c r="AIM25" s="70"/>
      <c r="AIN25" s="70"/>
      <c r="AIO25" s="70"/>
      <c r="AIP25" s="70"/>
      <c r="AIQ25" s="70"/>
      <c r="AIR25" s="70"/>
      <c r="AIS25" s="70"/>
      <c r="AIT25" s="70"/>
      <c r="AIU25" s="70"/>
      <c r="AIV25" s="70"/>
      <c r="AIW25" s="70"/>
      <c r="AIX25" s="70"/>
      <c r="AIY25" s="70"/>
      <c r="AIZ25" s="70"/>
      <c r="AJA25" s="70"/>
      <c r="AJB25" s="70"/>
      <c r="AJC25" s="70"/>
      <c r="AJD25" s="70"/>
      <c r="AJE25" s="70"/>
      <c r="AJF25" s="70"/>
      <c r="AJG25" s="70"/>
      <c r="AJH25" s="70"/>
      <c r="AJI25" s="70"/>
      <c r="AJJ25" s="70"/>
      <c r="AJK25" s="70"/>
      <c r="AJL25" s="70"/>
      <c r="AJM25" s="70"/>
      <c r="AJN25" s="70"/>
      <c r="AJO25" s="70"/>
      <c r="AJP25" s="70"/>
      <c r="AJQ25" s="70"/>
      <c r="AJR25" s="70"/>
      <c r="AJS25" s="70"/>
      <c r="AJT25" s="70"/>
      <c r="AJU25" s="70"/>
      <c r="AJV25" s="70"/>
      <c r="AJW25" s="70"/>
      <c r="AJX25" s="70"/>
      <c r="AJY25" s="70"/>
      <c r="AJZ25" s="70"/>
      <c r="AKA25" s="70"/>
      <c r="AKB25" s="70"/>
      <c r="AKC25" s="70"/>
      <c r="AKD25" s="70"/>
      <c r="AKE25" s="70"/>
      <c r="AKF25" s="70"/>
      <c r="AKG25" s="70"/>
      <c r="AKH25" s="70"/>
      <c r="AKI25" s="70"/>
      <c r="AKJ25" s="70"/>
      <c r="AKK25" s="70"/>
      <c r="AKL25" s="70"/>
      <c r="AKM25" s="70"/>
      <c r="AKN25" s="70"/>
      <c r="AKO25" s="70"/>
      <c r="AKP25" s="70"/>
      <c r="AKQ25" s="70"/>
      <c r="AKR25" s="70"/>
      <c r="AKS25" s="70"/>
      <c r="AKT25" s="70"/>
      <c r="AKU25" s="70"/>
      <c r="AKV25" s="70"/>
      <c r="AKW25" s="70"/>
      <c r="AKX25" s="70"/>
      <c r="AKY25" s="70"/>
      <c r="AKZ25" s="70"/>
      <c r="ALA25" s="70"/>
      <c r="ALB25" s="70"/>
      <c r="ALC25" s="70"/>
      <c r="ALD25" s="70"/>
      <c r="ALE25" s="70"/>
      <c r="ALF25" s="70"/>
      <c r="ALG25" s="70"/>
      <c r="ALH25" s="70"/>
      <c r="ALI25" s="70"/>
      <c r="ALJ25" s="70"/>
      <c r="ALK25" s="70"/>
      <c r="ALL25" s="70"/>
      <c r="ALM25" s="70"/>
      <c r="ALN25" s="70"/>
      <c r="ALO25" s="70"/>
      <c r="ALP25" s="70"/>
      <c r="ALQ25" s="70"/>
      <c r="ALR25" s="70"/>
      <c r="ALS25" s="70"/>
      <c r="ALT25" s="70"/>
      <c r="ALU25" s="70"/>
      <c r="ALV25" s="70"/>
      <c r="ALW25" s="70"/>
      <c r="ALX25" s="70"/>
      <c r="ALY25" s="70"/>
      <c r="ALZ25" s="70"/>
      <c r="AMA25" s="70"/>
      <c r="AMB25" s="70"/>
      <c r="AMC25" s="70"/>
      <c r="AMD25" s="70"/>
      <c r="AME25" s="70"/>
      <c r="AMF25" s="70"/>
      <c r="AMG25" s="70"/>
      <c r="AMH25" s="70"/>
      <c r="AMI25" s="70"/>
      <c r="AMJ25" s="70"/>
      <c r="AMK25" s="70"/>
      <c r="AML25" s="70"/>
      <c r="AMM25" s="70"/>
      <c r="AMN25" s="70"/>
      <c r="AMO25" s="70"/>
      <c r="AMP25" s="70"/>
      <c r="AMQ25" s="70"/>
      <c r="AMR25" s="70"/>
      <c r="AMS25" s="70"/>
      <c r="AMT25" s="70"/>
      <c r="AMU25" s="70"/>
      <c r="AMV25" s="70"/>
      <c r="AMW25" s="70"/>
      <c r="AMX25" s="70"/>
      <c r="AMY25" s="70"/>
      <c r="AMZ25" s="70"/>
      <c r="ANA25" s="70"/>
      <c r="ANB25" s="70"/>
      <c r="ANC25" s="70"/>
      <c r="AND25" s="70"/>
      <c r="ANE25" s="70"/>
      <c r="ANF25" s="70"/>
      <c r="ANG25" s="70"/>
      <c r="ANH25" s="70"/>
      <c r="ANI25" s="70"/>
      <c r="ANJ25" s="70"/>
      <c r="ANK25" s="70"/>
      <c r="ANL25" s="70"/>
      <c r="ANM25" s="70"/>
      <c r="ANN25" s="70"/>
      <c r="ANO25" s="70"/>
      <c r="ANP25" s="70"/>
      <c r="ANQ25" s="70"/>
      <c r="ANR25" s="70"/>
      <c r="ANS25" s="70"/>
      <c r="ANT25" s="70"/>
      <c r="ANU25" s="70"/>
      <c r="ANV25" s="70"/>
      <c r="ANW25" s="70"/>
      <c r="ANX25" s="70"/>
      <c r="ANY25" s="70"/>
      <c r="ANZ25" s="70"/>
      <c r="AOA25" s="70"/>
      <c r="AOB25" s="70"/>
      <c r="AOC25" s="70"/>
      <c r="AOD25" s="70"/>
      <c r="AOE25" s="70"/>
      <c r="AOF25" s="70"/>
      <c r="AOG25" s="70"/>
      <c r="AOH25" s="70"/>
      <c r="AOI25" s="70"/>
      <c r="AOJ25" s="70"/>
      <c r="AOK25" s="70"/>
      <c r="AOL25" s="70"/>
      <c r="AOM25" s="70"/>
      <c r="AON25" s="70"/>
      <c r="AOO25" s="70"/>
      <c r="AOP25" s="70"/>
      <c r="AOQ25" s="70"/>
      <c r="AOR25" s="70"/>
      <c r="AOS25" s="70"/>
      <c r="AOT25" s="70"/>
      <c r="AOU25" s="70"/>
      <c r="AOV25" s="70"/>
      <c r="AOW25" s="70"/>
      <c r="AOX25" s="70"/>
      <c r="AOY25" s="70"/>
      <c r="AOZ25" s="70"/>
      <c r="APA25" s="70"/>
      <c r="APB25" s="70"/>
      <c r="APC25" s="70"/>
      <c r="APD25" s="70"/>
      <c r="APE25" s="70"/>
      <c r="APF25" s="70"/>
      <c r="APG25" s="70"/>
      <c r="APH25" s="70"/>
      <c r="API25" s="70"/>
      <c r="APJ25" s="70"/>
      <c r="APK25" s="70"/>
      <c r="APL25" s="70"/>
      <c r="APM25" s="70"/>
      <c r="APN25" s="70"/>
      <c r="APO25" s="70"/>
      <c r="APP25" s="70"/>
      <c r="APQ25" s="70"/>
      <c r="APR25" s="70"/>
      <c r="APS25" s="70"/>
      <c r="APT25" s="70"/>
      <c r="APU25" s="70"/>
      <c r="APV25" s="70"/>
      <c r="APW25" s="70"/>
      <c r="APX25" s="70"/>
      <c r="APY25" s="70"/>
      <c r="APZ25" s="70"/>
      <c r="AQA25" s="70"/>
      <c r="AQB25" s="70"/>
      <c r="AQC25" s="70"/>
      <c r="AQD25" s="70"/>
      <c r="AQE25" s="70"/>
      <c r="AQF25" s="70"/>
      <c r="AQG25" s="70"/>
      <c r="AQH25" s="70"/>
      <c r="AQI25" s="70"/>
      <c r="AQJ25" s="70"/>
      <c r="AQK25" s="70"/>
      <c r="AQL25" s="70"/>
      <c r="AQM25" s="70"/>
      <c r="AQN25" s="70"/>
      <c r="AQO25" s="70"/>
      <c r="AQP25" s="70"/>
      <c r="AQQ25" s="70"/>
      <c r="AQR25" s="70"/>
      <c r="AQS25" s="70"/>
      <c r="AQT25" s="70"/>
      <c r="AQU25" s="70"/>
      <c r="AQV25" s="70"/>
      <c r="AQW25" s="70"/>
      <c r="AQX25" s="70"/>
      <c r="AQY25" s="70"/>
      <c r="AQZ25" s="70"/>
      <c r="ARA25" s="70"/>
      <c r="ARB25" s="70"/>
      <c r="ARC25" s="70"/>
      <c r="ARD25" s="70"/>
      <c r="ARE25" s="70"/>
      <c r="ARF25" s="70"/>
      <c r="ARG25" s="70"/>
      <c r="ARH25" s="70"/>
      <c r="ARI25" s="70"/>
      <c r="ARJ25" s="70"/>
      <c r="ARK25" s="70"/>
      <c r="ARL25" s="70"/>
      <c r="ARM25" s="70"/>
      <c r="ARN25" s="70"/>
      <c r="ARO25" s="70"/>
      <c r="ARP25" s="70"/>
      <c r="ARQ25" s="70"/>
      <c r="ARR25" s="70"/>
      <c r="ARS25" s="70"/>
      <c r="ART25" s="70"/>
      <c r="ARU25" s="70"/>
      <c r="ARV25" s="70"/>
      <c r="ARW25" s="70"/>
      <c r="ARX25" s="70"/>
      <c r="ARY25" s="70"/>
      <c r="ARZ25" s="70"/>
      <c r="ASA25" s="70"/>
      <c r="ASB25" s="70"/>
      <c r="ASC25" s="70"/>
      <c r="ASD25" s="70"/>
      <c r="ASE25" s="70"/>
      <c r="ASF25" s="70"/>
      <c r="ASG25" s="70"/>
      <c r="ASH25" s="70"/>
      <c r="ASI25" s="70"/>
      <c r="ASJ25" s="70"/>
      <c r="ASK25" s="70"/>
      <c r="ASL25" s="70"/>
      <c r="ASM25" s="70"/>
      <c r="ASN25" s="70"/>
      <c r="ASO25" s="70"/>
      <c r="ASP25" s="70"/>
      <c r="ASQ25" s="70"/>
      <c r="ASR25" s="70"/>
      <c r="ASS25" s="70"/>
      <c r="AST25" s="70"/>
      <c r="ASU25" s="70"/>
      <c r="ASV25" s="70"/>
      <c r="ASW25" s="70"/>
      <c r="ASX25" s="70"/>
      <c r="ASY25" s="70"/>
      <c r="ASZ25" s="70"/>
      <c r="ATA25" s="70"/>
      <c r="ATB25" s="70"/>
      <c r="ATC25" s="70"/>
      <c r="ATD25" s="70"/>
      <c r="ATE25" s="70"/>
      <c r="ATF25" s="70"/>
      <c r="ATG25" s="70"/>
      <c r="ATH25" s="70"/>
      <c r="ATI25" s="70"/>
      <c r="ATJ25" s="70"/>
      <c r="ATK25" s="70"/>
      <c r="ATL25" s="70"/>
      <c r="ATM25" s="70"/>
      <c r="ATN25" s="70"/>
      <c r="ATO25" s="70"/>
      <c r="ATP25" s="70"/>
      <c r="ATQ25" s="70"/>
      <c r="ATR25" s="70"/>
      <c r="ATS25" s="70"/>
      <c r="ATT25" s="70"/>
      <c r="ATU25" s="70"/>
      <c r="ATV25" s="70"/>
      <c r="ATW25" s="70"/>
      <c r="ATX25" s="70"/>
      <c r="ATY25" s="70"/>
      <c r="ATZ25" s="70"/>
      <c r="AUA25" s="70"/>
      <c r="AUB25" s="70"/>
      <c r="AUC25" s="70"/>
      <c r="AUD25" s="70"/>
      <c r="AUE25" s="70"/>
      <c r="AUF25" s="70"/>
      <c r="AUG25" s="70"/>
      <c r="AUH25" s="70"/>
      <c r="AUI25" s="70"/>
      <c r="AUJ25" s="70"/>
      <c r="AUK25" s="70"/>
      <c r="AUL25" s="70"/>
      <c r="AUM25" s="70"/>
      <c r="AUN25" s="70"/>
      <c r="AUO25" s="70"/>
      <c r="AUP25" s="70"/>
      <c r="AUQ25" s="70"/>
      <c r="AUR25" s="70"/>
      <c r="AUS25" s="70"/>
      <c r="AUT25" s="70"/>
      <c r="AUU25" s="70"/>
      <c r="AUV25" s="70"/>
      <c r="AUW25" s="70"/>
      <c r="AUX25" s="70"/>
      <c r="AUY25" s="70"/>
      <c r="AUZ25" s="70"/>
      <c r="AVA25" s="70"/>
      <c r="AVB25" s="70"/>
      <c r="AVC25" s="70"/>
      <c r="AVD25" s="70"/>
      <c r="AVE25" s="70"/>
      <c r="AVF25" s="70"/>
      <c r="AVG25" s="70"/>
      <c r="AVH25" s="70"/>
      <c r="AVI25" s="70"/>
      <c r="AVJ25" s="70"/>
      <c r="AVK25" s="70"/>
      <c r="AVL25" s="70"/>
      <c r="AVM25" s="70"/>
      <c r="AVN25" s="70"/>
      <c r="AVO25" s="70"/>
      <c r="AVP25" s="70"/>
      <c r="AVQ25" s="70"/>
      <c r="AVR25" s="70"/>
      <c r="AVS25" s="70"/>
      <c r="AVT25" s="70"/>
      <c r="AVU25" s="70"/>
      <c r="AVV25" s="70"/>
      <c r="AVW25" s="70"/>
      <c r="AVX25" s="70"/>
      <c r="AVY25" s="70"/>
      <c r="AVZ25" s="70"/>
      <c r="AWA25" s="70"/>
      <c r="AWB25" s="70"/>
      <c r="AWC25" s="70"/>
      <c r="AWD25" s="70"/>
      <c r="AWE25" s="70"/>
      <c r="AWF25" s="70"/>
      <c r="AWG25" s="70"/>
      <c r="AWH25" s="70"/>
      <c r="AWI25" s="70"/>
      <c r="AWJ25" s="70"/>
      <c r="AWK25" s="70"/>
      <c r="AWL25" s="70"/>
      <c r="AWM25" s="70"/>
      <c r="AWN25" s="70"/>
      <c r="AWO25" s="70"/>
      <c r="AWP25" s="70"/>
      <c r="AWQ25" s="70"/>
      <c r="AWR25" s="70"/>
      <c r="AWS25" s="70"/>
      <c r="AWT25" s="70"/>
      <c r="AWU25" s="70"/>
      <c r="AWV25" s="70"/>
      <c r="AWW25" s="70"/>
      <c r="AWX25" s="70"/>
      <c r="AWY25" s="70"/>
      <c r="AWZ25" s="70"/>
      <c r="AXA25" s="70"/>
      <c r="AXB25" s="70"/>
      <c r="AXC25" s="70"/>
      <c r="AXD25" s="70"/>
      <c r="AXE25" s="70"/>
      <c r="AXF25" s="70"/>
      <c r="AXG25" s="70"/>
      <c r="AXH25" s="70"/>
      <c r="AXI25" s="70"/>
      <c r="AXJ25" s="70"/>
      <c r="AXK25" s="70"/>
      <c r="AXL25" s="70"/>
      <c r="AXM25" s="70"/>
      <c r="AXN25" s="70"/>
      <c r="AXO25" s="70"/>
      <c r="AXP25" s="70"/>
      <c r="AXQ25" s="70"/>
      <c r="AXR25" s="70"/>
      <c r="AXS25" s="70"/>
      <c r="AXT25" s="70"/>
      <c r="AXU25" s="70"/>
      <c r="AXV25" s="70"/>
      <c r="AXW25" s="70"/>
      <c r="AXX25" s="70"/>
      <c r="AXY25" s="70"/>
      <c r="AXZ25" s="70"/>
      <c r="AYA25" s="70"/>
      <c r="AYB25" s="70"/>
      <c r="AYC25" s="70"/>
      <c r="AYD25" s="70"/>
      <c r="AYE25" s="70"/>
      <c r="AYF25" s="70"/>
      <c r="AYG25" s="70"/>
      <c r="AYH25" s="70"/>
      <c r="AYI25" s="70"/>
      <c r="AYJ25" s="70"/>
      <c r="AYK25" s="70"/>
      <c r="AYL25" s="70"/>
      <c r="AYM25" s="70"/>
      <c r="AYN25" s="70"/>
      <c r="AYO25" s="70"/>
      <c r="AYP25" s="70"/>
      <c r="AYQ25" s="70"/>
      <c r="AYR25" s="70"/>
      <c r="AYS25" s="70"/>
      <c r="AYT25" s="70"/>
      <c r="AYU25" s="70"/>
      <c r="AYV25" s="70"/>
      <c r="AYW25" s="70"/>
      <c r="AYX25" s="70"/>
      <c r="AYY25" s="70"/>
      <c r="AYZ25" s="70"/>
      <c r="AZA25" s="70"/>
      <c r="AZB25" s="70"/>
      <c r="AZC25" s="70"/>
      <c r="AZD25" s="70"/>
      <c r="AZE25" s="70"/>
      <c r="AZF25" s="70"/>
      <c r="AZG25" s="70"/>
      <c r="AZH25" s="70"/>
      <c r="AZI25" s="70"/>
      <c r="AZJ25" s="70"/>
      <c r="AZK25" s="70"/>
      <c r="AZL25" s="70"/>
      <c r="AZM25" s="70"/>
      <c r="AZN25" s="70"/>
      <c r="AZO25" s="70"/>
      <c r="AZP25" s="70"/>
      <c r="AZQ25" s="70"/>
      <c r="AZR25" s="70"/>
      <c r="AZS25" s="70"/>
      <c r="AZT25" s="70"/>
      <c r="AZU25" s="70"/>
      <c r="AZV25" s="70"/>
      <c r="AZW25" s="70"/>
      <c r="AZX25" s="70"/>
      <c r="AZY25" s="70"/>
      <c r="AZZ25" s="70"/>
      <c r="BAA25" s="70"/>
      <c r="BAB25" s="70"/>
      <c r="BAC25" s="70"/>
      <c r="BAD25" s="70"/>
      <c r="BAE25" s="70"/>
      <c r="BAF25" s="70"/>
      <c r="BAG25" s="70"/>
      <c r="BAH25" s="70"/>
      <c r="BAI25" s="70"/>
      <c r="BAJ25" s="70"/>
      <c r="BAK25" s="70"/>
      <c r="BAL25" s="70"/>
      <c r="BAM25" s="70"/>
      <c r="BAN25" s="70"/>
      <c r="BAO25" s="70"/>
      <c r="BAP25" s="70"/>
      <c r="BAQ25" s="70"/>
      <c r="BAR25" s="70"/>
      <c r="BAS25" s="70"/>
      <c r="BAT25" s="70"/>
      <c r="BAU25" s="70"/>
      <c r="BAV25" s="70"/>
      <c r="BAW25" s="70"/>
      <c r="BAX25" s="70"/>
      <c r="BAY25" s="70"/>
      <c r="BAZ25" s="70"/>
      <c r="BBA25" s="70"/>
      <c r="BBB25" s="70"/>
      <c r="BBC25" s="70"/>
      <c r="BBD25" s="70"/>
      <c r="BBE25" s="70"/>
      <c r="BBF25" s="70"/>
      <c r="BBG25" s="70"/>
      <c r="BBH25" s="70"/>
      <c r="BBI25" s="70"/>
      <c r="BBJ25" s="70"/>
      <c r="BBK25" s="70"/>
      <c r="BBL25" s="70"/>
      <c r="BBM25" s="70"/>
      <c r="BBN25" s="70"/>
      <c r="BBO25" s="70"/>
      <c r="BBP25" s="70"/>
      <c r="BBQ25" s="70"/>
      <c r="BBR25" s="70"/>
      <c r="BBS25" s="70"/>
      <c r="BBT25" s="70"/>
      <c r="BBU25" s="70"/>
      <c r="BBV25" s="70"/>
      <c r="BBW25" s="70"/>
      <c r="BBX25" s="70"/>
      <c r="BBY25" s="70"/>
      <c r="BBZ25" s="70"/>
      <c r="BCA25" s="70"/>
      <c r="BCB25" s="70"/>
      <c r="BCC25" s="70"/>
      <c r="BCD25" s="70"/>
      <c r="BCE25" s="70"/>
      <c r="BCF25" s="70"/>
      <c r="BCG25" s="70"/>
      <c r="BCH25" s="70"/>
      <c r="BCI25" s="70"/>
      <c r="BCJ25" s="70"/>
      <c r="BCK25" s="70"/>
      <c r="BCL25" s="70"/>
      <c r="BCM25" s="70"/>
      <c r="BCN25" s="70"/>
      <c r="BCO25" s="70"/>
      <c r="BCP25" s="70"/>
      <c r="BCQ25" s="70"/>
      <c r="BCR25" s="70"/>
      <c r="BCS25" s="70"/>
      <c r="BCT25" s="70"/>
      <c r="BCU25" s="70"/>
      <c r="BCV25" s="70"/>
      <c r="BCW25" s="70"/>
      <c r="BCX25" s="70"/>
      <c r="BCY25" s="70"/>
      <c r="BCZ25" s="70"/>
      <c r="BDA25" s="70"/>
      <c r="BDB25" s="70"/>
      <c r="BDC25" s="70"/>
      <c r="BDD25" s="70"/>
      <c r="BDE25" s="70"/>
      <c r="BDF25" s="70"/>
      <c r="BDG25" s="70"/>
      <c r="BDH25" s="70"/>
      <c r="BDI25" s="70"/>
      <c r="BDJ25" s="70"/>
      <c r="BDK25" s="70"/>
      <c r="BDL25" s="70"/>
      <c r="BDM25" s="70"/>
      <c r="BDN25" s="70"/>
      <c r="BDO25" s="70"/>
      <c r="BDP25" s="70"/>
      <c r="BDQ25" s="70"/>
      <c r="BDR25" s="70"/>
      <c r="BDS25" s="70"/>
      <c r="BDT25" s="70"/>
      <c r="BDU25" s="70"/>
      <c r="BDV25" s="70"/>
      <c r="BDW25" s="70"/>
      <c r="BDX25" s="70"/>
      <c r="BDY25" s="70"/>
      <c r="BDZ25" s="70"/>
      <c r="BEA25" s="70"/>
      <c r="BEB25" s="70"/>
      <c r="BEC25" s="70"/>
      <c r="BED25" s="70"/>
      <c r="BEE25" s="70"/>
      <c r="BEF25" s="70"/>
      <c r="BEG25" s="70"/>
      <c r="BEH25" s="70"/>
      <c r="BEI25" s="70"/>
      <c r="BEJ25" s="70"/>
      <c r="BEK25" s="70"/>
      <c r="BEL25" s="70"/>
      <c r="BEM25" s="70"/>
      <c r="BEN25" s="70"/>
      <c r="BEO25" s="70"/>
      <c r="BEP25" s="70"/>
      <c r="BEQ25" s="70"/>
      <c r="BER25" s="70"/>
      <c r="BES25" s="70"/>
      <c r="BET25" s="70"/>
      <c r="BEU25" s="70"/>
      <c r="BEV25" s="70"/>
      <c r="BEW25" s="70"/>
      <c r="BEX25" s="70"/>
      <c r="BEY25" s="70"/>
      <c r="BEZ25" s="70"/>
      <c r="BFA25" s="70"/>
      <c r="BFB25" s="70"/>
      <c r="BFC25" s="70"/>
      <c r="BFD25" s="70"/>
      <c r="BFE25" s="70"/>
      <c r="BFF25" s="70"/>
      <c r="BFG25" s="70"/>
      <c r="BFH25" s="70"/>
      <c r="BFI25" s="70"/>
      <c r="BFJ25" s="70"/>
      <c r="BFK25" s="70"/>
      <c r="BFL25" s="70"/>
      <c r="BFM25" s="70"/>
      <c r="BFN25" s="70"/>
      <c r="BFO25" s="70"/>
      <c r="BFP25" s="70"/>
      <c r="BFQ25" s="70"/>
      <c r="BFR25" s="70"/>
      <c r="BFS25" s="70"/>
      <c r="BFT25" s="70"/>
      <c r="BFU25" s="70"/>
      <c r="BFV25" s="70"/>
      <c r="BFW25" s="70"/>
      <c r="BFX25" s="70"/>
      <c r="BFY25" s="70"/>
      <c r="BFZ25" s="70"/>
      <c r="BGA25" s="70"/>
      <c r="BGB25" s="70"/>
      <c r="BGC25" s="70"/>
      <c r="BGD25" s="70"/>
      <c r="BGE25" s="70"/>
      <c r="BGF25" s="70"/>
      <c r="BGG25" s="70"/>
      <c r="BGH25" s="70"/>
      <c r="BGI25" s="70"/>
      <c r="BGJ25" s="70"/>
      <c r="BGK25" s="70"/>
      <c r="BGL25" s="70"/>
      <c r="BGM25" s="70"/>
      <c r="BGN25" s="70"/>
      <c r="BGO25" s="70"/>
      <c r="BGP25" s="70"/>
      <c r="BGQ25" s="70"/>
      <c r="BGR25" s="70"/>
      <c r="BGS25" s="70"/>
      <c r="BGT25" s="70"/>
      <c r="BGU25" s="70"/>
      <c r="BGV25" s="70"/>
      <c r="BGW25" s="70"/>
      <c r="BGX25" s="70"/>
      <c r="BGY25" s="70"/>
      <c r="BGZ25" s="70"/>
      <c r="BHA25" s="70"/>
      <c r="BHB25" s="70"/>
      <c r="BHC25" s="70"/>
      <c r="BHD25" s="70"/>
      <c r="BHE25" s="70"/>
      <c r="BHF25" s="70"/>
      <c r="BHG25" s="70"/>
      <c r="BHH25" s="70"/>
      <c r="BHI25" s="70"/>
      <c r="BHJ25" s="70"/>
      <c r="BHK25" s="70"/>
      <c r="BHL25" s="70"/>
      <c r="BHM25" s="70"/>
      <c r="BHN25" s="70"/>
      <c r="BHO25" s="70"/>
      <c r="BHP25" s="70"/>
      <c r="BHQ25" s="70"/>
      <c r="BHR25" s="70"/>
      <c r="BHS25" s="70"/>
      <c r="BHT25" s="70"/>
      <c r="BHU25" s="70"/>
      <c r="BHV25" s="70"/>
      <c r="BHW25" s="70"/>
      <c r="BHX25" s="70"/>
      <c r="BHY25" s="70"/>
      <c r="BHZ25" s="70"/>
      <c r="BIA25" s="70"/>
      <c r="BIB25" s="70"/>
      <c r="BIC25" s="70"/>
      <c r="BID25" s="70"/>
      <c r="BIE25" s="70"/>
      <c r="BIF25" s="70"/>
      <c r="BIG25" s="70"/>
      <c r="BIH25" s="70"/>
      <c r="BII25" s="70"/>
      <c r="BIJ25" s="70"/>
      <c r="BIK25" s="70"/>
      <c r="BIL25" s="70"/>
      <c r="BIM25" s="70"/>
      <c r="BIN25" s="70"/>
      <c r="BIO25" s="70"/>
      <c r="BIP25" s="70"/>
      <c r="BIQ25" s="70"/>
      <c r="BIR25" s="70"/>
      <c r="BIS25" s="70"/>
      <c r="BIT25" s="70"/>
      <c r="BIU25" s="70"/>
      <c r="BIV25" s="70"/>
      <c r="BIW25" s="70"/>
      <c r="BIX25" s="70"/>
      <c r="BIY25" s="70"/>
      <c r="BIZ25" s="70"/>
      <c r="BJA25" s="70"/>
      <c r="BJB25" s="70"/>
      <c r="BJC25" s="70"/>
      <c r="BJD25" s="70"/>
      <c r="BJE25" s="70"/>
      <c r="BJF25" s="70"/>
      <c r="BJG25" s="70"/>
      <c r="BJH25" s="70"/>
      <c r="BJI25" s="70"/>
      <c r="BJJ25" s="70"/>
      <c r="BJK25" s="70"/>
      <c r="BJL25" s="70"/>
      <c r="BJM25" s="70"/>
      <c r="BJN25" s="70"/>
      <c r="BJO25" s="70"/>
      <c r="BJP25" s="70"/>
      <c r="BJQ25" s="70"/>
      <c r="BJR25" s="70"/>
      <c r="BJS25" s="70"/>
      <c r="BJT25" s="70"/>
      <c r="BJU25" s="70"/>
      <c r="BJV25" s="70"/>
      <c r="BJW25" s="70"/>
      <c r="BJX25" s="70"/>
      <c r="BJY25" s="70"/>
      <c r="BJZ25" s="70"/>
      <c r="BKA25" s="70"/>
      <c r="BKB25" s="70"/>
      <c r="BKC25" s="70"/>
      <c r="BKD25" s="70"/>
      <c r="BKE25" s="70"/>
      <c r="BKF25" s="70"/>
      <c r="BKG25" s="70"/>
      <c r="BKH25" s="70"/>
      <c r="BKI25" s="70"/>
      <c r="BKJ25" s="70"/>
      <c r="BKK25" s="70"/>
      <c r="BKL25" s="70"/>
      <c r="BKM25" s="70"/>
      <c r="BKN25" s="70"/>
      <c r="BKO25" s="70"/>
      <c r="BKP25" s="70"/>
      <c r="BKQ25" s="70"/>
      <c r="BKR25" s="70"/>
      <c r="BKS25" s="70"/>
      <c r="BKT25" s="70"/>
      <c r="BKU25" s="70"/>
      <c r="BKV25" s="70"/>
      <c r="BKW25" s="70"/>
      <c r="BKX25" s="70"/>
      <c r="BKY25" s="70"/>
      <c r="BKZ25" s="70"/>
      <c r="BLA25" s="70"/>
      <c r="BLB25" s="70"/>
      <c r="BLC25" s="70"/>
      <c r="BLD25" s="70"/>
      <c r="BLE25" s="70"/>
      <c r="BLF25" s="70"/>
      <c r="BLG25" s="70"/>
      <c r="BLH25" s="70"/>
      <c r="BLI25" s="70"/>
      <c r="BLJ25" s="70"/>
      <c r="BLK25" s="70"/>
      <c r="BLL25" s="70"/>
      <c r="BLM25" s="70"/>
      <c r="BLN25" s="70"/>
      <c r="BLO25" s="70"/>
      <c r="BLP25" s="70"/>
      <c r="BLQ25" s="70"/>
      <c r="BLR25" s="70"/>
      <c r="BLS25" s="70"/>
      <c r="BLT25" s="70"/>
      <c r="BLU25" s="70"/>
      <c r="BLV25" s="70"/>
      <c r="BLW25" s="70"/>
      <c r="BLX25" s="70"/>
      <c r="BLY25" s="70"/>
      <c r="BLZ25" s="70"/>
      <c r="BMA25" s="70"/>
      <c r="BMB25" s="70"/>
      <c r="BMC25" s="70"/>
      <c r="BMD25" s="70"/>
      <c r="BME25" s="70"/>
      <c r="BMF25" s="70"/>
      <c r="BMG25" s="70"/>
      <c r="BMH25" s="70"/>
      <c r="BMI25" s="70"/>
      <c r="BMJ25" s="70"/>
      <c r="BMK25" s="70"/>
      <c r="BML25" s="70"/>
      <c r="BMM25" s="70"/>
      <c r="BMN25" s="70"/>
      <c r="BMO25" s="70"/>
      <c r="BMP25" s="70"/>
      <c r="BMQ25" s="70"/>
      <c r="BMR25" s="70"/>
      <c r="BMS25" s="70"/>
      <c r="BMT25" s="70"/>
      <c r="BMU25" s="70"/>
      <c r="BMV25" s="70"/>
      <c r="BMW25" s="70"/>
      <c r="BMX25" s="70"/>
      <c r="BMY25" s="70"/>
      <c r="BMZ25" s="70"/>
      <c r="BNA25" s="70"/>
      <c r="BNB25" s="70"/>
      <c r="BNC25" s="70"/>
      <c r="BND25" s="70"/>
      <c r="BNE25" s="70"/>
      <c r="BNF25" s="70"/>
      <c r="BNG25" s="70"/>
      <c r="BNH25" s="70"/>
      <c r="BNI25" s="70"/>
      <c r="BNJ25" s="70"/>
      <c r="BNK25" s="70"/>
      <c r="BNL25" s="70"/>
      <c r="BNM25" s="70"/>
      <c r="BNN25" s="70"/>
      <c r="BNO25" s="70"/>
      <c r="BNP25" s="70"/>
      <c r="BNQ25" s="70"/>
      <c r="BNR25" s="70"/>
      <c r="BNS25" s="70"/>
      <c r="BNT25" s="70"/>
      <c r="BNU25" s="70"/>
      <c r="BNV25" s="70"/>
      <c r="BNW25" s="70"/>
      <c r="BNX25" s="70"/>
      <c r="BNY25" s="70"/>
      <c r="BNZ25" s="70"/>
      <c r="BOA25" s="70"/>
      <c r="BOB25" s="70"/>
      <c r="BOC25" s="70"/>
      <c r="BOD25" s="70"/>
      <c r="BOE25" s="70"/>
      <c r="BOF25" s="70"/>
      <c r="BOG25" s="70"/>
      <c r="BOH25" s="70"/>
      <c r="BOI25" s="70"/>
      <c r="BOJ25" s="70"/>
      <c r="BOK25" s="70"/>
      <c r="BOL25" s="70"/>
      <c r="BOM25" s="70"/>
      <c r="BON25" s="70"/>
      <c r="BOO25" s="70"/>
      <c r="BOP25" s="70"/>
      <c r="BOQ25" s="70"/>
      <c r="BOR25" s="70"/>
      <c r="BOS25" s="70"/>
      <c r="BOT25" s="70"/>
      <c r="BOU25" s="70"/>
      <c r="BOV25" s="70"/>
      <c r="BOW25" s="70"/>
      <c r="BOX25" s="70"/>
      <c r="BOY25" s="70"/>
      <c r="BOZ25" s="70"/>
      <c r="BPA25" s="70"/>
      <c r="BPB25" s="70"/>
      <c r="BPC25" s="70"/>
      <c r="BPD25" s="70"/>
      <c r="BPE25" s="70"/>
      <c r="BPF25" s="70"/>
      <c r="BPG25" s="70"/>
      <c r="BPH25" s="70"/>
      <c r="BPI25" s="70"/>
      <c r="BPJ25" s="70"/>
      <c r="BPK25" s="70"/>
      <c r="BPL25" s="70"/>
      <c r="BPM25" s="70"/>
      <c r="BPN25" s="70"/>
      <c r="BPO25" s="70"/>
      <c r="BPP25" s="70"/>
      <c r="BPQ25" s="70"/>
      <c r="BPR25" s="70"/>
      <c r="BPS25" s="70"/>
      <c r="BPT25" s="70"/>
      <c r="BPU25" s="70"/>
      <c r="BPV25" s="70"/>
      <c r="BPW25" s="70"/>
      <c r="BPX25" s="70"/>
      <c r="BPY25" s="70"/>
      <c r="BPZ25" s="70"/>
      <c r="BQA25" s="70"/>
      <c r="BQB25" s="70"/>
      <c r="BQC25" s="70"/>
      <c r="BQD25" s="70"/>
      <c r="BQE25" s="70"/>
      <c r="BQF25" s="70"/>
      <c r="BQG25" s="70"/>
      <c r="BQH25" s="70"/>
      <c r="BQI25" s="70"/>
      <c r="BQJ25" s="70"/>
      <c r="BQK25" s="70"/>
      <c r="BQL25" s="70"/>
      <c r="BQM25" s="70"/>
      <c r="BQN25" s="70"/>
      <c r="BQO25" s="70"/>
      <c r="BQP25" s="70"/>
      <c r="BQQ25" s="70"/>
      <c r="BQR25" s="70"/>
      <c r="BQS25" s="70"/>
      <c r="BQT25" s="70"/>
      <c r="BQU25" s="70"/>
      <c r="BQV25" s="70"/>
      <c r="BQW25" s="70"/>
      <c r="BQX25" s="70"/>
      <c r="BQY25" s="70"/>
      <c r="BQZ25" s="70"/>
      <c r="BRA25" s="70"/>
      <c r="BRB25" s="70"/>
      <c r="BRC25" s="70"/>
      <c r="BRD25" s="70"/>
      <c r="BRE25" s="70"/>
      <c r="BRF25" s="70"/>
      <c r="BRG25" s="70"/>
      <c r="BRH25" s="70"/>
      <c r="BRI25" s="70"/>
      <c r="BRJ25" s="70"/>
      <c r="BRK25" s="70"/>
      <c r="BRL25" s="70"/>
      <c r="BRM25" s="70"/>
      <c r="BRN25" s="70"/>
      <c r="BRO25" s="70"/>
      <c r="BRP25" s="70"/>
      <c r="BRQ25" s="70"/>
      <c r="BRR25" s="70"/>
      <c r="BRS25" s="70"/>
      <c r="BRT25" s="70"/>
      <c r="BRU25" s="70"/>
      <c r="BRV25" s="70"/>
      <c r="BRW25" s="70"/>
      <c r="BRX25" s="70"/>
      <c r="BRY25" s="70"/>
      <c r="BRZ25" s="70"/>
      <c r="BSA25" s="70"/>
      <c r="BSB25" s="70"/>
      <c r="BSC25" s="70"/>
      <c r="BSD25" s="70"/>
      <c r="BSE25" s="70"/>
      <c r="BSF25" s="70"/>
      <c r="BSG25" s="70"/>
      <c r="BSH25" s="70"/>
      <c r="BSI25" s="70"/>
      <c r="BSJ25" s="70"/>
      <c r="BSK25" s="70"/>
      <c r="BSL25" s="70"/>
      <c r="BSM25" s="70"/>
      <c r="BSN25" s="70"/>
      <c r="BSO25" s="70"/>
      <c r="BSP25" s="70"/>
      <c r="BSQ25" s="70"/>
      <c r="BSR25" s="70"/>
      <c r="BSS25" s="70"/>
      <c r="BST25" s="70"/>
      <c r="BSU25" s="70"/>
      <c r="BSV25" s="70"/>
      <c r="BSW25" s="70"/>
      <c r="BSX25" s="70"/>
      <c r="BSY25" s="70"/>
      <c r="BSZ25" s="70"/>
      <c r="BTA25" s="70"/>
      <c r="BTB25" s="70"/>
      <c r="BTC25" s="70"/>
      <c r="BTD25" s="70"/>
      <c r="BTE25" s="70"/>
      <c r="BTF25" s="70"/>
      <c r="BTG25" s="70"/>
      <c r="BTH25" s="70"/>
      <c r="BTI25" s="70"/>
      <c r="BTJ25" s="70"/>
      <c r="BTK25" s="70"/>
      <c r="BTL25" s="70"/>
      <c r="BTM25" s="70"/>
      <c r="BTN25" s="70"/>
      <c r="BTO25" s="70"/>
      <c r="BTP25" s="70"/>
      <c r="BTQ25" s="70"/>
      <c r="BTR25" s="70"/>
      <c r="BTS25" s="70"/>
      <c r="BTT25" s="70"/>
      <c r="BTU25" s="70"/>
      <c r="BTV25" s="70"/>
      <c r="BTW25" s="70"/>
      <c r="BTX25" s="70"/>
      <c r="BTY25" s="70"/>
      <c r="BTZ25" s="70"/>
      <c r="BUA25" s="70"/>
      <c r="BUB25" s="70"/>
      <c r="BUC25" s="70"/>
      <c r="BUD25" s="70"/>
      <c r="BUE25" s="70"/>
      <c r="BUF25" s="70"/>
      <c r="BUG25" s="70"/>
      <c r="BUH25" s="70"/>
      <c r="BUI25" s="70"/>
      <c r="BUJ25" s="70"/>
      <c r="BUK25" s="70"/>
      <c r="BUL25" s="70"/>
      <c r="BUM25" s="70"/>
      <c r="BUN25" s="70"/>
      <c r="BUO25" s="70"/>
      <c r="BUP25" s="70"/>
      <c r="BUQ25" s="70"/>
      <c r="BUR25" s="70"/>
      <c r="BUS25" s="70"/>
      <c r="BUT25" s="70"/>
      <c r="BUU25" s="70"/>
      <c r="BUV25" s="70"/>
      <c r="BUW25" s="70"/>
      <c r="BUX25" s="70"/>
      <c r="BUY25" s="70"/>
      <c r="BUZ25" s="70"/>
      <c r="BVA25" s="70"/>
      <c r="BVB25" s="70"/>
      <c r="BVC25" s="70"/>
      <c r="BVD25" s="70"/>
      <c r="BVE25" s="70"/>
      <c r="BVF25" s="70"/>
      <c r="BVG25" s="70"/>
      <c r="BVH25" s="70"/>
      <c r="BVI25" s="70"/>
      <c r="BVJ25" s="70"/>
      <c r="BVK25" s="70"/>
      <c r="BVL25" s="70"/>
      <c r="BVM25" s="70"/>
      <c r="BVN25" s="70"/>
      <c r="BVO25" s="70"/>
      <c r="BVP25" s="70"/>
      <c r="BVQ25" s="70"/>
      <c r="BVR25" s="70"/>
      <c r="BVS25" s="70"/>
      <c r="BVT25" s="70"/>
      <c r="BVU25" s="70"/>
      <c r="BVV25" s="70"/>
      <c r="BVW25" s="70"/>
      <c r="BVX25" s="70"/>
      <c r="BVY25" s="70"/>
      <c r="BVZ25" s="70"/>
      <c r="BWA25" s="70"/>
      <c r="BWB25" s="70"/>
      <c r="BWC25" s="70"/>
      <c r="BWD25" s="70"/>
      <c r="BWE25" s="70"/>
      <c r="BWF25" s="70"/>
      <c r="BWG25" s="70"/>
      <c r="BWH25" s="70"/>
      <c r="BWI25" s="70"/>
      <c r="BWJ25" s="70"/>
      <c r="BWK25" s="70"/>
      <c r="BWL25" s="70"/>
      <c r="BWM25" s="70"/>
      <c r="BWN25" s="70"/>
      <c r="BWO25" s="70"/>
      <c r="BWP25" s="70"/>
      <c r="BWQ25" s="70"/>
      <c r="BWR25" s="70"/>
      <c r="BWS25" s="70"/>
      <c r="BWT25" s="70"/>
      <c r="BWU25" s="70"/>
      <c r="BWV25" s="70"/>
      <c r="BWW25" s="70"/>
      <c r="BWX25" s="70"/>
      <c r="BWY25" s="70"/>
      <c r="BWZ25" s="70"/>
      <c r="BXA25" s="70"/>
      <c r="BXB25" s="70"/>
      <c r="BXC25" s="70"/>
      <c r="BXD25" s="70"/>
      <c r="BXE25" s="70"/>
      <c r="BXF25" s="70"/>
      <c r="BXG25" s="70"/>
      <c r="BXH25" s="70"/>
      <c r="BXI25" s="70"/>
      <c r="BXJ25" s="70"/>
      <c r="BXK25" s="70"/>
      <c r="BXL25" s="70"/>
      <c r="BXM25" s="70"/>
      <c r="BXN25" s="70"/>
      <c r="BXO25" s="70"/>
      <c r="BXP25" s="70"/>
      <c r="BXQ25" s="70"/>
      <c r="BXR25" s="70"/>
      <c r="BXS25" s="70"/>
      <c r="BXT25" s="70"/>
      <c r="BXU25" s="70"/>
      <c r="BXV25" s="70"/>
      <c r="BXW25" s="70"/>
      <c r="BXX25" s="70"/>
      <c r="BXY25" s="70"/>
      <c r="BXZ25" s="70"/>
      <c r="BYA25" s="70"/>
      <c r="BYB25" s="70"/>
      <c r="BYC25" s="70"/>
      <c r="BYD25" s="70"/>
      <c r="BYE25" s="70"/>
      <c r="BYF25" s="70"/>
      <c r="BYG25" s="70"/>
      <c r="BYH25" s="70"/>
      <c r="BYI25" s="70"/>
      <c r="BYJ25" s="70"/>
      <c r="BYK25" s="70"/>
      <c r="BYL25" s="70"/>
      <c r="BYM25" s="70"/>
      <c r="BYN25" s="70"/>
      <c r="BYO25" s="70"/>
      <c r="BYP25" s="70"/>
      <c r="BYQ25" s="70"/>
      <c r="BYR25" s="70"/>
      <c r="BYS25" s="70"/>
      <c r="BYT25" s="70"/>
      <c r="BYU25" s="70"/>
      <c r="BYV25" s="70"/>
      <c r="BYW25" s="70"/>
      <c r="BYX25" s="70"/>
      <c r="BYY25" s="70"/>
      <c r="BYZ25" s="70"/>
      <c r="BZA25" s="70"/>
      <c r="BZB25" s="70"/>
      <c r="BZC25" s="70"/>
      <c r="BZD25" s="70"/>
      <c r="BZE25" s="70"/>
      <c r="BZF25" s="70"/>
      <c r="BZG25" s="70"/>
      <c r="BZH25" s="70"/>
      <c r="BZI25" s="70"/>
      <c r="BZJ25" s="70"/>
      <c r="BZK25" s="70"/>
      <c r="BZL25" s="70"/>
      <c r="BZM25" s="70"/>
      <c r="BZN25" s="70"/>
      <c r="BZO25" s="70"/>
      <c r="BZP25" s="70"/>
      <c r="BZQ25" s="70"/>
      <c r="BZR25" s="70"/>
      <c r="BZS25" s="70"/>
      <c r="BZT25" s="70"/>
      <c r="BZU25" s="70"/>
      <c r="BZV25" s="70"/>
      <c r="BZW25" s="70"/>
      <c r="BZX25" s="70"/>
      <c r="BZY25" s="70"/>
      <c r="BZZ25" s="70"/>
      <c r="CAA25" s="70"/>
      <c r="CAB25" s="70"/>
      <c r="CAC25" s="70"/>
      <c r="CAD25" s="70"/>
      <c r="CAE25" s="70"/>
      <c r="CAF25" s="70"/>
      <c r="CAG25" s="70"/>
      <c r="CAH25" s="70"/>
      <c r="CAI25" s="70"/>
      <c r="CAJ25" s="70"/>
      <c r="CAK25" s="70"/>
      <c r="CAL25" s="70"/>
      <c r="CAM25" s="70"/>
      <c r="CAN25" s="70"/>
      <c r="CAO25" s="70"/>
      <c r="CAP25" s="70"/>
      <c r="CAQ25" s="70"/>
      <c r="CAR25" s="70"/>
      <c r="CAS25" s="70"/>
      <c r="CAT25" s="70"/>
      <c r="CAU25" s="70"/>
      <c r="CAV25" s="70"/>
      <c r="CAW25" s="70"/>
      <c r="CAX25" s="70"/>
      <c r="CAY25" s="70"/>
      <c r="CAZ25" s="70"/>
      <c r="CBA25" s="70"/>
      <c r="CBB25" s="70"/>
      <c r="CBC25" s="70"/>
      <c r="CBD25" s="70"/>
      <c r="CBE25" s="70"/>
      <c r="CBF25" s="70"/>
      <c r="CBG25" s="70"/>
      <c r="CBH25" s="70"/>
      <c r="CBI25" s="70"/>
      <c r="CBJ25" s="70"/>
      <c r="CBK25" s="70"/>
      <c r="CBL25" s="70"/>
      <c r="CBM25" s="70"/>
      <c r="CBN25" s="70"/>
      <c r="CBO25" s="70"/>
      <c r="CBP25" s="70"/>
      <c r="CBQ25" s="70"/>
      <c r="CBR25" s="70"/>
      <c r="CBS25" s="70"/>
      <c r="CBT25" s="70"/>
      <c r="CBU25" s="70"/>
      <c r="CBV25" s="70"/>
      <c r="CBW25" s="70"/>
      <c r="CBX25" s="70"/>
      <c r="CBY25" s="70"/>
      <c r="CBZ25" s="70"/>
      <c r="CCA25" s="70"/>
      <c r="CCB25" s="70"/>
      <c r="CCC25" s="70"/>
      <c r="CCD25" s="70"/>
      <c r="CCE25" s="70"/>
      <c r="CCF25" s="70"/>
      <c r="CCG25" s="70"/>
      <c r="CCH25" s="70"/>
      <c r="CCI25" s="70"/>
      <c r="CCJ25" s="70"/>
      <c r="CCK25" s="70"/>
      <c r="CCL25" s="70"/>
      <c r="CCM25" s="70"/>
      <c r="CCN25" s="70"/>
      <c r="CCO25" s="70"/>
      <c r="CCP25" s="70"/>
      <c r="CCQ25" s="70"/>
      <c r="CCR25" s="70"/>
      <c r="CCS25" s="70"/>
      <c r="CCT25" s="70"/>
      <c r="CCU25" s="70"/>
      <c r="CCV25" s="70"/>
      <c r="CCW25" s="70"/>
      <c r="CCX25" s="70"/>
      <c r="CCY25" s="70"/>
      <c r="CCZ25" s="70"/>
      <c r="CDA25" s="70"/>
      <c r="CDB25" s="70"/>
      <c r="CDC25" s="70"/>
      <c r="CDD25" s="70"/>
      <c r="CDE25" s="70"/>
      <c r="CDF25" s="70"/>
      <c r="CDG25" s="70"/>
      <c r="CDH25" s="70"/>
      <c r="CDI25" s="70"/>
      <c r="CDJ25" s="70"/>
      <c r="CDK25" s="70"/>
      <c r="CDL25" s="70"/>
      <c r="CDM25" s="70"/>
      <c r="CDN25" s="70"/>
      <c r="CDO25" s="70"/>
      <c r="CDP25" s="70"/>
      <c r="CDQ25" s="70"/>
      <c r="CDR25" s="70"/>
      <c r="CDS25" s="70"/>
      <c r="CDT25" s="70"/>
      <c r="CDU25" s="70"/>
      <c r="CDV25" s="70"/>
      <c r="CDW25" s="70"/>
      <c r="CDX25" s="70"/>
      <c r="CDY25" s="70"/>
      <c r="CDZ25" s="70"/>
      <c r="CEA25" s="70"/>
      <c r="CEB25" s="70"/>
      <c r="CEC25" s="70"/>
      <c r="CED25" s="70"/>
      <c r="CEE25" s="70"/>
      <c r="CEF25" s="70"/>
      <c r="CEG25" s="70"/>
      <c r="CEH25" s="70"/>
      <c r="CEI25" s="70"/>
      <c r="CEJ25" s="70"/>
      <c r="CEK25" s="70"/>
      <c r="CEL25" s="70"/>
      <c r="CEM25" s="70"/>
      <c r="CEN25" s="70"/>
      <c r="CEO25" s="70"/>
      <c r="CEP25" s="70"/>
      <c r="CEQ25" s="70"/>
      <c r="CER25" s="70"/>
      <c r="CES25" s="70"/>
      <c r="CET25" s="70"/>
      <c r="CEU25" s="70"/>
      <c r="CEV25" s="70"/>
      <c r="CEW25" s="70"/>
      <c r="CEX25" s="70"/>
      <c r="CEY25" s="70"/>
      <c r="CEZ25" s="70"/>
      <c r="CFA25" s="70"/>
      <c r="CFB25" s="70"/>
      <c r="CFC25" s="70"/>
      <c r="CFD25" s="70"/>
      <c r="CFE25" s="70"/>
      <c r="CFF25" s="70"/>
      <c r="CFG25" s="70"/>
      <c r="CFH25" s="70"/>
      <c r="CFI25" s="70"/>
      <c r="CFJ25" s="70"/>
      <c r="CFK25" s="70"/>
      <c r="CFL25" s="70"/>
      <c r="CFM25" s="70"/>
      <c r="CFN25" s="70"/>
      <c r="CFO25" s="70"/>
      <c r="CFP25" s="70"/>
      <c r="CFQ25" s="70"/>
      <c r="CFR25" s="70"/>
      <c r="CFS25" s="70"/>
      <c r="CFT25" s="70"/>
      <c r="CFU25" s="70"/>
      <c r="CFV25" s="70"/>
      <c r="CFW25" s="70"/>
      <c r="CFX25" s="70"/>
      <c r="CFY25" s="70"/>
      <c r="CFZ25" s="70"/>
      <c r="CGA25" s="70"/>
      <c r="CGB25" s="70"/>
      <c r="CGC25" s="70"/>
      <c r="CGD25" s="70"/>
      <c r="CGE25" s="70"/>
      <c r="CGF25" s="70"/>
      <c r="CGG25" s="70"/>
      <c r="CGH25" s="70"/>
      <c r="CGI25" s="70"/>
      <c r="CGJ25" s="70"/>
      <c r="CGK25" s="70"/>
      <c r="CGL25" s="70"/>
      <c r="CGM25" s="70"/>
      <c r="CGN25" s="70"/>
      <c r="CGO25" s="70"/>
      <c r="CGP25" s="70"/>
      <c r="CGQ25" s="70"/>
      <c r="CGR25" s="70"/>
      <c r="CGS25" s="70"/>
      <c r="CGT25" s="70"/>
      <c r="CGU25" s="70"/>
      <c r="CGV25" s="70"/>
      <c r="CGW25" s="70"/>
      <c r="CGX25" s="70"/>
      <c r="CGY25" s="70"/>
      <c r="CGZ25" s="70"/>
      <c r="CHA25" s="70"/>
      <c r="CHB25" s="70"/>
      <c r="CHC25" s="70"/>
      <c r="CHD25" s="70"/>
      <c r="CHE25" s="70"/>
      <c r="CHF25" s="70"/>
      <c r="CHG25" s="70"/>
      <c r="CHH25" s="70"/>
      <c r="CHI25" s="70"/>
      <c r="CHJ25" s="70"/>
      <c r="CHK25" s="70"/>
      <c r="CHL25" s="70"/>
      <c r="CHM25" s="70"/>
      <c r="CHN25" s="70"/>
      <c r="CHO25" s="70"/>
      <c r="CHP25" s="70"/>
      <c r="CHQ25" s="70"/>
      <c r="CHR25" s="70"/>
      <c r="CHS25" s="70"/>
      <c r="CHT25" s="70"/>
      <c r="CHU25" s="70"/>
      <c r="CHV25" s="70"/>
      <c r="CHW25" s="70"/>
      <c r="CHX25" s="70"/>
      <c r="CHY25" s="70"/>
      <c r="CHZ25" s="70"/>
      <c r="CIA25" s="70"/>
      <c r="CIB25" s="70"/>
      <c r="CIC25" s="70"/>
      <c r="CID25" s="70"/>
      <c r="CIE25" s="70"/>
      <c r="CIF25" s="70"/>
      <c r="CIG25" s="70"/>
      <c r="CIH25" s="70"/>
      <c r="CII25" s="70"/>
      <c r="CIJ25" s="70"/>
      <c r="CIK25" s="70"/>
      <c r="CIL25" s="70"/>
      <c r="CIM25" s="70"/>
      <c r="CIN25" s="70"/>
      <c r="CIO25" s="70"/>
      <c r="CIP25" s="70"/>
      <c r="CIQ25" s="70"/>
      <c r="CIR25" s="70"/>
      <c r="CIS25" s="70"/>
      <c r="CIT25" s="70"/>
      <c r="CIU25" s="70"/>
      <c r="CIV25" s="70"/>
      <c r="CIW25" s="70"/>
      <c r="CIX25" s="70"/>
      <c r="CIY25" s="70"/>
      <c r="CIZ25" s="70"/>
      <c r="CJA25" s="70"/>
      <c r="CJB25" s="70"/>
      <c r="CJC25" s="70"/>
      <c r="CJD25" s="70"/>
      <c r="CJE25" s="70"/>
      <c r="CJF25" s="70"/>
      <c r="CJG25" s="70"/>
      <c r="CJH25" s="70"/>
      <c r="CJI25" s="70"/>
      <c r="CJJ25" s="70"/>
      <c r="CJK25" s="70"/>
      <c r="CJL25" s="70"/>
      <c r="CJM25" s="70"/>
      <c r="CJN25" s="70"/>
      <c r="CJO25" s="70"/>
      <c r="CJP25" s="70"/>
      <c r="CJQ25" s="70"/>
      <c r="CJR25" s="70"/>
      <c r="CJS25" s="70"/>
      <c r="CJT25" s="70"/>
      <c r="CJU25" s="70"/>
      <c r="CJV25" s="70"/>
      <c r="CJW25" s="70"/>
      <c r="CJX25" s="70"/>
      <c r="CJY25" s="70"/>
      <c r="CJZ25" s="70"/>
      <c r="CKA25" s="70"/>
      <c r="CKB25" s="70"/>
      <c r="CKC25" s="70"/>
      <c r="CKD25" s="70"/>
      <c r="CKE25" s="70"/>
      <c r="CKF25" s="70"/>
      <c r="CKG25" s="70"/>
      <c r="CKH25" s="70"/>
      <c r="CKI25" s="70"/>
      <c r="CKJ25" s="70"/>
      <c r="CKK25" s="70"/>
      <c r="CKL25" s="70"/>
      <c r="CKM25" s="70"/>
      <c r="CKN25" s="70"/>
      <c r="CKO25" s="70"/>
      <c r="CKP25" s="70"/>
      <c r="CKQ25" s="70"/>
      <c r="CKR25" s="70"/>
      <c r="CKS25" s="70"/>
      <c r="CKT25" s="70"/>
      <c r="CKU25" s="70"/>
      <c r="CKV25" s="70"/>
      <c r="CKW25" s="70"/>
      <c r="CKX25" s="70"/>
      <c r="CKY25" s="70"/>
      <c r="CKZ25" s="70"/>
      <c r="CLA25" s="70"/>
      <c r="CLB25" s="70"/>
      <c r="CLC25" s="70"/>
      <c r="CLD25" s="70"/>
      <c r="CLE25" s="70"/>
      <c r="CLF25" s="70"/>
      <c r="CLG25" s="70"/>
      <c r="CLH25" s="70"/>
      <c r="CLI25" s="70"/>
      <c r="CLJ25" s="70"/>
      <c r="CLK25" s="70"/>
      <c r="CLL25" s="70"/>
      <c r="CLM25" s="70"/>
      <c r="CLN25" s="70"/>
      <c r="CLO25" s="70"/>
      <c r="CLP25" s="70"/>
      <c r="CLQ25" s="70"/>
      <c r="CLR25" s="70"/>
      <c r="CLS25" s="70"/>
      <c r="CLT25" s="70"/>
      <c r="CLU25" s="70"/>
      <c r="CLV25" s="70"/>
      <c r="CLW25" s="70"/>
      <c r="CLX25" s="70"/>
      <c r="CLY25" s="70"/>
      <c r="CLZ25" s="70"/>
      <c r="CMA25" s="70"/>
      <c r="CMB25" s="70"/>
      <c r="CMC25" s="70"/>
      <c r="CMD25" s="70"/>
      <c r="CME25" s="70"/>
      <c r="CMF25" s="70"/>
      <c r="CMG25" s="70"/>
      <c r="CMH25" s="70"/>
      <c r="CMI25" s="70"/>
      <c r="CMJ25" s="70"/>
      <c r="CMK25" s="70"/>
      <c r="CML25" s="70"/>
      <c r="CMM25" s="70"/>
      <c r="CMN25" s="70"/>
      <c r="CMO25" s="70"/>
      <c r="CMP25" s="70"/>
      <c r="CMQ25" s="70"/>
      <c r="CMR25" s="70"/>
      <c r="CMS25" s="70"/>
      <c r="CMT25" s="70"/>
      <c r="CMU25" s="70"/>
      <c r="CMV25" s="70"/>
      <c r="CMW25" s="70"/>
      <c r="CMX25" s="70"/>
      <c r="CMY25" s="70"/>
      <c r="CMZ25" s="70"/>
      <c r="CNA25" s="70"/>
      <c r="CNB25" s="70"/>
      <c r="CNC25" s="70"/>
      <c r="CND25" s="70"/>
      <c r="CNE25" s="70"/>
      <c r="CNF25" s="70"/>
      <c r="CNG25" s="70"/>
      <c r="CNH25" s="70"/>
      <c r="CNI25" s="70"/>
      <c r="CNJ25" s="70"/>
      <c r="CNK25" s="70"/>
      <c r="CNL25" s="70"/>
      <c r="CNM25" s="70"/>
      <c r="CNN25" s="70"/>
      <c r="CNO25" s="70"/>
      <c r="CNP25" s="70"/>
      <c r="CNQ25" s="70"/>
      <c r="CNR25" s="70"/>
      <c r="CNS25" s="70"/>
      <c r="CNT25" s="70"/>
      <c r="CNU25" s="70"/>
      <c r="CNV25" s="70"/>
      <c r="CNW25" s="70"/>
      <c r="CNX25" s="70"/>
      <c r="CNY25" s="70"/>
      <c r="CNZ25" s="70"/>
      <c r="COA25" s="70"/>
      <c r="COB25" s="70"/>
      <c r="COC25" s="70"/>
      <c r="COD25" s="70"/>
      <c r="COE25" s="70"/>
      <c r="COF25" s="70"/>
      <c r="COG25" s="70"/>
      <c r="COH25" s="70"/>
      <c r="COI25" s="70"/>
      <c r="COJ25" s="70"/>
      <c r="COK25" s="70"/>
      <c r="COL25" s="70"/>
      <c r="COM25" s="70"/>
      <c r="CON25" s="70"/>
      <c r="COO25" s="70"/>
      <c r="COP25" s="70"/>
      <c r="COQ25" s="70"/>
      <c r="COR25" s="70"/>
      <c r="COS25" s="70"/>
      <c r="COT25" s="70"/>
      <c r="COU25" s="70"/>
      <c r="COV25" s="70"/>
      <c r="COW25" s="70"/>
      <c r="COX25" s="70"/>
      <c r="COY25" s="70"/>
      <c r="COZ25" s="70"/>
      <c r="CPA25" s="70"/>
      <c r="CPB25" s="70"/>
      <c r="CPC25" s="70"/>
      <c r="CPD25" s="70"/>
      <c r="CPE25" s="70"/>
      <c r="CPF25" s="70"/>
      <c r="CPG25" s="70"/>
      <c r="CPH25" s="70"/>
      <c r="CPI25" s="70"/>
      <c r="CPJ25" s="70"/>
      <c r="CPK25" s="70"/>
      <c r="CPL25" s="70"/>
      <c r="CPM25" s="70"/>
      <c r="CPN25" s="70"/>
      <c r="CPO25" s="70"/>
      <c r="CPP25" s="70"/>
      <c r="CPQ25" s="70"/>
      <c r="CPR25" s="70"/>
      <c r="CPS25" s="70"/>
      <c r="CPT25" s="70"/>
      <c r="CPU25" s="70"/>
      <c r="CPV25" s="70"/>
      <c r="CPW25" s="70"/>
      <c r="CPX25" s="70"/>
      <c r="CPY25" s="70"/>
      <c r="CPZ25" s="70"/>
      <c r="CQA25" s="70"/>
      <c r="CQB25" s="70"/>
      <c r="CQC25" s="70"/>
      <c r="CQD25" s="70"/>
      <c r="CQE25" s="70"/>
      <c r="CQF25" s="70"/>
      <c r="CQG25" s="70"/>
      <c r="CQH25" s="70"/>
      <c r="CQI25" s="70"/>
      <c r="CQJ25" s="70"/>
      <c r="CQK25" s="70"/>
      <c r="CQL25" s="70"/>
      <c r="CQM25" s="70"/>
      <c r="CQN25" s="70"/>
      <c r="CQO25" s="70"/>
      <c r="CQP25" s="70"/>
      <c r="CQQ25" s="70"/>
      <c r="CQR25" s="70"/>
      <c r="CQS25" s="70"/>
      <c r="CQT25" s="70"/>
      <c r="CQU25" s="70"/>
      <c r="CQV25" s="70"/>
      <c r="CQW25" s="70"/>
      <c r="CQX25" s="70"/>
      <c r="CQY25" s="70"/>
      <c r="CQZ25" s="70"/>
      <c r="CRA25" s="70"/>
      <c r="CRB25" s="70"/>
      <c r="CRC25" s="70"/>
      <c r="CRD25" s="70"/>
      <c r="CRE25" s="70"/>
      <c r="CRF25" s="70"/>
      <c r="CRG25" s="70"/>
      <c r="CRH25" s="70"/>
      <c r="CRI25" s="70"/>
      <c r="CRJ25" s="70"/>
      <c r="CRK25" s="70"/>
      <c r="CRL25" s="70"/>
      <c r="CRM25" s="70"/>
      <c r="CRN25" s="70"/>
      <c r="CRO25" s="70"/>
      <c r="CRP25" s="70"/>
      <c r="CRQ25" s="70"/>
      <c r="CRR25" s="70"/>
      <c r="CRS25" s="70"/>
      <c r="CRT25" s="70"/>
      <c r="CRU25" s="70"/>
      <c r="CRV25" s="70"/>
      <c r="CRW25" s="70"/>
      <c r="CRX25" s="70"/>
      <c r="CRY25" s="70"/>
      <c r="CRZ25" s="70"/>
      <c r="CSA25" s="70"/>
      <c r="CSB25" s="70"/>
      <c r="CSC25" s="70"/>
      <c r="CSD25" s="70"/>
      <c r="CSE25" s="70"/>
      <c r="CSF25" s="70"/>
      <c r="CSG25" s="70"/>
      <c r="CSH25" s="70"/>
      <c r="CSI25" s="70"/>
      <c r="CSJ25" s="70"/>
      <c r="CSK25" s="70"/>
      <c r="CSL25" s="70"/>
      <c r="CSM25" s="70"/>
      <c r="CSN25" s="70"/>
      <c r="CSO25" s="70"/>
      <c r="CSP25" s="70"/>
      <c r="CSQ25" s="70"/>
      <c r="CSR25" s="70"/>
      <c r="CSS25" s="70"/>
      <c r="CST25" s="70"/>
      <c r="CSU25" s="70"/>
      <c r="CSV25" s="70"/>
      <c r="CSW25" s="70"/>
      <c r="CSX25" s="70"/>
      <c r="CSY25" s="70"/>
      <c r="CSZ25" s="70"/>
      <c r="CTA25" s="70"/>
      <c r="CTB25" s="70"/>
      <c r="CTC25" s="70"/>
      <c r="CTD25" s="70"/>
      <c r="CTE25" s="70"/>
      <c r="CTF25" s="70"/>
      <c r="CTG25" s="70"/>
      <c r="CTH25" s="70"/>
      <c r="CTI25" s="70"/>
      <c r="CTJ25" s="70"/>
      <c r="CTK25" s="70"/>
      <c r="CTL25" s="70"/>
      <c r="CTM25" s="70"/>
      <c r="CTN25" s="70"/>
      <c r="CTO25" s="70"/>
      <c r="CTP25" s="70"/>
      <c r="CTQ25" s="70"/>
      <c r="CTR25" s="70"/>
      <c r="CTS25" s="70"/>
      <c r="CTT25" s="70"/>
      <c r="CTU25" s="70"/>
      <c r="CTV25" s="70"/>
      <c r="CTW25" s="70"/>
      <c r="CTX25" s="70"/>
      <c r="CTY25" s="70"/>
      <c r="CTZ25" s="70"/>
      <c r="CUA25" s="70"/>
      <c r="CUB25" s="70"/>
      <c r="CUC25" s="70"/>
      <c r="CUD25" s="70"/>
      <c r="CUE25" s="70"/>
      <c r="CUF25" s="70"/>
      <c r="CUG25" s="70"/>
      <c r="CUH25" s="70"/>
      <c r="CUI25" s="70"/>
      <c r="CUJ25" s="70"/>
      <c r="CUK25" s="70"/>
      <c r="CUL25" s="70"/>
      <c r="CUM25" s="70"/>
      <c r="CUN25" s="70"/>
      <c r="CUO25" s="70"/>
      <c r="CUP25" s="70"/>
      <c r="CUQ25" s="70"/>
      <c r="CUR25" s="70"/>
      <c r="CUS25" s="70"/>
      <c r="CUT25" s="70"/>
      <c r="CUU25" s="70"/>
      <c r="CUV25" s="70"/>
      <c r="CUW25" s="70"/>
      <c r="CUX25" s="70"/>
      <c r="CUY25" s="70"/>
      <c r="CUZ25" s="70"/>
      <c r="CVA25" s="70"/>
      <c r="CVB25" s="70"/>
      <c r="CVC25" s="70"/>
      <c r="CVD25" s="70"/>
      <c r="CVE25" s="70"/>
      <c r="CVF25" s="70"/>
      <c r="CVG25" s="70"/>
      <c r="CVH25" s="70"/>
      <c r="CVI25" s="70"/>
      <c r="CVJ25" s="70"/>
      <c r="CVK25" s="70"/>
      <c r="CVL25" s="70"/>
      <c r="CVM25" s="70"/>
      <c r="CVN25" s="70"/>
      <c r="CVO25" s="70"/>
      <c r="CVP25" s="70"/>
      <c r="CVQ25" s="70"/>
      <c r="CVR25" s="70"/>
      <c r="CVS25" s="70"/>
      <c r="CVT25" s="70"/>
      <c r="CVU25" s="70"/>
      <c r="CVV25" s="70"/>
      <c r="CVW25" s="70"/>
      <c r="CVX25" s="70"/>
      <c r="CVY25" s="70"/>
      <c r="CVZ25" s="70"/>
      <c r="CWA25" s="70"/>
      <c r="CWB25" s="70"/>
      <c r="CWC25" s="70"/>
      <c r="CWD25" s="70"/>
      <c r="CWE25" s="70"/>
      <c r="CWF25" s="70"/>
      <c r="CWG25" s="70"/>
      <c r="CWH25" s="70"/>
      <c r="CWI25" s="70"/>
      <c r="CWJ25" s="70"/>
      <c r="CWK25" s="70"/>
      <c r="CWL25" s="70"/>
      <c r="CWM25" s="70"/>
      <c r="CWN25" s="70"/>
      <c r="CWO25" s="70"/>
      <c r="CWP25" s="70"/>
      <c r="CWQ25" s="70"/>
      <c r="CWR25" s="70"/>
      <c r="CWS25" s="70"/>
      <c r="CWT25" s="70"/>
      <c r="CWU25" s="70"/>
      <c r="CWV25" s="70"/>
      <c r="CWW25" s="70"/>
      <c r="CWX25" s="70"/>
      <c r="CWY25" s="70"/>
      <c r="CWZ25" s="70"/>
      <c r="CXA25" s="70"/>
      <c r="CXB25" s="70"/>
      <c r="CXC25" s="70"/>
      <c r="CXD25" s="70"/>
      <c r="CXE25" s="70"/>
      <c r="CXF25" s="70"/>
      <c r="CXG25" s="70"/>
      <c r="CXH25" s="70"/>
      <c r="CXI25" s="70"/>
      <c r="CXJ25" s="70"/>
      <c r="CXK25" s="70"/>
      <c r="CXL25" s="70"/>
      <c r="CXM25" s="70"/>
      <c r="CXN25" s="70"/>
      <c r="CXO25" s="70"/>
      <c r="CXP25" s="70"/>
      <c r="CXQ25" s="70"/>
      <c r="CXR25" s="70"/>
      <c r="CXS25" s="70"/>
      <c r="CXT25" s="70"/>
      <c r="CXU25" s="70"/>
      <c r="CXV25" s="70"/>
      <c r="CXW25" s="70"/>
      <c r="CXX25" s="70"/>
      <c r="CXY25" s="70"/>
      <c r="CXZ25" s="70"/>
      <c r="CYA25" s="70"/>
      <c r="CYB25" s="70"/>
      <c r="CYC25" s="70"/>
      <c r="CYD25" s="70"/>
      <c r="CYE25" s="70"/>
      <c r="CYF25" s="70"/>
      <c r="CYG25" s="70"/>
      <c r="CYH25" s="70"/>
      <c r="CYI25" s="70"/>
      <c r="CYJ25" s="70"/>
      <c r="CYK25" s="70"/>
      <c r="CYL25" s="70"/>
      <c r="CYM25" s="70"/>
      <c r="CYN25" s="70"/>
      <c r="CYO25" s="70"/>
      <c r="CYP25" s="70"/>
      <c r="CYQ25" s="70"/>
      <c r="CYR25" s="70"/>
      <c r="CYS25" s="70"/>
      <c r="CYT25" s="70"/>
      <c r="CYU25" s="70"/>
      <c r="CYV25" s="70"/>
      <c r="CYW25" s="70"/>
      <c r="CYX25" s="70"/>
      <c r="CYY25" s="70"/>
      <c r="CYZ25" s="70"/>
      <c r="CZA25" s="70"/>
      <c r="CZB25" s="70"/>
      <c r="CZC25" s="70"/>
      <c r="CZD25" s="70"/>
      <c r="CZE25" s="70"/>
      <c r="CZF25" s="70"/>
      <c r="CZG25" s="70"/>
      <c r="CZH25" s="70"/>
      <c r="CZI25" s="70"/>
      <c r="CZJ25" s="70"/>
      <c r="CZK25" s="70"/>
      <c r="CZL25" s="70"/>
      <c r="CZM25" s="70"/>
      <c r="CZN25" s="70"/>
      <c r="CZO25" s="70"/>
      <c r="CZP25" s="70"/>
      <c r="CZQ25" s="70"/>
      <c r="CZR25" s="70"/>
      <c r="CZS25" s="70"/>
      <c r="CZT25" s="70"/>
      <c r="CZU25" s="70"/>
      <c r="CZV25" s="70"/>
      <c r="CZW25" s="70"/>
      <c r="CZX25" s="70"/>
      <c r="CZY25" s="70"/>
      <c r="CZZ25" s="70"/>
      <c r="DAA25" s="70"/>
      <c r="DAB25" s="70"/>
      <c r="DAC25" s="70"/>
      <c r="DAD25" s="70"/>
      <c r="DAE25" s="70"/>
      <c r="DAF25" s="70"/>
      <c r="DAG25" s="70"/>
      <c r="DAH25" s="70"/>
      <c r="DAI25" s="70"/>
      <c r="DAJ25" s="70"/>
      <c r="DAK25" s="70"/>
      <c r="DAL25" s="70"/>
      <c r="DAM25" s="70"/>
      <c r="DAN25" s="70"/>
      <c r="DAO25" s="70"/>
      <c r="DAP25" s="70"/>
      <c r="DAQ25" s="70"/>
      <c r="DAR25" s="70"/>
      <c r="DAS25" s="70"/>
      <c r="DAT25" s="70"/>
      <c r="DAU25" s="70"/>
      <c r="DAV25" s="70"/>
      <c r="DAW25" s="70"/>
      <c r="DAX25" s="70"/>
      <c r="DAY25" s="70"/>
      <c r="DAZ25" s="70"/>
      <c r="DBA25" s="70"/>
      <c r="DBB25" s="70"/>
      <c r="DBC25" s="70"/>
      <c r="DBD25" s="70"/>
      <c r="DBE25" s="70"/>
      <c r="DBF25" s="70"/>
      <c r="DBG25" s="70"/>
      <c r="DBH25" s="70"/>
      <c r="DBI25" s="70"/>
      <c r="DBJ25" s="70"/>
      <c r="DBK25" s="70"/>
      <c r="DBL25" s="70"/>
      <c r="DBM25" s="70"/>
      <c r="DBN25" s="70"/>
      <c r="DBO25" s="70"/>
      <c r="DBP25" s="70"/>
      <c r="DBQ25" s="70"/>
      <c r="DBR25" s="70"/>
      <c r="DBS25" s="70"/>
      <c r="DBT25" s="70"/>
      <c r="DBU25" s="70"/>
      <c r="DBV25" s="70"/>
      <c r="DBW25" s="70"/>
      <c r="DBX25" s="70"/>
      <c r="DBY25" s="70"/>
      <c r="DBZ25" s="70"/>
      <c r="DCA25" s="70"/>
      <c r="DCB25" s="70"/>
      <c r="DCC25" s="70"/>
      <c r="DCD25" s="70"/>
      <c r="DCE25" s="70"/>
      <c r="DCF25" s="70"/>
      <c r="DCG25" s="70"/>
      <c r="DCH25" s="70"/>
      <c r="DCI25" s="70"/>
      <c r="DCJ25" s="70"/>
      <c r="DCK25" s="70"/>
      <c r="DCL25" s="70"/>
      <c r="DCM25" s="70"/>
      <c r="DCN25" s="70"/>
      <c r="DCO25" s="70"/>
      <c r="DCP25" s="70"/>
      <c r="DCQ25" s="70"/>
      <c r="DCR25" s="70"/>
      <c r="DCS25" s="70"/>
      <c r="DCT25" s="70"/>
      <c r="DCU25" s="70"/>
      <c r="DCV25" s="70"/>
      <c r="DCW25" s="70"/>
      <c r="DCX25" s="70"/>
      <c r="DCY25" s="70"/>
      <c r="DCZ25" s="70"/>
      <c r="DDA25" s="70"/>
      <c r="DDB25" s="70"/>
      <c r="DDC25" s="70"/>
      <c r="DDD25" s="70"/>
      <c r="DDE25" s="70"/>
      <c r="DDF25" s="70"/>
      <c r="DDG25" s="70"/>
      <c r="DDH25" s="70"/>
      <c r="DDI25" s="70"/>
      <c r="DDJ25" s="70"/>
      <c r="DDK25" s="70"/>
      <c r="DDL25" s="70"/>
      <c r="DDM25" s="70"/>
      <c r="DDN25" s="70"/>
      <c r="DDO25" s="70"/>
      <c r="DDP25" s="70"/>
      <c r="DDQ25" s="70"/>
      <c r="DDR25" s="70"/>
      <c r="DDS25" s="70"/>
      <c r="DDT25" s="70"/>
      <c r="DDU25" s="70"/>
      <c r="DDV25" s="70"/>
      <c r="DDW25" s="70"/>
      <c r="DDX25" s="70"/>
      <c r="DDY25" s="70"/>
      <c r="DDZ25" s="70"/>
      <c r="DEA25" s="70"/>
      <c r="DEB25" s="70"/>
      <c r="DEC25" s="70"/>
      <c r="DED25" s="70"/>
      <c r="DEE25" s="70"/>
      <c r="DEF25" s="70"/>
      <c r="DEG25" s="70"/>
      <c r="DEH25" s="70"/>
      <c r="DEI25" s="70"/>
      <c r="DEJ25" s="70"/>
      <c r="DEK25" s="70"/>
      <c r="DEL25" s="70"/>
      <c r="DEM25" s="70"/>
      <c r="DEN25" s="70"/>
      <c r="DEO25" s="70"/>
      <c r="DEP25" s="70"/>
      <c r="DEQ25" s="70"/>
      <c r="DER25" s="70"/>
      <c r="DES25" s="70"/>
      <c r="DET25" s="70"/>
      <c r="DEU25" s="70"/>
      <c r="DEV25" s="70"/>
      <c r="DEW25" s="70"/>
      <c r="DEX25" s="70"/>
      <c r="DEY25" s="70"/>
      <c r="DEZ25" s="70"/>
      <c r="DFA25" s="70"/>
      <c r="DFB25" s="70"/>
      <c r="DFC25" s="70"/>
      <c r="DFD25" s="70"/>
      <c r="DFE25" s="70"/>
      <c r="DFF25" s="70"/>
      <c r="DFG25" s="70"/>
      <c r="DFH25" s="70"/>
      <c r="DFI25" s="70"/>
      <c r="DFJ25" s="70"/>
      <c r="DFK25" s="70"/>
      <c r="DFL25" s="70"/>
      <c r="DFM25" s="70"/>
      <c r="DFN25" s="70"/>
      <c r="DFO25" s="70"/>
      <c r="DFP25" s="70"/>
      <c r="DFQ25" s="70"/>
      <c r="DFR25" s="70"/>
      <c r="DFS25" s="70"/>
      <c r="DFT25" s="70"/>
      <c r="DFU25" s="70"/>
      <c r="DFV25" s="70"/>
      <c r="DFW25" s="70"/>
      <c r="DFX25" s="70"/>
      <c r="DFY25" s="70"/>
      <c r="DFZ25" s="70"/>
      <c r="DGA25" s="70"/>
      <c r="DGB25" s="70"/>
      <c r="DGC25" s="70"/>
      <c r="DGD25" s="70"/>
      <c r="DGE25" s="70"/>
      <c r="DGF25" s="70"/>
      <c r="DGG25" s="70"/>
      <c r="DGH25" s="70"/>
      <c r="DGI25" s="70"/>
      <c r="DGJ25" s="70"/>
      <c r="DGK25" s="70"/>
      <c r="DGL25" s="70"/>
      <c r="DGM25" s="70"/>
      <c r="DGN25" s="70"/>
      <c r="DGO25" s="70"/>
      <c r="DGP25" s="70"/>
      <c r="DGQ25" s="70"/>
      <c r="DGR25" s="70"/>
      <c r="DGS25" s="70"/>
      <c r="DGT25" s="70"/>
      <c r="DGU25" s="70"/>
      <c r="DGV25" s="70"/>
      <c r="DGW25" s="70"/>
      <c r="DGX25" s="70"/>
      <c r="DGY25" s="70"/>
      <c r="DGZ25" s="70"/>
      <c r="DHA25" s="70"/>
      <c r="DHB25" s="70"/>
      <c r="DHC25" s="70"/>
      <c r="DHD25" s="70"/>
      <c r="DHE25" s="70"/>
      <c r="DHF25" s="70"/>
      <c r="DHG25" s="70"/>
      <c r="DHH25" s="70"/>
      <c r="DHI25" s="70"/>
      <c r="DHJ25" s="70"/>
      <c r="DHK25" s="70"/>
      <c r="DHL25" s="70"/>
      <c r="DHM25" s="70"/>
      <c r="DHN25" s="70"/>
      <c r="DHO25" s="70"/>
      <c r="DHP25" s="70"/>
      <c r="DHQ25" s="70"/>
      <c r="DHR25" s="70"/>
      <c r="DHS25" s="70"/>
      <c r="DHT25" s="70"/>
      <c r="DHU25" s="70"/>
      <c r="DHV25" s="70"/>
      <c r="DHW25" s="70"/>
      <c r="DHX25" s="70"/>
      <c r="DHY25" s="70"/>
      <c r="DHZ25" s="70"/>
      <c r="DIA25" s="70"/>
      <c r="DIB25" s="70"/>
      <c r="DIC25" s="70"/>
      <c r="DID25" s="70"/>
      <c r="DIE25" s="70"/>
      <c r="DIF25" s="70"/>
      <c r="DIG25" s="70"/>
      <c r="DIH25" s="70"/>
      <c r="DII25" s="70"/>
      <c r="DIJ25" s="70"/>
      <c r="DIK25" s="70"/>
      <c r="DIL25" s="70"/>
      <c r="DIM25" s="70"/>
      <c r="DIN25" s="70"/>
      <c r="DIO25" s="70"/>
      <c r="DIP25" s="70"/>
      <c r="DIQ25" s="70"/>
      <c r="DIR25" s="70"/>
      <c r="DIS25" s="70"/>
      <c r="DIT25" s="70"/>
      <c r="DIU25" s="70"/>
      <c r="DIV25" s="70"/>
      <c r="DIW25" s="70"/>
      <c r="DIX25" s="70"/>
      <c r="DIY25" s="70"/>
      <c r="DIZ25" s="70"/>
      <c r="DJA25" s="70"/>
      <c r="DJB25" s="70"/>
      <c r="DJC25" s="70"/>
      <c r="DJD25" s="70"/>
      <c r="DJE25" s="70"/>
      <c r="DJF25" s="70"/>
      <c r="DJG25" s="70"/>
      <c r="DJH25" s="70"/>
      <c r="DJI25" s="70"/>
      <c r="DJJ25" s="70"/>
      <c r="DJK25" s="70"/>
      <c r="DJL25" s="70"/>
      <c r="DJM25" s="70"/>
      <c r="DJN25" s="70"/>
      <c r="DJO25" s="70"/>
      <c r="DJP25" s="70"/>
      <c r="DJQ25" s="70"/>
      <c r="DJR25" s="70"/>
      <c r="DJS25" s="70"/>
      <c r="DJT25" s="70"/>
      <c r="DJU25" s="70"/>
      <c r="DJV25" s="70"/>
      <c r="DJW25" s="70"/>
      <c r="DJX25" s="70"/>
      <c r="DJY25" s="70"/>
      <c r="DJZ25" s="70"/>
      <c r="DKA25" s="70"/>
      <c r="DKB25" s="70"/>
      <c r="DKC25" s="70"/>
      <c r="DKD25" s="70"/>
      <c r="DKE25" s="70"/>
      <c r="DKF25" s="70"/>
      <c r="DKG25" s="70"/>
      <c r="DKH25" s="70"/>
      <c r="DKI25" s="70"/>
      <c r="DKJ25" s="70"/>
      <c r="DKK25" s="70"/>
      <c r="DKL25" s="70"/>
      <c r="DKM25" s="70"/>
      <c r="DKN25" s="70"/>
      <c r="DKO25" s="70"/>
      <c r="DKP25" s="70"/>
      <c r="DKQ25" s="70"/>
      <c r="DKR25" s="70"/>
      <c r="DKS25" s="70"/>
      <c r="DKT25" s="70"/>
      <c r="DKU25" s="70"/>
      <c r="DKV25" s="70"/>
      <c r="DKW25" s="70"/>
      <c r="DKX25" s="70"/>
      <c r="DKY25" s="70"/>
      <c r="DKZ25" s="70"/>
      <c r="DLA25" s="70"/>
      <c r="DLB25" s="70"/>
      <c r="DLC25" s="70"/>
      <c r="DLD25" s="70"/>
      <c r="DLE25" s="70"/>
      <c r="DLF25" s="70"/>
      <c r="DLG25" s="70"/>
      <c r="DLH25" s="70"/>
      <c r="DLI25" s="70"/>
      <c r="DLJ25" s="70"/>
      <c r="DLK25" s="70"/>
      <c r="DLL25" s="70"/>
      <c r="DLM25" s="70"/>
      <c r="DLN25" s="70"/>
      <c r="DLO25" s="70"/>
      <c r="DLP25" s="70"/>
      <c r="DLQ25" s="70"/>
      <c r="DLR25" s="70"/>
      <c r="DLS25" s="70"/>
      <c r="DLT25" s="70"/>
      <c r="DLU25" s="70"/>
      <c r="DLV25" s="70"/>
      <c r="DLW25" s="70"/>
      <c r="DLX25" s="70"/>
      <c r="DLY25" s="70"/>
      <c r="DLZ25" s="70"/>
      <c r="DMA25" s="70"/>
      <c r="DMB25" s="70"/>
      <c r="DMC25" s="70"/>
      <c r="DMD25" s="70"/>
      <c r="DME25" s="70"/>
      <c r="DMF25" s="70"/>
      <c r="DMG25" s="70"/>
      <c r="DMH25" s="70"/>
      <c r="DMI25" s="70"/>
      <c r="DMJ25" s="70"/>
      <c r="DMK25" s="70"/>
      <c r="DML25" s="70"/>
      <c r="DMM25" s="70"/>
      <c r="DMN25" s="70"/>
      <c r="DMO25" s="70"/>
      <c r="DMP25" s="70"/>
      <c r="DMQ25" s="70"/>
      <c r="DMR25" s="70"/>
      <c r="DMS25" s="70"/>
      <c r="DMT25" s="70"/>
      <c r="DMU25" s="70"/>
      <c r="DMV25" s="70"/>
      <c r="DMW25" s="70"/>
      <c r="DMX25" s="70"/>
      <c r="DMY25" s="70"/>
      <c r="DMZ25" s="70"/>
      <c r="DNA25" s="70"/>
      <c r="DNB25" s="70"/>
      <c r="DNC25" s="70"/>
      <c r="DND25" s="70"/>
      <c r="DNE25" s="70"/>
      <c r="DNF25" s="70"/>
      <c r="DNG25" s="70"/>
      <c r="DNH25" s="70"/>
      <c r="DNI25" s="70"/>
      <c r="DNJ25" s="70"/>
      <c r="DNK25" s="70"/>
      <c r="DNL25" s="70"/>
      <c r="DNM25" s="70"/>
      <c r="DNN25" s="70"/>
      <c r="DNO25" s="70"/>
      <c r="DNP25" s="70"/>
      <c r="DNQ25" s="70"/>
      <c r="DNR25" s="70"/>
      <c r="DNS25" s="70"/>
      <c r="DNT25" s="70"/>
      <c r="DNU25" s="70"/>
      <c r="DNV25" s="70"/>
      <c r="DNW25" s="70"/>
      <c r="DNX25" s="70"/>
      <c r="DNY25" s="70"/>
      <c r="DNZ25" s="70"/>
      <c r="DOA25" s="70"/>
      <c r="DOB25" s="70"/>
      <c r="DOC25" s="70"/>
      <c r="DOD25" s="70"/>
      <c r="DOE25" s="70"/>
      <c r="DOF25" s="70"/>
      <c r="DOG25" s="70"/>
      <c r="DOH25" s="70"/>
      <c r="DOI25" s="70"/>
      <c r="DOJ25" s="70"/>
      <c r="DOK25" s="70"/>
      <c r="DOL25" s="70"/>
      <c r="DOM25" s="70"/>
      <c r="DON25" s="70"/>
      <c r="DOO25" s="70"/>
      <c r="DOP25" s="70"/>
      <c r="DOQ25" s="70"/>
      <c r="DOR25" s="70"/>
      <c r="DOS25" s="70"/>
      <c r="DOT25" s="70"/>
      <c r="DOU25" s="70"/>
      <c r="DOV25" s="70"/>
      <c r="DOW25" s="70"/>
      <c r="DOX25" s="70"/>
      <c r="DOY25" s="70"/>
      <c r="DOZ25" s="70"/>
      <c r="DPA25" s="70"/>
      <c r="DPB25" s="70"/>
      <c r="DPC25" s="70"/>
      <c r="DPD25" s="70"/>
      <c r="DPE25" s="70"/>
      <c r="DPF25" s="70"/>
      <c r="DPG25" s="70"/>
      <c r="DPH25" s="70"/>
      <c r="DPI25" s="70"/>
      <c r="DPJ25" s="70"/>
      <c r="DPK25" s="70"/>
      <c r="DPL25" s="70"/>
      <c r="DPM25" s="70"/>
      <c r="DPN25" s="70"/>
      <c r="DPO25" s="70"/>
      <c r="DPP25" s="70"/>
      <c r="DPQ25" s="70"/>
      <c r="DPR25" s="70"/>
      <c r="DPS25" s="70"/>
      <c r="DPT25" s="70"/>
      <c r="DPU25" s="70"/>
      <c r="DPV25" s="70"/>
      <c r="DPW25" s="70"/>
      <c r="DPX25" s="70"/>
      <c r="DPY25" s="70"/>
      <c r="DPZ25" s="70"/>
      <c r="DQA25" s="70"/>
      <c r="DQB25" s="70"/>
      <c r="DQC25" s="70"/>
      <c r="DQD25" s="70"/>
      <c r="DQE25" s="70"/>
      <c r="DQF25" s="70"/>
      <c r="DQG25" s="70"/>
      <c r="DQH25" s="70"/>
      <c r="DQI25" s="70"/>
      <c r="DQJ25" s="70"/>
      <c r="DQK25" s="70"/>
      <c r="DQL25" s="70"/>
      <c r="DQM25" s="70"/>
      <c r="DQN25" s="70"/>
      <c r="DQO25" s="70"/>
      <c r="DQP25" s="70"/>
      <c r="DQQ25" s="70"/>
      <c r="DQR25" s="70"/>
      <c r="DQS25" s="70"/>
      <c r="DQT25" s="70"/>
      <c r="DQU25" s="70"/>
      <c r="DQV25" s="70"/>
      <c r="DQW25" s="70"/>
      <c r="DQX25" s="70"/>
      <c r="DQY25" s="70"/>
      <c r="DQZ25" s="70"/>
      <c r="DRA25" s="70"/>
      <c r="DRB25" s="70"/>
      <c r="DRC25" s="70"/>
      <c r="DRD25" s="70"/>
      <c r="DRE25" s="70"/>
      <c r="DRF25" s="70"/>
      <c r="DRG25" s="70"/>
      <c r="DRH25" s="70"/>
      <c r="DRI25" s="70"/>
      <c r="DRJ25" s="70"/>
      <c r="DRK25" s="70"/>
      <c r="DRL25" s="70"/>
      <c r="DRM25" s="70"/>
      <c r="DRN25" s="70"/>
      <c r="DRO25" s="70"/>
      <c r="DRP25" s="70"/>
      <c r="DRQ25" s="70"/>
      <c r="DRR25" s="70"/>
      <c r="DRS25" s="70"/>
      <c r="DRT25" s="70"/>
      <c r="DRU25" s="70"/>
      <c r="DRV25" s="70"/>
      <c r="DRW25" s="70"/>
      <c r="DRX25" s="70"/>
      <c r="DRY25" s="70"/>
      <c r="DRZ25" s="70"/>
      <c r="DSA25" s="70"/>
      <c r="DSB25" s="70"/>
      <c r="DSC25" s="70"/>
      <c r="DSD25" s="70"/>
      <c r="DSE25" s="70"/>
      <c r="DSF25" s="70"/>
      <c r="DSG25" s="70"/>
      <c r="DSH25" s="70"/>
      <c r="DSI25" s="70"/>
      <c r="DSJ25" s="70"/>
      <c r="DSK25" s="70"/>
      <c r="DSL25" s="70"/>
      <c r="DSM25" s="70"/>
      <c r="DSN25" s="70"/>
      <c r="DSO25" s="70"/>
      <c r="DSP25" s="70"/>
      <c r="DSQ25" s="70"/>
      <c r="DSR25" s="70"/>
      <c r="DSS25" s="70"/>
      <c r="DST25" s="70"/>
      <c r="DSU25" s="70"/>
      <c r="DSV25" s="70"/>
      <c r="DSW25" s="70"/>
      <c r="DSX25" s="70"/>
      <c r="DSY25" s="70"/>
      <c r="DSZ25" s="70"/>
      <c r="DTA25" s="70"/>
      <c r="DTB25" s="70"/>
      <c r="DTC25" s="70"/>
      <c r="DTD25" s="70"/>
      <c r="DTE25" s="70"/>
      <c r="DTF25" s="70"/>
      <c r="DTG25" s="70"/>
      <c r="DTH25" s="70"/>
      <c r="DTI25" s="70"/>
      <c r="DTJ25" s="70"/>
      <c r="DTK25" s="70"/>
      <c r="DTL25" s="70"/>
      <c r="DTM25" s="70"/>
      <c r="DTN25" s="70"/>
      <c r="DTO25" s="70"/>
      <c r="DTP25" s="70"/>
      <c r="DTQ25" s="70"/>
      <c r="DTR25" s="70"/>
      <c r="DTS25" s="70"/>
      <c r="DTT25" s="70"/>
      <c r="DTU25" s="70"/>
      <c r="DTV25" s="70"/>
      <c r="DTW25" s="70"/>
      <c r="DTX25" s="70"/>
      <c r="DTY25" s="70"/>
      <c r="DTZ25" s="70"/>
      <c r="DUA25" s="70"/>
      <c r="DUB25" s="70"/>
      <c r="DUC25" s="70"/>
      <c r="DUD25" s="70"/>
      <c r="DUE25" s="70"/>
      <c r="DUF25" s="70"/>
      <c r="DUG25" s="70"/>
      <c r="DUH25" s="70"/>
      <c r="DUI25" s="70"/>
      <c r="DUJ25" s="70"/>
      <c r="DUK25" s="70"/>
      <c r="DUL25" s="70"/>
      <c r="DUM25" s="70"/>
      <c r="DUN25" s="70"/>
      <c r="DUO25" s="70"/>
      <c r="DUP25" s="70"/>
      <c r="DUQ25" s="70"/>
      <c r="DUR25" s="70"/>
      <c r="DUS25" s="70"/>
      <c r="DUT25" s="70"/>
      <c r="DUU25" s="70"/>
      <c r="DUV25" s="70"/>
      <c r="DUW25" s="70"/>
      <c r="DUX25" s="70"/>
      <c r="DUY25" s="70"/>
      <c r="DUZ25" s="70"/>
      <c r="DVA25" s="70"/>
      <c r="DVB25" s="70"/>
      <c r="DVC25" s="70"/>
      <c r="DVD25" s="70"/>
      <c r="DVE25" s="70"/>
      <c r="DVF25" s="70"/>
      <c r="DVG25" s="70"/>
      <c r="DVH25" s="70"/>
      <c r="DVI25" s="70"/>
      <c r="DVJ25" s="70"/>
      <c r="DVK25" s="70"/>
      <c r="DVL25" s="70"/>
      <c r="DVM25" s="70"/>
      <c r="DVN25" s="70"/>
      <c r="DVO25" s="70"/>
      <c r="DVP25" s="70"/>
      <c r="DVQ25" s="70"/>
      <c r="DVR25" s="70"/>
      <c r="DVS25" s="70"/>
      <c r="DVT25" s="70"/>
      <c r="DVU25" s="70"/>
      <c r="DVV25" s="70"/>
      <c r="DVW25" s="70"/>
      <c r="DVX25" s="70"/>
      <c r="DVY25" s="70"/>
      <c r="DVZ25" s="70"/>
      <c r="DWA25" s="70"/>
      <c r="DWB25" s="70"/>
      <c r="DWC25" s="70"/>
      <c r="DWD25" s="70"/>
      <c r="DWE25" s="70"/>
      <c r="DWF25" s="70"/>
      <c r="DWG25" s="70"/>
      <c r="DWH25" s="70"/>
      <c r="DWI25" s="70"/>
      <c r="DWJ25" s="70"/>
      <c r="DWK25" s="70"/>
      <c r="DWL25" s="70"/>
      <c r="DWM25" s="70"/>
      <c r="DWN25" s="70"/>
      <c r="DWO25" s="70"/>
      <c r="DWP25" s="70"/>
      <c r="DWQ25" s="70"/>
      <c r="DWR25" s="70"/>
      <c r="DWS25" s="70"/>
      <c r="DWT25" s="70"/>
      <c r="DWU25" s="70"/>
      <c r="DWV25" s="70"/>
      <c r="DWW25" s="70"/>
      <c r="DWX25" s="70"/>
      <c r="DWY25" s="70"/>
      <c r="DWZ25" s="70"/>
      <c r="DXA25" s="70"/>
      <c r="DXB25" s="70"/>
      <c r="DXC25" s="70"/>
      <c r="DXD25" s="70"/>
      <c r="DXE25" s="70"/>
      <c r="DXF25" s="70"/>
      <c r="DXG25" s="70"/>
      <c r="DXH25" s="70"/>
      <c r="DXI25" s="70"/>
      <c r="DXJ25" s="70"/>
      <c r="DXK25" s="70"/>
      <c r="DXL25" s="70"/>
      <c r="DXM25" s="70"/>
      <c r="DXN25" s="70"/>
      <c r="DXO25" s="70"/>
      <c r="DXP25" s="70"/>
      <c r="DXQ25" s="70"/>
      <c r="DXR25" s="70"/>
      <c r="DXS25" s="70"/>
      <c r="DXT25" s="70"/>
      <c r="DXU25" s="70"/>
      <c r="DXV25" s="70"/>
      <c r="DXW25" s="70"/>
      <c r="DXX25" s="70"/>
      <c r="DXY25" s="70"/>
      <c r="DXZ25" s="70"/>
      <c r="DYA25" s="70"/>
      <c r="DYB25" s="70"/>
      <c r="DYC25" s="70"/>
      <c r="DYD25" s="70"/>
      <c r="DYE25" s="70"/>
      <c r="DYF25" s="70"/>
      <c r="DYG25" s="70"/>
      <c r="DYH25" s="70"/>
      <c r="DYI25" s="70"/>
      <c r="DYJ25" s="70"/>
      <c r="DYK25" s="70"/>
      <c r="DYL25" s="70"/>
      <c r="DYM25" s="70"/>
      <c r="DYN25" s="70"/>
      <c r="DYO25" s="70"/>
      <c r="DYP25" s="70"/>
      <c r="DYQ25" s="70"/>
      <c r="DYR25" s="70"/>
      <c r="DYS25" s="70"/>
      <c r="DYT25" s="70"/>
      <c r="DYU25" s="70"/>
      <c r="DYV25" s="70"/>
      <c r="DYW25" s="70"/>
      <c r="DYX25" s="70"/>
      <c r="DYY25" s="70"/>
      <c r="DYZ25" s="70"/>
      <c r="DZA25" s="70"/>
      <c r="DZB25" s="70"/>
      <c r="DZC25" s="70"/>
      <c r="DZD25" s="70"/>
      <c r="DZE25" s="70"/>
      <c r="DZF25" s="70"/>
      <c r="DZG25" s="70"/>
      <c r="DZH25" s="70"/>
      <c r="DZI25" s="70"/>
      <c r="DZJ25" s="70"/>
      <c r="DZK25" s="70"/>
      <c r="DZL25" s="70"/>
      <c r="DZM25" s="70"/>
      <c r="DZN25" s="70"/>
      <c r="DZO25" s="70"/>
      <c r="DZP25" s="70"/>
      <c r="DZQ25" s="70"/>
      <c r="DZR25" s="70"/>
      <c r="DZS25" s="70"/>
      <c r="DZT25" s="70"/>
      <c r="DZU25" s="70"/>
      <c r="DZV25" s="70"/>
      <c r="DZW25" s="70"/>
      <c r="DZX25" s="70"/>
      <c r="DZY25" s="70"/>
      <c r="DZZ25" s="70"/>
      <c r="EAA25" s="70"/>
      <c r="EAB25" s="70"/>
      <c r="EAC25" s="70"/>
      <c r="EAD25" s="70"/>
      <c r="EAE25" s="70"/>
      <c r="EAF25" s="70"/>
      <c r="EAG25" s="70"/>
      <c r="EAH25" s="70"/>
      <c r="EAI25" s="70"/>
      <c r="EAJ25" s="70"/>
      <c r="EAK25" s="70"/>
      <c r="EAL25" s="70"/>
      <c r="EAM25" s="70"/>
      <c r="EAN25" s="70"/>
      <c r="EAO25" s="70"/>
      <c r="EAP25" s="70"/>
      <c r="EAQ25" s="70"/>
      <c r="EAR25" s="70"/>
      <c r="EAS25" s="70"/>
      <c r="EAT25" s="70"/>
      <c r="EAU25" s="70"/>
      <c r="EAV25" s="70"/>
      <c r="EAW25" s="70"/>
      <c r="EAX25" s="70"/>
      <c r="EAY25" s="70"/>
      <c r="EAZ25" s="70"/>
      <c r="EBA25" s="70"/>
      <c r="EBB25" s="70"/>
      <c r="EBC25" s="70"/>
      <c r="EBD25" s="70"/>
      <c r="EBE25" s="70"/>
      <c r="EBF25" s="70"/>
      <c r="EBG25" s="70"/>
      <c r="EBH25" s="70"/>
      <c r="EBI25" s="70"/>
      <c r="EBJ25" s="70"/>
      <c r="EBK25" s="70"/>
      <c r="EBL25" s="70"/>
      <c r="EBM25" s="70"/>
      <c r="EBN25" s="70"/>
      <c r="EBO25" s="70"/>
      <c r="EBP25" s="70"/>
      <c r="EBQ25" s="70"/>
      <c r="EBR25" s="70"/>
      <c r="EBS25" s="70"/>
      <c r="EBT25" s="70"/>
      <c r="EBU25" s="70"/>
      <c r="EBV25" s="70"/>
      <c r="EBW25" s="70"/>
      <c r="EBX25" s="70"/>
      <c r="EBY25" s="70"/>
      <c r="EBZ25" s="70"/>
      <c r="ECA25" s="70"/>
      <c r="ECB25" s="70"/>
      <c r="ECC25" s="70"/>
      <c r="ECD25" s="70"/>
      <c r="ECE25" s="70"/>
      <c r="ECF25" s="70"/>
      <c r="ECG25" s="70"/>
      <c r="ECH25" s="70"/>
      <c r="ECI25" s="70"/>
      <c r="ECJ25" s="70"/>
      <c r="ECK25" s="70"/>
      <c r="ECL25" s="70"/>
      <c r="ECM25" s="70"/>
      <c r="ECN25" s="70"/>
      <c r="ECO25" s="70"/>
      <c r="ECP25" s="70"/>
      <c r="ECQ25" s="70"/>
      <c r="ECR25" s="70"/>
      <c r="ECS25" s="70"/>
      <c r="ECT25" s="70"/>
      <c r="ECU25" s="70"/>
      <c r="ECV25" s="70"/>
      <c r="ECW25" s="70"/>
      <c r="ECX25" s="70"/>
      <c r="ECY25" s="70"/>
      <c r="ECZ25" s="70"/>
      <c r="EDA25" s="70"/>
      <c r="EDB25" s="70"/>
      <c r="EDC25" s="70"/>
      <c r="EDD25" s="70"/>
      <c r="EDE25" s="70"/>
      <c r="EDF25" s="70"/>
      <c r="EDG25" s="70"/>
      <c r="EDH25" s="70"/>
      <c r="EDI25" s="70"/>
      <c r="EDJ25" s="70"/>
      <c r="EDK25" s="70"/>
      <c r="EDL25" s="70"/>
      <c r="EDM25" s="70"/>
      <c r="EDN25" s="70"/>
      <c r="EDO25" s="70"/>
      <c r="EDP25" s="70"/>
      <c r="EDQ25" s="70"/>
      <c r="EDR25" s="70"/>
      <c r="EDS25" s="70"/>
      <c r="EDT25" s="70"/>
      <c r="EDU25" s="70"/>
      <c r="EDV25" s="70"/>
      <c r="EDW25" s="70"/>
      <c r="EDX25" s="70"/>
      <c r="EDY25" s="70"/>
      <c r="EDZ25" s="70"/>
      <c r="EEA25" s="70"/>
      <c r="EEB25" s="70"/>
      <c r="EEC25" s="70"/>
      <c r="EED25" s="70"/>
      <c r="EEE25" s="70"/>
      <c r="EEF25" s="70"/>
      <c r="EEG25" s="70"/>
      <c r="EEH25" s="70"/>
      <c r="EEI25" s="70"/>
      <c r="EEJ25" s="70"/>
      <c r="EEK25" s="70"/>
      <c r="EEL25" s="70"/>
      <c r="EEM25" s="70"/>
      <c r="EEN25" s="70"/>
      <c r="EEO25" s="70"/>
      <c r="EEP25" s="70"/>
      <c r="EEQ25" s="70"/>
      <c r="EER25" s="70"/>
      <c r="EES25" s="70"/>
      <c r="EET25" s="70"/>
      <c r="EEU25" s="70"/>
      <c r="EEV25" s="70"/>
      <c r="EEW25" s="70"/>
      <c r="EEX25" s="70"/>
      <c r="EEY25" s="70"/>
      <c r="EEZ25" s="70"/>
      <c r="EFA25" s="70"/>
      <c r="EFB25" s="70"/>
      <c r="EFC25" s="70"/>
      <c r="EFD25" s="70"/>
      <c r="EFE25" s="70"/>
      <c r="EFF25" s="70"/>
      <c r="EFG25" s="70"/>
      <c r="EFH25" s="70"/>
      <c r="EFI25" s="70"/>
      <c r="EFJ25" s="70"/>
      <c r="EFK25" s="70"/>
      <c r="EFL25" s="70"/>
      <c r="EFM25" s="70"/>
      <c r="EFN25" s="70"/>
      <c r="EFO25" s="70"/>
      <c r="EFP25" s="70"/>
      <c r="EFQ25" s="70"/>
      <c r="EFR25" s="70"/>
      <c r="EFS25" s="70"/>
      <c r="EFT25" s="70"/>
      <c r="EFU25" s="70"/>
      <c r="EFV25" s="70"/>
      <c r="EFW25" s="70"/>
      <c r="EFX25" s="70"/>
      <c r="EFY25" s="70"/>
      <c r="EFZ25" s="70"/>
      <c r="EGA25" s="70"/>
      <c r="EGB25" s="70"/>
      <c r="EGC25" s="70"/>
      <c r="EGD25" s="70"/>
      <c r="EGE25" s="70"/>
      <c r="EGF25" s="70"/>
      <c r="EGG25" s="70"/>
      <c r="EGH25" s="70"/>
      <c r="EGI25" s="70"/>
      <c r="EGJ25" s="70"/>
      <c r="EGK25" s="70"/>
      <c r="EGL25" s="70"/>
      <c r="EGM25" s="70"/>
      <c r="EGN25" s="70"/>
      <c r="EGO25" s="70"/>
      <c r="EGP25" s="70"/>
      <c r="EGQ25" s="70"/>
      <c r="EGR25" s="70"/>
      <c r="EGS25" s="70"/>
      <c r="EGT25" s="70"/>
      <c r="EGU25" s="70"/>
      <c r="EGV25" s="70"/>
      <c r="EGW25" s="70"/>
      <c r="EGX25" s="70"/>
      <c r="EGY25" s="70"/>
      <c r="EGZ25" s="70"/>
      <c r="EHA25" s="70"/>
      <c r="EHB25" s="70"/>
      <c r="EHC25" s="70"/>
      <c r="EHD25" s="70"/>
      <c r="EHE25" s="70"/>
      <c r="EHF25" s="70"/>
      <c r="EHG25" s="70"/>
      <c r="EHH25" s="70"/>
      <c r="EHI25" s="70"/>
      <c r="EHJ25" s="70"/>
      <c r="EHK25" s="70"/>
      <c r="EHL25" s="70"/>
      <c r="EHM25" s="70"/>
      <c r="EHN25" s="70"/>
      <c r="EHO25" s="70"/>
      <c r="EHP25" s="70"/>
      <c r="EHQ25" s="70"/>
      <c r="EHR25" s="70"/>
      <c r="EHS25" s="70"/>
      <c r="EHT25" s="70"/>
      <c r="EHU25" s="70"/>
      <c r="EHV25" s="70"/>
      <c r="EHW25" s="70"/>
      <c r="EHX25" s="70"/>
      <c r="EHY25" s="70"/>
      <c r="EHZ25" s="70"/>
      <c r="EIA25" s="70"/>
      <c r="EIB25" s="70"/>
      <c r="EIC25" s="70"/>
      <c r="EID25" s="70"/>
      <c r="EIE25" s="70"/>
      <c r="EIF25" s="70"/>
      <c r="EIG25" s="70"/>
      <c r="EIH25" s="70"/>
      <c r="EII25" s="70"/>
      <c r="EIJ25" s="70"/>
      <c r="EIK25" s="70"/>
      <c r="EIL25" s="70"/>
      <c r="EIM25" s="70"/>
      <c r="EIN25" s="70"/>
      <c r="EIO25" s="70"/>
      <c r="EIP25" s="70"/>
      <c r="EIQ25" s="70"/>
      <c r="EIR25" s="70"/>
      <c r="EIS25" s="70"/>
      <c r="EIT25" s="70"/>
      <c r="EIU25" s="70"/>
      <c r="EIV25" s="70"/>
      <c r="EIW25" s="70"/>
      <c r="EIX25" s="70"/>
      <c r="EIY25" s="70"/>
      <c r="EIZ25" s="70"/>
      <c r="EJA25" s="70"/>
      <c r="EJB25" s="70"/>
      <c r="EJC25" s="70"/>
      <c r="EJD25" s="70"/>
      <c r="EJE25" s="70"/>
      <c r="EJF25" s="70"/>
      <c r="EJG25" s="70"/>
      <c r="EJH25" s="70"/>
      <c r="EJI25" s="70"/>
      <c r="EJJ25" s="70"/>
      <c r="EJK25" s="70"/>
      <c r="EJL25" s="70"/>
      <c r="EJM25" s="70"/>
      <c r="EJN25" s="70"/>
      <c r="EJO25" s="70"/>
      <c r="EJP25" s="70"/>
      <c r="EJQ25" s="70"/>
      <c r="EJR25" s="70"/>
      <c r="EJS25" s="70"/>
      <c r="EJT25" s="70"/>
      <c r="EJU25" s="70"/>
      <c r="EJV25" s="70"/>
      <c r="EJW25" s="70"/>
      <c r="EJX25" s="70"/>
      <c r="EJY25" s="70"/>
      <c r="EJZ25" s="70"/>
      <c r="EKA25" s="70"/>
      <c r="EKB25" s="70"/>
      <c r="EKC25" s="70"/>
      <c r="EKD25" s="70"/>
      <c r="EKE25" s="70"/>
      <c r="EKF25" s="70"/>
      <c r="EKG25" s="70"/>
      <c r="EKH25" s="70"/>
      <c r="EKI25" s="70"/>
      <c r="EKJ25" s="70"/>
      <c r="EKK25" s="70"/>
      <c r="EKL25" s="70"/>
      <c r="EKM25" s="70"/>
      <c r="EKN25" s="70"/>
      <c r="EKO25" s="70"/>
      <c r="EKP25" s="70"/>
      <c r="EKQ25" s="70"/>
      <c r="EKR25" s="70"/>
      <c r="EKS25" s="70"/>
      <c r="EKT25" s="70"/>
      <c r="EKU25" s="70"/>
      <c r="EKV25" s="70"/>
      <c r="EKW25" s="70"/>
      <c r="EKX25" s="70"/>
      <c r="EKY25" s="70"/>
      <c r="EKZ25" s="70"/>
      <c r="ELA25" s="70"/>
      <c r="ELB25" s="70"/>
      <c r="ELC25" s="70"/>
      <c r="ELD25" s="70"/>
      <c r="ELE25" s="70"/>
      <c r="ELF25" s="70"/>
      <c r="ELG25" s="70"/>
      <c r="ELH25" s="70"/>
      <c r="ELI25" s="70"/>
      <c r="ELJ25" s="70"/>
      <c r="ELK25" s="70"/>
      <c r="ELL25" s="70"/>
      <c r="ELM25" s="70"/>
      <c r="ELN25" s="70"/>
      <c r="ELO25" s="70"/>
      <c r="ELP25" s="70"/>
      <c r="ELQ25" s="70"/>
      <c r="ELR25" s="70"/>
      <c r="ELS25" s="70"/>
      <c r="ELT25" s="70"/>
      <c r="ELU25" s="70"/>
      <c r="ELV25" s="70"/>
      <c r="ELW25" s="70"/>
      <c r="ELX25" s="70"/>
      <c r="ELY25" s="70"/>
      <c r="ELZ25" s="70"/>
      <c r="EMA25" s="70"/>
      <c r="EMB25" s="70"/>
      <c r="EMC25" s="70"/>
      <c r="EMD25" s="70"/>
      <c r="EME25" s="70"/>
      <c r="EMF25" s="70"/>
      <c r="EMG25" s="70"/>
      <c r="EMH25" s="70"/>
      <c r="EMI25" s="70"/>
      <c r="EMJ25" s="70"/>
      <c r="EMK25" s="70"/>
      <c r="EML25" s="70"/>
      <c r="EMM25" s="70"/>
      <c r="EMN25" s="70"/>
      <c r="EMO25" s="70"/>
      <c r="EMP25" s="70"/>
      <c r="EMQ25" s="70"/>
      <c r="EMR25" s="70"/>
      <c r="EMS25" s="70"/>
      <c r="EMT25" s="70"/>
      <c r="EMU25" s="70"/>
      <c r="EMV25" s="70"/>
      <c r="EMW25" s="70"/>
      <c r="EMX25" s="70"/>
      <c r="EMY25" s="70"/>
      <c r="EMZ25" s="70"/>
      <c r="ENA25" s="70"/>
      <c r="ENB25" s="70"/>
      <c r="ENC25" s="70"/>
      <c r="END25" s="70"/>
      <c r="ENE25" s="70"/>
      <c r="ENF25" s="70"/>
      <c r="ENG25" s="70"/>
      <c r="ENH25" s="70"/>
      <c r="ENI25" s="70"/>
      <c r="ENJ25" s="70"/>
      <c r="ENK25" s="70"/>
      <c r="ENL25" s="70"/>
      <c r="ENM25" s="70"/>
      <c r="ENN25" s="70"/>
      <c r="ENO25" s="70"/>
      <c r="ENP25" s="70"/>
      <c r="ENQ25" s="70"/>
      <c r="ENR25" s="70"/>
      <c r="ENS25" s="70"/>
      <c r="ENT25" s="70"/>
      <c r="ENU25" s="70"/>
      <c r="ENV25" s="70"/>
      <c r="ENW25" s="70"/>
      <c r="ENX25" s="70"/>
      <c r="ENY25" s="70"/>
      <c r="ENZ25" s="70"/>
      <c r="EOA25" s="70"/>
      <c r="EOB25" s="70"/>
      <c r="EOC25" s="70"/>
      <c r="EOD25" s="70"/>
      <c r="EOE25" s="70"/>
      <c r="EOF25" s="70"/>
      <c r="EOG25" s="70"/>
      <c r="EOH25" s="70"/>
      <c r="EOI25" s="70"/>
      <c r="EOJ25" s="70"/>
      <c r="EOK25" s="70"/>
      <c r="EOL25" s="70"/>
      <c r="EOM25" s="70"/>
      <c r="EON25" s="70"/>
      <c r="EOO25" s="70"/>
      <c r="EOP25" s="70"/>
      <c r="EOQ25" s="70"/>
      <c r="EOR25" s="70"/>
      <c r="EOS25" s="70"/>
      <c r="EOT25" s="70"/>
      <c r="EOU25" s="70"/>
      <c r="EOV25" s="70"/>
      <c r="EOW25" s="70"/>
      <c r="EOX25" s="70"/>
      <c r="EOY25" s="70"/>
      <c r="EOZ25" s="70"/>
      <c r="EPA25" s="70"/>
      <c r="EPB25" s="70"/>
      <c r="EPC25" s="70"/>
      <c r="EPD25" s="70"/>
      <c r="EPE25" s="70"/>
      <c r="EPF25" s="70"/>
      <c r="EPG25" s="70"/>
      <c r="EPH25" s="70"/>
      <c r="EPI25" s="70"/>
      <c r="EPJ25" s="70"/>
      <c r="EPK25" s="70"/>
      <c r="EPL25" s="70"/>
      <c r="EPM25" s="70"/>
      <c r="EPN25" s="70"/>
      <c r="EPO25" s="70"/>
      <c r="EPP25" s="70"/>
      <c r="EPQ25" s="70"/>
      <c r="EPR25" s="70"/>
      <c r="EPS25" s="70"/>
      <c r="EPT25" s="70"/>
      <c r="EPU25" s="70"/>
      <c r="EPV25" s="70"/>
      <c r="EPW25" s="70"/>
      <c r="EPX25" s="70"/>
      <c r="EPY25" s="70"/>
      <c r="EPZ25" s="70"/>
      <c r="EQA25" s="70"/>
      <c r="EQB25" s="70"/>
      <c r="EQC25" s="70"/>
      <c r="EQD25" s="70"/>
      <c r="EQE25" s="70"/>
      <c r="EQF25" s="70"/>
      <c r="EQG25" s="70"/>
      <c r="EQH25" s="70"/>
      <c r="EQI25" s="70"/>
      <c r="EQJ25" s="70"/>
      <c r="EQK25" s="70"/>
      <c r="EQL25" s="70"/>
      <c r="EQM25" s="70"/>
      <c r="EQN25" s="70"/>
      <c r="EQO25" s="70"/>
      <c r="EQP25" s="70"/>
      <c r="EQQ25" s="70"/>
      <c r="EQR25" s="70"/>
      <c r="EQS25" s="70"/>
      <c r="EQT25" s="70"/>
      <c r="EQU25" s="70"/>
      <c r="EQV25" s="70"/>
      <c r="EQW25" s="70"/>
      <c r="EQX25" s="70"/>
      <c r="EQY25" s="70"/>
      <c r="EQZ25" s="70"/>
      <c r="ERA25" s="70"/>
      <c r="ERB25" s="70"/>
      <c r="ERC25" s="70"/>
      <c r="ERD25" s="70"/>
      <c r="ERE25" s="70"/>
      <c r="ERF25" s="70"/>
      <c r="ERG25" s="70"/>
      <c r="ERH25" s="70"/>
      <c r="ERI25" s="70"/>
      <c r="ERJ25" s="70"/>
      <c r="ERK25" s="70"/>
      <c r="ERL25" s="70"/>
      <c r="ERM25" s="70"/>
      <c r="ERN25" s="70"/>
      <c r="ERO25" s="70"/>
      <c r="ERP25" s="70"/>
      <c r="ERQ25" s="70"/>
      <c r="ERR25" s="70"/>
      <c r="ERS25" s="70"/>
      <c r="ERT25" s="70"/>
      <c r="ERU25" s="70"/>
      <c r="ERV25" s="70"/>
      <c r="ERW25" s="70"/>
      <c r="ERX25" s="70"/>
      <c r="ERY25" s="70"/>
      <c r="ERZ25" s="70"/>
      <c r="ESA25" s="70"/>
      <c r="ESB25" s="70"/>
      <c r="ESC25" s="70"/>
      <c r="ESD25" s="70"/>
      <c r="ESE25" s="70"/>
      <c r="ESF25" s="70"/>
      <c r="ESG25" s="70"/>
      <c r="ESH25" s="70"/>
      <c r="ESI25" s="70"/>
      <c r="ESJ25" s="70"/>
      <c r="ESK25" s="70"/>
      <c r="ESL25" s="70"/>
      <c r="ESM25" s="70"/>
      <c r="ESN25" s="70"/>
      <c r="ESO25" s="70"/>
      <c r="ESP25" s="70"/>
      <c r="ESQ25" s="70"/>
      <c r="ESR25" s="70"/>
      <c r="ESS25" s="70"/>
      <c r="EST25" s="70"/>
      <c r="ESU25" s="70"/>
      <c r="ESV25" s="70"/>
      <c r="ESW25" s="70"/>
      <c r="ESX25" s="70"/>
      <c r="ESY25" s="70"/>
      <c r="ESZ25" s="70"/>
      <c r="ETA25" s="70"/>
      <c r="ETB25" s="70"/>
      <c r="ETC25" s="70"/>
      <c r="ETD25" s="70"/>
      <c r="ETE25" s="70"/>
      <c r="ETF25" s="70"/>
      <c r="ETG25" s="70"/>
      <c r="ETH25" s="70"/>
      <c r="ETI25" s="70"/>
      <c r="ETJ25" s="70"/>
      <c r="ETK25" s="70"/>
      <c r="ETL25" s="70"/>
      <c r="ETM25" s="70"/>
      <c r="ETN25" s="70"/>
      <c r="ETO25" s="70"/>
      <c r="ETP25" s="70"/>
      <c r="ETQ25" s="70"/>
      <c r="ETR25" s="70"/>
      <c r="ETS25" s="70"/>
      <c r="ETT25" s="70"/>
      <c r="ETU25" s="70"/>
      <c r="ETV25" s="70"/>
      <c r="ETW25" s="70"/>
      <c r="ETX25" s="70"/>
      <c r="ETY25" s="70"/>
      <c r="ETZ25" s="70"/>
      <c r="EUA25" s="70"/>
      <c r="EUB25" s="70"/>
      <c r="EUC25" s="70"/>
      <c r="EUD25" s="70"/>
      <c r="EUE25" s="70"/>
      <c r="EUF25" s="70"/>
      <c r="EUG25" s="70"/>
      <c r="EUH25" s="70"/>
      <c r="EUI25" s="70"/>
      <c r="EUJ25" s="70"/>
      <c r="EUK25" s="70"/>
      <c r="EUL25" s="70"/>
      <c r="EUM25" s="70"/>
      <c r="EUN25" s="70"/>
      <c r="EUO25" s="70"/>
      <c r="EUP25" s="70"/>
      <c r="EUQ25" s="70"/>
      <c r="EUR25" s="70"/>
      <c r="EUS25" s="70"/>
      <c r="EUT25" s="70"/>
      <c r="EUU25" s="70"/>
      <c r="EUV25" s="70"/>
      <c r="EUW25" s="70"/>
      <c r="EUX25" s="70"/>
      <c r="EUY25" s="70"/>
      <c r="EUZ25" s="70"/>
      <c r="EVA25" s="70"/>
      <c r="EVB25" s="70"/>
      <c r="EVC25" s="70"/>
      <c r="EVD25" s="70"/>
      <c r="EVE25" s="70"/>
      <c r="EVF25" s="70"/>
      <c r="EVG25" s="70"/>
      <c r="EVH25" s="70"/>
      <c r="EVI25" s="70"/>
      <c r="EVJ25" s="70"/>
      <c r="EVK25" s="70"/>
      <c r="EVL25" s="70"/>
      <c r="EVM25" s="70"/>
      <c r="EVN25" s="70"/>
      <c r="EVO25" s="70"/>
      <c r="EVP25" s="70"/>
      <c r="EVQ25" s="70"/>
      <c r="EVR25" s="70"/>
      <c r="EVS25" s="70"/>
      <c r="EVT25" s="70"/>
      <c r="EVU25" s="70"/>
      <c r="EVV25" s="70"/>
      <c r="EVW25" s="70"/>
      <c r="EVX25" s="70"/>
      <c r="EVY25" s="70"/>
      <c r="EVZ25" s="70"/>
      <c r="EWA25" s="70"/>
      <c r="EWB25" s="70"/>
      <c r="EWC25" s="70"/>
      <c r="EWD25" s="70"/>
      <c r="EWE25" s="70"/>
      <c r="EWF25" s="70"/>
      <c r="EWG25" s="70"/>
      <c r="EWH25" s="70"/>
      <c r="EWI25" s="70"/>
      <c r="EWJ25" s="70"/>
      <c r="EWK25" s="70"/>
      <c r="EWL25" s="70"/>
      <c r="EWM25" s="70"/>
      <c r="EWN25" s="70"/>
      <c r="EWO25" s="70"/>
      <c r="EWP25" s="70"/>
      <c r="EWQ25" s="70"/>
      <c r="EWR25" s="70"/>
      <c r="EWS25" s="70"/>
      <c r="EWT25" s="70"/>
      <c r="EWU25" s="70"/>
      <c r="EWV25" s="70"/>
      <c r="EWW25" s="70"/>
      <c r="EWX25" s="70"/>
      <c r="EWY25" s="70"/>
      <c r="EWZ25" s="70"/>
      <c r="EXA25" s="70"/>
      <c r="EXB25" s="70"/>
      <c r="EXC25" s="70"/>
      <c r="EXD25" s="70"/>
      <c r="EXE25" s="70"/>
      <c r="EXF25" s="70"/>
      <c r="EXG25" s="70"/>
      <c r="EXH25" s="70"/>
      <c r="EXI25" s="70"/>
      <c r="EXJ25" s="70"/>
      <c r="EXK25" s="70"/>
      <c r="EXL25" s="70"/>
      <c r="EXM25" s="70"/>
      <c r="EXN25" s="70"/>
      <c r="EXO25" s="70"/>
      <c r="EXP25" s="70"/>
      <c r="EXQ25" s="70"/>
      <c r="EXR25" s="70"/>
      <c r="EXS25" s="70"/>
      <c r="EXT25" s="70"/>
      <c r="EXU25" s="70"/>
      <c r="EXV25" s="70"/>
      <c r="EXW25" s="70"/>
      <c r="EXX25" s="70"/>
      <c r="EXY25" s="70"/>
      <c r="EXZ25" s="70"/>
      <c r="EYA25" s="70"/>
      <c r="EYB25" s="70"/>
      <c r="EYC25" s="70"/>
      <c r="EYD25" s="70"/>
      <c r="EYE25" s="70"/>
      <c r="EYF25" s="70"/>
      <c r="EYG25" s="70"/>
      <c r="EYH25" s="70"/>
      <c r="EYI25" s="70"/>
      <c r="EYJ25" s="70"/>
      <c r="EYK25" s="70"/>
      <c r="EYL25" s="70"/>
      <c r="EYM25" s="70"/>
      <c r="EYN25" s="70"/>
      <c r="EYO25" s="70"/>
      <c r="EYP25" s="70"/>
      <c r="EYQ25" s="70"/>
      <c r="EYR25" s="70"/>
      <c r="EYS25" s="70"/>
      <c r="EYT25" s="70"/>
      <c r="EYU25" s="70"/>
      <c r="EYV25" s="70"/>
      <c r="EYW25" s="70"/>
      <c r="EYX25" s="70"/>
      <c r="EYY25" s="70"/>
      <c r="EYZ25" s="70"/>
      <c r="EZA25" s="70"/>
      <c r="EZB25" s="70"/>
      <c r="EZC25" s="70"/>
      <c r="EZD25" s="70"/>
      <c r="EZE25" s="70"/>
      <c r="EZF25" s="70"/>
      <c r="EZG25" s="70"/>
      <c r="EZH25" s="70"/>
      <c r="EZI25" s="70"/>
      <c r="EZJ25" s="70"/>
      <c r="EZK25" s="70"/>
      <c r="EZL25" s="70"/>
      <c r="EZM25" s="70"/>
      <c r="EZN25" s="70"/>
      <c r="EZO25" s="70"/>
      <c r="EZP25" s="70"/>
      <c r="EZQ25" s="70"/>
      <c r="EZR25" s="70"/>
      <c r="EZS25" s="70"/>
      <c r="EZT25" s="70"/>
      <c r="EZU25" s="70"/>
      <c r="EZV25" s="70"/>
      <c r="EZW25" s="70"/>
      <c r="EZX25" s="70"/>
      <c r="EZY25" s="70"/>
      <c r="EZZ25" s="70"/>
      <c r="FAA25" s="70"/>
      <c r="FAB25" s="70"/>
      <c r="FAC25" s="70"/>
      <c r="FAD25" s="70"/>
      <c r="FAE25" s="70"/>
      <c r="FAF25" s="70"/>
      <c r="FAG25" s="70"/>
      <c r="FAH25" s="70"/>
      <c r="FAI25" s="70"/>
      <c r="FAJ25" s="70"/>
      <c r="FAK25" s="70"/>
      <c r="FAL25" s="70"/>
      <c r="FAM25" s="70"/>
      <c r="FAN25" s="70"/>
      <c r="FAO25" s="70"/>
      <c r="FAP25" s="70"/>
      <c r="FAQ25" s="70"/>
      <c r="FAR25" s="70"/>
      <c r="FAS25" s="70"/>
      <c r="FAT25" s="70"/>
      <c r="FAU25" s="70"/>
      <c r="FAV25" s="70"/>
      <c r="FAW25" s="70"/>
      <c r="FAX25" s="70"/>
      <c r="FAY25" s="70"/>
      <c r="FAZ25" s="70"/>
      <c r="FBA25" s="70"/>
      <c r="FBB25" s="70"/>
      <c r="FBC25" s="70"/>
      <c r="FBD25" s="70"/>
      <c r="FBE25" s="70"/>
      <c r="FBF25" s="70"/>
      <c r="FBG25" s="70"/>
      <c r="FBH25" s="70"/>
      <c r="FBI25" s="70"/>
      <c r="FBJ25" s="70"/>
      <c r="FBK25" s="70"/>
      <c r="FBL25" s="70"/>
      <c r="FBM25" s="70"/>
      <c r="FBN25" s="70"/>
      <c r="FBO25" s="70"/>
      <c r="FBP25" s="70"/>
      <c r="FBQ25" s="70"/>
      <c r="FBR25" s="70"/>
      <c r="FBS25" s="70"/>
      <c r="FBT25" s="70"/>
      <c r="FBU25" s="70"/>
      <c r="FBV25" s="70"/>
      <c r="FBW25" s="70"/>
      <c r="FBX25" s="70"/>
      <c r="FBY25" s="70"/>
      <c r="FBZ25" s="70"/>
      <c r="FCA25" s="70"/>
      <c r="FCB25" s="70"/>
      <c r="FCC25" s="70"/>
      <c r="FCD25" s="70"/>
      <c r="FCE25" s="70"/>
      <c r="FCF25" s="70"/>
      <c r="FCG25" s="70"/>
      <c r="FCH25" s="70"/>
      <c r="FCI25" s="70"/>
      <c r="FCJ25" s="70"/>
      <c r="FCK25" s="70"/>
      <c r="FCL25" s="70"/>
      <c r="FCM25" s="70"/>
      <c r="FCN25" s="70"/>
      <c r="FCO25" s="70"/>
      <c r="FCP25" s="70"/>
      <c r="FCQ25" s="70"/>
      <c r="FCR25" s="70"/>
      <c r="FCS25" s="70"/>
      <c r="FCT25" s="70"/>
      <c r="FCU25" s="70"/>
      <c r="FCV25" s="70"/>
      <c r="FCW25" s="70"/>
      <c r="FCX25" s="70"/>
      <c r="FCY25" s="70"/>
      <c r="FCZ25" s="70"/>
      <c r="FDA25" s="70"/>
      <c r="FDB25" s="70"/>
      <c r="FDC25" s="70"/>
      <c r="FDD25" s="70"/>
      <c r="FDE25" s="70"/>
      <c r="FDF25" s="70"/>
      <c r="FDG25" s="70"/>
      <c r="FDH25" s="70"/>
      <c r="FDI25" s="70"/>
      <c r="FDJ25" s="70"/>
      <c r="FDK25" s="70"/>
      <c r="FDL25" s="70"/>
      <c r="FDM25" s="70"/>
      <c r="FDN25" s="70"/>
      <c r="FDO25" s="70"/>
      <c r="FDP25" s="70"/>
      <c r="FDQ25" s="70"/>
      <c r="FDR25" s="70"/>
      <c r="FDS25" s="70"/>
      <c r="FDT25" s="70"/>
      <c r="FDU25" s="70"/>
      <c r="FDV25" s="70"/>
      <c r="FDW25" s="70"/>
      <c r="FDX25" s="70"/>
      <c r="FDY25" s="70"/>
      <c r="FDZ25" s="70"/>
      <c r="FEA25" s="70"/>
      <c r="FEB25" s="70"/>
      <c r="FEC25" s="70"/>
      <c r="FED25" s="70"/>
      <c r="FEE25" s="70"/>
      <c r="FEF25" s="70"/>
      <c r="FEG25" s="70"/>
      <c r="FEH25" s="70"/>
      <c r="FEI25" s="70"/>
      <c r="FEJ25" s="70"/>
      <c r="FEK25" s="70"/>
      <c r="FEL25" s="70"/>
      <c r="FEM25" s="70"/>
      <c r="FEN25" s="70"/>
      <c r="FEO25" s="70"/>
      <c r="FEP25" s="70"/>
      <c r="FEQ25" s="70"/>
      <c r="FER25" s="70"/>
      <c r="FES25" s="70"/>
      <c r="FET25" s="70"/>
      <c r="FEU25" s="70"/>
      <c r="FEV25" s="70"/>
      <c r="FEW25" s="70"/>
      <c r="FEX25" s="70"/>
      <c r="FEY25" s="70"/>
      <c r="FEZ25" s="70"/>
      <c r="FFA25" s="70"/>
      <c r="FFB25" s="70"/>
      <c r="FFC25" s="70"/>
      <c r="FFD25" s="70"/>
      <c r="FFE25" s="70"/>
      <c r="FFF25" s="70"/>
      <c r="FFG25" s="70"/>
      <c r="FFH25" s="70"/>
      <c r="FFI25" s="70"/>
      <c r="FFJ25" s="70"/>
      <c r="FFK25" s="70"/>
      <c r="FFL25" s="70"/>
      <c r="FFM25" s="70"/>
      <c r="FFN25" s="70"/>
      <c r="FFO25" s="70"/>
      <c r="FFP25" s="70"/>
      <c r="FFQ25" s="70"/>
      <c r="FFR25" s="70"/>
      <c r="FFS25" s="70"/>
      <c r="FFT25" s="70"/>
      <c r="FFU25" s="70"/>
      <c r="FFV25" s="70"/>
      <c r="FFW25" s="70"/>
      <c r="FFX25" s="70"/>
      <c r="FFY25" s="70"/>
      <c r="FFZ25" s="70"/>
      <c r="FGA25" s="70"/>
      <c r="FGB25" s="70"/>
      <c r="FGC25" s="70"/>
      <c r="FGD25" s="70"/>
      <c r="FGE25" s="70"/>
      <c r="FGF25" s="70"/>
      <c r="FGG25" s="70"/>
      <c r="FGH25" s="70"/>
      <c r="FGI25" s="70"/>
      <c r="FGJ25" s="70"/>
      <c r="FGK25" s="70"/>
      <c r="FGL25" s="70"/>
      <c r="FGM25" s="70"/>
      <c r="FGN25" s="70"/>
      <c r="FGO25" s="70"/>
      <c r="FGP25" s="70"/>
      <c r="FGQ25" s="70"/>
      <c r="FGR25" s="70"/>
      <c r="FGS25" s="70"/>
      <c r="FGT25" s="70"/>
      <c r="FGU25" s="70"/>
      <c r="FGV25" s="70"/>
      <c r="FGW25" s="70"/>
      <c r="FGX25" s="70"/>
      <c r="FGY25" s="70"/>
      <c r="FGZ25" s="70"/>
      <c r="FHA25" s="70"/>
      <c r="FHB25" s="70"/>
      <c r="FHC25" s="70"/>
      <c r="FHD25" s="70"/>
      <c r="FHE25" s="70"/>
      <c r="FHF25" s="70"/>
      <c r="FHG25" s="70"/>
      <c r="FHH25" s="70"/>
      <c r="FHI25" s="70"/>
      <c r="FHJ25" s="70"/>
      <c r="FHK25" s="70"/>
      <c r="FHL25" s="70"/>
      <c r="FHM25" s="70"/>
      <c r="FHN25" s="70"/>
      <c r="FHO25" s="70"/>
      <c r="FHP25" s="70"/>
      <c r="FHQ25" s="70"/>
      <c r="FHR25" s="70"/>
      <c r="FHS25" s="70"/>
      <c r="FHT25" s="70"/>
      <c r="FHU25" s="70"/>
      <c r="FHV25" s="70"/>
      <c r="FHW25" s="70"/>
      <c r="FHX25" s="70"/>
      <c r="FHY25" s="70"/>
      <c r="FHZ25" s="70"/>
      <c r="FIA25" s="70"/>
      <c r="FIB25" s="70"/>
      <c r="FIC25" s="70"/>
      <c r="FID25" s="70"/>
      <c r="FIE25" s="70"/>
      <c r="FIF25" s="70"/>
      <c r="FIG25" s="70"/>
      <c r="FIH25" s="70"/>
      <c r="FII25" s="70"/>
      <c r="FIJ25" s="70"/>
      <c r="FIK25" s="70"/>
      <c r="FIL25" s="70"/>
      <c r="FIM25" s="70"/>
      <c r="FIN25" s="70"/>
      <c r="FIO25" s="70"/>
      <c r="FIP25" s="70"/>
      <c r="FIQ25" s="70"/>
      <c r="FIR25" s="70"/>
      <c r="FIS25" s="70"/>
      <c r="FIT25" s="70"/>
      <c r="FIU25" s="70"/>
      <c r="FIV25" s="70"/>
      <c r="FIW25" s="70"/>
      <c r="FIX25" s="70"/>
      <c r="FIY25" s="70"/>
      <c r="FIZ25" s="70"/>
      <c r="FJA25" s="70"/>
      <c r="FJB25" s="70"/>
      <c r="FJC25" s="70"/>
      <c r="FJD25" s="70"/>
      <c r="FJE25" s="70"/>
      <c r="FJF25" s="70"/>
      <c r="FJG25" s="70"/>
      <c r="FJH25" s="70"/>
      <c r="FJI25" s="70"/>
      <c r="FJJ25" s="70"/>
      <c r="FJK25" s="70"/>
      <c r="FJL25" s="70"/>
      <c r="FJM25" s="70"/>
      <c r="FJN25" s="70"/>
      <c r="FJO25" s="70"/>
      <c r="FJP25" s="70"/>
      <c r="FJQ25" s="70"/>
      <c r="FJR25" s="70"/>
      <c r="FJS25" s="70"/>
      <c r="FJT25" s="70"/>
      <c r="FJU25" s="70"/>
      <c r="FJV25" s="70"/>
      <c r="FJW25" s="70"/>
      <c r="FJX25" s="70"/>
      <c r="FJY25" s="70"/>
      <c r="FJZ25" s="70"/>
      <c r="FKA25" s="70"/>
      <c r="FKB25" s="70"/>
      <c r="FKC25" s="70"/>
      <c r="FKD25" s="70"/>
      <c r="FKE25" s="70"/>
      <c r="FKF25" s="70"/>
      <c r="FKG25" s="70"/>
      <c r="FKH25" s="70"/>
      <c r="FKI25" s="70"/>
      <c r="FKJ25" s="70"/>
      <c r="FKK25" s="70"/>
      <c r="FKL25" s="70"/>
      <c r="FKM25" s="70"/>
      <c r="FKN25" s="70"/>
      <c r="FKO25" s="70"/>
      <c r="FKP25" s="70"/>
      <c r="FKQ25" s="70"/>
      <c r="FKR25" s="70"/>
      <c r="FKS25" s="70"/>
      <c r="FKT25" s="70"/>
      <c r="FKU25" s="70"/>
      <c r="FKV25" s="70"/>
      <c r="FKW25" s="70"/>
      <c r="FKX25" s="70"/>
      <c r="FKY25" s="70"/>
      <c r="FKZ25" s="70"/>
      <c r="FLA25" s="70"/>
      <c r="FLB25" s="70"/>
      <c r="FLC25" s="70"/>
      <c r="FLD25" s="70"/>
      <c r="FLE25" s="70"/>
      <c r="FLF25" s="70"/>
      <c r="FLG25" s="70"/>
      <c r="FLH25" s="70"/>
      <c r="FLI25" s="70"/>
      <c r="FLJ25" s="70"/>
      <c r="FLK25" s="70"/>
      <c r="FLL25" s="70"/>
      <c r="FLM25" s="70"/>
      <c r="FLN25" s="70"/>
      <c r="FLO25" s="70"/>
      <c r="FLP25" s="70"/>
      <c r="FLQ25" s="70"/>
      <c r="FLR25" s="70"/>
      <c r="FLS25" s="70"/>
      <c r="FLT25" s="70"/>
      <c r="FLU25" s="70"/>
      <c r="FLV25" s="70"/>
      <c r="FLW25" s="70"/>
      <c r="FLX25" s="70"/>
      <c r="FLY25" s="70"/>
      <c r="FLZ25" s="70"/>
      <c r="FMA25" s="70"/>
      <c r="FMB25" s="70"/>
      <c r="FMC25" s="70"/>
      <c r="FMD25" s="70"/>
      <c r="FME25" s="70"/>
      <c r="FMF25" s="70"/>
      <c r="FMG25" s="70"/>
      <c r="FMH25" s="70"/>
      <c r="FMI25" s="70"/>
      <c r="FMJ25" s="70"/>
      <c r="FMK25" s="70"/>
      <c r="FML25" s="70"/>
      <c r="FMM25" s="70"/>
      <c r="FMN25" s="70"/>
      <c r="FMO25" s="70"/>
      <c r="FMP25" s="70"/>
      <c r="FMQ25" s="70"/>
      <c r="FMR25" s="70"/>
      <c r="FMS25" s="70"/>
      <c r="FMT25" s="70"/>
      <c r="FMU25" s="70"/>
      <c r="FMV25" s="70"/>
      <c r="FMW25" s="70"/>
      <c r="FMX25" s="70"/>
      <c r="FMY25" s="70"/>
      <c r="FMZ25" s="70"/>
      <c r="FNA25" s="70"/>
      <c r="FNB25" s="70"/>
      <c r="FNC25" s="70"/>
      <c r="FND25" s="70"/>
      <c r="FNE25" s="70"/>
      <c r="FNF25" s="70"/>
      <c r="FNG25" s="70"/>
      <c r="FNH25" s="70"/>
      <c r="FNI25" s="70"/>
      <c r="FNJ25" s="70"/>
      <c r="FNK25" s="70"/>
      <c r="FNL25" s="70"/>
      <c r="FNM25" s="70"/>
      <c r="FNN25" s="70"/>
      <c r="FNO25" s="70"/>
      <c r="FNP25" s="70"/>
      <c r="FNQ25" s="70"/>
      <c r="FNR25" s="70"/>
      <c r="FNS25" s="70"/>
      <c r="FNT25" s="70"/>
      <c r="FNU25" s="70"/>
      <c r="FNV25" s="70"/>
      <c r="FNW25" s="70"/>
      <c r="FNX25" s="70"/>
      <c r="FNY25" s="70"/>
      <c r="FNZ25" s="70"/>
      <c r="FOA25" s="70"/>
      <c r="FOB25" s="70"/>
      <c r="FOC25" s="70"/>
      <c r="FOD25" s="70"/>
      <c r="FOE25" s="70"/>
      <c r="FOF25" s="70"/>
      <c r="FOG25" s="70"/>
      <c r="FOH25" s="70"/>
      <c r="FOI25" s="70"/>
      <c r="FOJ25" s="70"/>
      <c r="FOK25" s="70"/>
      <c r="FOL25" s="70"/>
      <c r="FOM25" s="70"/>
      <c r="FON25" s="70"/>
      <c r="FOO25" s="70"/>
      <c r="FOP25" s="70"/>
      <c r="FOQ25" s="70"/>
      <c r="FOR25" s="70"/>
      <c r="FOS25" s="70"/>
      <c r="FOT25" s="70"/>
      <c r="FOU25" s="70"/>
      <c r="FOV25" s="70"/>
      <c r="FOW25" s="70"/>
      <c r="FOX25" s="70"/>
      <c r="FOY25" s="70"/>
      <c r="FOZ25" s="70"/>
      <c r="FPA25" s="70"/>
      <c r="FPB25" s="70"/>
      <c r="FPC25" s="70"/>
      <c r="FPD25" s="70"/>
      <c r="FPE25" s="70"/>
      <c r="FPF25" s="70"/>
      <c r="FPG25" s="70"/>
      <c r="FPH25" s="70"/>
      <c r="FPI25" s="70"/>
      <c r="FPJ25" s="70"/>
      <c r="FPK25" s="70"/>
      <c r="FPL25" s="70"/>
      <c r="FPM25" s="70"/>
      <c r="FPN25" s="70"/>
      <c r="FPO25" s="70"/>
      <c r="FPP25" s="70"/>
      <c r="FPQ25" s="70"/>
      <c r="FPR25" s="70"/>
      <c r="FPS25" s="70"/>
      <c r="FPT25" s="70"/>
      <c r="FPU25" s="70"/>
      <c r="FPV25" s="70"/>
      <c r="FPW25" s="70"/>
      <c r="FPX25" s="70"/>
      <c r="FPY25" s="70"/>
      <c r="FPZ25" s="70"/>
      <c r="FQA25" s="70"/>
      <c r="FQB25" s="70"/>
      <c r="FQC25" s="70"/>
      <c r="FQD25" s="70"/>
      <c r="FQE25" s="70"/>
      <c r="FQF25" s="70"/>
      <c r="FQG25" s="70"/>
      <c r="FQH25" s="70"/>
      <c r="FQI25" s="70"/>
      <c r="FQJ25" s="70"/>
      <c r="FQK25" s="70"/>
      <c r="FQL25" s="70"/>
      <c r="FQM25" s="70"/>
      <c r="FQN25" s="70"/>
      <c r="FQO25" s="70"/>
      <c r="FQP25" s="70"/>
      <c r="FQQ25" s="70"/>
      <c r="FQR25" s="70"/>
      <c r="FQS25" s="70"/>
      <c r="FQT25" s="70"/>
      <c r="FQU25" s="70"/>
      <c r="FQV25" s="70"/>
      <c r="FQW25" s="70"/>
      <c r="FQX25" s="70"/>
      <c r="FQY25" s="70"/>
      <c r="FQZ25" s="70"/>
      <c r="FRA25" s="70"/>
      <c r="FRB25" s="70"/>
      <c r="FRC25" s="70"/>
      <c r="FRD25" s="70"/>
      <c r="FRE25" s="70"/>
      <c r="FRF25" s="70"/>
      <c r="FRG25" s="70"/>
      <c r="FRH25" s="70"/>
      <c r="FRI25" s="70"/>
      <c r="FRJ25" s="70"/>
      <c r="FRK25" s="70"/>
      <c r="FRL25" s="70"/>
      <c r="FRM25" s="70"/>
      <c r="FRN25" s="70"/>
      <c r="FRO25" s="70"/>
      <c r="FRP25" s="70"/>
      <c r="FRQ25" s="70"/>
      <c r="FRR25" s="70"/>
      <c r="FRS25" s="70"/>
      <c r="FRT25" s="70"/>
      <c r="FRU25" s="70"/>
      <c r="FRV25" s="70"/>
      <c r="FRW25" s="70"/>
      <c r="FRX25" s="70"/>
      <c r="FRY25" s="70"/>
      <c r="FRZ25" s="70"/>
      <c r="FSA25" s="70"/>
      <c r="FSB25" s="70"/>
      <c r="FSC25" s="70"/>
      <c r="FSD25" s="70"/>
      <c r="FSE25" s="70"/>
      <c r="FSF25" s="70"/>
      <c r="FSG25" s="70"/>
      <c r="FSH25" s="70"/>
      <c r="FSI25" s="70"/>
      <c r="FSJ25" s="70"/>
      <c r="FSK25" s="70"/>
      <c r="FSL25" s="70"/>
      <c r="FSM25" s="70"/>
      <c r="FSN25" s="70"/>
      <c r="FSO25" s="70"/>
      <c r="FSP25" s="70"/>
      <c r="FSQ25" s="70"/>
      <c r="FSR25" s="70"/>
      <c r="FSS25" s="70"/>
      <c r="FST25" s="70"/>
      <c r="FSU25" s="70"/>
      <c r="FSV25" s="70"/>
      <c r="FSW25" s="70"/>
      <c r="FSX25" s="70"/>
      <c r="FSY25" s="70"/>
      <c r="FSZ25" s="70"/>
      <c r="FTA25" s="70"/>
      <c r="FTB25" s="70"/>
      <c r="FTC25" s="70"/>
      <c r="FTD25" s="70"/>
      <c r="FTE25" s="70"/>
      <c r="FTF25" s="70"/>
      <c r="FTG25" s="70"/>
      <c r="FTH25" s="70"/>
      <c r="FTI25" s="70"/>
      <c r="FTJ25" s="70"/>
      <c r="FTK25" s="70"/>
      <c r="FTL25" s="70"/>
      <c r="FTM25" s="70"/>
      <c r="FTN25" s="70"/>
      <c r="FTO25" s="70"/>
      <c r="FTP25" s="70"/>
      <c r="FTQ25" s="70"/>
      <c r="FTR25" s="70"/>
      <c r="FTS25" s="70"/>
      <c r="FTT25" s="70"/>
      <c r="FTU25" s="70"/>
      <c r="FTV25" s="70"/>
      <c r="FTW25" s="70"/>
      <c r="FTX25" s="70"/>
      <c r="FTY25" s="70"/>
      <c r="FTZ25" s="70"/>
      <c r="FUA25" s="70"/>
      <c r="FUB25" s="70"/>
      <c r="FUC25" s="70"/>
      <c r="FUD25" s="70"/>
      <c r="FUE25" s="70"/>
      <c r="FUF25" s="70"/>
      <c r="FUG25" s="70"/>
      <c r="FUH25" s="70"/>
      <c r="FUI25" s="70"/>
      <c r="FUJ25" s="70"/>
      <c r="FUK25" s="70"/>
      <c r="FUL25" s="70"/>
      <c r="FUM25" s="70"/>
      <c r="FUN25" s="70"/>
      <c r="FUO25" s="70"/>
      <c r="FUP25" s="70"/>
      <c r="FUQ25" s="70"/>
      <c r="FUR25" s="70"/>
      <c r="FUS25" s="70"/>
      <c r="FUT25" s="70"/>
      <c r="FUU25" s="70"/>
      <c r="FUV25" s="70"/>
      <c r="FUW25" s="70"/>
      <c r="FUX25" s="70"/>
      <c r="FUY25" s="70"/>
      <c r="FUZ25" s="70"/>
      <c r="FVA25" s="70"/>
      <c r="FVB25" s="70"/>
      <c r="FVC25" s="70"/>
      <c r="FVD25" s="70"/>
      <c r="FVE25" s="70"/>
      <c r="FVF25" s="70"/>
      <c r="FVG25" s="70"/>
      <c r="FVH25" s="70"/>
      <c r="FVI25" s="70"/>
      <c r="FVJ25" s="70"/>
      <c r="FVK25" s="70"/>
      <c r="FVL25" s="70"/>
      <c r="FVM25" s="70"/>
      <c r="FVN25" s="70"/>
      <c r="FVO25" s="70"/>
      <c r="FVP25" s="70"/>
      <c r="FVQ25" s="70"/>
      <c r="FVR25" s="70"/>
      <c r="FVS25" s="70"/>
      <c r="FVT25" s="70"/>
      <c r="FVU25" s="70"/>
      <c r="FVV25" s="70"/>
      <c r="FVW25" s="70"/>
      <c r="FVX25" s="70"/>
      <c r="FVY25" s="70"/>
      <c r="FVZ25" s="70"/>
      <c r="FWA25" s="70"/>
      <c r="FWB25" s="70"/>
      <c r="FWC25" s="70"/>
      <c r="FWD25" s="70"/>
      <c r="FWE25" s="70"/>
      <c r="FWF25" s="70"/>
      <c r="FWG25" s="70"/>
      <c r="FWH25" s="70"/>
      <c r="FWI25" s="70"/>
      <c r="FWJ25" s="70"/>
      <c r="FWK25" s="70"/>
      <c r="FWL25" s="70"/>
      <c r="FWM25" s="70"/>
      <c r="FWN25" s="70"/>
      <c r="FWO25" s="70"/>
      <c r="FWP25" s="70"/>
      <c r="FWQ25" s="70"/>
      <c r="FWR25" s="70"/>
      <c r="FWS25" s="70"/>
      <c r="FWT25" s="70"/>
      <c r="FWU25" s="70"/>
      <c r="FWV25" s="70"/>
      <c r="FWW25" s="70"/>
      <c r="FWX25" s="70"/>
      <c r="FWY25" s="70"/>
      <c r="FWZ25" s="70"/>
      <c r="FXA25" s="70"/>
      <c r="FXB25" s="70"/>
      <c r="FXC25" s="70"/>
      <c r="FXD25" s="70"/>
      <c r="FXE25" s="70"/>
      <c r="FXF25" s="70"/>
      <c r="FXG25" s="70"/>
      <c r="FXH25" s="70"/>
      <c r="FXI25" s="70"/>
      <c r="FXJ25" s="70"/>
      <c r="FXK25" s="70"/>
      <c r="FXL25" s="70"/>
      <c r="FXM25" s="70"/>
      <c r="FXN25" s="70"/>
      <c r="FXO25" s="70"/>
      <c r="FXP25" s="70"/>
      <c r="FXQ25" s="70"/>
      <c r="FXR25" s="70"/>
      <c r="FXS25" s="70"/>
      <c r="FXT25" s="70"/>
      <c r="FXU25" s="70"/>
      <c r="FXV25" s="70"/>
      <c r="FXW25" s="70"/>
      <c r="FXX25" s="70"/>
      <c r="FXY25" s="70"/>
      <c r="FXZ25" s="70"/>
      <c r="FYA25" s="70"/>
      <c r="FYB25" s="70"/>
      <c r="FYC25" s="70"/>
      <c r="FYD25" s="70"/>
      <c r="FYE25" s="70"/>
      <c r="FYF25" s="70"/>
      <c r="FYG25" s="70"/>
      <c r="FYH25" s="70"/>
      <c r="FYI25" s="70"/>
      <c r="FYJ25" s="70"/>
      <c r="FYK25" s="70"/>
      <c r="FYL25" s="70"/>
      <c r="FYM25" s="70"/>
      <c r="FYN25" s="70"/>
      <c r="FYO25" s="70"/>
      <c r="FYP25" s="70"/>
      <c r="FYQ25" s="70"/>
      <c r="FYR25" s="70"/>
      <c r="FYS25" s="70"/>
      <c r="FYT25" s="70"/>
      <c r="FYU25" s="70"/>
      <c r="FYV25" s="70"/>
      <c r="FYW25" s="70"/>
      <c r="FYX25" s="70"/>
      <c r="FYY25" s="70"/>
      <c r="FYZ25" s="70"/>
      <c r="FZA25" s="70"/>
      <c r="FZB25" s="70"/>
      <c r="FZC25" s="70"/>
      <c r="FZD25" s="70"/>
      <c r="FZE25" s="70"/>
      <c r="FZF25" s="70"/>
      <c r="FZG25" s="70"/>
      <c r="FZH25" s="70"/>
      <c r="FZI25" s="70"/>
      <c r="FZJ25" s="70"/>
      <c r="FZK25" s="70"/>
      <c r="FZL25" s="70"/>
      <c r="FZM25" s="70"/>
      <c r="FZN25" s="70"/>
      <c r="FZO25" s="70"/>
      <c r="FZP25" s="70"/>
      <c r="FZQ25" s="70"/>
      <c r="FZR25" s="70"/>
      <c r="FZS25" s="70"/>
      <c r="FZT25" s="70"/>
      <c r="FZU25" s="70"/>
      <c r="FZV25" s="70"/>
      <c r="FZW25" s="70"/>
      <c r="FZX25" s="70"/>
      <c r="FZY25" s="70"/>
      <c r="FZZ25" s="70"/>
      <c r="GAA25" s="70"/>
      <c r="GAB25" s="70"/>
      <c r="GAC25" s="70"/>
      <c r="GAD25" s="70"/>
      <c r="GAE25" s="70"/>
      <c r="GAF25" s="70"/>
      <c r="GAG25" s="70"/>
      <c r="GAH25" s="70"/>
      <c r="GAI25" s="70"/>
      <c r="GAJ25" s="70"/>
      <c r="GAK25" s="70"/>
      <c r="GAL25" s="70"/>
      <c r="GAM25" s="70"/>
      <c r="GAN25" s="70"/>
      <c r="GAO25" s="70"/>
      <c r="GAP25" s="70"/>
      <c r="GAQ25" s="70"/>
      <c r="GAR25" s="70"/>
      <c r="GAS25" s="70"/>
      <c r="GAT25" s="70"/>
      <c r="GAU25" s="70"/>
      <c r="GAV25" s="70"/>
      <c r="GAW25" s="70"/>
      <c r="GAX25" s="70"/>
      <c r="GAY25" s="70"/>
      <c r="GAZ25" s="70"/>
      <c r="GBA25" s="70"/>
      <c r="GBB25" s="70"/>
      <c r="GBC25" s="70"/>
      <c r="GBD25" s="70"/>
      <c r="GBE25" s="70"/>
      <c r="GBF25" s="70"/>
      <c r="GBG25" s="70"/>
      <c r="GBH25" s="70"/>
      <c r="GBI25" s="70"/>
      <c r="GBJ25" s="70"/>
      <c r="GBK25" s="70"/>
      <c r="GBL25" s="70"/>
      <c r="GBM25" s="70"/>
      <c r="GBN25" s="70"/>
      <c r="GBO25" s="70"/>
      <c r="GBP25" s="70"/>
      <c r="GBQ25" s="70"/>
      <c r="GBR25" s="70"/>
      <c r="GBS25" s="70"/>
      <c r="GBT25" s="70"/>
      <c r="GBU25" s="70"/>
      <c r="GBV25" s="70"/>
      <c r="GBW25" s="70"/>
      <c r="GBX25" s="70"/>
      <c r="GBY25" s="70"/>
      <c r="GBZ25" s="70"/>
      <c r="GCA25" s="70"/>
      <c r="GCB25" s="70"/>
      <c r="GCC25" s="70"/>
      <c r="GCD25" s="70"/>
      <c r="GCE25" s="70"/>
      <c r="GCF25" s="70"/>
      <c r="GCG25" s="70"/>
      <c r="GCH25" s="70"/>
      <c r="GCI25" s="70"/>
      <c r="GCJ25" s="70"/>
      <c r="GCK25" s="70"/>
      <c r="GCL25" s="70"/>
      <c r="GCM25" s="70"/>
      <c r="GCN25" s="70"/>
      <c r="GCO25" s="70"/>
      <c r="GCP25" s="70"/>
      <c r="GCQ25" s="70"/>
      <c r="GCR25" s="70"/>
      <c r="GCS25" s="70"/>
      <c r="GCT25" s="70"/>
      <c r="GCU25" s="70"/>
      <c r="GCV25" s="70"/>
      <c r="GCW25" s="70"/>
      <c r="GCX25" s="70"/>
      <c r="GCY25" s="70"/>
      <c r="GCZ25" s="70"/>
      <c r="GDA25" s="70"/>
      <c r="GDB25" s="70"/>
      <c r="GDC25" s="70"/>
      <c r="GDD25" s="70"/>
      <c r="GDE25" s="70"/>
      <c r="GDF25" s="70"/>
      <c r="GDG25" s="70"/>
      <c r="GDH25" s="70"/>
      <c r="GDI25" s="70"/>
      <c r="GDJ25" s="70"/>
      <c r="GDK25" s="70"/>
      <c r="GDL25" s="70"/>
      <c r="GDM25" s="70"/>
      <c r="GDN25" s="70"/>
      <c r="GDO25" s="70"/>
      <c r="GDP25" s="70"/>
      <c r="GDQ25" s="70"/>
      <c r="GDR25" s="70"/>
      <c r="GDS25" s="70"/>
      <c r="GDT25" s="70"/>
      <c r="GDU25" s="70"/>
      <c r="GDV25" s="70"/>
      <c r="GDW25" s="70"/>
      <c r="GDX25" s="70"/>
      <c r="GDY25" s="70"/>
      <c r="GDZ25" s="70"/>
      <c r="GEA25" s="70"/>
      <c r="GEB25" s="70"/>
      <c r="GEC25" s="70"/>
      <c r="GED25" s="70"/>
      <c r="GEE25" s="70"/>
      <c r="GEF25" s="70"/>
      <c r="GEG25" s="70"/>
      <c r="GEH25" s="70"/>
      <c r="GEI25" s="70"/>
      <c r="GEJ25" s="70"/>
      <c r="GEK25" s="70"/>
      <c r="GEL25" s="70"/>
      <c r="GEM25" s="70"/>
      <c r="GEN25" s="70"/>
      <c r="GEO25" s="70"/>
      <c r="GEP25" s="70"/>
      <c r="GEQ25" s="70"/>
      <c r="GER25" s="70"/>
      <c r="GES25" s="70"/>
      <c r="GET25" s="70"/>
      <c r="GEU25" s="70"/>
      <c r="GEV25" s="70"/>
      <c r="GEW25" s="70"/>
      <c r="GEX25" s="70"/>
      <c r="GEY25" s="70"/>
      <c r="GEZ25" s="70"/>
      <c r="GFA25" s="70"/>
      <c r="GFB25" s="70"/>
      <c r="GFC25" s="70"/>
      <c r="GFD25" s="70"/>
      <c r="GFE25" s="70"/>
      <c r="GFF25" s="70"/>
      <c r="GFG25" s="70"/>
      <c r="GFH25" s="70"/>
      <c r="GFI25" s="70"/>
      <c r="GFJ25" s="70"/>
      <c r="GFK25" s="70"/>
      <c r="GFL25" s="70"/>
      <c r="GFM25" s="70"/>
      <c r="GFN25" s="70"/>
      <c r="GFO25" s="70"/>
      <c r="GFP25" s="70"/>
      <c r="GFQ25" s="70"/>
      <c r="GFR25" s="70"/>
      <c r="GFS25" s="70"/>
      <c r="GFT25" s="70"/>
      <c r="GFU25" s="70"/>
      <c r="GFV25" s="70"/>
      <c r="GFW25" s="70"/>
      <c r="GFX25" s="70"/>
      <c r="GFY25" s="70"/>
      <c r="GFZ25" s="70"/>
      <c r="GGA25" s="70"/>
      <c r="GGB25" s="70"/>
      <c r="GGC25" s="70"/>
      <c r="GGD25" s="70"/>
      <c r="GGE25" s="70"/>
      <c r="GGF25" s="70"/>
      <c r="GGG25" s="70"/>
      <c r="GGH25" s="70"/>
      <c r="GGI25" s="70"/>
      <c r="GGJ25" s="70"/>
      <c r="GGK25" s="70"/>
      <c r="GGL25" s="70"/>
      <c r="GGM25" s="70"/>
      <c r="GGN25" s="70"/>
      <c r="GGO25" s="70"/>
      <c r="GGP25" s="70"/>
      <c r="GGQ25" s="70"/>
      <c r="GGR25" s="70"/>
      <c r="GGS25" s="70"/>
      <c r="GGT25" s="70"/>
      <c r="GGU25" s="70"/>
      <c r="GGV25" s="70"/>
      <c r="GGW25" s="70"/>
      <c r="GGX25" s="70"/>
      <c r="GGY25" s="70"/>
      <c r="GGZ25" s="70"/>
      <c r="GHA25" s="70"/>
      <c r="GHB25" s="70"/>
      <c r="GHC25" s="70"/>
      <c r="GHD25" s="70"/>
      <c r="GHE25" s="70"/>
      <c r="GHF25" s="70"/>
      <c r="GHG25" s="70"/>
      <c r="GHH25" s="70"/>
      <c r="GHI25" s="70"/>
      <c r="GHJ25" s="70"/>
      <c r="GHK25" s="70"/>
      <c r="GHL25" s="70"/>
      <c r="GHM25" s="70"/>
      <c r="GHN25" s="70"/>
      <c r="GHO25" s="70"/>
      <c r="GHP25" s="70"/>
      <c r="GHQ25" s="70"/>
      <c r="GHR25" s="70"/>
      <c r="GHS25" s="70"/>
      <c r="GHT25" s="70"/>
      <c r="GHU25" s="70"/>
      <c r="GHV25" s="70"/>
      <c r="GHW25" s="70"/>
      <c r="GHX25" s="70"/>
      <c r="GHY25" s="70"/>
      <c r="GHZ25" s="70"/>
      <c r="GIA25" s="70"/>
      <c r="GIB25" s="70"/>
      <c r="GIC25" s="70"/>
      <c r="GID25" s="70"/>
      <c r="GIE25" s="70"/>
      <c r="GIF25" s="70"/>
      <c r="GIG25" s="70"/>
      <c r="GIH25" s="70"/>
      <c r="GII25" s="70"/>
      <c r="GIJ25" s="70"/>
      <c r="GIK25" s="70"/>
      <c r="GIL25" s="70"/>
      <c r="GIM25" s="70"/>
      <c r="GIN25" s="70"/>
      <c r="GIO25" s="70"/>
      <c r="GIP25" s="70"/>
      <c r="GIQ25" s="70"/>
      <c r="GIR25" s="70"/>
      <c r="GIS25" s="70"/>
      <c r="GIT25" s="70"/>
      <c r="GIU25" s="70"/>
      <c r="GIV25" s="70"/>
      <c r="GIW25" s="70"/>
      <c r="GIX25" s="70"/>
      <c r="GIY25" s="70"/>
      <c r="GIZ25" s="70"/>
      <c r="GJA25" s="70"/>
      <c r="GJB25" s="70"/>
      <c r="GJC25" s="70"/>
      <c r="GJD25" s="70"/>
      <c r="GJE25" s="70"/>
      <c r="GJF25" s="70"/>
      <c r="GJG25" s="70"/>
      <c r="GJH25" s="70"/>
      <c r="GJI25" s="70"/>
      <c r="GJJ25" s="70"/>
      <c r="GJK25" s="70"/>
      <c r="GJL25" s="70"/>
      <c r="GJM25" s="70"/>
      <c r="GJN25" s="70"/>
      <c r="GJO25" s="70"/>
      <c r="GJP25" s="70"/>
      <c r="GJQ25" s="70"/>
      <c r="GJR25" s="70"/>
      <c r="GJS25" s="70"/>
      <c r="GJT25" s="70"/>
      <c r="GJU25" s="70"/>
      <c r="GJV25" s="70"/>
      <c r="GJW25" s="70"/>
      <c r="GJX25" s="70"/>
      <c r="GJY25" s="70"/>
      <c r="GJZ25" s="70"/>
      <c r="GKA25" s="70"/>
      <c r="GKB25" s="70"/>
      <c r="GKC25" s="70"/>
      <c r="GKD25" s="70"/>
      <c r="GKE25" s="70"/>
      <c r="GKF25" s="70"/>
      <c r="GKG25" s="70"/>
      <c r="GKH25" s="70"/>
      <c r="GKI25" s="70"/>
      <c r="GKJ25" s="70"/>
      <c r="GKK25" s="70"/>
      <c r="GKL25" s="70"/>
      <c r="GKM25" s="70"/>
      <c r="GKN25" s="70"/>
      <c r="GKO25" s="70"/>
      <c r="GKP25" s="70"/>
      <c r="GKQ25" s="70"/>
      <c r="GKR25" s="70"/>
      <c r="GKS25" s="70"/>
      <c r="GKT25" s="70"/>
      <c r="GKU25" s="70"/>
      <c r="GKV25" s="70"/>
      <c r="GKW25" s="70"/>
      <c r="GKX25" s="70"/>
      <c r="GKY25" s="70"/>
      <c r="GKZ25" s="70"/>
      <c r="GLA25" s="70"/>
      <c r="GLB25" s="70"/>
      <c r="GLC25" s="70"/>
      <c r="GLD25" s="70"/>
      <c r="GLE25" s="70"/>
      <c r="GLF25" s="70"/>
      <c r="GLG25" s="70"/>
      <c r="GLH25" s="70"/>
      <c r="GLI25" s="70"/>
      <c r="GLJ25" s="70"/>
      <c r="GLK25" s="70"/>
      <c r="GLL25" s="70"/>
      <c r="GLM25" s="70"/>
      <c r="GLN25" s="70"/>
      <c r="GLO25" s="70"/>
      <c r="GLP25" s="70"/>
      <c r="GLQ25" s="70"/>
      <c r="GLR25" s="70"/>
      <c r="GLS25" s="70"/>
      <c r="GLT25" s="70"/>
      <c r="GLU25" s="70"/>
      <c r="GLV25" s="70"/>
      <c r="GLW25" s="70"/>
      <c r="GLX25" s="70"/>
      <c r="GLY25" s="70"/>
      <c r="GLZ25" s="70"/>
      <c r="GMA25" s="70"/>
      <c r="GMB25" s="70"/>
      <c r="GMC25" s="70"/>
      <c r="GMD25" s="70"/>
      <c r="GME25" s="70"/>
      <c r="GMF25" s="70"/>
      <c r="GMG25" s="70"/>
      <c r="GMH25" s="70"/>
      <c r="GMI25" s="70"/>
      <c r="GMJ25" s="70"/>
      <c r="GMK25" s="70"/>
      <c r="GML25" s="70"/>
      <c r="GMM25" s="70"/>
      <c r="GMN25" s="70"/>
      <c r="GMO25" s="70"/>
      <c r="GMP25" s="70"/>
      <c r="GMQ25" s="70"/>
      <c r="GMR25" s="70"/>
      <c r="GMS25" s="70"/>
      <c r="GMT25" s="70"/>
      <c r="GMU25" s="70"/>
      <c r="GMV25" s="70"/>
      <c r="GMW25" s="70"/>
      <c r="GMX25" s="70"/>
      <c r="GMY25" s="70"/>
      <c r="GMZ25" s="70"/>
      <c r="GNA25" s="70"/>
      <c r="GNB25" s="70"/>
      <c r="GNC25" s="70"/>
      <c r="GND25" s="70"/>
      <c r="GNE25" s="70"/>
      <c r="GNF25" s="70"/>
      <c r="GNG25" s="70"/>
      <c r="GNH25" s="70"/>
      <c r="GNI25" s="70"/>
      <c r="GNJ25" s="70"/>
      <c r="GNK25" s="70"/>
      <c r="GNL25" s="70"/>
      <c r="GNM25" s="70"/>
      <c r="GNN25" s="70"/>
      <c r="GNO25" s="70"/>
      <c r="GNP25" s="70"/>
      <c r="GNQ25" s="70"/>
      <c r="GNR25" s="70"/>
      <c r="GNS25" s="70"/>
      <c r="GNT25" s="70"/>
      <c r="GNU25" s="70"/>
      <c r="GNV25" s="70"/>
      <c r="GNW25" s="70"/>
      <c r="GNX25" s="70"/>
      <c r="GNY25" s="70"/>
      <c r="GNZ25" s="70"/>
      <c r="GOA25" s="70"/>
      <c r="GOB25" s="70"/>
      <c r="GOC25" s="70"/>
      <c r="GOD25" s="70"/>
      <c r="GOE25" s="70"/>
      <c r="GOF25" s="70"/>
      <c r="GOG25" s="70"/>
      <c r="GOH25" s="70"/>
      <c r="GOI25" s="70"/>
      <c r="GOJ25" s="70"/>
      <c r="GOK25" s="70"/>
      <c r="GOL25" s="70"/>
      <c r="GOM25" s="70"/>
      <c r="GON25" s="70"/>
      <c r="GOO25" s="70"/>
      <c r="GOP25" s="70"/>
      <c r="GOQ25" s="70"/>
      <c r="GOR25" s="70"/>
      <c r="GOS25" s="70"/>
      <c r="GOT25" s="70"/>
      <c r="GOU25" s="70"/>
      <c r="GOV25" s="70"/>
      <c r="GOW25" s="70"/>
      <c r="GOX25" s="70"/>
      <c r="GOY25" s="70"/>
      <c r="GOZ25" s="70"/>
      <c r="GPA25" s="70"/>
      <c r="GPB25" s="70"/>
      <c r="GPC25" s="70"/>
      <c r="GPD25" s="70"/>
      <c r="GPE25" s="70"/>
      <c r="GPF25" s="70"/>
      <c r="GPG25" s="70"/>
      <c r="GPH25" s="70"/>
      <c r="GPI25" s="70"/>
      <c r="GPJ25" s="70"/>
      <c r="GPK25" s="70"/>
      <c r="GPL25" s="70"/>
      <c r="GPM25" s="70"/>
      <c r="GPN25" s="70"/>
      <c r="GPO25" s="70"/>
      <c r="GPP25" s="70"/>
      <c r="GPQ25" s="70"/>
      <c r="GPR25" s="70"/>
      <c r="GPS25" s="70"/>
      <c r="GPT25" s="70"/>
      <c r="GPU25" s="70"/>
      <c r="GPV25" s="70"/>
      <c r="GPW25" s="70"/>
      <c r="GPX25" s="70"/>
      <c r="GPY25" s="70"/>
      <c r="GPZ25" s="70"/>
      <c r="GQA25" s="70"/>
      <c r="GQB25" s="70"/>
      <c r="GQC25" s="70"/>
      <c r="GQD25" s="70"/>
      <c r="GQE25" s="70"/>
      <c r="GQF25" s="70"/>
      <c r="GQG25" s="70"/>
      <c r="GQH25" s="70"/>
      <c r="GQI25" s="70"/>
      <c r="GQJ25" s="70"/>
      <c r="GQK25" s="70"/>
      <c r="GQL25" s="70"/>
      <c r="GQM25" s="70"/>
      <c r="GQN25" s="70"/>
      <c r="GQO25" s="70"/>
      <c r="GQP25" s="70"/>
      <c r="GQQ25" s="70"/>
      <c r="GQR25" s="70"/>
      <c r="GQS25" s="70"/>
      <c r="GQT25" s="70"/>
      <c r="GQU25" s="70"/>
      <c r="GQV25" s="70"/>
      <c r="GQW25" s="70"/>
      <c r="GQX25" s="70"/>
      <c r="GQY25" s="70"/>
      <c r="GQZ25" s="70"/>
      <c r="GRA25" s="70"/>
      <c r="GRB25" s="70"/>
      <c r="GRC25" s="70"/>
      <c r="GRD25" s="70"/>
      <c r="GRE25" s="70"/>
      <c r="GRF25" s="70"/>
      <c r="GRG25" s="70"/>
      <c r="GRH25" s="70"/>
      <c r="GRI25" s="70"/>
      <c r="GRJ25" s="70"/>
      <c r="GRK25" s="70"/>
      <c r="GRL25" s="70"/>
      <c r="GRM25" s="70"/>
      <c r="GRN25" s="70"/>
      <c r="GRO25" s="70"/>
      <c r="GRP25" s="70"/>
      <c r="GRQ25" s="70"/>
      <c r="GRR25" s="70"/>
      <c r="GRS25" s="70"/>
      <c r="GRT25" s="70"/>
      <c r="GRU25" s="70"/>
      <c r="GRV25" s="70"/>
      <c r="GRW25" s="70"/>
      <c r="GRX25" s="70"/>
      <c r="GRY25" s="70"/>
      <c r="GRZ25" s="70"/>
      <c r="GSA25" s="70"/>
      <c r="GSB25" s="70"/>
      <c r="GSC25" s="70"/>
      <c r="GSD25" s="70"/>
      <c r="GSE25" s="70"/>
      <c r="GSF25" s="70"/>
      <c r="GSG25" s="70"/>
      <c r="GSH25" s="70"/>
      <c r="GSI25" s="70"/>
      <c r="GSJ25" s="70"/>
      <c r="GSK25" s="70"/>
      <c r="GSL25" s="70"/>
      <c r="GSM25" s="70"/>
      <c r="GSN25" s="70"/>
      <c r="GSO25" s="70"/>
      <c r="GSP25" s="70"/>
      <c r="GSQ25" s="70"/>
      <c r="GSR25" s="70"/>
      <c r="GSS25" s="70"/>
      <c r="GST25" s="70"/>
      <c r="GSU25" s="70"/>
      <c r="GSV25" s="70"/>
      <c r="GSW25" s="70"/>
      <c r="GSX25" s="70"/>
      <c r="GSY25" s="70"/>
      <c r="GSZ25" s="70"/>
      <c r="GTA25" s="70"/>
      <c r="GTB25" s="70"/>
      <c r="GTC25" s="70"/>
      <c r="GTD25" s="70"/>
      <c r="GTE25" s="70"/>
      <c r="GTF25" s="70"/>
      <c r="GTG25" s="70"/>
      <c r="GTH25" s="70"/>
      <c r="GTI25" s="70"/>
      <c r="GTJ25" s="70"/>
      <c r="GTK25" s="70"/>
      <c r="GTL25" s="70"/>
      <c r="GTM25" s="70"/>
      <c r="GTN25" s="70"/>
      <c r="GTO25" s="70"/>
      <c r="GTP25" s="70"/>
      <c r="GTQ25" s="70"/>
      <c r="GTR25" s="70"/>
      <c r="GTS25" s="70"/>
      <c r="GTT25" s="70"/>
      <c r="GTU25" s="70"/>
      <c r="GTV25" s="70"/>
      <c r="GTW25" s="70"/>
      <c r="GTX25" s="70"/>
      <c r="GTY25" s="70"/>
      <c r="GTZ25" s="70"/>
      <c r="GUA25" s="70"/>
      <c r="GUB25" s="70"/>
      <c r="GUC25" s="70"/>
      <c r="GUD25" s="70"/>
      <c r="GUE25" s="70"/>
      <c r="GUF25" s="70"/>
      <c r="GUG25" s="70"/>
      <c r="GUH25" s="70"/>
      <c r="GUI25" s="70"/>
      <c r="GUJ25" s="70"/>
      <c r="GUK25" s="70"/>
      <c r="GUL25" s="70"/>
      <c r="GUM25" s="70"/>
      <c r="GUN25" s="70"/>
      <c r="GUO25" s="70"/>
      <c r="GUP25" s="70"/>
      <c r="GUQ25" s="70"/>
      <c r="GUR25" s="70"/>
      <c r="GUS25" s="70"/>
      <c r="GUT25" s="70"/>
      <c r="GUU25" s="70"/>
      <c r="GUV25" s="70"/>
      <c r="GUW25" s="70"/>
      <c r="GUX25" s="70"/>
      <c r="GUY25" s="70"/>
      <c r="GUZ25" s="70"/>
      <c r="GVA25" s="70"/>
      <c r="GVB25" s="70"/>
      <c r="GVC25" s="70"/>
      <c r="GVD25" s="70"/>
      <c r="GVE25" s="70"/>
      <c r="GVF25" s="70"/>
      <c r="GVG25" s="70"/>
      <c r="GVH25" s="70"/>
      <c r="GVI25" s="70"/>
      <c r="GVJ25" s="70"/>
      <c r="GVK25" s="70"/>
      <c r="GVL25" s="70"/>
      <c r="GVM25" s="70"/>
      <c r="GVN25" s="70"/>
      <c r="GVO25" s="70"/>
      <c r="GVP25" s="70"/>
      <c r="GVQ25" s="70"/>
      <c r="GVR25" s="70"/>
      <c r="GVS25" s="70"/>
      <c r="GVT25" s="70"/>
      <c r="GVU25" s="70"/>
      <c r="GVV25" s="70"/>
      <c r="GVW25" s="70"/>
      <c r="GVX25" s="70"/>
      <c r="GVY25" s="70"/>
      <c r="GVZ25" s="70"/>
      <c r="GWA25" s="70"/>
      <c r="GWB25" s="70"/>
      <c r="GWC25" s="70"/>
      <c r="GWD25" s="70"/>
      <c r="GWE25" s="70"/>
      <c r="GWF25" s="70"/>
      <c r="GWG25" s="70"/>
      <c r="GWH25" s="70"/>
      <c r="GWI25" s="70"/>
      <c r="GWJ25" s="70"/>
      <c r="GWK25" s="70"/>
      <c r="GWL25" s="70"/>
      <c r="GWM25" s="70"/>
      <c r="GWN25" s="70"/>
      <c r="GWO25" s="70"/>
      <c r="GWP25" s="70"/>
      <c r="GWQ25" s="70"/>
      <c r="GWR25" s="70"/>
      <c r="GWS25" s="70"/>
      <c r="GWT25" s="70"/>
      <c r="GWU25" s="70"/>
      <c r="GWV25" s="70"/>
      <c r="GWW25" s="70"/>
      <c r="GWX25" s="70"/>
      <c r="GWY25" s="70"/>
      <c r="GWZ25" s="70"/>
      <c r="GXA25" s="70"/>
      <c r="GXB25" s="70"/>
      <c r="GXC25" s="70"/>
      <c r="GXD25" s="70"/>
      <c r="GXE25" s="70"/>
      <c r="GXF25" s="70"/>
      <c r="GXG25" s="70"/>
      <c r="GXH25" s="70"/>
      <c r="GXI25" s="70"/>
      <c r="GXJ25" s="70"/>
      <c r="GXK25" s="70"/>
      <c r="GXL25" s="70"/>
      <c r="GXM25" s="70"/>
      <c r="GXN25" s="70"/>
      <c r="GXO25" s="70"/>
      <c r="GXP25" s="70"/>
      <c r="GXQ25" s="70"/>
      <c r="GXR25" s="70"/>
      <c r="GXS25" s="70"/>
      <c r="GXT25" s="70"/>
      <c r="GXU25" s="70"/>
      <c r="GXV25" s="70"/>
      <c r="GXW25" s="70"/>
      <c r="GXX25" s="70"/>
      <c r="GXY25" s="70"/>
      <c r="GXZ25" s="70"/>
      <c r="GYA25" s="70"/>
      <c r="GYB25" s="70"/>
      <c r="GYC25" s="70"/>
      <c r="GYD25" s="70"/>
      <c r="GYE25" s="70"/>
      <c r="GYF25" s="70"/>
      <c r="GYG25" s="70"/>
      <c r="GYH25" s="70"/>
      <c r="GYI25" s="70"/>
      <c r="GYJ25" s="70"/>
      <c r="GYK25" s="70"/>
      <c r="GYL25" s="70"/>
      <c r="GYM25" s="70"/>
      <c r="GYN25" s="70"/>
      <c r="GYO25" s="70"/>
      <c r="GYP25" s="70"/>
      <c r="GYQ25" s="70"/>
      <c r="GYR25" s="70"/>
      <c r="GYS25" s="70"/>
      <c r="GYT25" s="70"/>
      <c r="GYU25" s="70"/>
      <c r="GYV25" s="70"/>
      <c r="GYW25" s="70"/>
      <c r="GYX25" s="70"/>
      <c r="GYY25" s="70"/>
      <c r="GYZ25" s="70"/>
      <c r="GZA25" s="70"/>
      <c r="GZB25" s="70"/>
      <c r="GZC25" s="70"/>
      <c r="GZD25" s="70"/>
      <c r="GZE25" s="70"/>
      <c r="GZF25" s="70"/>
      <c r="GZG25" s="70"/>
      <c r="GZH25" s="70"/>
      <c r="GZI25" s="70"/>
      <c r="GZJ25" s="70"/>
      <c r="GZK25" s="70"/>
      <c r="GZL25" s="70"/>
      <c r="GZM25" s="70"/>
      <c r="GZN25" s="70"/>
      <c r="GZO25" s="70"/>
      <c r="GZP25" s="70"/>
      <c r="GZQ25" s="70"/>
      <c r="GZR25" s="70"/>
      <c r="GZS25" s="70"/>
      <c r="GZT25" s="70"/>
      <c r="GZU25" s="70"/>
      <c r="GZV25" s="70"/>
      <c r="GZW25" s="70"/>
      <c r="GZX25" s="70"/>
      <c r="GZY25" s="70"/>
      <c r="GZZ25" s="70"/>
      <c r="HAA25" s="70"/>
      <c r="HAB25" s="70"/>
      <c r="HAC25" s="70"/>
      <c r="HAD25" s="70"/>
      <c r="HAE25" s="70"/>
      <c r="HAF25" s="70"/>
      <c r="HAG25" s="70"/>
      <c r="HAH25" s="70"/>
      <c r="HAI25" s="70"/>
      <c r="HAJ25" s="70"/>
      <c r="HAK25" s="70"/>
      <c r="HAL25" s="70"/>
      <c r="HAM25" s="70"/>
      <c r="HAN25" s="70"/>
      <c r="HAO25" s="70"/>
      <c r="HAP25" s="70"/>
      <c r="HAQ25" s="70"/>
      <c r="HAR25" s="70"/>
      <c r="HAS25" s="70"/>
      <c r="HAT25" s="70"/>
      <c r="HAU25" s="70"/>
      <c r="HAV25" s="70"/>
      <c r="HAW25" s="70"/>
      <c r="HAX25" s="70"/>
      <c r="HAY25" s="70"/>
      <c r="HAZ25" s="70"/>
      <c r="HBA25" s="70"/>
      <c r="HBB25" s="70"/>
      <c r="HBC25" s="70"/>
      <c r="HBD25" s="70"/>
      <c r="HBE25" s="70"/>
      <c r="HBF25" s="70"/>
      <c r="HBG25" s="70"/>
      <c r="HBH25" s="70"/>
      <c r="HBI25" s="70"/>
      <c r="HBJ25" s="70"/>
      <c r="HBK25" s="70"/>
      <c r="HBL25" s="70"/>
      <c r="HBM25" s="70"/>
      <c r="HBN25" s="70"/>
      <c r="HBO25" s="70"/>
      <c r="HBP25" s="70"/>
      <c r="HBQ25" s="70"/>
      <c r="HBR25" s="70"/>
      <c r="HBS25" s="70"/>
      <c r="HBT25" s="70"/>
      <c r="HBU25" s="70"/>
      <c r="HBV25" s="70"/>
      <c r="HBW25" s="70"/>
      <c r="HBX25" s="70"/>
      <c r="HBY25" s="70"/>
      <c r="HBZ25" s="70"/>
      <c r="HCA25" s="70"/>
      <c r="HCB25" s="70"/>
      <c r="HCC25" s="70"/>
      <c r="HCD25" s="70"/>
      <c r="HCE25" s="70"/>
      <c r="HCF25" s="70"/>
      <c r="HCG25" s="70"/>
      <c r="HCH25" s="70"/>
      <c r="HCI25" s="70"/>
      <c r="HCJ25" s="70"/>
      <c r="HCK25" s="70"/>
      <c r="HCL25" s="70"/>
      <c r="HCM25" s="70"/>
      <c r="HCN25" s="70"/>
      <c r="HCO25" s="70"/>
      <c r="HCP25" s="70"/>
      <c r="HCQ25" s="70"/>
      <c r="HCR25" s="70"/>
      <c r="HCS25" s="70"/>
      <c r="HCT25" s="70"/>
      <c r="HCU25" s="70"/>
      <c r="HCV25" s="70"/>
      <c r="HCW25" s="70"/>
      <c r="HCX25" s="70"/>
      <c r="HCY25" s="70"/>
      <c r="HCZ25" s="70"/>
      <c r="HDA25" s="70"/>
      <c r="HDB25" s="70"/>
      <c r="HDC25" s="70"/>
      <c r="HDD25" s="70"/>
      <c r="HDE25" s="70"/>
      <c r="HDF25" s="70"/>
      <c r="HDG25" s="70"/>
      <c r="HDH25" s="70"/>
      <c r="HDI25" s="70"/>
      <c r="HDJ25" s="70"/>
      <c r="HDK25" s="70"/>
      <c r="HDL25" s="70"/>
      <c r="HDM25" s="70"/>
      <c r="HDN25" s="70"/>
      <c r="HDO25" s="70"/>
      <c r="HDP25" s="70"/>
      <c r="HDQ25" s="70"/>
      <c r="HDR25" s="70"/>
      <c r="HDS25" s="70"/>
      <c r="HDT25" s="70"/>
      <c r="HDU25" s="70"/>
      <c r="HDV25" s="70"/>
      <c r="HDW25" s="70"/>
      <c r="HDX25" s="70"/>
      <c r="HDY25" s="70"/>
      <c r="HDZ25" s="70"/>
      <c r="HEA25" s="70"/>
      <c r="HEB25" s="70"/>
      <c r="HEC25" s="70"/>
      <c r="HED25" s="70"/>
      <c r="HEE25" s="70"/>
      <c r="HEF25" s="70"/>
      <c r="HEG25" s="70"/>
      <c r="HEH25" s="70"/>
      <c r="HEI25" s="70"/>
      <c r="HEJ25" s="70"/>
      <c r="HEK25" s="70"/>
      <c r="HEL25" s="70"/>
      <c r="HEM25" s="70"/>
      <c r="HEN25" s="70"/>
      <c r="HEO25" s="70"/>
      <c r="HEP25" s="70"/>
      <c r="HEQ25" s="70"/>
      <c r="HER25" s="70"/>
      <c r="HES25" s="70"/>
      <c r="HET25" s="70"/>
      <c r="HEU25" s="70"/>
      <c r="HEV25" s="70"/>
      <c r="HEW25" s="70"/>
      <c r="HEX25" s="70"/>
      <c r="HEY25" s="70"/>
      <c r="HEZ25" s="70"/>
      <c r="HFA25" s="70"/>
      <c r="HFB25" s="70"/>
      <c r="HFC25" s="70"/>
      <c r="HFD25" s="70"/>
      <c r="HFE25" s="70"/>
      <c r="HFF25" s="70"/>
      <c r="HFG25" s="70"/>
      <c r="HFH25" s="70"/>
      <c r="HFI25" s="70"/>
      <c r="HFJ25" s="70"/>
      <c r="HFK25" s="70"/>
      <c r="HFL25" s="70"/>
      <c r="HFM25" s="70"/>
      <c r="HFN25" s="70"/>
      <c r="HFO25" s="70"/>
      <c r="HFP25" s="70"/>
      <c r="HFQ25" s="70"/>
      <c r="HFR25" s="70"/>
      <c r="HFS25" s="70"/>
      <c r="HFT25" s="70"/>
      <c r="HFU25" s="70"/>
      <c r="HFV25" s="70"/>
      <c r="HFW25" s="70"/>
      <c r="HFX25" s="70"/>
      <c r="HFY25" s="70"/>
      <c r="HFZ25" s="70"/>
      <c r="HGA25" s="70"/>
      <c r="HGB25" s="70"/>
      <c r="HGC25" s="70"/>
      <c r="HGD25" s="70"/>
      <c r="HGE25" s="70"/>
      <c r="HGF25" s="70"/>
      <c r="HGG25" s="70"/>
      <c r="HGH25" s="70"/>
      <c r="HGI25" s="70"/>
      <c r="HGJ25" s="70"/>
      <c r="HGK25" s="70"/>
      <c r="HGL25" s="70"/>
      <c r="HGM25" s="70"/>
      <c r="HGN25" s="70"/>
      <c r="HGO25" s="70"/>
      <c r="HGP25" s="70"/>
      <c r="HGQ25" s="70"/>
      <c r="HGR25" s="70"/>
      <c r="HGS25" s="70"/>
      <c r="HGT25" s="70"/>
      <c r="HGU25" s="70"/>
      <c r="HGV25" s="70"/>
      <c r="HGW25" s="70"/>
      <c r="HGX25" s="70"/>
      <c r="HGY25" s="70"/>
      <c r="HGZ25" s="70"/>
      <c r="HHA25" s="70"/>
      <c r="HHB25" s="70"/>
      <c r="HHC25" s="70"/>
      <c r="HHD25" s="70"/>
      <c r="HHE25" s="70"/>
      <c r="HHF25" s="70"/>
      <c r="HHG25" s="70"/>
      <c r="HHH25" s="70"/>
      <c r="HHI25" s="70"/>
      <c r="HHJ25" s="70"/>
      <c r="HHK25" s="70"/>
      <c r="HHL25" s="70"/>
      <c r="HHM25" s="70"/>
      <c r="HHN25" s="70"/>
      <c r="HHO25" s="70"/>
      <c r="HHP25" s="70"/>
      <c r="HHQ25" s="70"/>
      <c r="HHR25" s="70"/>
      <c r="HHS25" s="70"/>
      <c r="HHT25" s="70"/>
      <c r="HHU25" s="70"/>
      <c r="HHV25" s="70"/>
      <c r="HHW25" s="70"/>
      <c r="HHX25" s="70"/>
      <c r="HHY25" s="70"/>
      <c r="HHZ25" s="70"/>
      <c r="HIA25" s="70"/>
      <c r="HIB25" s="70"/>
      <c r="HIC25" s="70"/>
      <c r="HID25" s="70"/>
      <c r="HIE25" s="70"/>
      <c r="HIF25" s="70"/>
      <c r="HIG25" s="70"/>
      <c r="HIH25" s="70"/>
      <c r="HII25" s="70"/>
      <c r="HIJ25" s="70"/>
      <c r="HIK25" s="70"/>
      <c r="HIL25" s="70"/>
      <c r="HIM25" s="70"/>
      <c r="HIN25" s="70"/>
      <c r="HIO25" s="70"/>
      <c r="HIP25" s="70"/>
      <c r="HIQ25" s="70"/>
      <c r="HIR25" s="70"/>
      <c r="HIS25" s="70"/>
      <c r="HIT25" s="70"/>
      <c r="HIU25" s="70"/>
      <c r="HIV25" s="70"/>
      <c r="HIW25" s="70"/>
      <c r="HIX25" s="70"/>
      <c r="HIY25" s="70"/>
      <c r="HIZ25" s="70"/>
      <c r="HJA25" s="70"/>
      <c r="HJB25" s="70"/>
      <c r="HJC25" s="70"/>
      <c r="HJD25" s="70"/>
      <c r="HJE25" s="70"/>
      <c r="HJF25" s="70"/>
      <c r="HJG25" s="70"/>
      <c r="HJH25" s="70"/>
      <c r="HJI25" s="70"/>
      <c r="HJJ25" s="70"/>
      <c r="HJK25" s="70"/>
      <c r="HJL25" s="70"/>
      <c r="HJM25" s="70"/>
      <c r="HJN25" s="70"/>
      <c r="HJO25" s="70"/>
      <c r="HJP25" s="70"/>
      <c r="HJQ25" s="70"/>
      <c r="HJR25" s="70"/>
      <c r="HJS25" s="70"/>
      <c r="HJT25" s="70"/>
      <c r="HJU25" s="70"/>
      <c r="HJV25" s="70"/>
      <c r="HJW25" s="70"/>
      <c r="HJX25" s="70"/>
      <c r="HJY25" s="70"/>
      <c r="HJZ25" s="70"/>
      <c r="HKA25" s="70"/>
      <c r="HKB25" s="70"/>
      <c r="HKC25" s="70"/>
      <c r="HKD25" s="70"/>
      <c r="HKE25" s="70"/>
      <c r="HKF25" s="70"/>
      <c r="HKG25" s="70"/>
      <c r="HKH25" s="70"/>
      <c r="HKI25" s="70"/>
      <c r="HKJ25" s="70"/>
      <c r="HKK25" s="70"/>
      <c r="HKL25" s="70"/>
      <c r="HKM25" s="70"/>
      <c r="HKN25" s="70"/>
      <c r="HKO25" s="70"/>
      <c r="HKP25" s="70"/>
      <c r="HKQ25" s="70"/>
      <c r="HKR25" s="70"/>
      <c r="HKS25" s="70"/>
      <c r="HKT25" s="70"/>
      <c r="HKU25" s="70"/>
      <c r="HKV25" s="70"/>
      <c r="HKW25" s="70"/>
      <c r="HKX25" s="70"/>
      <c r="HKY25" s="70"/>
      <c r="HKZ25" s="70"/>
      <c r="HLA25" s="70"/>
      <c r="HLB25" s="70"/>
      <c r="HLC25" s="70"/>
      <c r="HLD25" s="70"/>
      <c r="HLE25" s="70"/>
      <c r="HLF25" s="70"/>
      <c r="HLG25" s="70"/>
      <c r="HLH25" s="70"/>
      <c r="HLI25" s="70"/>
      <c r="HLJ25" s="70"/>
      <c r="HLK25" s="70"/>
      <c r="HLL25" s="70"/>
      <c r="HLM25" s="70"/>
      <c r="HLN25" s="70"/>
      <c r="HLO25" s="70"/>
      <c r="HLP25" s="70"/>
      <c r="HLQ25" s="70"/>
      <c r="HLR25" s="70"/>
      <c r="HLS25" s="70"/>
      <c r="HLT25" s="70"/>
      <c r="HLU25" s="70"/>
      <c r="HLV25" s="70"/>
      <c r="HLW25" s="70"/>
      <c r="HLX25" s="70"/>
      <c r="HLY25" s="70"/>
      <c r="HLZ25" s="70"/>
      <c r="HMA25" s="70"/>
      <c r="HMB25" s="70"/>
      <c r="HMC25" s="70"/>
      <c r="HMD25" s="70"/>
      <c r="HME25" s="70"/>
      <c r="HMF25" s="70"/>
      <c r="HMG25" s="70"/>
      <c r="HMH25" s="70"/>
      <c r="HMI25" s="70"/>
      <c r="HMJ25" s="70"/>
      <c r="HMK25" s="70"/>
      <c r="HML25" s="70"/>
      <c r="HMM25" s="70"/>
      <c r="HMN25" s="70"/>
      <c r="HMO25" s="70"/>
      <c r="HMP25" s="70"/>
      <c r="HMQ25" s="70"/>
      <c r="HMR25" s="70"/>
      <c r="HMS25" s="70"/>
      <c r="HMT25" s="70"/>
      <c r="HMU25" s="70"/>
      <c r="HMV25" s="70"/>
      <c r="HMW25" s="70"/>
      <c r="HMX25" s="70"/>
      <c r="HMY25" s="70"/>
      <c r="HMZ25" s="70"/>
      <c r="HNA25" s="70"/>
      <c r="HNB25" s="70"/>
      <c r="HNC25" s="70"/>
      <c r="HND25" s="70"/>
      <c r="HNE25" s="70"/>
      <c r="HNF25" s="70"/>
      <c r="HNG25" s="70"/>
      <c r="HNH25" s="70"/>
      <c r="HNI25" s="70"/>
      <c r="HNJ25" s="70"/>
      <c r="HNK25" s="70"/>
      <c r="HNL25" s="70"/>
      <c r="HNM25" s="70"/>
      <c r="HNN25" s="70"/>
      <c r="HNO25" s="70"/>
      <c r="HNP25" s="70"/>
      <c r="HNQ25" s="70"/>
      <c r="HNR25" s="70"/>
      <c r="HNS25" s="70"/>
      <c r="HNT25" s="70"/>
      <c r="HNU25" s="70"/>
      <c r="HNV25" s="70"/>
      <c r="HNW25" s="70"/>
      <c r="HNX25" s="70"/>
      <c r="HNY25" s="70"/>
      <c r="HNZ25" s="70"/>
      <c r="HOA25" s="70"/>
      <c r="HOB25" s="70"/>
      <c r="HOC25" s="70"/>
      <c r="HOD25" s="70"/>
      <c r="HOE25" s="70"/>
      <c r="HOF25" s="70"/>
      <c r="HOG25" s="70"/>
      <c r="HOH25" s="70"/>
      <c r="HOI25" s="70"/>
      <c r="HOJ25" s="70"/>
      <c r="HOK25" s="70"/>
      <c r="HOL25" s="70"/>
      <c r="HOM25" s="70"/>
      <c r="HON25" s="70"/>
      <c r="HOO25" s="70"/>
      <c r="HOP25" s="70"/>
      <c r="HOQ25" s="70"/>
      <c r="HOR25" s="70"/>
      <c r="HOS25" s="70"/>
      <c r="HOT25" s="70"/>
      <c r="HOU25" s="70"/>
      <c r="HOV25" s="70"/>
      <c r="HOW25" s="70"/>
      <c r="HOX25" s="70"/>
      <c r="HOY25" s="70"/>
      <c r="HOZ25" s="70"/>
      <c r="HPA25" s="70"/>
      <c r="HPB25" s="70"/>
      <c r="HPC25" s="70"/>
      <c r="HPD25" s="70"/>
      <c r="HPE25" s="70"/>
      <c r="HPF25" s="70"/>
      <c r="HPG25" s="70"/>
      <c r="HPH25" s="70"/>
      <c r="HPI25" s="70"/>
      <c r="HPJ25" s="70"/>
      <c r="HPK25" s="70"/>
      <c r="HPL25" s="70"/>
      <c r="HPM25" s="70"/>
      <c r="HPN25" s="70"/>
      <c r="HPO25" s="70"/>
      <c r="HPP25" s="70"/>
      <c r="HPQ25" s="70"/>
      <c r="HPR25" s="70"/>
      <c r="HPS25" s="70"/>
      <c r="HPT25" s="70"/>
      <c r="HPU25" s="70"/>
      <c r="HPV25" s="70"/>
      <c r="HPW25" s="70"/>
      <c r="HPX25" s="70"/>
      <c r="HPY25" s="70"/>
      <c r="HPZ25" s="70"/>
      <c r="HQA25" s="70"/>
      <c r="HQB25" s="70"/>
      <c r="HQC25" s="70"/>
      <c r="HQD25" s="70"/>
      <c r="HQE25" s="70"/>
      <c r="HQF25" s="70"/>
      <c r="HQG25" s="70"/>
      <c r="HQH25" s="70"/>
      <c r="HQI25" s="70"/>
      <c r="HQJ25" s="70"/>
      <c r="HQK25" s="70"/>
      <c r="HQL25" s="70"/>
      <c r="HQM25" s="70"/>
      <c r="HQN25" s="70"/>
      <c r="HQO25" s="70"/>
      <c r="HQP25" s="70"/>
      <c r="HQQ25" s="70"/>
      <c r="HQR25" s="70"/>
      <c r="HQS25" s="70"/>
      <c r="HQT25" s="70"/>
      <c r="HQU25" s="70"/>
      <c r="HQV25" s="70"/>
      <c r="HQW25" s="70"/>
      <c r="HQX25" s="70"/>
      <c r="HQY25" s="70"/>
      <c r="HQZ25" s="70"/>
      <c r="HRA25" s="70"/>
      <c r="HRB25" s="70"/>
      <c r="HRC25" s="70"/>
      <c r="HRD25" s="70"/>
      <c r="HRE25" s="70"/>
      <c r="HRF25" s="70"/>
      <c r="HRG25" s="70"/>
      <c r="HRH25" s="70"/>
      <c r="HRI25" s="70"/>
      <c r="HRJ25" s="70"/>
      <c r="HRK25" s="70"/>
      <c r="HRL25" s="70"/>
      <c r="HRM25" s="70"/>
      <c r="HRN25" s="70"/>
      <c r="HRO25" s="70"/>
      <c r="HRP25" s="70"/>
      <c r="HRQ25" s="70"/>
      <c r="HRR25" s="70"/>
      <c r="HRS25" s="70"/>
      <c r="HRT25" s="70"/>
      <c r="HRU25" s="70"/>
      <c r="HRV25" s="70"/>
      <c r="HRW25" s="70"/>
      <c r="HRX25" s="70"/>
      <c r="HRY25" s="70"/>
      <c r="HRZ25" s="70"/>
      <c r="HSA25" s="70"/>
      <c r="HSB25" s="70"/>
      <c r="HSC25" s="70"/>
      <c r="HSD25" s="70"/>
      <c r="HSE25" s="70"/>
      <c r="HSF25" s="70"/>
      <c r="HSG25" s="70"/>
      <c r="HSH25" s="70"/>
      <c r="HSI25" s="70"/>
      <c r="HSJ25" s="70"/>
      <c r="HSK25" s="70"/>
      <c r="HSL25" s="70"/>
      <c r="HSM25" s="70"/>
      <c r="HSN25" s="70"/>
      <c r="HSO25" s="70"/>
      <c r="HSP25" s="70"/>
      <c r="HSQ25" s="70"/>
      <c r="HSR25" s="70"/>
      <c r="HSS25" s="70"/>
      <c r="HST25" s="70"/>
      <c r="HSU25" s="70"/>
      <c r="HSV25" s="70"/>
      <c r="HSW25" s="70"/>
      <c r="HSX25" s="70"/>
      <c r="HSY25" s="70"/>
      <c r="HSZ25" s="70"/>
      <c r="HTA25" s="70"/>
      <c r="HTB25" s="70"/>
      <c r="HTC25" s="70"/>
      <c r="HTD25" s="70"/>
      <c r="HTE25" s="70"/>
      <c r="HTF25" s="70"/>
      <c r="HTG25" s="70"/>
      <c r="HTH25" s="70"/>
      <c r="HTI25" s="70"/>
      <c r="HTJ25" s="70"/>
      <c r="HTK25" s="70"/>
      <c r="HTL25" s="70"/>
      <c r="HTM25" s="70"/>
      <c r="HTN25" s="70"/>
      <c r="HTO25" s="70"/>
      <c r="HTP25" s="70"/>
      <c r="HTQ25" s="70"/>
      <c r="HTR25" s="70"/>
      <c r="HTS25" s="70"/>
      <c r="HTT25" s="70"/>
      <c r="HTU25" s="70"/>
      <c r="HTV25" s="70"/>
      <c r="HTW25" s="70"/>
      <c r="HTX25" s="70"/>
      <c r="HTY25" s="70"/>
      <c r="HTZ25" s="70"/>
      <c r="HUA25" s="70"/>
      <c r="HUB25" s="70"/>
      <c r="HUC25" s="70"/>
      <c r="HUD25" s="70"/>
      <c r="HUE25" s="70"/>
      <c r="HUF25" s="70"/>
      <c r="HUG25" s="70"/>
      <c r="HUH25" s="70"/>
      <c r="HUI25" s="70"/>
      <c r="HUJ25" s="70"/>
      <c r="HUK25" s="70"/>
      <c r="HUL25" s="70"/>
      <c r="HUM25" s="70"/>
      <c r="HUN25" s="70"/>
      <c r="HUO25" s="70"/>
      <c r="HUP25" s="70"/>
      <c r="HUQ25" s="70"/>
      <c r="HUR25" s="70"/>
      <c r="HUS25" s="70"/>
      <c r="HUT25" s="70"/>
      <c r="HUU25" s="70"/>
      <c r="HUV25" s="70"/>
      <c r="HUW25" s="70"/>
      <c r="HUX25" s="70"/>
      <c r="HUY25" s="70"/>
      <c r="HUZ25" s="70"/>
      <c r="HVA25" s="70"/>
      <c r="HVB25" s="70"/>
      <c r="HVC25" s="70"/>
      <c r="HVD25" s="70"/>
      <c r="HVE25" s="70"/>
      <c r="HVF25" s="70"/>
      <c r="HVG25" s="70"/>
      <c r="HVH25" s="70"/>
      <c r="HVI25" s="70"/>
      <c r="HVJ25" s="70"/>
      <c r="HVK25" s="70"/>
      <c r="HVL25" s="70"/>
      <c r="HVM25" s="70"/>
      <c r="HVN25" s="70"/>
      <c r="HVO25" s="70"/>
      <c r="HVP25" s="70"/>
      <c r="HVQ25" s="70"/>
      <c r="HVR25" s="70"/>
      <c r="HVS25" s="70"/>
      <c r="HVT25" s="70"/>
      <c r="HVU25" s="70"/>
      <c r="HVV25" s="70"/>
      <c r="HVW25" s="70"/>
      <c r="HVX25" s="70"/>
      <c r="HVY25" s="70"/>
      <c r="HVZ25" s="70"/>
      <c r="HWA25" s="70"/>
      <c r="HWB25" s="70"/>
      <c r="HWC25" s="70"/>
      <c r="HWD25" s="70"/>
      <c r="HWE25" s="70"/>
      <c r="HWF25" s="70"/>
      <c r="HWG25" s="70"/>
      <c r="HWH25" s="70"/>
      <c r="HWI25" s="70"/>
      <c r="HWJ25" s="70"/>
      <c r="HWK25" s="70"/>
      <c r="HWL25" s="70"/>
      <c r="HWM25" s="70"/>
      <c r="HWN25" s="70"/>
      <c r="HWO25" s="70"/>
      <c r="HWP25" s="70"/>
      <c r="HWQ25" s="70"/>
      <c r="HWR25" s="70"/>
      <c r="HWS25" s="70"/>
      <c r="HWT25" s="70"/>
      <c r="HWU25" s="70"/>
      <c r="HWV25" s="70"/>
      <c r="HWW25" s="70"/>
      <c r="HWX25" s="70"/>
      <c r="HWY25" s="70"/>
      <c r="HWZ25" s="70"/>
      <c r="HXA25" s="70"/>
      <c r="HXB25" s="70"/>
      <c r="HXC25" s="70"/>
      <c r="HXD25" s="70"/>
      <c r="HXE25" s="70"/>
      <c r="HXF25" s="70"/>
      <c r="HXG25" s="70"/>
      <c r="HXH25" s="70"/>
      <c r="HXI25" s="70"/>
      <c r="HXJ25" s="70"/>
      <c r="HXK25" s="70"/>
      <c r="HXL25" s="70"/>
      <c r="HXM25" s="70"/>
      <c r="HXN25" s="70"/>
      <c r="HXO25" s="70"/>
      <c r="HXP25" s="70"/>
      <c r="HXQ25" s="70"/>
      <c r="HXR25" s="70"/>
      <c r="HXS25" s="70"/>
      <c r="HXT25" s="70"/>
      <c r="HXU25" s="70"/>
      <c r="HXV25" s="70"/>
      <c r="HXW25" s="70"/>
      <c r="HXX25" s="70"/>
      <c r="HXY25" s="70"/>
      <c r="HXZ25" s="70"/>
      <c r="HYA25" s="70"/>
      <c r="HYB25" s="70"/>
      <c r="HYC25" s="70"/>
      <c r="HYD25" s="70"/>
      <c r="HYE25" s="70"/>
      <c r="HYF25" s="70"/>
      <c r="HYG25" s="70"/>
      <c r="HYH25" s="70"/>
      <c r="HYI25" s="70"/>
      <c r="HYJ25" s="70"/>
      <c r="HYK25" s="70"/>
      <c r="HYL25" s="70"/>
      <c r="HYM25" s="70"/>
      <c r="HYN25" s="70"/>
      <c r="HYO25" s="70"/>
      <c r="HYP25" s="70"/>
      <c r="HYQ25" s="70"/>
      <c r="HYR25" s="70"/>
      <c r="HYS25" s="70"/>
      <c r="HYT25" s="70"/>
      <c r="HYU25" s="70"/>
      <c r="HYV25" s="70"/>
      <c r="HYW25" s="70"/>
      <c r="HYX25" s="70"/>
      <c r="HYY25" s="70"/>
      <c r="HYZ25" s="70"/>
      <c r="HZA25" s="70"/>
      <c r="HZB25" s="70"/>
      <c r="HZC25" s="70"/>
      <c r="HZD25" s="70"/>
      <c r="HZE25" s="70"/>
      <c r="HZF25" s="70"/>
      <c r="HZG25" s="70"/>
      <c r="HZH25" s="70"/>
      <c r="HZI25" s="70"/>
      <c r="HZJ25" s="70"/>
      <c r="HZK25" s="70"/>
      <c r="HZL25" s="70"/>
      <c r="HZM25" s="70"/>
      <c r="HZN25" s="70"/>
      <c r="HZO25" s="70"/>
      <c r="HZP25" s="70"/>
      <c r="HZQ25" s="70"/>
      <c r="HZR25" s="70"/>
      <c r="HZS25" s="70"/>
      <c r="HZT25" s="70"/>
      <c r="HZU25" s="70"/>
      <c r="HZV25" s="70"/>
      <c r="HZW25" s="70"/>
      <c r="HZX25" s="70"/>
      <c r="HZY25" s="70"/>
      <c r="HZZ25" s="70"/>
      <c r="IAA25" s="70"/>
      <c r="IAB25" s="70"/>
      <c r="IAC25" s="70"/>
      <c r="IAD25" s="70"/>
      <c r="IAE25" s="70"/>
      <c r="IAF25" s="70"/>
      <c r="IAG25" s="70"/>
      <c r="IAH25" s="70"/>
      <c r="IAI25" s="70"/>
      <c r="IAJ25" s="70"/>
      <c r="IAK25" s="70"/>
      <c r="IAL25" s="70"/>
      <c r="IAM25" s="70"/>
      <c r="IAN25" s="70"/>
      <c r="IAO25" s="70"/>
      <c r="IAP25" s="70"/>
      <c r="IAQ25" s="70"/>
      <c r="IAR25" s="70"/>
      <c r="IAS25" s="70"/>
      <c r="IAT25" s="70"/>
      <c r="IAU25" s="70"/>
      <c r="IAV25" s="70"/>
      <c r="IAW25" s="70"/>
      <c r="IAX25" s="70"/>
      <c r="IAY25" s="70"/>
      <c r="IAZ25" s="70"/>
      <c r="IBA25" s="70"/>
      <c r="IBB25" s="70"/>
      <c r="IBC25" s="70"/>
      <c r="IBD25" s="70"/>
      <c r="IBE25" s="70"/>
      <c r="IBF25" s="70"/>
      <c r="IBG25" s="70"/>
      <c r="IBH25" s="70"/>
      <c r="IBI25" s="70"/>
      <c r="IBJ25" s="70"/>
      <c r="IBK25" s="70"/>
      <c r="IBL25" s="70"/>
      <c r="IBM25" s="70"/>
      <c r="IBN25" s="70"/>
      <c r="IBO25" s="70"/>
      <c r="IBP25" s="70"/>
      <c r="IBQ25" s="70"/>
      <c r="IBR25" s="70"/>
      <c r="IBS25" s="70"/>
      <c r="IBT25" s="70"/>
      <c r="IBU25" s="70"/>
      <c r="IBV25" s="70"/>
      <c r="IBW25" s="70"/>
      <c r="IBX25" s="70"/>
      <c r="IBY25" s="70"/>
      <c r="IBZ25" s="70"/>
      <c r="ICA25" s="70"/>
      <c r="ICB25" s="70"/>
      <c r="ICC25" s="70"/>
      <c r="ICD25" s="70"/>
      <c r="ICE25" s="70"/>
      <c r="ICF25" s="70"/>
      <c r="ICG25" s="70"/>
      <c r="ICH25" s="70"/>
      <c r="ICI25" s="70"/>
      <c r="ICJ25" s="70"/>
      <c r="ICK25" s="70"/>
      <c r="ICL25" s="70"/>
      <c r="ICM25" s="70"/>
      <c r="ICN25" s="70"/>
      <c r="ICO25" s="70"/>
      <c r="ICP25" s="70"/>
      <c r="ICQ25" s="70"/>
      <c r="ICR25" s="70"/>
      <c r="ICS25" s="70"/>
      <c r="ICT25" s="70"/>
      <c r="ICU25" s="70"/>
      <c r="ICV25" s="70"/>
      <c r="ICW25" s="70"/>
      <c r="ICX25" s="70"/>
      <c r="ICY25" s="70"/>
      <c r="ICZ25" s="70"/>
      <c r="IDA25" s="70"/>
      <c r="IDB25" s="70"/>
      <c r="IDC25" s="70"/>
      <c r="IDD25" s="70"/>
      <c r="IDE25" s="70"/>
      <c r="IDF25" s="70"/>
      <c r="IDG25" s="70"/>
      <c r="IDH25" s="70"/>
      <c r="IDI25" s="70"/>
      <c r="IDJ25" s="70"/>
      <c r="IDK25" s="70"/>
      <c r="IDL25" s="70"/>
      <c r="IDM25" s="70"/>
      <c r="IDN25" s="70"/>
      <c r="IDO25" s="70"/>
      <c r="IDP25" s="70"/>
      <c r="IDQ25" s="70"/>
      <c r="IDR25" s="70"/>
      <c r="IDS25" s="70"/>
      <c r="IDT25" s="70"/>
      <c r="IDU25" s="70"/>
      <c r="IDV25" s="70"/>
      <c r="IDW25" s="70"/>
      <c r="IDX25" s="70"/>
      <c r="IDY25" s="70"/>
      <c r="IDZ25" s="70"/>
      <c r="IEA25" s="70"/>
      <c r="IEB25" s="70"/>
      <c r="IEC25" s="70"/>
      <c r="IED25" s="70"/>
      <c r="IEE25" s="70"/>
      <c r="IEF25" s="70"/>
      <c r="IEG25" s="70"/>
      <c r="IEH25" s="70"/>
      <c r="IEI25" s="70"/>
      <c r="IEJ25" s="70"/>
      <c r="IEK25" s="70"/>
      <c r="IEL25" s="70"/>
      <c r="IEM25" s="70"/>
      <c r="IEN25" s="70"/>
      <c r="IEO25" s="70"/>
      <c r="IEP25" s="70"/>
      <c r="IEQ25" s="70"/>
      <c r="IER25" s="70"/>
      <c r="IES25" s="70"/>
      <c r="IET25" s="70"/>
      <c r="IEU25" s="70"/>
      <c r="IEV25" s="70"/>
      <c r="IEW25" s="70"/>
      <c r="IEX25" s="70"/>
      <c r="IEY25" s="70"/>
      <c r="IEZ25" s="70"/>
      <c r="IFA25" s="70"/>
      <c r="IFB25" s="70"/>
      <c r="IFC25" s="70"/>
      <c r="IFD25" s="70"/>
      <c r="IFE25" s="70"/>
      <c r="IFF25" s="70"/>
      <c r="IFG25" s="70"/>
      <c r="IFH25" s="70"/>
      <c r="IFI25" s="70"/>
      <c r="IFJ25" s="70"/>
      <c r="IFK25" s="70"/>
      <c r="IFL25" s="70"/>
      <c r="IFM25" s="70"/>
      <c r="IFN25" s="70"/>
      <c r="IFO25" s="70"/>
      <c r="IFP25" s="70"/>
      <c r="IFQ25" s="70"/>
      <c r="IFR25" s="70"/>
      <c r="IFS25" s="70"/>
      <c r="IFT25" s="70"/>
      <c r="IFU25" s="70"/>
      <c r="IFV25" s="70"/>
      <c r="IFW25" s="70"/>
      <c r="IFX25" s="70"/>
      <c r="IFY25" s="70"/>
      <c r="IFZ25" s="70"/>
      <c r="IGA25" s="70"/>
      <c r="IGB25" s="70"/>
      <c r="IGC25" s="70"/>
      <c r="IGD25" s="70"/>
      <c r="IGE25" s="70"/>
      <c r="IGF25" s="70"/>
      <c r="IGG25" s="70"/>
      <c r="IGH25" s="70"/>
      <c r="IGI25" s="70"/>
      <c r="IGJ25" s="70"/>
      <c r="IGK25" s="70"/>
      <c r="IGL25" s="70"/>
      <c r="IGM25" s="70"/>
      <c r="IGN25" s="70"/>
      <c r="IGO25" s="70"/>
      <c r="IGP25" s="70"/>
      <c r="IGQ25" s="70"/>
      <c r="IGR25" s="70"/>
      <c r="IGS25" s="70"/>
      <c r="IGT25" s="70"/>
      <c r="IGU25" s="70"/>
      <c r="IGV25" s="70"/>
      <c r="IGW25" s="70"/>
      <c r="IGX25" s="70"/>
      <c r="IGY25" s="70"/>
      <c r="IGZ25" s="70"/>
      <c r="IHA25" s="70"/>
      <c r="IHB25" s="70"/>
      <c r="IHC25" s="70"/>
      <c r="IHD25" s="70"/>
      <c r="IHE25" s="70"/>
      <c r="IHF25" s="70"/>
      <c r="IHG25" s="70"/>
      <c r="IHH25" s="70"/>
      <c r="IHI25" s="70"/>
      <c r="IHJ25" s="70"/>
      <c r="IHK25" s="70"/>
      <c r="IHL25" s="70"/>
      <c r="IHM25" s="70"/>
      <c r="IHN25" s="70"/>
      <c r="IHO25" s="70"/>
      <c r="IHP25" s="70"/>
      <c r="IHQ25" s="70"/>
      <c r="IHR25" s="70"/>
      <c r="IHS25" s="70"/>
      <c r="IHT25" s="70"/>
      <c r="IHU25" s="70"/>
      <c r="IHV25" s="70"/>
      <c r="IHW25" s="70"/>
      <c r="IHX25" s="70"/>
      <c r="IHY25" s="70"/>
      <c r="IHZ25" s="70"/>
      <c r="IIA25" s="70"/>
      <c r="IIB25" s="70"/>
      <c r="IIC25" s="70"/>
      <c r="IID25" s="70"/>
      <c r="IIE25" s="70"/>
      <c r="IIF25" s="70"/>
      <c r="IIG25" s="70"/>
      <c r="IIH25" s="70"/>
      <c r="III25" s="70"/>
      <c r="IIJ25" s="70"/>
      <c r="IIK25" s="70"/>
      <c r="IIL25" s="70"/>
      <c r="IIM25" s="70"/>
      <c r="IIN25" s="70"/>
      <c r="IIO25" s="70"/>
      <c r="IIP25" s="70"/>
      <c r="IIQ25" s="70"/>
      <c r="IIR25" s="70"/>
      <c r="IIS25" s="70"/>
      <c r="IIT25" s="70"/>
      <c r="IIU25" s="70"/>
      <c r="IIV25" s="70"/>
      <c r="IIW25" s="70"/>
      <c r="IIX25" s="70"/>
      <c r="IIY25" s="70"/>
      <c r="IIZ25" s="70"/>
      <c r="IJA25" s="70"/>
      <c r="IJB25" s="70"/>
      <c r="IJC25" s="70"/>
      <c r="IJD25" s="70"/>
      <c r="IJE25" s="70"/>
      <c r="IJF25" s="70"/>
      <c r="IJG25" s="70"/>
      <c r="IJH25" s="70"/>
      <c r="IJI25" s="70"/>
      <c r="IJJ25" s="70"/>
      <c r="IJK25" s="70"/>
      <c r="IJL25" s="70"/>
      <c r="IJM25" s="70"/>
      <c r="IJN25" s="70"/>
      <c r="IJO25" s="70"/>
      <c r="IJP25" s="70"/>
      <c r="IJQ25" s="70"/>
      <c r="IJR25" s="70"/>
      <c r="IJS25" s="70"/>
      <c r="IJT25" s="70"/>
      <c r="IJU25" s="70"/>
      <c r="IJV25" s="70"/>
      <c r="IJW25" s="70"/>
      <c r="IJX25" s="70"/>
      <c r="IJY25" s="70"/>
      <c r="IJZ25" s="70"/>
      <c r="IKA25" s="70"/>
      <c r="IKB25" s="70"/>
      <c r="IKC25" s="70"/>
      <c r="IKD25" s="70"/>
      <c r="IKE25" s="70"/>
      <c r="IKF25" s="70"/>
      <c r="IKG25" s="70"/>
      <c r="IKH25" s="70"/>
      <c r="IKI25" s="70"/>
      <c r="IKJ25" s="70"/>
      <c r="IKK25" s="70"/>
      <c r="IKL25" s="70"/>
      <c r="IKM25" s="70"/>
      <c r="IKN25" s="70"/>
      <c r="IKO25" s="70"/>
      <c r="IKP25" s="70"/>
      <c r="IKQ25" s="70"/>
      <c r="IKR25" s="70"/>
      <c r="IKS25" s="70"/>
      <c r="IKT25" s="70"/>
      <c r="IKU25" s="70"/>
      <c r="IKV25" s="70"/>
      <c r="IKW25" s="70"/>
      <c r="IKX25" s="70"/>
      <c r="IKY25" s="70"/>
      <c r="IKZ25" s="70"/>
      <c r="ILA25" s="70"/>
      <c r="ILB25" s="70"/>
      <c r="ILC25" s="70"/>
      <c r="ILD25" s="70"/>
      <c r="ILE25" s="70"/>
      <c r="ILF25" s="70"/>
      <c r="ILG25" s="70"/>
      <c r="ILH25" s="70"/>
      <c r="ILI25" s="70"/>
      <c r="ILJ25" s="70"/>
      <c r="ILK25" s="70"/>
      <c r="ILL25" s="70"/>
      <c r="ILM25" s="70"/>
      <c r="ILN25" s="70"/>
      <c r="ILO25" s="70"/>
      <c r="ILP25" s="70"/>
      <c r="ILQ25" s="70"/>
      <c r="ILR25" s="70"/>
      <c r="ILS25" s="70"/>
      <c r="ILT25" s="70"/>
      <c r="ILU25" s="70"/>
      <c r="ILV25" s="70"/>
      <c r="ILW25" s="70"/>
      <c r="ILX25" s="70"/>
      <c r="ILY25" s="70"/>
      <c r="ILZ25" s="70"/>
      <c r="IMA25" s="70"/>
      <c r="IMB25" s="70"/>
      <c r="IMC25" s="70"/>
      <c r="IMD25" s="70"/>
      <c r="IME25" s="70"/>
      <c r="IMF25" s="70"/>
      <c r="IMG25" s="70"/>
      <c r="IMH25" s="70"/>
      <c r="IMI25" s="70"/>
      <c r="IMJ25" s="70"/>
      <c r="IMK25" s="70"/>
      <c r="IML25" s="70"/>
      <c r="IMM25" s="70"/>
      <c r="IMN25" s="70"/>
      <c r="IMO25" s="70"/>
      <c r="IMP25" s="70"/>
      <c r="IMQ25" s="70"/>
      <c r="IMR25" s="70"/>
      <c r="IMS25" s="70"/>
      <c r="IMT25" s="70"/>
      <c r="IMU25" s="70"/>
      <c r="IMV25" s="70"/>
      <c r="IMW25" s="70"/>
      <c r="IMX25" s="70"/>
      <c r="IMY25" s="70"/>
      <c r="IMZ25" s="70"/>
      <c r="INA25" s="70"/>
      <c r="INB25" s="70"/>
      <c r="INC25" s="70"/>
      <c r="IND25" s="70"/>
      <c r="INE25" s="70"/>
      <c r="INF25" s="70"/>
      <c r="ING25" s="70"/>
      <c r="INH25" s="70"/>
      <c r="INI25" s="70"/>
      <c r="INJ25" s="70"/>
      <c r="INK25" s="70"/>
      <c r="INL25" s="70"/>
      <c r="INM25" s="70"/>
      <c r="INN25" s="70"/>
      <c r="INO25" s="70"/>
      <c r="INP25" s="70"/>
      <c r="INQ25" s="70"/>
      <c r="INR25" s="70"/>
      <c r="INS25" s="70"/>
      <c r="INT25" s="70"/>
      <c r="INU25" s="70"/>
      <c r="INV25" s="70"/>
      <c r="INW25" s="70"/>
      <c r="INX25" s="70"/>
      <c r="INY25" s="70"/>
      <c r="INZ25" s="70"/>
      <c r="IOA25" s="70"/>
      <c r="IOB25" s="70"/>
      <c r="IOC25" s="70"/>
      <c r="IOD25" s="70"/>
      <c r="IOE25" s="70"/>
      <c r="IOF25" s="70"/>
      <c r="IOG25" s="70"/>
      <c r="IOH25" s="70"/>
      <c r="IOI25" s="70"/>
      <c r="IOJ25" s="70"/>
      <c r="IOK25" s="70"/>
      <c r="IOL25" s="70"/>
      <c r="IOM25" s="70"/>
      <c r="ION25" s="70"/>
      <c r="IOO25" s="70"/>
      <c r="IOP25" s="70"/>
      <c r="IOQ25" s="70"/>
      <c r="IOR25" s="70"/>
      <c r="IOS25" s="70"/>
      <c r="IOT25" s="70"/>
      <c r="IOU25" s="70"/>
      <c r="IOV25" s="70"/>
      <c r="IOW25" s="70"/>
      <c r="IOX25" s="70"/>
      <c r="IOY25" s="70"/>
      <c r="IOZ25" s="70"/>
      <c r="IPA25" s="70"/>
      <c r="IPB25" s="70"/>
      <c r="IPC25" s="70"/>
      <c r="IPD25" s="70"/>
      <c r="IPE25" s="70"/>
      <c r="IPF25" s="70"/>
      <c r="IPG25" s="70"/>
      <c r="IPH25" s="70"/>
      <c r="IPI25" s="70"/>
      <c r="IPJ25" s="70"/>
      <c r="IPK25" s="70"/>
      <c r="IPL25" s="70"/>
      <c r="IPM25" s="70"/>
      <c r="IPN25" s="70"/>
      <c r="IPO25" s="70"/>
      <c r="IPP25" s="70"/>
      <c r="IPQ25" s="70"/>
      <c r="IPR25" s="70"/>
      <c r="IPS25" s="70"/>
      <c r="IPT25" s="70"/>
      <c r="IPU25" s="70"/>
      <c r="IPV25" s="70"/>
      <c r="IPW25" s="70"/>
      <c r="IPX25" s="70"/>
      <c r="IPY25" s="70"/>
      <c r="IPZ25" s="70"/>
      <c r="IQA25" s="70"/>
      <c r="IQB25" s="70"/>
      <c r="IQC25" s="70"/>
      <c r="IQD25" s="70"/>
      <c r="IQE25" s="70"/>
      <c r="IQF25" s="70"/>
      <c r="IQG25" s="70"/>
      <c r="IQH25" s="70"/>
      <c r="IQI25" s="70"/>
      <c r="IQJ25" s="70"/>
      <c r="IQK25" s="70"/>
      <c r="IQL25" s="70"/>
      <c r="IQM25" s="70"/>
      <c r="IQN25" s="70"/>
      <c r="IQO25" s="70"/>
      <c r="IQP25" s="70"/>
      <c r="IQQ25" s="70"/>
      <c r="IQR25" s="70"/>
      <c r="IQS25" s="70"/>
      <c r="IQT25" s="70"/>
      <c r="IQU25" s="70"/>
      <c r="IQV25" s="70"/>
      <c r="IQW25" s="70"/>
      <c r="IQX25" s="70"/>
      <c r="IQY25" s="70"/>
      <c r="IQZ25" s="70"/>
      <c r="IRA25" s="70"/>
      <c r="IRB25" s="70"/>
      <c r="IRC25" s="70"/>
      <c r="IRD25" s="70"/>
      <c r="IRE25" s="70"/>
      <c r="IRF25" s="70"/>
      <c r="IRG25" s="70"/>
      <c r="IRH25" s="70"/>
      <c r="IRI25" s="70"/>
      <c r="IRJ25" s="70"/>
      <c r="IRK25" s="70"/>
      <c r="IRL25" s="70"/>
      <c r="IRM25" s="70"/>
      <c r="IRN25" s="70"/>
      <c r="IRO25" s="70"/>
      <c r="IRP25" s="70"/>
      <c r="IRQ25" s="70"/>
      <c r="IRR25" s="70"/>
      <c r="IRS25" s="70"/>
      <c r="IRT25" s="70"/>
      <c r="IRU25" s="70"/>
      <c r="IRV25" s="70"/>
      <c r="IRW25" s="70"/>
      <c r="IRX25" s="70"/>
      <c r="IRY25" s="70"/>
      <c r="IRZ25" s="70"/>
      <c r="ISA25" s="70"/>
      <c r="ISB25" s="70"/>
      <c r="ISC25" s="70"/>
      <c r="ISD25" s="70"/>
      <c r="ISE25" s="70"/>
      <c r="ISF25" s="70"/>
      <c r="ISG25" s="70"/>
      <c r="ISH25" s="70"/>
      <c r="ISI25" s="70"/>
      <c r="ISJ25" s="70"/>
      <c r="ISK25" s="70"/>
      <c r="ISL25" s="70"/>
      <c r="ISM25" s="70"/>
      <c r="ISN25" s="70"/>
      <c r="ISO25" s="70"/>
      <c r="ISP25" s="70"/>
      <c r="ISQ25" s="70"/>
      <c r="ISR25" s="70"/>
      <c r="ISS25" s="70"/>
      <c r="IST25" s="70"/>
      <c r="ISU25" s="70"/>
      <c r="ISV25" s="70"/>
      <c r="ISW25" s="70"/>
      <c r="ISX25" s="70"/>
      <c r="ISY25" s="70"/>
      <c r="ISZ25" s="70"/>
      <c r="ITA25" s="70"/>
      <c r="ITB25" s="70"/>
      <c r="ITC25" s="70"/>
      <c r="ITD25" s="70"/>
      <c r="ITE25" s="70"/>
      <c r="ITF25" s="70"/>
      <c r="ITG25" s="70"/>
      <c r="ITH25" s="70"/>
      <c r="ITI25" s="70"/>
      <c r="ITJ25" s="70"/>
      <c r="ITK25" s="70"/>
      <c r="ITL25" s="70"/>
      <c r="ITM25" s="70"/>
      <c r="ITN25" s="70"/>
      <c r="ITO25" s="70"/>
      <c r="ITP25" s="70"/>
      <c r="ITQ25" s="70"/>
      <c r="ITR25" s="70"/>
      <c r="ITS25" s="70"/>
      <c r="ITT25" s="70"/>
      <c r="ITU25" s="70"/>
      <c r="ITV25" s="70"/>
      <c r="ITW25" s="70"/>
      <c r="ITX25" s="70"/>
      <c r="ITY25" s="70"/>
      <c r="ITZ25" s="70"/>
      <c r="IUA25" s="70"/>
      <c r="IUB25" s="70"/>
      <c r="IUC25" s="70"/>
      <c r="IUD25" s="70"/>
      <c r="IUE25" s="70"/>
      <c r="IUF25" s="70"/>
      <c r="IUG25" s="70"/>
      <c r="IUH25" s="70"/>
      <c r="IUI25" s="70"/>
      <c r="IUJ25" s="70"/>
      <c r="IUK25" s="70"/>
      <c r="IUL25" s="70"/>
      <c r="IUM25" s="70"/>
      <c r="IUN25" s="70"/>
      <c r="IUO25" s="70"/>
      <c r="IUP25" s="70"/>
      <c r="IUQ25" s="70"/>
      <c r="IUR25" s="70"/>
      <c r="IUS25" s="70"/>
      <c r="IUT25" s="70"/>
      <c r="IUU25" s="70"/>
      <c r="IUV25" s="70"/>
      <c r="IUW25" s="70"/>
      <c r="IUX25" s="70"/>
      <c r="IUY25" s="70"/>
      <c r="IUZ25" s="70"/>
      <c r="IVA25" s="70"/>
      <c r="IVB25" s="70"/>
      <c r="IVC25" s="70"/>
      <c r="IVD25" s="70"/>
      <c r="IVE25" s="70"/>
      <c r="IVF25" s="70"/>
      <c r="IVG25" s="70"/>
      <c r="IVH25" s="70"/>
      <c r="IVI25" s="70"/>
      <c r="IVJ25" s="70"/>
      <c r="IVK25" s="70"/>
      <c r="IVL25" s="70"/>
      <c r="IVM25" s="70"/>
      <c r="IVN25" s="70"/>
      <c r="IVO25" s="70"/>
      <c r="IVP25" s="70"/>
      <c r="IVQ25" s="70"/>
      <c r="IVR25" s="70"/>
      <c r="IVS25" s="70"/>
      <c r="IVT25" s="70"/>
      <c r="IVU25" s="70"/>
      <c r="IVV25" s="70"/>
      <c r="IVW25" s="70"/>
      <c r="IVX25" s="70"/>
      <c r="IVY25" s="70"/>
      <c r="IVZ25" s="70"/>
      <c r="IWA25" s="70"/>
      <c r="IWB25" s="70"/>
      <c r="IWC25" s="70"/>
      <c r="IWD25" s="70"/>
      <c r="IWE25" s="70"/>
      <c r="IWF25" s="70"/>
      <c r="IWG25" s="70"/>
      <c r="IWH25" s="70"/>
      <c r="IWI25" s="70"/>
      <c r="IWJ25" s="70"/>
      <c r="IWK25" s="70"/>
      <c r="IWL25" s="70"/>
      <c r="IWM25" s="70"/>
      <c r="IWN25" s="70"/>
      <c r="IWO25" s="70"/>
      <c r="IWP25" s="70"/>
      <c r="IWQ25" s="70"/>
      <c r="IWR25" s="70"/>
      <c r="IWS25" s="70"/>
      <c r="IWT25" s="70"/>
      <c r="IWU25" s="70"/>
      <c r="IWV25" s="70"/>
      <c r="IWW25" s="70"/>
      <c r="IWX25" s="70"/>
      <c r="IWY25" s="70"/>
      <c r="IWZ25" s="70"/>
      <c r="IXA25" s="70"/>
      <c r="IXB25" s="70"/>
      <c r="IXC25" s="70"/>
      <c r="IXD25" s="70"/>
      <c r="IXE25" s="70"/>
      <c r="IXF25" s="70"/>
      <c r="IXG25" s="70"/>
      <c r="IXH25" s="70"/>
      <c r="IXI25" s="70"/>
      <c r="IXJ25" s="70"/>
      <c r="IXK25" s="70"/>
      <c r="IXL25" s="70"/>
      <c r="IXM25" s="70"/>
      <c r="IXN25" s="70"/>
      <c r="IXO25" s="70"/>
      <c r="IXP25" s="70"/>
      <c r="IXQ25" s="70"/>
      <c r="IXR25" s="70"/>
      <c r="IXS25" s="70"/>
      <c r="IXT25" s="70"/>
      <c r="IXU25" s="70"/>
      <c r="IXV25" s="70"/>
      <c r="IXW25" s="70"/>
      <c r="IXX25" s="70"/>
      <c r="IXY25" s="70"/>
      <c r="IXZ25" s="70"/>
      <c r="IYA25" s="70"/>
      <c r="IYB25" s="70"/>
      <c r="IYC25" s="70"/>
      <c r="IYD25" s="70"/>
      <c r="IYE25" s="70"/>
      <c r="IYF25" s="70"/>
      <c r="IYG25" s="70"/>
      <c r="IYH25" s="70"/>
      <c r="IYI25" s="70"/>
      <c r="IYJ25" s="70"/>
      <c r="IYK25" s="70"/>
      <c r="IYL25" s="70"/>
      <c r="IYM25" s="70"/>
      <c r="IYN25" s="70"/>
      <c r="IYO25" s="70"/>
      <c r="IYP25" s="70"/>
      <c r="IYQ25" s="70"/>
      <c r="IYR25" s="70"/>
      <c r="IYS25" s="70"/>
      <c r="IYT25" s="70"/>
      <c r="IYU25" s="70"/>
      <c r="IYV25" s="70"/>
      <c r="IYW25" s="70"/>
      <c r="IYX25" s="70"/>
      <c r="IYY25" s="70"/>
      <c r="IYZ25" s="70"/>
      <c r="IZA25" s="70"/>
      <c r="IZB25" s="70"/>
      <c r="IZC25" s="70"/>
      <c r="IZD25" s="70"/>
      <c r="IZE25" s="70"/>
      <c r="IZF25" s="70"/>
      <c r="IZG25" s="70"/>
      <c r="IZH25" s="70"/>
      <c r="IZI25" s="70"/>
      <c r="IZJ25" s="70"/>
      <c r="IZK25" s="70"/>
      <c r="IZL25" s="70"/>
      <c r="IZM25" s="70"/>
      <c r="IZN25" s="70"/>
      <c r="IZO25" s="70"/>
      <c r="IZP25" s="70"/>
      <c r="IZQ25" s="70"/>
      <c r="IZR25" s="70"/>
      <c r="IZS25" s="70"/>
      <c r="IZT25" s="70"/>
      <c r="IZU25" s="70"/>
      <c r="IZV25" s="70"/>
      <c r="IZW25" s="70"/>
      <c r="IZX25" s="70"/>
      <c r="IZY25" s="70"/>
      <c r="IZZ25" s="70"/>
      <c r="JAA25" s="70"/>
      <c r="JAB25" s="70"/>
      <c r="JAC25" s="70"/>
      <c r="JAD25" s="70"/>
      <c r="JAE25" s="70"/>
      <c r="JAF25" s="70"/>
      <c r="JAG25" s="70"/>
      <c r="JAH25" s="70"/>
      <c r="JAI25" s="70"/>
      <c r="JAJ25" s="70"/>
      <c r="JAK25" s="70"/>
      <c r="JAL25" s="70"/>
      <c r="JAM25" s="70"/>
      <c r="JAN25" s="70"/>
      <c r="JAO25" s="70"/>
      <c r="JAP25" s="70"/>
      <c r="JAQ25" s="70"/>
      <c r="JAR25" s="70"/>
      <c r="JAS25" s="70"/>
      <c r="JAT25" s="70"/>
      <c r="JAU25" s="70"/>
      <c r="JAV25" s="70"/>
      <c r="JAW25" s="70"/>
      <c r="JAX25" s="70"/>
      <c r="JAY25" s="70"/>
      <c r="JAZ25" s="70"/>
      <c r="JBA25" s="70"/>
      <c r="JBB25" s="70"/>
      <c r="JBC25" s="70"/>
      <c r="JBD25" s="70"/>
      <c r="JBE25" s="70"/>
      <c r="JBF25" s="70"/>
      <c r="JBG25" s="70"/>
      <c r="JBH25" s="70"/>
      <c r="JBI25" s="70"/>
      <c r="JBJ25" s="70"/>
      <c r="JBK25" s="70"/>
      <c r="JBL25" s="70"/>
      <c r="JBM25" s="70"/>
      <c r="JBN25" s="70"/>
      <c r="JBO25" s="70"/>
      <c r="JBP25" s="70"/>
      <c r="JBQ25" s="70"/>
      <c r="JBR25" s="70"/>
      <c r="JBS25" s="70"/>
      <c r="JBT25" s="70"/>
      <c r="JBU25" s="70"/>
      <c r="JBV25" s="70"/>
      <c r="JBW25" s="70"/>
      <c r="JBX25" s="70"/>
      <c r="JBY25" s="70"/>
      <c r="JBZ25" s="70"/>
      <c r="JCA25" s="70"/>
      <c r="JCB25" s="70"/>
      <c r="JCC25" s="70"/>
      <c r="JCD25" s="70"/>
      <c r="JCE25" s="70"/>
      <c r="JCF25" s="70"/>
      <c r="JCG25" s="70"/>
      <c r="JCH25" s="70"/>
      <c r="JCI25" s="70"/>
      <c r="JCJ25" s="70"/>
      <c r="JCK25" s="70"/>
      <c r="JCL25" s="70"/>
      <c r="JCM25" s="70"/>
      <c r="JCN25" s="70"/>
      <c r="JCO25" s="70"/>
      <c r="JCP25" s="70"/>
      <c r="JCQ25" s="70"/>
      <c r="JCR25" s="70"/>
      <c r="JCS25" s="70"/>
      <c r="JCT25" s="70"/>
      <c r="JCU25" s="70"/>
      <c r="JCV25" s="70"/>
      <c r="JCW25" s="70"/>
      <c r="JCX25" s="70"/>
      <c r="JCY25" s="70"/>
      <c r="JCZ25" s="70"/>
      <c r="JDA25" s="70"/>
      <c r="JDB25" s="70"/>
      <c r="JDC25" s="70"/>
      <c r="JDD25" s="70"/>
      <c r="JDE25" s="70"/>
      <c r="JDF25" s="70"/>
      <c r="JDG25" s="70"/>
      <c r="JDH25" s="70"/>
      <c r="JDI25" s="70"/>
      <c r="JDJ25" s="70"/>
      <c r="JDK25" s="70"/>
      <c r="JDL25" s="70"/>
      <c r="JDM25" s="70"/>
      <c r="JDN25" s="70"/>
      <c r="JDO25" s="70"/>
      <c r="JDP25" s="70"/>
      <c r="JDQ25" s="70"/>
      <c r="JDR25" s="70"/>
      <c r="JDS25" s="70"/>
      <c r="JDT25" s="70"/>
      <c r="JDU25" s="70"/>
      <c r="JDV25" s="70"/>
      <c r="JDW25" s="70"/>
      <c r="JDX25" s="70"/>
      <c r="JDY25" s="70"/>
      <c r="JDZ25" s="70"/>
      <c r="JEA25" s="70"/>
      <c r="JEB25" s="70"/>
      <c r="JEC25" s="70"/>
      <c r="JED25" s="70"/>
      <c r="JEE25" s="70"/>
      <c r="JEF25" s="70"/>
      <c r="JEG25" s="70"/>
      <c r="JEH25" s="70"/>
      <c r="JEI25" s="70"/>
      <c r="JEJ25" s="70"/>
      <c r="JEK25" s="70"/>
      <c r="JEL25" s="70"/>
      <c r="JEM25" s="70"/>
      <c r="JEN25" s="70"/>
      <c r="JEO25" s="70"/>
      <c r="JEP25" s="70"/>
      <c r="JEQ25" s="70"/>
      <c r="JER25" s="70"/>
      <c r="JES25" s="70"/>
      <c r="JET25" s="70"/>
      <c r="JEU25" s="70"/>
      <c r="JEV25" s="70"/>
      <c r="JEW25" s="70"/>
      <c r="JEX25" s="70"/>
      <c r="JEY25" s="70"/>
      <c r="JEZ25" s="70"/>
      <c r="JFA25" s="70"/>
      <c r="JFB25" s="70"/>
      <c r="JFC25" s="70"/>
      <c r="JFD25" s="70"/>
      <c r="JFE25" s="70"/>
      <c r="JFF25" s="70"/>
      <c r="JFG25" s="70"/>
      <c r="JFH25" s="70"/>
      <c r="JFI25" s="70"/>
      <c r="JFJ25" s="70"/>
      <c r="JFK25" s="70"/>
      <c r="JFL25" s="70"/>
      <c r="JFM25" s="70"/>
      <c r="JFN25" s="70"/>
      <c r="JFO25" s="70"/>
      <c r="JFP25" s="70"/>
      <c r="JFQ25" s="70"/>
      <c r="JFR25" s="70"/>
      <c r="JFS25" s="70"/>
      <c r="JFT25" s="70"/>
      <c r="JFU25" s="70"/>
      <c r="JFV25" s="70"/>
      <c r="JFW25" s="70"/>
      <c r="JFX25" s="70"/>
      <c r="JFY25" s="70"/>
      <c r="JFZ25" s="70"/>
      <c r="JGA25" s="70"/>
      <c r="JGB25" s="70"/>
      <c r="JGC25" s="70"/>
      <c r="JGD25" s="70"/>
      <c r="JGE25" s="70"/>
      <c r="JGF25" s="70"/>
      <c r="JGG25" s="70"/>
      <c r="JGH25" s="70"/>
      <c r="JGI25" s="70"/>
      <c r="JGJ25" s="70"/>
      <c r="JGK25" s="70"/>
      <c r="JGL25" s="70"/>
      <c r="JGM25" s="70"/>
      <c r="JGN25" s="70"/>
      <c r="JGO25" s="70"/>
      <c r="JGP25" s="70"/>
      <c r="JGQ25" s="70"/>
      <c r="JGR25" s="70"/>
      <c r="JGS25" s="70"/>
      <c r="JGT25" s="70"/>
      <c r="JGU25" s="70"/>
      <c r="JGV25" s="70"/>
      <c r="JGW25" s="70"/>
      <c r="JGX25" s="70"/>
      <c r="JGY25" s="70"/>
      <c r="JGZ25" s="70"/>
      <c r="JHA25" s="70"/>
      <c r="JHB25" s="70"/>
      <c r="JHC25" s="70"/>
      <c r="JHD25" s="70"/>
      <c r="JHE25" s="70"/>
      <c r="JHF25" s="70"/>
      <c r="JHG25" s="70"/>
      <c r="JHH25" s="70"/>
      <c r="JHI25" s="70"/>
      <c r="JHJ25" s="70"/>
      <c r="JHK25" s="70"/>
      <c r="JHL25" s="70"/>
      <c r="JHM25" s="70"/>
      <c r="JHN25" s="70"/>
      <c r="JHO25" s="70"/>
      <c r="JHP25" s="70"/>
      <c r="JHQ25" s="70"/>
      <c r="JHR25" s="70"/>
      <c r="JHS25" s="70"/>
      <c r="JHT25" s="70"/>
      <c r="JHU25" s="70"/>
      <c r="JHV25" s="70"/>
      <c r="JHW25" s="70"/>
      <c r="JHX25" s="70"/>
      <c r="JHY25" s="70"/>
      <c r="JHZ25" s="70"/>
      <c r="JIA25" s="70"/>
      <c r="JIB25" s="70"/>
      <c r="JIC25" s="70"/>
      <c r="JID25" s="70"/>
      <c r="JIE25" s="70"/>
      <c r="JIF25" s="70"/>
      <c r="JIG25" s="70"/>
      <c r="JIH25" s="70"/>
      <c r="JII25" s="70"/>
      <c r="JIJ25" s="70"/>
      <c r="JIK25" s="70"/>
      <c r="JIL25" s="70"/>
      <c r="JIM25" s="70"/>
      <c r="JIN25" s="70"/>
      <c r="JIO25" s="70"/>
      <c r="JIP25" s="70"/>
      <c r="JIQ25" s="70"/>
      <c r="JIR25" s="70"/>
      <c r="JIS25" s="70"/>
      <c r="JIT25" s="70"/>
      <c r="JIU25" s="70"/>
      <c r="JIV25" s="70"/>
      <c r="JIW25" s="70"/>
      <c r="JIX25" s="70"/>
      <c r="JIY25" s="70"/>
      <c r="JIZ25" s="70"/>
      <c r="JJA25" s="70"/>
      <c r="JJB25" s="70"/>
      <c r="JJC25" s="70"/>
      <c r="JJD25" s="70"/>
      <c r="JJE25" s="70"/>
      <c r="JJF25" s="70"/>
      <c r="JJG25" s="70"/>
      <c r="JJH25" s="70"/>
      <c r="JJI25" s="70"/>
      <c r="JJJ25" s="70"/>
      <c r="JJK25" s="70"/>
      <c r="JJL25" s="70"/>
      <c r="JJM25" s="70"/>
      <c r="JJN25" s="70"/>
      <c r="JJO25" s="70"/>
      <c r="JJP25" s="70"/>
      <c r="JJQ25" s="70"/>
      <c r="JJR25" s="70"/>
      <c r="JJS25" s="70"/>
      <c r="JJT25" s="70"/>
      <c r="JJU25" s="70"/>
      <c r="JJV25" s="70"/>
      <c r="JJW25" s="70"/>
      <c r="JJX25" s="70"/>
      <c r="JJY25" s="70"/>
      <c r="JJZ25" s="70"/>
      <c r="JKA25" s="70"/>
      <c r="JKB25" s="70"/>
      <c r="JKC25" s="70"/>
      <c r="JKD25" s="70"/>
      <c r="JKE25" s="70"/>
      <c r="JKF25" s="70"/>
      <c r="JKG25" s="70"/>
      <c r="JKH25" s="70"/>
      <c r="JKI25" s="70"/>
      <c r="JKJ25" s="70"/>
      <c r="JKK25" s="70"/>
      <c r="JKL25" s="70"/>
      <c r="JKM25" s="70"/>
      <c r="JKN25" s="70"/>
      <c r="JKO25" s="70"/>
      <c r="JKP25" s="70"/>
      <c r="JKQ25" s="70"/>
      <c r="JKR25" s="70"/>
      <c r="JKS25" s="70"/>
      <c r="JKT25" s="70"/>
      <c r="JKU25" s="70"/>
      <c r="JKV25" s="70"/>
      <c r="JKW25" s="70"/>
      <c r="JKX25" s="70"/>
      <c r="JKY25" s="70"/>
      <c r="JKZ25" s="70"/>
      <c r="JLA25" s="70"/>
      <c r="JLB25" s="70"/>
      <c r="JLC25" s="70"/>
      <c r="JLD25" s="70"/>
      <c r="JLE25" s="70"/>
      <c r="JLF25" s="70"/>
      <c r="JLG25" s="70"/>
      <c r="JLH25" s="70"/>
      <c r="JLI25" s="70"/>
      <c r="JLJ25" s="70"/>
      <c r="JLK25" s="70"/>
      <c r="JLL25" s="70"/>
      <c r="JLM25" s="70"/>
      <c r="JLN25" s="70"/>
      <c r="JLO25" s="70"/>
      <c r="JLP25" s="70"/>
      <c r="JLQ25" s="70"/>
      <c r="JLR25" s="70"/>
      <c r="JLS25" s="70"/>
      <c r="JLT25" s="70"/>
      <c r="JLU25" s="70"/>
      <c r="JLV25" s="70"/>
      <c r="JLW25" s="70"/>
      <c r="JLX25" s="70"/>
      <c r="JLY25" s="70"/>
      <c r="JLZ25" s="70"/>
      <c r="JMA25" s="70"/>
      <c r="JMB25" s="70"/>
      <c r="JMC25" s="70"/>
      <c r="JMD25" s="70"/>
      <c r="JME25" s="70"/>
      <c r="JMF25" s="70"/>
      <c r="JMG25" s="70"/>
      <c r="JMH25" s="70"/>
      <c r="JMI25" s="70"/>
      <c r="JMJ25" s="70"/>
      <c r="JMK25" s="70"/>
      <c r="JML25" s="70"/>
      <c r="JMM25" s="70"/>
      <c r="JMN25" s="70"/>
      <c r="JMO25" s="70"/>
      <c r="JMP25" s="70"/>
      <c r="JMQ25" s="70"/>
      <c r="JMR25" s="70"/>
      <c r="JMS25" s="70"/>
      <c r="JMT25" s="70"/>
      <c r="JMU25" s="70"/>
      <c r="JMV25" s="70"/>
      <c r="JMW25" s="70"/>
      <c r="JMX25" s="70"/>
      <c r="JMY25" s="70"/>
      <c r="JMZ25" s="70"/>
      <c r="JNA25" s="70"/>
      <c r="JNB25" s="70"/>
      <c r="JNC25" s="70"/>
      <c r="JND25" s="70"/>
      <c r="JNE25" s="70"/>
      <c r="JNF25" s="70"/>
      <c r="JNG25" s="70"/>
      <c r="JNH25" s="70"/>
      <c r="JNI25" s="70"/>
      <c r="JNJ25" s="70"/>
      <c r="JNK25" s="70"/>
      <c r="JNL25" s="70"/>
      <c r="JNM25" s="70"/>
      <c r="JNN25" s="70"/>
      <c r="JNO25" s="70"/>
      <c r="JNP25" s="70"/>
      <c r="JNQ25" s="70"/>
      <c r="JNR25" s="70"/>
      <c r="JNS25" s="70"/>
      <c r="JNT25" s="70"/>
      <c r="JNU25" s="70"/>
      <c r="JNV25" s="70"/>
      <c r="JNW25" s="70"/>
      <c r="JNX25" s="70"/>
      <c r="JNY25" s="70"/>
      <c r="JNZ25" s="70"/>
      <c r="JOA25" s="70"/>
      <c r="JOB25" s="70"/>
      <c r="JOC25" s="70"/>
      <c r="JOD25" s="70"/>
      <c r="JOE25" s="70"/>
      <c r="JOF25" s="70"/>
      <c r="JOG25" s="70"/>
      <c r="JOH25" s="70"/>
      <c r="JOI25" s="70"/>
      <c r="JOJ25" s="70"/>
      <c r="JOK25" s="70"/>
      <c r="JOL25" s="70"/>
      <c r="JOM25" s="70"/>
      <c r="JON25" s="70"/>
      <c r="JOO25" s="70"/>
      <c r="JOP25" s="70"/>
      <c r="JOQ25" s="70"/>
      <c r="JOR25" s="70"/>
      <c r="JOS25" s="70"/>
      <c r="JOT25" s="70"/>
      <c r="JOU25" s="70"/>
      <c r="JOV25" s="70"/>
      <c r="JOW25" s="70"/>
      <c r="JOX25" s="70"/>
      <c r="JOY25" s="70"/>
      <c r="JOZ25" s="70"/>
      <c r="JPA25" s="70"/>
      <c r="JPB25" s="70"/>
      <c r="JPC25" s="70"/>
      <c r="JPD25" s="70"/>
      <c r="JPE25" s="70"/>
      <c r="JPF25" s="70"/>
      <c r="JPG25" s="70"/>
      <c r="JPH25" s="70"/>
      <c r="JPI25" s="70"/>
      <c r="JPJ25" s="70"/>
      <c r="JPK25" s="70"/>
      <c r="JPL25" s="70"/>
      <c r="JPM25" s="70"/>
      <c r="JPN25" s="70"/>
      <c r="JPO25" s="70"/>
      <c r="JPP25" s="70"/>
      <c r="JPQ25" s="70"/>
      <c r="JPR25" s="70"/>
      <c r="JPS25" s="70"/>
      <c r="JPT25" s="70"/>
      <c r="JPU25" s="70"/>
      <c r="JPV25" s="70"/>
      <c r="JPW25" s="70"/>
      <c r="JPX25" s="70"/>
      <c r="JPY25" s="70"/>
      <c r="JPZ25" s="70"/>
      <c r="JQA25" s="70"/>
      <c r="JQB25" s="70"/>
      <c r="JQC25" s="70"/>
      <c r="JQD25" s="70"/>
      <c r="JQE25" s="70"/>
      <c r="JQF25" s="70"/>
      <c r="JQG25" s="70"/>
      <c r="JQH25" s="70"/>
      <c r="JQI25" s="70"/>
      <c r="JQJ25" s="70"/>
      <c r="JQK25" s="70"/>
      <c r="JQL25" s="70"/>
      <c r="JQM25" s="70"/>
      <c r="JQN25" s="70"/>
      <c r="JQO25" s="70"/>
      <c r="JQP25" s="70"/>
      <c r="JQQ25" s="70"/>
      <c r="JQR25" s="70"/>
      <c r="JQS25" s="70"/>
      <c r="JQT25" s="70"/>
      <c r="JQU25" s="70"/>
      <c r="JQV25" s="70"/>
      <c r="JQW25" s="70"/>
      <c r="JQX25" s="70"/>
      <c r="JQY25" s="70"/>
      <c r="JQZ25" s="70"/>
      <c r="JRA25" s="70"/>
      <c r="JRB25" s="70"/>
      <c r="JRC25" s="70"/>
      <c r="JRD25" s="70"/>
      <c r="JRE25" s="70"/>
      <c r="JRF25" s="70"/>
      <c r="JRG25" s="70"/>
      <c r="JRH25" s="70"/>
      <c r="JRI25" s="70"/>
      <c r="JRJ25" s="70"/>
      <c r="JRK25" s="70"/>
      <c r="JRL25" s="70"/>
      <c r="JRM25" s="70"/>
      <c r="JRN25" s="70"/>
      <c r="JRO25" s="70"/>
      <c r="JRP25" s="70"/>
      <c r="JRQ25" s="70"/>
      <c r="JRR25" s="70"/>
      <c r="JRS25" s="70"/>
      <c r="JRT25" s="70"/>
      <c r="JRU25" s="70"/>
      <c r="JRV25" s="70"/>
      <c r="JRW25" s="70"/>
      <c r="JRX25" s="70"/>
      <c r="JRY25" s="70"/>
      <c r="JRZ25" s="70"/>
      <c r="JSA25" s="70"/>
      <c r="JSB25" s="70"/>
      <c r="JSC25" s="70"/>
      <c r="JSD25" s="70"/>
      <c r="JSE25" s="70"/>
      <c r="JSF25" s="70"/>
      <c r="JSG25" s="70"/>
      <c r="JSH25" s="70"/>
      <c r="JSI25" s="70"/>
      <c r="JSJ25" s="70"/>
      <c r="JSK25" s="70"/>
      <c r="JSL25" s="70"/>
      <c r="JSM25" s="70"/>
      <c r="JSN25" s="70"/>
      <c r="JSO25" s="70"/>
      <c r="JSP25" s="70"/>
      <c r="JSQ25" s="70"/>
      <c r="JSR25" s="70"/>
      <c r="JSS25" s="70"/>
      <c r="JST25" s="70"/>
      <c r="JSU25" s="70"/>
      <c r="JSV25" s="70"/>
      <c r="JSW25" s="70"/>
      <c r="JSX25" s="70"/>
      <c r="JSY25" s="70"/>
      <c r="JSZ25" s="70"/>
      <c r="JTA25" s="70"/>
      <c r="JTB25" s="70"/>
      <c r="JTC25" s="70"/>
      <c r="JTD25" s="70"/>
      <c r="JTE25" s="70"/>
      <c r="JTF25" s="70"/>
      <c r="JTG25" s="70"/>
      <c r="JTH25" s="70"/>
      <c r="JTI25" s="70"/>
      <c r="JTJ25" s="70"/>
      <c r="JTK25" s="70"/>
      <c r="JTL25" s="70"/>
      <c r="JTM25" s="70"/>
      <c r="JTN25" s="70"/>
      <c r="JTO25" s="70"/>
      <c r="JTP25" s="70"/>
      <c r="JTQ25" s="70"/>
      <c r="JTR25" s="70"/>
      <c r="JTS25" s="70"/>
      <c r="JTT25" s="70"/>
      <c r="JTU25" s="70"/>
      <c r="JTV25" s="70"/>
      <c r="JTW25" s="70"/>
      <c r="JTX25" s="70"/>
      <c r="JTY25" s="70"/>
      <c r="JTZ25" s="70"/>
      <c r="JUA25" s="70"/>
      <c r="JUB25" s="70"/>
      <c r="JUC25" s="70"/>
      <c r="JUD25" s="70"/>
      <c r="JUE25" s="70"/>
      <c r="JUF25" s="70"/>
      <c r="JUG25" s="70"/>
      <c r="JUH25" s="70"/>
      <c r="JUI25" s="70"/>
      <c r="JUJ25" s="70"/>
      <c r="JUK25" s="70"/>
      <c r="JUL25" s="70"/>
      <c r="JUM25" s="70"/>
      <c r="JUN25" s="70"/>
      <c r="JUO25" s="70"/>
      <c r="JUP25" s="70"/>
      <c r="JUQ25" s="70"/>
      <c r="JUR25" s="70"/>
      <c r="JUS25" s="70"/>
      <c r="JUT25" s="70"/>
      <c r="JUU25" s="70"/>
      <c r="JUV25" s="70"/>
      <c r="JUW25" s="70"/>
      <c r="JUX25" s="70"/>
      <c r="JUY25" s="70"/>
      <c r="JUZ25" s="70"/>
      <c r="JVA25" s="70"/>
      <c r="JVB25" s="70"/>
      <c r="JVC25" s="70"/>
      <c r="JVD25" s="70"/>
      <c r="JVE25" s="70"/>
      <c r="JVF25" s="70"/>
      <c r="JVG25" s="70"/>
      <c r="JVH25" s="70"/>
      <c r="JVI25" s="70"/>
      <c r="JVJ25" s="70"/>
      <c r="JVK25" s="70"/>
      <c r="JVL25" s="70"/>
      <c r="JVM25" s="70"/>
      <c r="JVN25" s="70"/>
      <c r="JVO25" s="70"/>
      <c r="JVP25" s="70"/>
      <c r="JVQ25" s="70"/>
      <c r="JVR25" s="70"/>
      <c r="JVS25" s="70"/>
      <c r="JVT25" s="70"/>
      <c r="JVU25" s="70"/>
      <c r="JVV25" s="70"/>
      <c r="JVW25" s="70"/>
      <c r="JVX25" s="70"/>
      <c r="JVY25" s="70"/>
      <c r="JVZ25" s="70"/>
      <c r="JWA25" s="70"/>
      <c r="JWB25" s="70"/>
      <c r="JWC25" s="70"/>
      <c r="JWD25" s="70"/>
      <c r="JWE25" s="70"/>
      <c r="JWF25" s="70"/>
      <c r="JWG25" s="70"/>
      <c r="JWH25" s="70"/>
      <c r="JWI25" s="70"/>
      <c r="JWJ25" s="70"/>
      <c r="JWK25" s="70"/>
      <c r="JWL25" s="70"/>
      <c r="JWM25" s="70"/>
      <c r="JWN25" s="70"/>
      <c r="JWO25" s="70"/>
      <c r="JWP25" s="70"/>
      <c r="JWQ25" s="70"/>
      <c r="JWR25" s="70"/>
      <c r="JWS25" s="70"/>
      <c r="JWT25" s="70"/>
      <c r="JWU25" s="70"/>
      <c r="JWV25" s="70"/>
      <c r="JWW25" s="70"/>
      <c r="JWX25" s="70"/>
      <c r="JWY25" s="70"/>
      <c r="JWZ25" s="70"/>
      <c r="JXA25" s="70"/>
      <c r="JXB25" s="70"/>
      <c r="JXC25" s="70"/>
      <c r="JXD25" s="70"/>
      <c r="JXE25" s="70"/>
      <c r="JXF25" s="70"/>
      <c r="JXG25" s="70"/>
      <c r="JXH25" s="70"/>
      <c r="JXI25" s="70"/>
      <c r="JXJ25" s="70"/>
      <c r="JXK25" s="70"/>
      <c r="JXL25" s="70"/>
      <c r="JXM25" s="70"/>
      <c r="JXN25" s="70"/>
      <c r="JXO25" s="70"/>
      <c r="JXP25" s="70"/>
      <c r="JXQ25" s="70"/>
      <c r="JXR25" s="70"/>
      <c r="JXS25" s="70"/>
      <c r="JXT25" s="70"/>
      <c r="JXU25" s="70"/>
      <c r="JXV25" s="70"/>
      <c r="JXW25" s="70"/>
      <c r="JXX25" s="70"/>
      <c r="JXY25" s="70"/>
      <c r="JXZ25" s="70"/>
      <c r="JYA25" s="70"/>
      <c r="JYB25" s="70"/>
      <c r="JYC25" s="70"/>
      <c r="JYD25" s="70"/>
      <c r="JYE25" s="70"/>
      <c r="JYF25" s="70"/>
      <c r="JYG25" s="70"/>
      <c r="JYH25" s="70"/>
      <c r="JYI25" s="70"/>
      <c r="JYJ25" s="70"/>
      <c r="JYK25" s="70"/>
      <c r="JYL25" s="70"/>
      <c r="JYM25" s="70"/>
      <c r="JYN25" s="70"/>
      <c r="JYO25" s="70"/>
      <c r="JYP25" s="70"/>
      <c r="JYQ25" s="70"/>
      <c r="JYR25" s="70"/>
      <c r="JYS25" s="70"/>
      <c r="JYT25" s="70"/>
      <c r="JYU25" s="70"/>
      <c r="JYV25" s="70"/>
      <c r="JYW25" s="70"/>
      <c r="JYX25" s="70"/>
      <c r="JYY25" s="70"/>
      <c r="JYZ25" s="70"/>
      <c r="JZA25" s="70"/>
      <c r="JZB25" s="70"/>
      <c r="JZC25" s="70"/>
      <c r="JZD25" s="70"/>
      <c r="JZE25" s="70"/>
      <c r="JZF25" s="70"/>
      <c r="JZG25" s="70"/>
      <c r="JZH25" s="70"/>
      <c r="JZI25" s="70"/>
      <c r="JZJ25" s="70"/>
      <c r="JZK25" s="70"/>
      <c r="JZL25" s="70"/>
      <c r="JZM25" s="70"/>
      <c r="JZN25" s="70"/>
      <c r="JZO25" s="70"/>
      <c r="JZP25" s="70"/>
      <c r="JZQ25" s="70"/>
      <c r="JZR25" s="70"/>
      <c r="JZS25" s="70"/>
      <c r="JZT25" s="70"/>
      <c r="JZU25" s="70"/>
      <c r="JZV25" s="70"/>
      <c r="JZW25" s="70"/>
      <c r="JZX25" s="70"/>
      <c r="JZY25" s="70"/>
      <c r="JZZ25" s="70"/>
      <c r="KAA25" s="70"/>
      <c r="KAB25" s="70"/>
      <c r="KAC25" s="70"/>
      <c r="KAD25" s="70"/>
      <c r="KAE25" s="70"/>
      <c r="KAF25" s="70"/>
      <c r="KAG25" s="70"/>
      <c r="KAH25" s="70"/>
      <c r="KAI25" s="70"/>
      <c r="KAJ25" s="70"/>
      <c r="KAK25" s="70"/>
      <c r="KAL25" s="70"/>
      <c r="KAM25" s="70"/>
      <c r="KAN25" s="70"/>
      <c r="KAO25" s="70"/>
      <c r="KAP25" s="70"/>
      <c r="KAQ25" s="70"/>
      <c r="KAR25" s="70"/>
      <c r="KAS25" s="70"/>
      <c r="KAT25" s="70"/>
      <c r="KAU25" s="70"/>
      <c r="KAV25" s="70"/>
      <c r="KAW25" s="70"/>
      <c r="KAX25" s="70"/>
      <c r="KAY25" s="70"/>
      <c r="KAZ25" s="70"/>
      <c r="KBA25" s="70"/>
      <c r="KBB25" s="70"/>
      <c r="KBC25" s="70"/>
      <c r="KBD25" s="70"/>
      <c r="KBE25" s="70"/>
      <c r="KBF25" s="70"/>
      <c r="KBG25" s="70"/>
      <c r="KBH25" s="70"/>
      <c r="KBI25" s="70"/>
      <c r="KBJ25" s="70"/>
      <c r="KBK25" s="70"/>
      <c r="KBL25" s="70"/>
      <c r="KBM25" s="70"/>
      <c r="KBN25" s="70"/>
      <c r="KBO25" s="70"/>
      <c r="KBP25" s="70"/>
      <c r="KBQ25" s="70"/>
      <c r="KBR25" s="70"/>
      <c r="KBS25" s="70"/>
      <c r="KBT25" s="70"/>
      <c r="KBU25" s="70"/>
      <c r="KBV25" s="70"/>
      <c r="KBW25" s="70"/>
      <c r="KBX25" s="70"/>
      <c r="KBY25" s="70"/>
      <c r="KBZ25" s="70"/>
      <c r="KCA25" s="70"/>
      <c r="KCB25" s="70"/>
      <c r="KCC25" s="70"/>
      <c r="KCD25" s="70"/>
      <c r="KCE25" s="70"/>
      <c r="KCF25" s="70"/>
      <c r="KCG25" s="70"/>
      <c r="KCH25" s="70"/>
      <c r="KCI25" s="70"/>
      <c r="KCJ25" s="70"/>
      <c r="KCK25" s="70"/>
      <c r="KCL25" s="70"/>
      <c r="KCM25" s="70"/>
      <c r="KCN25" s="70"/>
      <c r="KCO25" s="70"/>
      <c r="KCP25" s="70"/>
      <c r="KCQ25" s="70"/>
      <c r="KCR25" s="70"/>
      <c r="KCS25" s="70"/>
      <c r="KCT25" s="70"/>
      <c r="KCU25" s="70"/>
      <c r="KCV25" s="70"/>
      <c r="KCW25" s="70"/>
      <c r="KCX25" s="70"/>
      <c r="KCY25" s="70"/>
      <c r="KCZ25" s="70"/>
      <c r="KDA25" s="70"/>
      <c r="KDB25" s="70"/>
      <c r="KDC25" s="70"/>
      <c r="KDD25" s="70"/>
      <c r="KDE25" s="70"/>
      <c r="KDF25" s="70"/>
      <c r="KDG25" s="70"/>
      <c r="KDH25" s="70"/>
      <c r="KDI25" s="70"/>
      <c r="KDJ25" s="70"/>
      <c r="KDK25" s="70"/>
      <c r="KDL25" s="70"/>
      <c r="KDM25" s="70"/>
      <c r="KDN25" s="70"/>
      <c r="KDO25" s="70"/>
      <c r="KDP25" s="70"/>
      <c r="KDQ25" s="70"/>
      <c r="KDR25" s="70"/>
      <c r="KDS25" s="70"/>
      <c r="KDT25" s="70"/>
      <c r="KDU25" s="70"/>
      <c r="KDV25" s="70"/>
      <c r="KDW25" s="70"/>
      <c r="KDX25" s="70"/>
      <c r="KDY25" s="70"/>
      <c r="KDZ25" s="70"/>
      <c r="KEA25" s="70"/>
      <c r="KEB25" s="70"/>
      <c r="KEC25" s="70"/>
      <c r="KED25" s="70"/>
      <c r="KEE25" s="70"/>
      <c r="KEF25" s="70"/>
      <c r="KEG25" s="70"/>
      <c r="KEH25" s="70"/>
      <c r="KEI25" s="70"/>
      <c r="KEJ25" s="70"/>
      <c r="KEK25" s="70"/>
      <c r="KEL25" s="70"/>
      <c r="KEM25" s="70"/>
      <c r="KEN25" s="70"/>
      <c r="KEO25" s="70"/>
      <c r="KEP25" s="70"/>
      <c r="KEQ25" s="70"/>
      <c r="KER25" s="70"/>
      <c r="KES25" s="70"/>
      <c r="KET25" s="70"/>
      <c r="KEU25" s="70"/>
      <c r="KEV25" s="70"/>
      <c r="KEW25" s="70"/>
      <c r="KEX25" s="70"/>
      <c r="KEY25" s="70"/>
      <c r="KEZ25" s="70"/>
      <c r="KFA25" s="70"/>
      <c r="KFB25" s="70"/>
      <c r="KFC25" s="70"/>
      <c r="KFD25" s="70"/>
      <c r="KFE25" s="70"/>
      <c r="KFF25" s="70"/>
      <c r="KFG25" s="70"/>
      <c r="KFH25" s="70"/>
      <c r="KFI25" s="70"/>
      <c r="KFJ25" s="70"/>
      <c r="KFK25" s="70"/>
      <c r="KFL25" s="70"/>
      <c r="KFM25" s="70"/>
      <c r="KFN25" s="70"/>
      <c r="KFO25" s="70"/>
      <c r="KFP25" s="70"/>
      <c r="KFQ25" s="70"/>
      <c r="KFR25" s="70"/>
      <c r="KFS25" s="70"/>
      <c r="KFT25" s="70"/>
      <c r="KFU25" s="70"/>
      <c r="KFV25" s="70"/>
      <c r="KFW25" s="70"/>
      <c r="KFX25" s="70"/>
      <c r="KFY25" s="70"/>
      <c r="KFZ25" s="70"/>
      <c r="KGA25" s="70"/>
      <c r="KGB25" s="70"/>
      <c r="KGC25" s="70"/>
      <c r="KGD25" s="70"/>
      <c r="KGE25" s="70"/>
      <c r="KGF25" s="70"/>
      <c r="KGG25" s="70"/>
      <c r="KGH25" s="70"/>
      <c r="KGI25" s="70"/>
      <c r="KGJ25" s="70"/>
      <c r="KGK25" s="70"/>
      <c r="KGL25" s="70"/>
      <c r="KGM25" s="70"/>
      <c r="KGN25" s="70"/>
      <c r="KGO25" s="70"/>
      <c r="KGP25" s="70"/>
      <c r="KGQ25" s="70"/>
      <c r="KGR25" s="70"/>
      <c r="KGS25" s="70"/>
      <c r="KGT25" s="70"/>
      <c r="KGU25" s="70"/>
      <c r="KGV25" s="70"/>
      <c r="KGW25" s="70"/>
      <c r="KGX25" s="70"/>
      <c r="KGY25" s="70"/>
      <c r="KGZ25" s="70"/>
      <c r="KHA25" s="70"/>
      <c r="KHB25" s="70"/>
      <c r="KHC25" s="70"/>
      <c r="KHD25" s="70"/>
      <c r="KHE25" s="70"/>
      <c r="KHF25" s="70"/>
      <c r="KHG25" s="70"/>
      <c r="KHH25" s="70"/>
      <c r="KHI25" s="70"/>
      <c r="KHJ25" s="70"/>
      <c r="KHK25" s="70"/>
      <c r="KHL25" s="70"/>
      <c r="KHM25" s="70"/>
      <c r="KHN25" s="70"/>
      <c r="KHO25" s="70"/>
      <c r="KHP25" s="70"/>
      <c r="KHQ25" s="70"/>
      <c r="KHR25" s="70"/>
      <c r="KHS25" s="70"/>
      <c r="KHT25" s="70"/>
      <c r="KHU25" s="70"/>
      <c r="KHV25" s="70"/>
      <c r="KHW25" s="70"/>
      <c r="KHX25" s="70"/>
      <c r="KHY25" s="70"/>
      <c r="KHZ25" s="70"/>
      <c r="KIA25" s="70"/>
      <c r="KIB25" s="70"/>
      <c r="KIC25" s="70"/>
      <c r="KID25" s="70"/>
      <c r="KIE25" s="70"/>
      <c r="KIF25" s="70"/>
      <c r="KIG25" s="70"/>
      <c r="KIH25" s="70"/>
      <c r="KII25" s="70"/>
      <c r="KIJ25" s="70"/>
      <c r="KIK25" s="70"/>
      <c r="KIL25" s="70"/>
      <c r="KIM25" s="70"/>
      <c r="KIN25" s="70"/>
      <c r="KIO25" s="70"/>
      <c r="KIP25" s="70"/>
      <c r="KIQ25" s="70"/>
      <c r="KIR25" s="70"/>
      <c r="KIS25" s="70"/>
      <c r="KIT25" s="70"/>
      <c r="KIU25" s="70"/>
      <c r="KIV25" s="70"/>
      <c r="KIW25" s="70"/>
      <c r="KIX25" s="70"/>
      <c r="KIY25" s="70"/>
      <c r="KIZ25" s="70"/>
      <c r="KJA25" s="70"/>
      <c r="KJB25" s="70"/>
      <c r="KJC25" s="70"/>
      <c r="KJD25" s="70"/>
      <c r="KJE25" s="70"/>
      <c r="KJF25" s="70"/>
      <c r="KJG25" s="70"/>
      <c r="KJH25" s="70"/>
      <c r="KJI25" s="70"/>
      <c r="KJJ25" s="70"/>
      <c r="KJK25" s="70"/>
      <c r="KJL25" s="70"/>
      <c r="KJM25" s="70"/>
      <c r="KJN25" s="70"/>
      <c r="KJO25" s="70"/>
      <c r="KJP25" s="70"/>
      <c r="KJQ25" s="70"/>
      <c r="KJR25" s="70"/>
      <c r="KJS25" s="70"/>
      <c r="KJT25" s="70"/>
      <c r="KJU25" s="70"/>
      <c r="KJV25" s="70"/>
      <c r="KJW25" s="70"/>
      <c r="KJX25" s="70"/>
      <c r="KJY25" s="70"/>
      <c r="KJZ25" s="70"/>
      <c r="KKA25" s="70"/>
      <c r="KKB25" s="70"/>
      <c r="KKC25" s="70"/>
      <c r="KKD25" s="70"/>
      <c r="KKE25" s="70"/>
      <c r="KKF25" s="70"/>
      <c r="KKG25" s="70"/>
      <c r="KKH25" s="70"/>
      <c r="KKI25" s="70"/>
      <c r="KKJ25" s="70"/>
      <c r="KKK25" s="70"/>
      <c r="KKL25" s="70"/>
      <c r="KKM25" s="70"/>
      <c r="KKN25" s="70"/>
      <c r="KKO25" s="70"/>
      <c r="KKP25" s="70"/>
      <c r="KKQ25" s="70"/>
      <c r="KKR25" s="70"/>
      <c r="KKS25" s="70"/>
      <c r="KKT25" s="70"/>
      <c r="KKU25" s="70"/>
      <c r="KKV25" s="70"/>
      <c r="KKW25" s="70"/>
      <c r="KKX25" s="70"/>
      <c r="KKY25" s="70"/>
      <c r="KKZ25" s="70"/>
      <c r="KLA25" s="70"/>
      <c r="KLB25" s="70"/>
      <c r="KLC25" s="70"/>
      <c r="KLD25" s="70"/>
      <c r="KLE25" s="70"/>
      <c r="KLF25" s="70"/>
      <c r="KLG25" s="70"/>
      <c r="KLH25" s="70"/>
      <c r="KLI25" s="70"/>
      <c r="KLJ25" s="70"/>
      <c r="KLK25" s="70"/>
      <c r="KLL25" s="70"/>
      <c r="KLM25" s="70"/>
      <c r="KLN25" s="70"/>
      <c r="KLO25" s="70"/>
      <c r="KLP25" s="70"/>
      <c r="KLQ25" s="70"/>
      <c r="KLR25" s="70"/>
      <c r="KLS25" s="70"/>
      <c r="KLT25" s="70"/>
      <c r="KLU25" s="70"/>
      <c r="KLV25" s="70"/>
      <c r="KLW25" s="70"/>
      <c r="KLX25" s="70"/>
      <c r="KLY25" s="70"/>
      <c r="KLZ25" s="70"/>
      <c r="KMA25" s="70"/>
      <c r="KMB25" s="70"/>
      <c r="KMC25" s="70"/>
      <c r="KMD25" s="70"/>
      <c r="KME25" s="70"/>
      <c r="KMF25" s="70"/>
      <c r="KMG25" s="70"/>
      <c r="KMH25" s="70"/>
      <c r="KMI25" s="70"/>
      <c r="KMJ25" s="70"/>
      <c r="KMK25" s="70"/>
      <c r="KML25" s="70"/>
      <c r="KMM25" s="70"/>
      <c r="KMN25" s="70"/>
      <c r="KMO25" s="70"/>
      <c r="KMP25" s="70"/>
      <c r="KMQ25" s="70"/>
      <c r="KMR25" s="70"/>
      <c r="KMS25" s="70"/>
      <c r="KMT25" s="70"/>
      <c r="KMU25" s="70"/>
      <c r="KMV25" s="70"/>
      <c r="KMW25" s="70"/>
      <c r="KMX25" s="70"/>
      <c r="KMY25" s="70"/>
      <c r="KMZ25" s="70"/>
      <c r="KNA25" s="70"/>
      <c r="KNB25" s="70"/>
      <c r="KNC25" s="70"/>
      <c r="KND25" s="70"/>
      <c r="KNE25" s="70"/>
      <c r="KNF25" s="70"/>
      <c r="KNG25" s="70"/>
      <c r="KNH25" s="70"/>
      <c r="KNI25" s="70"/>
      <c r="KNJ25" s="70"/>
      <c r="KNK25" s="70"/>
      <c r="KNL25" s="70"/>
      <c r="KNM25" s="70"/>
      <c r="KNN25" s="70"/>
      <c r="KNO25" s="70"/>
      <c r="KNP25" s="70"/>
      <c r="KNQ25" s="70"/>
      <c r="KNR25" s="70"/>
      <c r="KNS25" s="70"/>
      <c r="KNT25" s="70"/>
      <c r="KNU25" s="70"/>
      <c r="KNV25" s="70"/>
      <c r="KNW25" s="70"/>
      <c r="KNX25" s="70"/>
      <c r="KNY25" s="70"/>
      <c r="KNZ25" s="70"/>
      <c r="KOA25" s="70"/>
      <c r="KOB25" s="70"/>
      <c r="KOC25" s="70"/>
      <c r="KOD25" s="70"/>
      <c r="KOE25" s="70"/>
      <c r="KOF25" s="70"/>
      <c r="KOG25" s="70"/>
      <c r="KOH25" s="70"/>
      <c r="KOI25" s="70"/>
      <c r="KOJ25" s="70"/>
      <c r="KOK25" s="70"/>
      <c r="KOL25" s="70"/>
      <c r="KOM25" s="70"/>
      <c r="KON25" s="70"/>
      <c r="KOO25" s="70"/>
      <c r="KOP25" s="70"/>
      <c r="KOQ25" s="70"/>
      <c r="KOR25" s="70"/>
      <c r="KOS25" s="70"/>
      <c r="KOT25" s="70"/>
      <c r="KOU25" s="70"/>
      <c r="KOV25" s="70"/>
      <c r="KOW25" s="70"/>
      <c r="KOX25" s="70"/>
      <c r="KOY25" s="70"/>
      <c r="KOZ25" s="70"/>
      <c r="KPA25" s="70"/>
      <c r="KPB25" s="70"/>
      <c r="KPC25" s="70"/>
      <c r="KPD25" s="70"/>
      <c r="KPE25" s="70"/>
      <c r="KPF25" s="70"/>
      <c r="KPG25" s="70"/>
      <c r="KPH25" s="70"/>
      <c r="KPI25" s="70"/>
      <c r="KPJ25" s="70"/>
      <c r="KPK25" s="70"/>
      <c r="KPL25" s="70"/>
      <c r="KPM25" s="70"/>
      <c r="KPN25" s="70"/>
      <c r="KPO25" s="70"/>
      <c r="KPP25" s="70"/>
      <c r="KPQ25" s="70"/>
      <c r="KPR25" s="70"/>
      <c r="KPS25" s="70"/>
      <c r="KPT25" s="70"/>
      <c r="KPU25" s="70"/>
      <c r="KPV25" s="70"/>
      <c r="KPW25" s="70"/>
      <c r="KPX25" s="70"/>
      <c r="KPY25" s="70"/>
      <c r="KPZ25" s="70"/>
      <c r="KQA25" s="70"/>
      <c r="KQB25" s="70"/>
      <c r="KQC25" s="70"/>
      <c r="KQD25" s="70"/>
      <c r="KQE25" s="70"/>
      <c r="KQF25" s="70"/>
      <c r="KQG25" s="70"/>
      <c r="KQH25" s="70"/>
      <c r="KQI25" s="70"/>
      <c r="KQJ25" s="70"/>
      <c r="KQK25" s="70"/>
      <c r="KQL25" s="70"/>
      <c r="KQM25" s="70"/>
      <c r="KQN25" s="70"/>
      <c r="KQO25" s="70"/>
      <c r="KQP25" s="70"/>
      <c r="KQQ25" s="70"/>
      <c r="KQR25" s="70"/>
      <c r="KQS25" s="70"/>
      <c r="KQT25" s="70"/>
      <c r="KQU25" s="70"/>
      <c r="KQV25" s="70"/>
      <c r="KQW25" s="70"/>
      <c r="KQX25" s="70"/>
      <c r="KQY25" s="70"/>
      <c r="KQZ25" s="70"/>
      <c r="KRA25" s="70"/>
      <c r="KRB25" s="70"/>
      <c r="KRC25" s="70"/>
      <c r="KRD25" s="70"/>
      <c r="KRE25" s="70"/>
      <c r="KRF25" s="70"/>
      <c r="KRG25" s="70"/>
      <c r="KRH25" s="70"/>
      <c r="KRI25" s="70"/>
      <c r="KRJ25" s="70"/>
      <c r="KRK25" s="70"/>
      <c r="KRL25" s="70"/>
      <c r="KRM25" s="70"/>
      <c r="KRN25" s="70"/>
      <c r="KRO25" s="70"/>
      <c r="KRP25" s="70"/>
      <c r="KRQ25" s="70"/>
      <c r="KRR25" s="70"/>
      <c r="KRS25" s="70"/>
      <c r="KRT25" s="70"/>
      <c r="KRU25" s="70"/>
      <c r="KRV25" s="70"/>
      <c r="KRW25" s="70"/>
      <c r="KRX25" s="70"/>
      <c r="KRY25" s="70"/>
      <c r="KRZ25" s="70"/>
      <c r="KSA25" s="70"/>
      <c r="KSB25" s="70"/>
      <c r="KSC25" s="70"/>
      <c r="KSD25" s="70"/>
      <c r="KSE25" s="70"/>
      <c r="KSF25" s="70"/>
      <c r="KSG25" s="70"/>
      <c r="KSH25" s="70"/>
      <c r="KSI25" s="70"/>
      <c r="KSJ25" s="70"/>
      <c r="KSK25" s="70"/>
      <c r="KSL25" s="70"/>
      <c r="KSM25" s="70"/>
      <c r="KSN25" s="70"/>
      <c r="KSO25" s="70"/>
      <c r="KSP25" s="70"/>
      <c r="KSQ25" s="70"/>
      <c r="KSR25" s="70"/>
      <c r="KSS25" s="70"/>
      <c r="KST25" s="70"/>
      <c r="KSU25" s="70"/>
      <c r="KSV25" s="70"/>
      <c r="KSW25" s="70"/>
      <c r="KSX25" s="70"/>
      <c r="KSY25" s="70"/>
      <c r="KSZ25" s="70"/>
      <c r="KTA25" s="70"/>
      <c r="KTB25" s="70"/>
      <c r="KTC25" s="70"/>
      <c r="KTD25" s="70"/>
      <c r="KTE25" s="70"/>
      <c r="KTF25" s="70"/>
      <c r="KTG25" s="70"/>
      <c r="KTH25" s="70"/>
      <c r="KTI25" s="70"/>
      <c r="KTJ25" s="70"/>
      <c r="KTK25" s="70"/>
      <c r="KTL25" s="70"/>
      <c r="KTM25" s="70"/>
      <c r="KTN25" s="70"/>
      <c r="KTO25" s="70"/>
      <c r="KTP25" s="70"/>
      <c r="KTQ25" s="70"/>
      <c r="KTR25" s="70"/>
      <c r="KTS25" s="70"/>
      <c r="KTT25" s="70"/>
      <c r="KTU25" s="70"/>
      <c r="KTV25" s="70"/>
      <c r="KTW25" s="70"/>
      <c r="KTX25" s="70"/>
      <c r="KTY25" s="70"/>
      <c r="KTZ25" s="70"/>
      <c r="KUA25" s="70"/>
      <c r="KUB25" s="70"/>
      <c r="KUC25" s="70"/>
      <c r="KUD25" s="70"/>
      <c r="KUE25" s="70"/>
      <c r="KUF25" s="70"/>
      <c r="KUG25" s="70"/>
      <c r="KUH25" s="70"/>
      <c r="KUI25" s="70"/>
      <c r="KUJ25" s="70"/>
      <c r="KUK25" s="70"/>
      <c r="KUL25" s="70"/>
      <c r="KUM25" s="70"/>
      <c r="KUN25" s="70"/>
      <c r="KUO25" s="70"/>
      <c r="KUP25" s="70"/>
      <c r="KUQ25" s="70"/>
      <c r="KUR25" s="70"/>
      <c r="KUS25" s="70"/>
      <c r="KUT25" s="70"/>
      <c r="KUU25" s="70"/>
      <c r="KUV25" s="70"/>
      <c r="KUW25" s="70"/>
      <c r="KUX25" s="70"/>
      <c r="KUY25" s="70"/>
      <c r="KUZ25" s="70"/>
      <c r="KVA25" s="70"/>
      <c r="KVB25" s="70"/>
      <c r="KVC25" s="70"/>
      <c r="KVD25" s="70"/>
      <c r="KVE25" s="70"/>
      <c r="KVF25" s="70"/>
      <c r="KVG25" s="70"/>
      <c r="KVH25" s="70"/>
      <c r="KVI25" s="70"/>
      <c r="KVJ25" s="70"/>
      <c r="KVK25" s="70"/>
      <c r="KVL25" s="70"/>
      <c r="KVM25" s="70"/>
      <c r="KVN25" s="70"/>
      <c r="KVO25" s="70"/>
      <c r="KVP25" s="70"/>
      <c r="KVQ25" s="70"/>
      <c r="KVR25" s="70"/>
      <c r="KVS25" s="70"/>
      <c r="KVT25" s="70"/>
      <c r="KVU25" s="70"/>
      <c r="KVV25" s="70"/>
      <c r="KVW25" s="70"/>
      <c r="KVX25" s="70"/>
      <c r="KVY25" s="70"/>
      <c r="KVZ25" s="70"/>
      <c r="KWA25" s="70"/>
      <c r="KWB25" s="70"/>
      <c r="KWC25" s="70"/>
      <c r="KWD25" s="70"/>
      <c r="KWE25" s="70"/>
      <c r="KWF25" s="70"/>
      <c r="KWG25" s="70"/>
      <c r="KWH25" s="70"/>
      <c r="KWI25" s="70"/>
      <c r="KWJ25" s="70"/>
      <c r="KWK25" s="70"/>
      <c r="KWL25" s="70"/>
      <c r="KWM25" s="70"/>
      <c r="KWN25" s="70"/>
      <c r="KWO25" s="70"/>
      <c r="KWP25" s="70"/>
      <c r="KWQ25" s="70"/>
      <c r="KWR25" s="70"/>
      <c r="KWS25" s="70"/>
      <c r="KWT25" s="70"/>
      <c r="KWU25" s="70"/>
      <c r="KWV25" s="70"/>
      <c r="KWW25" s="70"/>
      <c r="KWX25" s="70"/>
      <c r="KWY25" s="70"/>
      <c r="KWZ25" s="70"/>
      <c r="KXA25" s="70"/>
      <c r="KXB25" s="70"/>
      <c r="KXC25" s="70"/>
      <c r="KXD25" s="70"/>
      <c r="KXE25" s="70"/>
      <c r="KXF25" s="70"/>
      <c r="KXG25" s="70"/>
      <c r="KXH25" s="70"/>
      <c r="KXI25" s="70"/>
      <c r="KXJ25" s="70"/>
      <c r="KXK25" s="70"/>
      <c r="KXL25" s="70"/>
      <c r="KXM25" s="70"/>
      <c r="KXN25" s="70"/>
      <c r="KXO25" s="70"/>
      <c r="KXP25" s="70"/>
      <c r="KXQ25" s="70"/>
      <c r="KXR25" s="70"/>
      <c r="KXS25" s="70"/>
      <c r="KXT25" s="70"/>
      <c r="KXU25" s="70"/>
      <c r="KXV25" s="70"/>
      <c r="KXW25" s="70"/>
      <c r="KXX25" s="70"/>
      <c r="KXY25" s="70"/>
      <c r="KXZ25" s="70"/>
      <c r="KYA25" s="70"/>
      <c r="KYB25" s="70"/>
      <c r="KYC25" s="70"/>
      <c r="KYD25" s="70"/>
      <c r="KYE25" s="70"/>
      <c r="KYF25" s="70"/>
      <c r="KYG25" s="70"/>
      <c r="KYH25" s="70"/>
      <c r="KYI25" s="70"/>
      <c r="KYJ25" s="70"/>
      <c r="KYK25" s="70"/>
      <c r="KYL25" s="70"/>
      <c r="KYM25" s="70"/>
      <c r="KYN25" s="70"/>
      <c r="KYO25" s="70"/>
      <c r="KYP25" s="70"/>
      <c r="KYQ25" s="70"/>
      <c r="KYR25" s="70"/>
      <c r="KYS25" s="70"/>
      <c r="KYT25" s="70"/>
      <c r="KYU25" s="70"/>
      <c r="KYV25" s="70"/>
      <c r="KYW25" s="70"/>
      <c r="KYX25" s="70"/>
      <c r="KYY25" s="70"/>
      <c r="KYZ25" s="70"/>
      <c r="KZA25" s="70"/>
      <c r="KZB25" s="70"/>
      <c r="KZC25" s="70"/>
      <c r="KZD25" s="70"/>
      <c r="KZE25" s="70"/>
      <c r="KZF25" s="70"/>
      <c r="KZG25" s="70"/>
      <c r="KZH25" s="70"/>
      <c r="KZI25" s="70"/>
      <c r="KZJ25" s="70"/>
      <c r="KZK25" s="70"/>
      <c r="KZL25" s="70"/>
      <c r="KZM25" s="70"/>
      <c r="KZN25" s="70"/>
      <c r="KZO25" s="70"/>
      <c r="KZP25" s="70"/>
      <c r="KZQ25" s="70"/>
      <c r="KZR25" s="70"/>
      <c r="KZS25" s="70"/>
      <c r="KZT25" s="70"/>
      <c r="KZU25" s="70"/>
      <c r="KZV25" s="70"/>
      <c r="KZW25" s="70"/>
      <c r="KZX25" s="70"/>
      <c r="KZY25" s="70"/>
      <c r="KZZ25" s="70"/>
      <c r="LAA25" s="70"/>
      <c r="LAB25" s="70"/>
      <c r="LAC25" s="70"/>
      <c r="LAD25" s="70"/>
      <c r="LAE25" s="70"/>
      <c r="LAF25" s="70"/>
      <c r="LAG25" s="70"/>
      <c r="LAH25" s="70"/>
      <c r="LAI25" s="70"/>
      <c r="LAJ25" s="70"/>
      <c r="LAK25" s="70"/>
      <c r="LAL25" s="70"/>
      <c r="LAM25" s="70"/>
      <c r="LAN25" s="70"/>
      <c r="LAO25" s="70"/>
      <c r="LAP25" s="70"/>
      <c r="LAQ25" s="70"/>
      <c r="LAR25" s="70"/>
      <c r="LAS25" s="70"/>
      <c r="LAT25" s="70"/>
      <c r="LAU25" s="70"/>
      <c r="LAV25" s="70"/>
      <c r="LAW25" s="70"/>
      <c r="LAX25" s="70"/>
      <c r="LAY25" s="70"/>
      <c r="LAZ25" s="70"/>
      <c r="LBA25" s="70"/>
      <c r="LBB25" s="70"/>
      <c r="LBC25" s="70"/>
      <c r="LBD25" s="70"/>
      <c r="LBE25" s="70"/>
      <c r="LBF25" s="70"/>
      <c r="LBG25" s="70"/>
      <c r="LBH25" s="70"/>
      <c r="LBI25" s="70"/>
      <c r="LBJ25" s="70"/>
      <c r="LBK25" s="70"/>
      <c r="LBL25" s="70"/>
      <c r="LBM25" s="70"/>
      <c r="LBN25" s="70"/>
      <c r="LBO25" s="70"/>
      <c r="LBP25" s="70"/>
      <c r="LBQ25" s="70"/>
      <c r="LBR25" s="70"/>
      <c r="LBS25" s="70"/>
      <c r="LBT25" s="70"/>
      <c r="LBU25" s="70"/>
      <c r="LBV25" s="70"/>
      <c r="LBW25" s="70"/>
      <c r="LBX25" s="70"/>
      <c r="LBY25" s="70"/>
      <c r="LBZ25" s="70"/>
      <c r="LCA25" s="70"/>
      <c r="LCB25" s="70"/>
      <c r="LCC25" s="70"/>
      <c r="LCD25" s="70"/>
      <c r="LCE25" s="70"/>
      <c r="LCF25" s="70"/>
      <c r="LCG25" s="70"/>
      <c r="LCH25" s="70"/>
      <c r="LCI25" s="70"/>
      <c r="LCJ25" s="70"/>
      <c r="LCK25" s="70"/>
      <c r="LCL25" s="70"/>
      <c r="LCM25" s="70"/>
      <c r="LCN25" s="70"/>
      <c r="LCO25" s="70"/>
      <c r="LCP25" s="70"/>
      <c r="LCQ25" s="70"/>
      <c r="LCR25" s="70"/>
      <c r="LCS25" s="70"/>
      <c r="LCT25" s="70"/>
      <c r="LCU25" s="70"/>
      <c r="LCV25" s="70"/>
      <c r="LCW25" s="70"/>
      <c r="LCX25" s="70"/>
      <c r="LCY25" s="70"/>
      <c r="LCZ25" s="70"/>
      <c r="LDA25" s="70"/>
      <c r="LDB25" s="70"/>
      <c r="LDC25" s="70"/>
      <c r="LDD25" s="70"/>
      <c r="LDE25" s="70"/>
      <c r="LDF25" s="70"/>
      <c r="LDG25" s="70"/>
      <c r="LDH25" s="70"/>
      <c r="LDI25" s="70"/>
      <c r="LDJ25" s="70"/>
      <c r="LDK25" s="70"/>
      <c r="LDL25" s="70"/>
      <c r="LDM25" s="70"/>
      <c r="LDN25" s="70"/>
      <c r="LDO25" s="70"/>
      <c r="LDP25" s="70"/>
      <c r="LDQ25" s="70"/>
      <c r="LDR25" s="70"/>
      <c r="LDS25" s="70"/>
      <c r="LDT25" s="70"/>
      <c r="LDU25" s="70"/>
      <c r="LDV25" s="70"/>
      <c r="LDW25" s="70"/>
      <c r="LDX25" s="70"/>
      <c r="LDY25" s="70"/>
      <c r="LDZ25" s="70"/>
      <c r="LEA25" s="70"/>
      <c r="LEB25" s="70"/>
      <c r="LEC25" s="70"/>
      <c r="LED25" s="70"/>
      <c r="LEE25" s="70"/>
      <c r="LEF25" s="70"/>
      <c r="LEG25" s="70"/>
      <c r="LEH25" s="70"/>
      <c r="LEI25" s="70"/>
      <c r="LEJ25" s="70"/>
      <c r="LEK25" s="70"/>
      <c r="LEL25" s="70"/>
      <c r="LEM25" s="70"/>
      <c r="LEN25" s="70"/>
      <c r="LEO25" s="70"/>
      <c r="LEP25" s="70"/>
      <c r="LEQ25" s="70"/>
      <c r="LER25" s="70"/>
      <c r="LES25" s="70"/>
      <c r="LET25" s="70"/>
      <c r="LEU25" s="70"/>
      <c r="LEV25" s="70"/>
      <c r="LEW25" s="70"/>
      <c r="LEX25" s="70"/>
      <c r="LEY25" s="70"/>
      <c r="LEZ25" s="70"/>
      <c r="LFA25" s="70"/>
      <c r="LFB25" s="70"/>
      <c r="LFC25" s="70"/>
      <c r="LFD25" s="70"/>
      <c r="LFE25" s="70"/>
      <c r="LFF25" s="70"/>
      <c r="LFG25" s="70"/>
      <c r="LFH25" s="70"/>
      <c r="LFI25" s="70"/>
      <c r="LFJ25" s="70"/>
      <c r="LFK25" s="70"/>
      <c r="LFL25" s="70"/>
      <c r="LFM25" s="70"/>
      <c r="LFN25" s="70"/>
      <c r="LFO25" s="70"/>
      <c r="LFP25" s="70"/>
      <c r="LFQ25" s="70"/>
      <c r="LFR25" s="70"/>
      <c r="LFS25" s="70"/>
      <c r="LFT25" s="70"/>
      <c r="LFU25" s="70"/>
      <c r="LFV25" s="70"/>
      <c r="LFW25" s="70"/>
      <c r="LFX25" s="70"/>
      <c r="LFY25" s="70"/>
      <c r="LFZ25" s="70"/>
      <c r="LGA25" s="70"/>
      <c r="LGB25" s="70"/>
      <c r="LGC25" s="70"/>
      <c r="LGD25" s="70"/>
      <c r="LGE25" s="70"/>
      <c r="LGF25" s="70"/>
      <c r="LGG25" s="70"/>
      <c r="LGH25" s="70"/>
      <c r="LGI25" s="70"/>
      <c r="LGJ25" s="70"/>
      <c r="LGK25" s="70"/>
      <c r="LGL25" s="70"/>
      <c r="LGM25" s="70"/>
      <c r="LGN25" s="70"/>
      <c r="LGO25" s="70"/>
      <c r="LGP25" s="70"/>
      <c r="LGQ25" s="70"/>
      <c r="LGR25" s="70"/>
      <c r="LGS25" s="70"/>
      <c r="LGT25" s="70"/>
      <c r="LGU25" s="70"/>
      <c r="LGV25" s="70"/>
      <c r="LGW25" s="70"/>
      <c r="LGX25" s="70"/>
      <c r="LGY25" s="70"/>
      <c r="LGZ25" s="70"/>
      <c r="LHA25" s="70"/>
      <c r="LHB25" s="70"/>
      <c r="LHC25" s="70"/>
      <c r="LHD25" s="70"/>
      <c r="LHE25" s="70"/>
      <c r="LHF25" s="70"/>
      <c r="LHG25" s="70"/>
      <c r="LHH25" s="70"/>
      <c r="LHI25" s="70"/>
      <c r="LHJ25" s="70"/>
      <c r="LHK25" s="70"/>
      <c r="LHL25" s="70"/>
      <c r="LHM25" s="70"/>
      <c r="LHN25" s="70"/>
      <c r="LHO25" s="70"/>
      <c r="LHP25" s="70"/>
      <c r="LHQ25" s="70"/>
      <c r="LHR25" s="70"/>
      <c r="LHS25" s="70"/>
      <c r="LHT25" s="70"/>
      <c r="LHU25" s="70"/>
      <c r="LHV25" s="70"/>
      <c r="LHW25" s="70"/>
      <c r="LHX25" s="70"/>
      <c r="LHY25" s="70"/>
      <c r="LHZ25" s="70"/>
      <c r="LIA25" s="70"/>
      <c r="LIB25" s="70"/>
      <c r="LIC25" s="70"/>
      <c r="LID25" s="70"/>
      <c r="LIE25" s="70"/>
      <c r="LIF25" s="70"/>
      <c r="LIG25" s="70"/>
      <c r="LIH25" s="70"/>
      <c r="LII25" s="70"/>
      <c r="LIJ25" s="70"/>
      <c r="LIK25" s="70"/>
      <c r="LIL25" s="70"/>
      <c r="LIM25" s="70"/>
      <c r="LIN25" s="70"/>
      <c r="LIO25" s="70"/>
      <c r="LIP25" s="70"/>
      <c r="LIQ25" s="70"/>
      <c r="LIR25" s="70"/>
      <c r="LIS25" s="70"/>
      <c r="LIT25" s="70"/>
      <c r="LIU25" s="70"/>
      <c r="LIV25" s="70"/>
      <c r="LIW25" s="70"/>
      <c r="LIX25" s="70"/>
      <c r="LIY25" s="70"/>
      <c r="LIZ25" s="70"/>
      <c r="LJA25" s="70"/>
      <c r="LJB25" s="70"/>
      <c r="LJC25" s="70"/>
      <c r="LJD25" s="70"/>
      <c r="LJE25" s="70"/>
      <c r="LJF25" s="70"/>
      <c r="LJG25" s="70"/>
      <c r="LJH25" s="70"/>
      <c r="LJI25" s="70"/>
      <c r="LJJ25" s="70"/>
      <c r="LJK25" s="70"/>
      <c r="LJL25" s="70"/>
      <c r="LJM25" s="70"/>
      <c r="LJN25" s="70"/>
      <c r="LJO25" s="70"/>
      <c r="LJP25" s="70"/>
      <c r="LJQ25" s="70"/>
      <c r="LJR25" s="70"/>
      <c r="LJS25" s="70"/>
      <c r="LJT25" s="70"/>
      <c r="LJU25" s="70"/>
      <c r="LJV25" s="70"/>
      <c r="LJW25" s="70"/>
      <c r="LJX25" s="70"/>
      <c r="LJY25" s="70"/>
      <c r="LJZ25" s="70"/>
      <c r="LKA25" s="70"/>
      <c r="LKB25" s="70"/>
      <c r="LKC25" s="70"/>
      <c r="LKD25" s="70"/>
      <c r="LKE25" s="70"/>
      <c r="LKF25" s="70"/>
      <c r="LKG25" s="70"/>
      <c r="LKH25" s="70"/>
      <c r="LKI25" s="70"/>
      <c r="LKJ25" s="70"/>
      <c r="LKK25" s="70"/>
      <c r="LKL25" s="70"/>
      <c r="LKM25" s="70"/>
      <c r="LKN25" s="70"/>
      <c r="LKO25" s="70"/>
      <c r="LKP25" s="70"/>
      <c r="LKQ25" s="70"/>
      <c r="LKR25" s="70"/>
      <c r="LKS25" s="70"/>
      <c r="LKT25" s="70"/>
      <c r="LKU25" s="70"/>
      <c r="LKV25" s="70"/>
      <c r="LKW25" s="70"/>
      <c r="LKX25" s="70"/>
      <c r="LKY25" s="70"/>
      <c r="LKZ25" s="70"/>
      <c r="LLA25" s="70"/>
      <c r="LLB25" s="70"/>
      <c r="LLC25" s="70"/>
      <c r="LLD25" s="70"/>
      <c r="LLE25" s="70"/>
      <c r="LLF25" s="70"/>
      <c r="LLG25" s="70"/>
      <c r="LLH25" s="70"/>
      <c r="LLI25" s="70"/>
      <c r="LLJ25" s="70"/>
      <c r="LLK25" s="70"/>
      <c r="LLL25" s="70"/>
      <c r="LLM25" s="70"/>
      <c r="LLN25" s="70"/>
      <c r="LLO25" s="70"/>
      <c r="LLP25" s="70"/>
      <c r="LLQ25" s="70"/>
      <c r="LLR25" s="70"/>
      <c r="LLS25" s="70"/>
      <c r="LLT25" s="70"/>
      <c r="LLU25" s="70"/>
      <c r="LLV25" s="70"/>
      <c r="LLW25" s="70"/>
      <c r="LLX25" s="70"/>
      <c r="LLY25" s="70"/>
      <c r="LLZ25" s="70"/>
      <c r="LMA25" s="70"/>
      <c r="LMB25" s="70"/>
      <c r="LMC25" s="70"/>
      <c r="LMD25" s="70"/>
      <c r="LME25" s="70"/>
      <c r="LMF25" s="70"/>
      <c r="LMG25" s="70"/>
      <c r="LMH25" s="70"/>
      <c r="LMI25" s="70"/>
      <c r="LMJ25" s="70"/>
      <c r="LMK25" s="70"/>
      <c r="LML25" s="70"/>
      <c r="LMM25" s="70"/>
      <c r="LMN25" s="70"/>
      <c r="LMO25" s="70"/>
      <c r="LMP25" s="70"/>
      <c r="LMQ25" s="70"/>
      <c r="LMR25" s="70"/>
      <c r="LMS25" s="70"/>
      <c r="LMT25" s="70"/>
      <c r="LMU25" s="70"/>
      <c r="LMV25" s="70"/>
      <c r="LMW25" s="70"/>
      <c r="LMX25" s="70"/>
      <c r="LMY25" s="70"/>
      <c r="LMZ25" s="70"/>
      <c r="LNA25" s="70"/>
      <c r="LNB25" s="70"/>
      <c r="LNC25" s="70"/>
      <c r="LND25" s="70"/>
      <c r="LNE25" s="70"/>
      <c r="LNF25" s="70"/>
      <c r="LNG25" s="70"/>
      <c r="LNH25" s="70"/>
      <c r="LNI25" s="70"/>
      <c r="LNJ25" s="70"/>
      <c r="LNK25" s="70"/>
      <c r="LNL25" s="70"/>
      <c r="LNM25" s="70"/>
      <c r="LNN25" s="70"/>
      <c r="LNO25" s="70"/>
      <c r="LNP25" s="70"/>
      <c r="LNQ25" s="70"/>
      <c r="LNR25" s="70"/>
      <c r="LNS25" s="70"/>
      <c r="LNT25" s="70"/>
      <c r="LNU25" s="70"/>
      <c r="LNV25" s="70"/>
      <c r="LNW25" s="70"/>
      <c r="LNX25" s="70"/>
      <c r="LNY25" s="70"/>
      <c r="LNZ25" s="70"/>
      <c r="LOA25" s="70"/>
      <c r="LOB25" s="70"/>
      <c r="LOC25" s="70"/>
      <c r="LOD25" s="70"/>
      <c r="LOE25" s="70"/>
      <c r="LOF25" s="70"/>
      <c r="LOG25" s="70"/>
      <c r="LOH25" s="70"/>
      <c r="LOI25" s="70"/>
      <c r="LOJ25" s="70"/>
      <c r="LOK25" s="70"/>
      <c r="LOL25" s="70"/>
      <c r="LOM25" s="70"/>
      <c r="LON25" s="70"/>
      <c r="LOO25" s="70"/>
      <c r="LOP25" s="70"/>
      <c r="LOQ25" s="70"/>
      <c r="LOR25" s="70"/>
      <c r="LOS25" s="70"/>
      <c r="LOT25" s="70"/>
      <c r="LOU25" s="70"/>
      <c r="LOV25" s="70"/>
      <c r="LOW25" s="70"/>
      <c r="LOX25" s="70"/>
      <c r="LOY25" s="70"/>
      <c r="LOZ25" s="70"/>
      <c r="LPA25" s="70"/>
      <c r="LPB25" s="70"/>
      <c r="LPC25" s="70"/>
      <c r="LPD25" s="70"/>
      <c r="LPE25" s="70"/>
      <c r="LPF25" s="70"/>
      <c r="LPG25" s="70"/>
      <c r="LPH25" s="70"/>
      <c r="LPI25" s="70"/>
      <c r="LPJ25" s="70"/>
      <c r="LPK25" s="70"/>
      <c r="LPL25" s="70"/>
      <c r="LPM25" s="70"/>
      <c r="LPN25" s="70"/>
      <c r="LPO25" s="70"/>
      <c r="LPP25" s="70"/>
      <c r="LPQ25" s="70"/>
      <c r="LPR25" s="70"/>
      <c r="LPS25" s="70"/>
      <c r="LPT25" s="70"/>
      <c r="LPU25" s="70"/>
      <c r="LPV25" s="70"/>
      <c r="LPW25" s="70"/>
      <c r="LPX25" s="70"/>
      <c r="LPY25" s="70"/>
      <c r="LPZ25" s="70"/>
      <c r="LQA25" s="70"/>
      <c r="LQB25" s="70"/>
      <c r="LQC25" s="70"/>
      <c r="LQD25" s="70"/>
      <c r="LQE25" s="70"/>
      <c r="LQF25" s="70"/>
      <c r="LQG25" s="70"/>
      <c r="LQH25" s="70"/>
      <c r="LQI25" s="70"/>
      <c r="LQJ25" s="70"/>
      <c r="LQK25" s="70"/>
      <c r="LQL25" s="70"/>
      <c r="LQM25" s="70"/>
      <c r="LQN25" s="70"/>
      <c r="LQO25" s="70"/>
      <c r="LQP25" s="70"/>
      <c r="LQQ25" s="70"/>
      <c r="LQR25" s="70"/>
      <c r="LQS25" s="70"/>
      <c r="LQT25" s="70"/>
      <c r="LQU25" s="70"/>
      <c r="LQV25" s="70"/>
      <c r="LQW25" s="70"/>
      <c r="LQX25" s="70"/>
      <c r="LQY25" s="70"/>
      <c r="LQZ25" s="70"/>
      <c r="LRA25" s="70"/>
      <c r="LRB25" s="70"/>
      <c r="LRC25" s="70"/>
      <c r="LRD25" s="70"/>
      <c r="LRE25" s="70"/>
      <c r="LRF25" s="70"/>
      <c r="LRG25" s="70"/>
      <c r="LRH25" s="70"/>
      <c r="LRI25" s="70"/>
      <c r="LRJ25" s="70"/>
      <c r="LRK25" s="70"/>
      <c r="LRL25" s="70"/>
      <c r="LRM25" s="70"/>
      <c r="LRN25" s="70"/>
      <c r="LRO25" s="70"/>
      <c r="LRP25" s="70"/>
      <c r="LRQ25" s="70"/>
      <c r="LRR25" s="70"/>
      <c r="LRS25" s="70"/>
      <c r="LRT25" s="70"/>
      <c r="LRU25" s="70"/>
      <c r="LRV25" s="70"/>
      <c r="LRW25" s="70"/>
      <c r="LRX25" s="70"/>
      <c r="LRY25" s="70"/>
      <c r="LRZ25" s="70"/>
      <c r="LSA25" s="70"/>
      <c r="LSB25" s="70"/>
      <c r="LSC25" s="70"/>
      <c r="LSD25" s="70"/>
      <c r="LSE25" s="70"/>
      <c r="LSF25" s="70"/>
      <c r="LSG25" s="70"/>
      <c r="LSH25" s="70"/>
      <c r="LSI25" s="70"/>
      <c r="LSJ25" s="70"/>
      <c r="LSK25" s="70"/>
      <c r="LSL25" s="70"/>
      <c r="LSM25" s="70"/>
      <c r="LSN25" s="70"/>
      <c r="LSO25" s="70"/>
      <c r="LSP25" s="70"/>
      <c r="LSQ25" s="70"/>
      <c r="LSR25" s="70"/>
      <c r="LSS25" s="70"/>
      <c r="LST25" s="70"/>
      <c r="LSU25" s="70"/>
      <c r="LSV25" s="70"/>
      <c r="LSW25" s="70"/>
      <c r="LSX25" s="70"/>
      <c r="LSY25" s="70"/>
      <c r="LSZ25" s="70"/>
      <c r="LTA25" s="70"/>
      <c r="LTB25" s="70"/>
      <c r="LTC25" s="70"/>
      <c r="LTD25" s="70"/>
      <c r="LTE25" s="70"/>
      <c r="LTF25" s="70"/>
      <c r="LTG25" s="70"/>
      <c r="LTH25" s="70"/>
      <c r="LTI25" s="70"/>
      <c r="LTJ25" s="70"/>
      <c r="LTK25" s="70"/>
      <c r="LTL25" s="70"/>
      <c r="LTM25" s="70"/>
      <c r="LTN25" s="70"/>
      <c r="LTO25" s="70"/>
      <c r="LTP25" s="70"/>
      <c r="LTQ25" s="70"/>
      <c r="LTR25" s="70"/>
      <c r="LTS25" s="70"/>
      <c r="LTT25" s="70"/>
      <c r="LTU25" s="70"/>
      <c r="LTV25" s="70"/>
      <c r="LTW25" s="70"/>
      <c r="LTX25" s="70"/>
      <c r="LTY25" s="70"/>
      <c r="LTZ25" s="70"/>
      <c r="LUA25" s="70"/>
      <c r="LUB25" s="70"/>
      <c r="LUC25" s="70"/>
      <c r="LUD25" s="70"/>
      <c r="LUE25" s="70"/>
      <c r="LUF25" s="70"/>
      <c r="LUG25" s="70"/>
      <c r="LUH25" s="70"/>
      <c r="LUI25" s="70"/>
      <c r="LUJ25" s="70"/>
      <c r="LUK25" s="70"/>
      <c r="LUL25" s="70"/>
      <c r="LUM25" s="70"/>
      <c r="LUN25" s="70"/>
      <c r="LUO25" s="70"/>
      <c r="LUP25" s="70"/>
      <c r="LUQ25" s="70"/>
      <c r="LUR25" s="70"/>
      <c r="LUS25" s="70"/>
      <c r="LUT25" s="70"/>
      <c r="LUU25" s="70"/>
      <c r="LUV25" s="70"/>
      <c r="LUW25" s="70"/>
      <c r="LUX25" s="70"/>
      <c r="LUY25" s="70"/>
      <c r="LUZ25" s="70"/>
      <c r="LVA25" s="70"/>
      <c r="LVB25" s="70"/>
      <c r="LVC25" s="70"/>
      <c r="LVD25" s="70"/>
      <c r="LVE25" s="70"/>
      <c r="LVF25" s="70"/>
      <c r="LVG25" s="70"/>
      <c r="LVH25" s="70"/>
      <c r="LVI25" s="70"/>
      <c r="LVJ25" s="70"/>
      <c r="LVK25" s="70"/>
      <c r="LVL25" s="70"/>
      <c r="LVM25" s="70"/>
      <c r="LVN25" s="70"/>
      <c r="LVO25" s="70"/>
      <c r="LVP25" s="70"/>
      <c r="LVQ25" s="70"/>
      <c r="LVR25" s="70"/>
      <c r="LVS25" s="70"/>
      <c r="LVT25" s="70"/>
      <c r="LVU25" s="70"/>
      <c r="LVV25" s="70"/>
      <c r="LVW25" s="70"/>
      <c r="LVX25" s="70"/>
      <c r="LVY25" s="70"/>
      <c r="LVZ25" s="70"/>
      <c r="LWA25" s="70"/>
      <c r="LWB25" s="70"/>
      <c r="LWC25" s="70"/>
      <c r="LWD25" s="70"/>
      <c r="LWE25" s="70"/>
      <c r="LWF25" s="70"/>
      <c r="LWG25" s="70"/>
      <c r="LWH25" s="70"/>
      <c r="LWI25" s="70"/>
      <c r="LWJ25" s="70"/>
      <c r="LWK25" s="70"/>
      <c r="LWL25" s="70"/>
      <c r="LWM25" s="70"/>
      <c r="LWN25" s="70"/>
      <c r="LWO25" s="70"/>
      <c r="LWP25" s="70"/>
      <c r="LWQ25" s="70"/>
      <c r="LWR25" s="70"/>
      <c r="LWS25" s="70"/>
      <c r="LWT25" s="70"/>
      <c r="LWU25" s="70"/>
      <c r="LWV25" s="70"/>
      <c r="LWW25" s="70"/>
      <c r="LWX25" s="70"/>
      <c r="LWY25" s="70"/>
      <c r="LWZ25" s="70"/>
      <c r="LXA25" s="70"/>
      <c r="LXB25" s="70"/>
      <c r="LXC25" s="70"/>
      <c r="LXD25" s="70"/>
      <c r="LXE25" s="70"/>
      <c r="LXF25" s="70"/>
      <c r="LXG25" s="70"/>
      <c r="LXH25" s="70"/>
      <c r="LXI25" s="70"/>
      <c r="LXJ25" s="70"/>
      <c r="LXK25" s="70"/>
      <c r="LXL25" s="70"/>
      <c r="LXM25" s="70"/>
      <c r="LXN25" s="70"/>
      <c r="LXO25" s="70"/>
      <c r="LXP25" s="70"/>
      <c r="LXQ25" s="70"/>
      <c r="LXR25" s="70"/>
      <c r="LXS25" s="70"/>
      <c r="LXT25" s="70"/>
      <c r="LXU25" s="70"/>
      <c r="LXV25" s="70"/>
      <c r="LXW25" s="70"/>
      <c r="LXX25" s="70"/>
      <c r="LXY25" s="70"/>
      <c r="LXZ25" s="70"/>
      <c r="LYA25" s="70"/>
      <c r="LYB25" s="70"/>
      <c r="LYC25" s="70"/>
      <c r="LYD25" s="70"/>
      <c r="LYE25" s="70"/>
      <c r="LYF25" s="70"/>
      <c r="LYG25" s="70"/>
      <c r="LYH25" s="70"/>
      <c r="LYI25" s="70"/>
      <c r="LYJ25" s="70"/>
      <c r="LYK25" s="70"/>
      <c r="LYL25" s="70"/>
      <c r="LYM25" s="70"/>
      <c r="LYN25" s="70"/>
      <c r="LYO25" s="70"/>
      <c r="LYP25" s="70"/>
      <c r="LYQ25" s="70"/>
      <c r="LYR25" s="70"/>
      <c r="LYS25" s="70"/>
      <c r="LYT25" s="70"/>
      <c r="LYU25" s="70"/>
      <c r="LYV25" s="70"/>
      <c r="LYW25" s="70"/>
      <c r="LYX25" s="70"/>
      <c r="LYY25" s="70"/>
      <c r="LYZ25" s="70"/>
      <c r="LZA25" s="70"/>
      <c r="LZB25" s="70"/>
      <c r="LZC25" s="70"/>
      <c r="LZD25" s="70"/>
      <c r="LZE25" s="70"/>
      <c r="LZF25" s="70"/>
      <c r="LZG25" s="70"/>
      <c r="LZH25" s="70"/>
      <c r="LZI25" s="70"/>
      <c r="LZJ25" s="70"/>
      <c r="LZK25" s="70"/>
      <c r="LZL25" s="70"/>
      <c r="LZM25" s="70"/>
      <c r="LZN25" s="70"/>
      <c r="LZO25" s="70"/>
      <c r="LZP25" s="70"/>
      <c r="LZQ25" s="70"/>
      <c r="LZR25" s="70"/>
      <c r="LZS25" s="70"/>
      <c r="LZT25" s="70"/>
      <c r="LZU25" s="70"/>
      <c r="LZV25" s="70"/>
      <c r="LZW25" s="70"/>
      <c r="LZX25" s="70"/>
      <c r="LZY25" s="70"/>
      <c r="LZZ25" s="70"/>
      <c r="MAA25" s="70"/>
      <c r="MAB25" s="70"/>
      <c r="MAC25" s="70"/>
      <c r="MAD25" s="70"/>
      <c r="MAE25" s="70"/>
      <c r="MAF25" s="70"/>
      <c r="MAG25" s="70"/>
      <c r="MAH25" s="70"/>
      <c r="MAI25" s="70"/>
      <c r="MAJ25" s="70"/>
      <c r="MAK25" s="70"/>
      <c r="MAL25" s="70"/>
      <c r="MAM25" s="70"/>
      <c r="MAN25" s="70"/>
      <c r="MAO25" s="70"/>
      <c r="MAP25" s="70"/>
      <c r="MAQ25" s="70"/>
      <c r="MAR25" s="70"/>
      <c r="MAS25" s="70"/>
      <c r="MAT25" s="70"/>
      <c r="MAU25" s="70"/>
      <c r="MAV25" s="70"/>
      <c r="MAW25" s="70"/>
      <c r="MAX25" s="70"/>
      <c r="MAY25" s="70"/>
      <c r="MAZ25" s="70"/>
      <c r="MBA25" s="70"/>
      <c r="MBB25" s="70"/>
      <c r="MBC25" s="70"/>
      <c r="MBD25" s="70"/>
      <c r="MBE25" s="70"/>
      <c r="MBF25" s="70"/>
      <c r="MBG25" s="70"/>
      <c r="MBH25" s="70"/>
      <c r="MBI25" s="70"/>
      <c r="MBJ25" s="70"/>
      <c r="MBK25" s="70"/>
      <c r="MBL25" s="70"/>
      <c r="MBM25" s="70"/>
      <c r="MBN25" s="70"/>
      <c r="MBO25" s="70"/>
      <c r="MBP25" s="70"/>
      <c r="MBQ25" s="70"/>
      <c r="MBR25" s="70"/>
      <c r="MBS25" s="70"/>
      <c r="MBT25" s="70"/>
      <c r="MBU25" s="70"/>
      <c r="MBV25" s="70"/>
      <c r="MBW25" s="70"/>
      <c r="MBX25" s="70"/>
      <c r="MBY25" s="70"/>
      <c r="MBZ25" s="70"/>
      <c r="MCA25" s="70"/>
      <c r="MCB25" s="70"/>
      <c r="MCC25" s="70"/>
      <c r="MCD25" s="70"/>
      <c r="MCE25" s="70"/>
      <c r="MCF25" s="70"/>
      <c r="MCG25" s="70"/>
      <c r="MCH25" s="70"/>
      <c r="MCI25" s="70"/>
      <c r="MCJ25" s="70"/>
      <c r="MCK25" s="70"/>
      <c r="MCL25" s="70"/>
      <c r="MCM25" s="70"/>
      <c r="MCN25" s="70"/>
      <c r="MCO25" s="70"/>
      <c r="MCP25" s="70"/>
      <c r="MCQ25" s="70"/>
      <c r="MCR25" s="70"/>
      <c r="MCS25" s="70"/>
      <c r="MCT25" s="70"/>
      <c r="MCU25" s="70"/>
      <c r="MCV25" s="70"/>
      <c r="MCW25" s="70"/>
      <c r="MCX25" s="70"/>
      <c r="MCY25" s="70"/>
      <c r="MCZ25" s="70"/>
      <c r="MDA25" s="70"/>
      <c r="MDB25" s="70"/>
      <c r="MDC25" s="70"/>
      <c r="MDD25" s="70"/>
      <c r="MDE25" s="70"/>
      <c r="MDF25" s="70"/>
      <c r="MDG25" s="70"/>
      <c r="MDH25" s="70"/>
      <c r="MDI25" s="70"/>
      <c r="MDJ25" s="70"/>
      <c r="MDK25" s="70"/>
      <c r="MDL25" s="70"/>
      <c r="MDM25" s="70"/>
      <c r="MDN25" s="70"/>
      <c r="MDO25" s="70"/>
      <c r="MDP25" s="70"/>
      <c r="MDQ25" s="70"/>
      <c r="MDR25" s="70"/>
      <c r="MDS25" s="70"/>
      <c r="MDT25" s="70"/>
      <c r="MDU25" s="70"/>
      <c r="MDV25" s="70"/>
      <c r="MDW25" s="70"/>
      <c r="MDX25" s="70"/>
      <c r="MDY25" s="70"/>
      <c r="MDZ25" s="70"/>
      <c r="MEA25" s="70"/>
      <c r="MEB25" s="70"/>
      <c r="MEC25" s="70"/>
      <c r="MED25" s="70"/>
      <c r="MEE25" s="70"/>
      <c r="MEF25" s="70"/>
      <c r="MEG25" s="70"/>
      <c r="MEH25" s="70"/>
      <c r="MEI25" s="70"/>
      <c r="MEJ25" s="70"/>
      <c r="MEK25" s="70"/>
      <c r="MEL25" s="70"/>
      <c r="MEM25" s="70"/>
      <c r="MEN25" s="70"/>
      <c r="MEO25" s="70"/>
      <c r="MEP25" s="70"/>
      <c r="MEQ25" s="70"/>
      <c r="MER25" s="70"/>
      <c r="MES25" s="70"/>
      <c r="MET25" s="70"/>
      <c r="MEU25" s="70"/>
      <c r="MEV25" s="70"/>
      <c r="MEW25" s="70"/>
      <c r="MEX25" s="70"/>
      <c r="MEY25" s="70"/>
      <c r="MEZ25" s="70"/>
      <c r="MFA25" s="70"/>
      <c r="MFB25" s="70"/>
      <c r="MFC25" s="70"/>
      <c r="MFD25" s="70"/>
      <c r="MFE25" s="70"/>
      <c r="MFF25" s="70"/>
      <c r="MFG25" s="70"/>
      <c r="MFH25" s="70"/>
      <c r="MFI25" s="70"/>
      <c r="MFJ25" s="70"/>
      <c r="MFK25" s="70"/>
      <c r="MFL25" s="70"/>
      <c r="MFM25" s="70"/>
      <c r="MFN25" s="70"/>
      <c r="MFO25" s="70"/>
      <c r="MFP25" s="70"/>
      <c r="MFQ25" s="70"/>
      <c r="MFR25" s="70"/>
      <c r="MFS25" s="70"/>
      <c r="MFT25" s="70"/>
      <c r="MFU25" s="70"/>
      <c r="MFV25" s="70"/>
      <c r="MFW25" s="70"/>
      <c r="MFX25" s="70"/>
      <c r="MFY25" s="70"/>
      <c r="MFZ25" s="70"/>
      <c r="MGA25" s="70"/>
      <c r="MGB25" s="70"/>
      <c r="MGC25" s="70"/>
      <c r="MGD25" s="70"/>
      <c r="MGE25" s="70"/>
      <c r="MGF25" s="70"/>
      <c r="MGG25" s="70"/>
      <c r="MGH25" s="70"/>
      <c r="MGI25" s="70"/>
      <c r="MGJ25" s="70"/>
      <c r="MGK25" s="70"/>
      <c r="MGL25" s="70"/>
      <c r="MGM25" s="70"/>
      <c r="MGN25" s="70"/>
      <c r="MGO25" s="70"/>
      <c r="MGP25" s="70"/>
      <c r="MGQ25" s="70"/>
      <c r="MGR25" s="70"/>
      <c r="MGS25" s="70"/>
      <c r="MGT25" s="70"/>
      <c r="MGU25" s="70"/>
      <c r="MGV25" s="70"/>
      <c r="MGW25" s="70"/>
      <c r="MGX25" s="70"/>
      <c r="MGY25" s="70"/>
      <c r="MGZ25" s="70"/>
      <c r="MHA25" s="70"/>
      <c r="MHB25" s="70"/>
      <c r="MHC25" s="70"/>
      <c r="MHD25" s="70"/>
      <c r="MHE25" s="70"/>
      <c r="MHF25" s="70"/>
      <c r="MHG25" s="70"/>
      <c r="MHH25" s="70"/>
      <c r="MHI25" s="70"/>
      <c r="MHJ25" s="70"/>
      <c r="MHK25" s="70"/>
      <c r="MHL25" s="70"/>
      <c r="MHM25" s="70"/>
      <c r="MHN25" s="70"/>
      <c r="MHO25" s="70"/>
      <c r="MHP25" s="70"/>
      <c r="MHQ25" s="70"/>
      <c r="MHR25" s="70"/>
      <c r="MHS25" s="70"/>
      <c r="MHT25" s="70"/>
      <c r="MHU25" s="70"/>
      <c r="MHV25" s="70"/>
      <c r="MHW25" s="70"/>
      <c r="MHX25" s="70"/>
      <c r="MHY25" s="70"/>
      <c r="MHZ25" s="70"/>
      <c r="MIA25" s="70"/>
      <c r="MIB25" s="70"/>
      <c r="MIC25" s="70"/>
      <c r="MID25" s="70"/>
      <c r="MIE25" s="70"/>
      <c r="MIF25" s="70"/>
      <c r="MIG25" s="70"/>
      <c r="MIH25" s="70"/>
      <c r="MII25" s="70"/>
      <c r="MIJ25" s="70"/>
      <c r="MIK25" s="70"/>
      <c r="MIL25" s="70"/>
      <c r="MIM25" s="70"/>
      <c r="MIN25" s="70"/>
      <c r="MIO25" s="70"/>
      <c r="MIP25" s="70"/>
      <c r="MIQ25" s="70"/>
      <c r="MIR25" s="70"/>
      <c r="MIS25" s="70"/>
      <c r="MIT25" s="70"/>
      <c r="MIU25" s="70"/>
      <c r="MIV25" s="70"/>
      <c r="MIW25" s="70"/>
      <c r="MIX25" s="70"/>
      <c r="MIY25" s="70"/>
      <c r="MIZ25" s="70"/>
      <c r="MJA25" s="70"/>
      <c r="MJB25" s="70"/>
      <c r="MJC25" s="70"/>
      <c r="MJD25" s="70"/>
      <c r="MJE25" s="70"/>
      <c r="MJF25" s="70"/>
      <c r="MJG25" s="70"/>
      <c r="MJH25" s="70"/>
      <c r="MJI25" s="70"/>
      <c r="MJJ25" s="70"/>
      <c r="MJK25" s="70"/>
      <c r="MJL25" s="70"/>
      <c r="MJM25" s="70"/>
      <c r="MJN25" s="70"/>
      <c r="MJO25" s="70"/>
      <c r="MJP25" s="70"/>
      <c r="MJQ25" s="70"/>
      <c r="MJR25" s="70"/>
      <c r="MJS25" s="70"/>
      <c r="MJT25" s="70"/>
      <c r="MJU25" s="70"/>
      <c r="MJV25" s="70"/>
      <c r="MJW25" s="70"/>
      <c r="MJX25" s="70"/>
      <c r="MJY25" s="70"/>
      <c r="MJZ25" s="70"/>
      <c r="MKA25" s="70"/>
      <c r="MKB25" s="70"/>
      <c r="MKC25" s="70"/>
      <c r="MKD25" s="70"/>
      <c r="MKE25" s="70"/>
      <c r="MKF25" s="70"/>
      <c r="MKG25" s="70"/>
      <c r="MKH25" s="70"/>
      <c r="MKI25" s="70"/>
      <c r="MKJ25" s="70"/>
      <c r="MKK25" s="70"/>
      <c r="MKL25" s="70"/>
      <c r="MKM25" s="70"/>
      <c r="MKN25" s="70"/>
      <c r="MKO25" s="70"/>
      <c r="MKP25" s="70"/>
      <c r="MKQ25" s="70"/>
      <c r="MKR25" s="70"/>
      <c r="MKS25" s="70"/>
      <c r="MKT25" s="70"/>
      <c r="MKU25" s="70"/>
      <c r="MKV25" s="70"/>
      <c r="MKW25" s="70"/>
      <c r="MKX25" s="70"/>
      <c r="MKY25" s="70"/>
      <c r="MKZ25" s="70"/>
      <c r="MLA25" s="70"/>
      <c r="MLB25" s="70"/>
      <c r="MLC25" s="70"/>
      <c r="MLD25" s="70"/>
      <c r="MLE25" s="70"/>
      <c r="MLF25" s="70"/>
      <c r="MLG25" s="70"/>
      <c r="MLH25" s="70"/>
      <c r="MLI25" s="70"/>
      <c r="MLJ25" s="70"/>
      <c r="MLK25" s="70"/>
      <c r="MLL25" s="70"/>
      <c r="MLM25" s="70"/>
      <c r="MLN25" s="70"/>
      <c r="MLO25" s="70"/>
      <c r="MLP25" s="70"/>
      <c r="MLQ25" s="70"/>
      <c r="MLR25" s="70"/>
      <c r="MLS25" s="70"/>
      <c r="MLT25" s="70"/>
      <c r="MLU25" s="70"/>
      <c r="MLV25" s="70"/>
      <c r="MLW25" s="70"/>
      <c r="MLX25" s="70"/>
      <c r="MLY25" s="70"/>
      <c r="MLZ25" s="70"/>
      <c r="MMA25" s="70"/>
      <c r="MMB25" s="70"/>
      <c r="MMC25" s="70"/>
      <c r="MMD25" s="70"/>
      <c r="MME25" s="70"/>
      <c r="MMF25" s="70"/>
      <c r="MMG25" s="70"/>
      <c r="MMH25" s="70"/>
      <c r="MMI25" s="70"/>
      <c r="MMJ25" s="70"/>
      <c r="MMK25" s="70"/>
      <c r="MML25" s="70"/>
      <c r="MMM25" s="70"/>
      <c r="MMN25" s="70"/>
      <c r="MMO25" s="70"/>
      <c r="MMP25" s="70"/>
      <c r="MMQ25" s="70"/>
      <c r="MMR25" s="70"/>
      <c r="MMS25" s="70"/>
      <c r="MMT25" s="70"/>
      <c r="MMU25" s="70"/>
      <c r="MMV25" s="70"/>
      <c r="MMW25" s="70"/>
      <c r="MMX25" s="70"/>
      <c r="MMY25" s="70"/>
      <c r="MMZ25" s="70"/>
      <c r="MNA25" s="70"/>
      <c r="MNB25" s="70"/>
      <c r="MNC25" s="70"/>
      <c r="MND25" s="70"/>
      <c r="MNE25" s="70"/>
      <c r="MNF25" s="70"/>
      <c r="MNG25" s="70"/>
      <c r="MNH25" s="70"/>
      <c r="MNI25" s="70"/>
      <c r="MNJ25" s="70"/>
      <c r="MNK25" s="70"/>
      <c r="MNL25" s="70"/>
      <c r="MNM25" s="70"/>
      <c r="MNN25" s="70"/>
      <c r="MNO25" s="70"/>
      <c r="MNP25" s="70"/>
      <c r="MNQ25" s="70"/>
      <c r="MNR25" s="70"/>
      <c r="MNS25" s="70"/>
      <c r="MNT25" s="70"/>
      <c r="MNU25" s="70"/>
      <c r="MNV25" s="70"/>
      <c r="MNW25" s="70"/>
      <c r="MNX25" s="70"/>
      <c r="MNY25" s="70"/>
      <c r="MNZ25" s="70"/>
      <c r="MOA25" s="70"/>
      <c r="MOB25" s="70"/>
      <c r="MOC25" s="70"/>
      <c r="MOD25" s="70"/>
      <c r="MOE25" s="70"/>
      <c r="MOF25" s="70"/>
      <c r="MOG25" s="70"/>
      <c r="MOH25" s="70"/>
      <c r="MOI25" s="70"/>
      <c r="MOJ25" s="70"/>
      <c r="MOK25" s="70"/>
      <c r="MOL25" s="70"/>
      <c r="MOM25" s="70"/>
      <c r="MON25" s="70"/>
      <c r="MOO25" s="70"/>
      <c r="MOP25" s="70"/>
      <c r="MOQ25" s="70"/>
      <c r="MOR25" s="70"/>
      <c r="MOS25" s="70"/>
      <c r="MOT25" s="70"/>
      <c r="MOU25" s="70"/>
      <c r="MOV25" s="70"/>
      <c r="MOW25" s="70"/>
      <c r="MOX25" s="70"/>
      <c r="MOY25" s="70"/>
      <c r="MOZ25" s="70"/>
      <c r="MPA25" s="70"/>
      <c r="MPB25" s="70"/>
      <c r="MPC25" s="70"/>
      <c r="MPD25" s="70"/>
      <c r="MPE25" s="70"/>
      <c r="MPF25" s="70"/>
      <c r="MPG25" s="70"/>
      <c r="MPH25" s="70"/>
      <c r="MPI25" s="70"/>
      <c r="MPJ25" s="70"/>
      <c r="MPK25" s="70"/>
      <c r="MPL25" s="70"/>
      <c r="MPM25" s="70"/>
      <c r="MPN25" s="70"/>
      <c r="MPO25" s="70"/>
      <c r="MPP25" s="70"/>
      <c r="MPQ25" s="70"/>
      <c r="MPR25" s="70"/>
      <c r="MPS25" s="70"/>
      <c r="MPT25" s="70"/>
      <c r="MPU25" s="70"/>
      <c r="MPV25" s="70"/>
      <c r="MPW25" s="70"/>
      <c r="MPX25" s="70"/>
      <c r="MPY25" s="70"/>
      <c r="MPZ25" s="70"/>
      <c r="MQA25" s="70"/>
      <c r="MQB25" s="70"/>
      <c r="MQC25" s="70"/>
      <c r="MQD25" s="70"/>
      <c r="MQE25" s="70"/>
      <c r="MQF25" s="70"/>
      <c r="MQG25" s="70"/>
      <c r="MQH25" s="70"/>
      <c r="MQI25" s="70"/>
      <c r="MQJ25" s="70"/>
      <c r="MQK25" s="70"/>
      <c r="MQL25" s="70"/>
      <c r="MQM25" s="70"/>
      <c r="MQN25" s="70"/>
      <c r="MQO25" s="70"/>
      <c r="MQP25" s="70"/>
      <c r="MQQ25" s="70"/>
      <c r="MQR25" s="70"/>
      <c r="MQS25" s="70"/>
      <c r="MQT25" s="70"/>
      <c r="MQU25" s="70"/>
      <c r="MQV25" s="70"/>
      <c r="MQW25" s="70"/>
      <c r="MQX25" s="70"/>
      <c r="MQY25" s="70"/>
      <c r="MQZ25" s="70"/>
      <c r="MRA25" s="70"/>
      <c r="MRB25" s="70"/>
      <c r="MRC25" s="70"/>
      <c r="MRD25" s="70"/>
      <c r="MRE25" s="70"/>
      <c r="MRF25" s="70"/>
      <c r="MRG25" s="70"/>
      <c r="MRH25" s="70"/>
      <c r="MRI25" s="70"/>
      <c r="MRJ25" s="70"/>
      <c r="MRK25" s="70"/>
      <c r="MRL25" s="70"/>
      <c r="MRM25" s="70"/>
      <c r="MRN25" s="70"/>
      <c r="MRO25" s="70"/>
      <c r="MRP25" s="70"/>
      <c r="MRQ25" s="70"/>
      <c r="MRR25" s="70"/>
      <c r="MRS25" s="70"/>
      <c r="MRT25" s="70"/>
      <c r="MRU25" s="70"/>
      <c r="MRV25" s="70"/>
      <c r="MRW25" s="70"/>
      <c r="MRX25" s="70"/>
      <c r="MRY25" s="70"/>
      <c r="MRZ25" s="70"/>
      <c r="MSA25" s="70"/>
      <c r="MSB25" s="70"/>
      <c r="MSC25" s="70"/>
      <c r="MSD25" s="70"/>
      <c r="MSE25" s="70"/>
      <c r="MSF25" s="70"/>
      <c r="MSG25" s="70"/>
      <c r="MSH25" s="70"/>
      <c r="MSI25" s="70"/>
      <c r="MSJ25" s="70"/>
      <c r="MSK25" s="70"/>
      <c r="MSL25" s="70"/>
      <c r="MSM25" s="70"/>
      <c r="MSN25" s="70"/>
      <c r="MSO25" s="70"/>
      <c r="MSP25" s="70"/>
      <c r="MSQ25" s="70"/>
      <c r="MSR25" s="70"/>
      <c r="MSS25" s="70"/>
      <c r="MST25" s="70"/>
      <c r="MSU25" s="70"/>
      <c r="MSV25" s="70"/>
      <c r="MSW25" s="70"/>
      <c r="MSX25" s="70"/>
      <c r="MSY25" s="70"/>
      <c r="MSZ25" s="70"/>
      <c r="MTA25" s="70"/>
      <c r="MTB25" s="70"/>
      <c r="MTC25" s="70"/>
      <c r="MTD25" s="70"/>
      <c r="MTE25" s="70"/>
      <c r="MTF25" s="70"/>
      <c r="MTG25" s="70"/>
      <c r="MTH25" s="70"/>
      <c r="MTI25" s="70"/>
      <c r="MTJ25" s="70"/>
      <c r="MTK25" s="70"/>
      <c r="MTL25" s="70"/>
      <c r="MTM25" s="70"/>
      <c r="MTN25" s="70"/>
      <c r="MTO25" s="70"/>
      <c r="MTP25" s="70"/>
      <c r="MTQ25" s="70"/>
      <c r="MTR25" s="70"/>
      <c r="MTS25" s="70"/>
      <c r="MTT25" s="70"/>
      <c r="MTU25" s="70"/>
      <c r="MTV25" s="70"/>
      <c r="MTW25" s="70"/>
      <c r="MTX25" s="70"/>
      <c r="MTY25" s="70"/>
      <c r="MTZ25" s="70"/>
      <c r="MUA25" s="70"/>
      <c r="MUB25" s="70"/>
      <c r="MUC25" s="70"/>
      <c r="MUD25" s="70"/>
      <c r="MUE25" s="70"/>
      <c r="MUF25" s="70"/>
      <c r="MUG25" s="70"/>
      <c r="MUH25" s="70"/>
      <c r="MUI25" s="70"/>
      <c r="MUJ25" s="70"/>
      <c r="MUK25" s="70"/>
      <c r="MUL25" s="70"/>
      <c r="MUM25" s="70"/>
      <c r="MUN25" s="70"/>
      <c r="MUO25" s="70"/>
      <c r="MUP25" s="70"/>
      <c r="MUQ25" s="70"/>
      <c r="MUR25" s="70"/>
      <c r="MUS25" s="70"/>
      <c r="MUT25" s="70"/>
      <c r="MUU25" s="70"/>
      <c r="MUV25" s="70"/>
      <c r="MUW25" s="70"/>
      <c r="MUX25" s="70"/>
      <c r="MUY25" s="70"/>
      <c r="MUZ25" s="70"/>
      <c r="MVA25" s="70"/>
      <c r="MVB25" s="70"/>
      <c r="MVC25" s="70"/>
      <c r="MVD25" s="70"/>
      <c r="MVE25" s="70"/>
      <c r="MVF25" s="70"/>
      <c r="MVG25" s="70"/>
      <c r="MVH25" s="70"/>
      <c r="MVI25" s="70"/>
      <c r="MVJ25" s="70"/>
      <c r="MVK25" s="70"/>
      <c r="MVL25" s="70"/>
      <c r="MVM25" s="70"/>
      <c r="MVN25" s="70"/>
      <c r="MVO25" s="70"/>
      <c r="MVP25" s="70"/>
      <c r="MVQ25" s="70"/>
      <c r="MVR25" s="70"/>
      <c r="MVS25" s="70"/>
      <c r="MVT25" s="70"/>
      <c r="MVU25" s="70"/>
      <c r="MVV25" s="70"/>
      <c r="MVW25" s="70"/>
      <c r="MVX25" s="70"/>
      <c r="MVY25" s="70"/>
      <c r="MVZ25" s="70"/>
      <c r="MWA25" s="70"/>
      <c r="MWB25" s="70"/>
      <c r="MWC25" s="70"/>
      <c r="MWD25" s="70"/>
      <c r="MWE25" s="70"/>
      <c r="MWF25" s="70"/>
      <c r="MWG25" s="70"/>
      <c r="MWH25" s="70"/>
      <c r="MWI25" s="70"/>
      <c r="MWJ25" s="70"/>
      <c r="MWK25" s="70"/>
      <c r="MWL25" s="70"/>
      <c r="MWM25" s="70"/>
      <c r="MWN25" s="70"/>
      <c r="MWO25" s="70"/>
      <c r="MWP25" s="70"/>
      <c r="MWQ25" s="70"/>
      <c r="MWR25" s="70"/>
      <c r="MWS25" s="70"/>
      <c r="MWT25" s="70"/>
      <c r="MWU25" s="70"/>
      <c r="MWV25" s="70"/>
      <c r="MWW25" s="70"/>
      <c r="MWX25" s="70"/>
      <c r="MWY25" s="70"/>
      <c r="MWZ25" s="70"/>
      <c r="MXA25" s="70"/>
      <c r="MXB25" s="70"/>
      <c r="MXC25" s="70"/>
      <c r="MXD25" s="70"/>
      <c r="MXE25" s="70"/>
      <c r="MXF25" s="70"/>
      <c r="MXG25" s="70"/>
      <c r="MXH25" s="70"/>
      <c r="MXI25" s="70"/>
      <c r="MXJ25" s="70"/>
      <c r="MXK25" s="70"/>
      <c r="MXL25" s="70"/>
      <c r="MXM25" s="70"/>
      <c r="MXN25" s="70"/>
      <c r="MXO25" s="70"/>
      <c r="MXP25" s="70"/>
      <c r="MXQ25" s="70"/>
      <c r="MXR25" s="70"/>
      <c r="MXS25" s="70"/>
      <c r="MXT25" s="70"/>
      <c r="MXU25" s="70"/>
      <c r="MXV25" s="70"/>
      <c r="MXW25" s="70"/>
      <c r="MXX25" s="70"/>
      <c r="MXY25" s="70"/>
      <c r="MXZ25" s="70"/>
      <c r="MYA25" s="70"/>
      <c r="MYB25" s="70"/>
      <c r="MYC25" s="70"/>
      <c r="MYD25" s="70"/>
      <c r="MYE25" s="70"/>
      <c r="MYF25" s="70"/>
      <c r="MYG25" s="70"/>
      <c r="MYH25" s="70"/>
      <c r="MYI25" s="70"/>
      <c r="MYJ25" s="70"/>
      <c r="MYK25" s="70"/>
      <c r="MYL25" s="70"/>
      <c r="MYM25" s="70"/>
      <c r="MYN25" s="70"/>
      <c r="MYO25" s="70"/>
      <c r="MYP25" s="70"/>
      <c r="MYQ25" s="70"/>
      <c r="MYR25" s="70"/>
      <c r="MYS25" s="70"/>
      <c r="MYT25" s="70"/>
      <c r="MYU25" s="70"/>
      <c r="MYV25" s="70"/>
      <c r="MYW25" s="70"/>
      <c r="MYX25" s="70"/>
      <c r="MYY25" s="70"/>
      <c r="MYZ25" s="70"/>
      <c r="MZA25" s="70"/>
      <c r="MZB25" s="70"/>
      <c r="MZC25" s="70"/>
      <c r="MZD25" s="70"/>
      <c r="MZE25" s="70"/>
      <c r="MZF25" s="70"/>
      <c r="MZG25" s="70"/>
      <c r="MZH25" s="70"/>
      <c r="MZI25" s="70"/>
      <c r="MZJ25" s="70"/>
      <c r="MZK25" s="70"/>
      <c r="MZL25" s="70"/>
      <c r="MZM25" s="70"/>
      <c r="MZN25" s="70"/>
      <c r="MZO25" s="70"/>
      <c r="MZP25" s="70"/>
      <c r="MZQ25" s="70"/>
      <c r="MZR25" s="70"/>
      <c r="MZS25" s="70"/>
      <c r="MZT25" s="70"/>
      <c r="MZU25" s="70"/>
      <c r="MZV25" s="70"/>
      <c r="MZW25" s="70"/>
      <c r="MZX25" s="70"/>
      <c r="MZY25" s="70"/>
      <c r="MZZ25" s="70"/>
      <c r="NAA25" s="70"/>
      <c r="NAB25" s="70"/>
      <c r="NAC25" s="70"/>
      <c r="NAD25" s="70"/>
      <c r="NAE25" s="70"/>
      <c r="NAF25" s="70"/>
      <c r="NAG25" s="70"/>
      <c r="NAH25" s="70"/>
      <c r="NAI25" s="70"/>
      <c r="NAJ25" s="70"/>
      <c r="NAK25" s="70"/>
      <c r="NAL25" s="70"/>
      <c r="NAM25" s="70"/>
      <c r="NAN25" s="70"/>
      <c r="NAO25" s="70"/>
      <c r="NAP25" s="70"/>
      <c r="NAQ25" s="70"/>
      <c r="NAR25" s="70"/>
      <c r="NAS25" s="70"/>
      <c r="NAT25" s="70"/>
      <c r="NAU25" s="70"/>
      <c r="NAV25" s="70"/>
      <c r="NAW25" s="70"/>
      <c r="NAX25" s="70"/>
      <c r="NAY25" s="70"/>
      <c r="NAZ25" s="70"/>
      <c r="NBA25" s="70"/>
      <c r="NBB25" s="70"/>
      <c r="NBC25" s="70"/>
      <c r="NBD25" s="70"/>
      <c r="NBE25" s="70"/>
      <c r="NBF25" s="70"/>
      <c r="NBG25" s="70"/>
      <c r="NBH25" s="70"/>
      <c r="NBI25" s="70"/>
      <c r="NBJ25" s="70"/>
      <c r="NBK25" s="70"/>
      <c r="NBL25" s="70"/>
      <c r="NBM25" s="70"/>
      <c r="NBN25" s="70"/>
      <c r="NBO25" s="70"/>
      <c r="NBP25" s="70"/>
      <c r="NBQ25" s="70"/>
      <c r="NBR25" s="70"/>
      <c r="NBS25" s="70"/>
      <c r="NBT25" s="70"/>
      <c r="NBU25" s="70"/>
      <c r="NBV25" s="70"/>
      <c r="NBW25" s="70"/>
      <c r="NBX25" s="70"/>
      <c r="NBY25" s="70"/>
      <c r="NBZ25" s="70"/>
      <c r="NCA25" s="70"/>
      <c r="NCB25" s="70"/>
      <c r="NCC25" s="70"/>
      <c r="NCD25" s="70"/>
      <c r="NCE25" s="70"/>
      <c r="NCF25" s="70"/>
      <c r="NCG25" s="70"/>
      <c r="NCH25" s="70"/>
      <c r="NCI25" s="70"/>
      <c r="NCJ25" s="70"/>
      <c r="NCK25" s="70"/>
      <c r="NCL25" s="70"/>
      <c r="NCM25" s="70"/>
      <c r="NCN25" s="70"/>
      <c r="NCO25" s="70"/>
      <c r="NCP25" s="70"/>
      <c r="NCQ25" s="70"/>
      <c r="NCR25" s="70"/>
      <c r="NCS25" s="70"/>
      <c r="NCT25" s="70"/>
      <c r="NCU25" s="70"/>
      <c r="NCV25" s="70"/>
      <c r="NCW25" s="70"/>
      <c r="NCX25" s="70"/>
      <c r="NCY25" s="70"/>
      <c r="NCZ25" s="70"/>
      <c r="NDA25" s="70"/>
      <c r="NDB25" s="70"/>
      <c r="NDC25" s="70"/>
      <c r="NDD25" s="70"/>
      <c r="NDE25" s="70"/>
      <c r="NDF25" s="70"/>
      <c r="NDG25" s="70"/>
      <c r="NDH25" s="70"/>
      <c r="NDI25" s="70"/>
      <c r="NDJ25" s="70"/>
      <c r="NDK25" s="70"/>
      <c r="NDL25" s="70"/>
      <c r="NDM25" s="70"/>
      <c r="NDN25" s="70"/>
      <c r="NDO25" s="70"/>
      <c r="NDP25" s="70"/>
      <c r="NDQ25" s="70"/>
      <c r="NDR25" s="70"/>
      <c r="NDS25" s="70"/>
      <c r="NDT25" s="70"/>
      <c r="NDU25" s="70"/>
      <c r="NDV25" s="70"/>
      <c r="NDW25" s="70"/>
      <c r="NDX25" s="70"/>
      <c r="NDY25" s="70"/>
      <c r="NDZ25" s="70"/>
      <c r="NEA25" s="70"/>
      <c r="NEB25" s="70"/>
      <c r="NEC25" s="70"/>
      <c r="NED25" s="70"/>
      <c r="NEE25" s="70"/>
      <c r="NEF25" s="70"/>
      <c r="NEG25" s="70"/>
      <c r="NEH25" s="70"/>
      <c r="NEI25" s="70"/>
      <c r="NEJ25" s="70"/>
      <c r="NEK25" s="70"/>
      <c r="NEL25" s="70"/>
      <c r="NEM25" s="70"/>
      <c r="NEN25" s="70"/>
      <c r="NEO25" s="70"/>
      <c r="NEP25" s="70"/>
      <c r="NEQ25" s="70"/>
      <c r="NER25" s="70"/>
      <c r="NES25" s="70"/>
      <c r="NET25" s="70"/>
      <c r="NEU25" s="70"/>
      <c r="NEV25" s="70"/>
      <c r="NEW25" s="70"/>
      <c r="NEX25" s="70"/>
      <c r="NEY25" s="70"/>
      <c r="NEZ25" s="70"/>
      <c r="NFA25" s="70"/>
      <c r="NFB25" s="70"/>
      <c r="NFC25" s="70"/>
      <c r="NFD25" s="70"/>
      <c r="NFE25" s="70"/>
      <c r="NFF25" s="70"/>
      <c r="NFG25" s="70"/>
      <c r="NFH25" s="70"/>
      <c r="NFI25" s="70"/>
      <c r="NFJ25" s="70"/>
      <c r="NFK25" s="70"/>
      <c r="NFL25" s="70"/>
      <c r="NFM25" s="70"/>
      <c r="NFN25" s="70"/>
      <c r="NFO25" s="70"/>
      <c r="NFP25" s="70"/>
      <c r="NFQ25" s="70"/>
      <c r="NFR25" s="70"/>
      <c r="NFS25" s="70"/>
      <c r="NFT25" s="70"/>
      <c r="NFU25" s="70"/>
      <c r="NFV25" s="70"/>
      <c r="NFW25" s="70"/>
      <c r="NFX25" s="70"/>
      <c r="NFY25" s="70"/>
      <c r="NFZ25" s="70"/>
      <c r="NGA25" s="70"/>
      <c r="NGB25" s="70"/>
      <c r="NGC25" s="70"/>
      <c r="NGD25" s="70"/>
      <c r="NGE25" s="70"/>
      <c r="NGF25" s="70"/>
      <c r="NGG25" s="70"/>
      <c r="NGH25" s="70"/>
      <c r="NGI25" s="70"/>
      <c r="NGJ25" s="70"/>
      <c r="NGK25" s="70"/>
      <c r="NGL25" s="70"/>
      <c r="NGM25" s="70"/>
      <c r="NGN25" s="70"/>
      <c r="NGO25" s="70"/>
      <c r="NGP25" s="70"/>
      <c r="NGQ25" s="70"/>
      <c r="NGR25" s="70"/>
      <c r="NGS25" s="70"/>
      <c r="NGT25" s="70"/>
      <c r="NGU25" s="70"/>
      <c r="NGV25" s="70"/>
      <c r="NGW25" s="70"/>
      <c r="NGX25" s="70"/>
      <c r="NGY25" s="70"/>
      <c r="NGZ25" s="70"/>
      <c r="NHA25" s="70"/>
      <c r="NHB25" s="70"/>
      <c r="NHC25" s="70"/>
      <c r="NHD25" s="70"/>
      <c r="NHE25" s="70"/>
      <c r="NHF25" s="70"/>
      <c r="NHG25" s="70"/>
      <c r="NHH25" s="70"/>
      <c r="NHI25" s="70"/>
      <c r="NHJ25" s="70"/>
      <c r="NHK25" s="70"/>
      <c r="NHL25" s="70"/>
      <c r="NHM25" s="70"/>
      <c r="NHN25" s="70"/>
      <c r="NHO25" s="70"/>
      <c r="NHP25" s="70"/>
      <c r="NHQ25" s="70"/>
      <c r="NHR25" s="70"/>
      <c r="NHS25" s="70"/>
      <c r="NHT25" s="70"/>
      <c r="NHU25" s="70"/>
      <c r="NHV25" s="70"/>
      <c r="NHW25" s="70"/>
      <c r="NHX25" s="70"/>
      <c r="NHY25" s="70"/>
      <c r="NHZ25" s="70"/>
      <c r="NIA25" s="70"/>
      <c r="NIB25" s="70"/>
      <c r="NIC25" s="70"/>
      <c r="NID25" s="70"/>
      <c r="NIE25" s="70"/>
      <c r="NIF25" s="70"/>
      <c r="NIG25" s="70"/>
      <c r="NIH25" s="70"/>
      <c r="NII25" s="70"/>
      <c r="NIJ25" s="70"/>
      <c r="NIK25" s="70"/>
      <c r="NIL25" s="70"/>
      <c r="NIM25" s="70"/>
      <c r="NIN25" s="70"/>
      <c r="NIO25" s="70"/>
      <c r="NIP25" s="70"/>
      <c r="NIQ25" s="70"/>
      <c r="NIR25" s="70"/>
      <c r="NIS25" s="70"/>
      <c r="NIT25" s="70"/>
      <c r="NIU25" s="70"/>
      <c r="NIV25" s="70"/>
      <c r="NIW25" s="70"/>
      <c r="NIX25" s="70"/>
      <c r="NIY25" s="70"/>
      <c r="NIZ25" s="70"/>
      <c r="NJA25" s="70"/>
      <c r="NJB25" s="70"/>
      <c r="NJC25" s="70"/>
      <c r="NJD25" s="70"/>
      <c r="NJE25" s="70"/>
      <c r="NJF25" s="70"/>
      <c r="NJG25" s="70"/>
      <c r="NJH25" s="70"/>
      <c r="NJI25" s="70"/>
      <c r="NJJ25" s="70"/>
      <c r="NJK25" s="70"/>
      <c r="NJL25" s="70"/>
      <c r="NJM25" s="70"/>
      <c r="NJN25" s="70"/>
      <c r="NJO25" s="70"/>
      <c r="NJP25" s="70"/>
      <c r="NJQ25" s="70"/>
      <c r="NJR25" s="70"/>
      <c r="NJS25" s="70"/>
      <c r="NJT25" s="70"/>
      <c r="NJU25" s="70"/>
      <c r="NJV25" s="70"/>
      <c r="NJW25" s="70"/>
      <c r="NJX25" s="70"/>
      <c r="NJY25" s="70"/>
      <c r="NJZ25" s="70"/>
      <c r="NKA25" s="70"/>
      <c r="NKB25" s="70"/>
      <c r="NKC25" s="70"/>
      <c r="NKD25" s="70"/>
      <c r="NKE25" s="70"/>
      <c r="NKF25" s="70"/>
      <c r="NKG25" s="70"/>
      <c r="NKH25" s="70"/>
      <c r="NKI25" s="70"/>
      <c r="NKJ25" s="70"/>
      <c r="NKK25" s="70"/>
      <c r="NKL25" s="70"/>
      <c r="NKM25" s="70"/>
      <c r="NKN25" s="70"/>
      <c r="NKO25" s="70"/>
      <c r="NKP25" s="70"/>
      <c r="NKQ25" s="70"/>
      <c r="NKR25" s="70"/>
      <c r="NKS25" s="70"/>
      <c r="NKT25" s="70"/>
      <c r="NKU25" s="70"/>
      <c r="NKV25" s="70"/>
      <c r="NKW25" s="70"/>
      <c r="NKX25" s="70"/>
      <c r="NKY25" s="70"/>
      <c r="NKZ25" s="70"/>
      <c r="NLA25" s="70"/>
      <c r="NLB25" s="70"/>
      <c r="NLC25" s="70"/>
      <c r="NLD25" s="70"/>
      <c r="NLE25" s="70"/>
      <c r="NLF25" s="70"/>
      <c r="NLG25" s="70"/>
      <c r="NLH25" s="70"/>
      <c r="NLI25" s="70"/>
      <c r="NLJ25" s="70"/>
      <c r="NLK25" s="70"/>
      <c r="NLL25" s="70"/>
      <c r="NLM25" s="70"/>
      <c r="NLN25" s="70"/>
      <c r="NLO25" s="70"/>
      <c r="NLP25" s="70"/>
      <c r="NLQ25" s="70"/>
      <c r="NLR25" s="70"/>
      <c r="NLS25" s="70"/>
      <c r="NLT25" s="70"/>
      <c r="NLU25" s="70"/>
      <c r="NLV25" s="70"/>
      <c r="NLW25" s="70"/>
      <c r="NLX25" s="70"/>
      <c r="NLY25" s="70"/>
      <c r="NLZ25" s="70"/>
      <c r="NMA25" s="70"/>
      <c r="NMB25" s="70"/>
      <c r="NMC25" s="70"/>
      <c r="NMD25" s="70"/>
      <c r="NME25" s="70"/>
      <c r="NMF25" s="70"/>
      <c r="NMG25" s="70"/>
      <c r="NMH25" s="70"/>
      <c r="NMI25" s="70"/>
      <c r="NMJ25" s="70"/>
      <c r="NMK25" s="70"/>
      <c r="NML25" s="70"/>
      <c r="NMM25" s="70"/>
      <c r="NMN25" s="70"/>
      <c r="NMO25" s="70"/>
      <c r="NMP25" s="70"/>
      <c r="NMQ25" s="70"/>
      <c r="NMR25" s="70"/>
      <c r="NMS25" s="70"/>
      <c r="NMT25" s="70"/>
      <c r="NMU25" s="70"/>
      <c r="NMV25" s="70"/>
      <c r="NMW25" s="70"/>
      <c r="NMX25" s="70"/>
      <c r="NMY25" s="70"/>
      <c r="NMZ25" s="70"/>
      <c r="NNA25" s="70"/>
      <c r="NNB25" s="70"/>
      <c r="NNC25" s="70"/>
      <c r="NND25" s="70"/>
      <c r="NNE25" s="70"/>
      <c r="NNF25" s="70"/>
      <c r="NNG25" s="70"/>
      <c r="NNH25" s="70"/>
      <c r="NNI25" s="70"/>
      <c r="NNJ25" s="70"/>
      <c r="NNK25" s="70"/>
      <c r="NNL25" s="70"/>
      <c r="NNM25" s="70"/>
      <c r="NNN25" s="70"/>
      <c r="NNO25" s="70"/>
      <c r="NNP25" s="70"/>
      <c r="NNQ25" s="70"/>
      <c r="NNR25" s="70"/>
      <c r="NNS25" s="70"/>
      <c r="NNT25" s="70"/>
      <c r="NNU25" s="70"/>
      <c r="NNV25" s="70"/>
      <c r="NNW25" s="70"/>
      <c r="NNX25" s="70"/>
      <c r="NNY25" s="70"/>
      <c r="NNZ25" s="70"/>
      <c r="NOA25" s="70"/>
      <c r="NOB25" s="70"/>
      <c r="NOC25" s="70"/>
      <c r="NOD25" s="70"/>
      <c r="NOE25" s="70"/>
      <c r="NOF25" s="70"/>
      <c r="NOG25" s="70"/>
      <c r="NOH25" s="70"/>
      <c r="NOI25" s="70"/>
      <c r="NOJ25" s="70"/>
      <c r="NOK25" s="70"/>
      <c r="NOL25" s="70"/>
      <c r="NOM25" s="70"/>
      <c r="NON25" s="70"/>
      <c r="NOO25" s="70"/>
      <c r="NOP25" s="70"/>
      <c r="NOQ25" s="70"/>
      <c r="NOR25" s="70"/>
      <c r="NOS25" s="70"/>
      <c r="NOT25" s="70"/>
      <c r="NOU25" s="70"/>
      <c r="NOV25" s="70"/>
      <c r="NOW25" s="70"/>
      <c r="NOX25" s="70"/>
      <c r="NOY25" s="70"/>
      <c r="NOZ25" s="70"/>
      <c r="NPA25" s="70"/>
      <c r="NPB25" s="70"/>
      <c r="NPC25" s="70"/>
      <c r="NPD25" s="70"/>
      <c r="NPE25" s="70"/>
      <c r="NPF25" s="70"/>
      <c r="NPG25" s="70"/>
      <c r="NPH25" s="70"/>
      <c r="NPI25" s="70"/>
      <c r="NPJ25" s="70"/>
      <c r="NPK25" s="70"/>
      <c r="NPL25" s="70"/>
      <c r="NPM25" s="70"/>
      <c r="NPN25" s="70"/>
      <c r="NPO25" s="70"/>
      <c r="NPP25" s="70"/>
      <c r="NPQ25" s="70"/>
      <c r="NPR25" s="70"/>
      <c r="NPS25" s="70"/>
      <c r="NPT25" s="70"/>
      <c r="NPU25" s="70"/>
      <c r="NPV25" s="70"/>
      <c r="NPW25" s="70"/>
      <c r="NPX25" s="70"/>
      <c r="NPY25" s="70"/>
      <c r="NPZ25" s="70"/>
      <c r="NQA25" s="70"/>
      <c r="NQB25" s="70"/>
      <c r="NQC25" s="70"/>
      <c r="NQD25" s="70"/>
      <c r="NQE25" s="70"/>
      <c r="NQF25" s="70"/>
      <c r="NQG25" s="70"/>
      <c r="NQH25" s="70"/>
      <c r="NQI25" s="70"/>
      <c r="NQJ25" s="70"/>
      <c r="NQK25" s="70"/>
      <c r="NQL25" s="70"/>
      <c r="NQM25" s="70"/>
      <c r="NQN25" s="70"/>
      <c r="NQO25" s="70"/>
      <c r="NQP25" s="70"/>
      <c r="NQQ25" s="70"/>
      <c r="NQR25" s="70"/>
      <c r="NQS25" s="70"/>
      <c r="NQT25" s="70"/>
      <c r="NQU25" s="70"/>
      <c r="NQV25" s="70"/>
      <c r="NQW25" s="70"/>
      <c r="NQX25" s="70"/>
      <c r="NQY25" s="70"/>
      <c r="NQZ25" s="70"/>
      <c r="NRA25" s="70"/>
      <c r="NRB25" s="70"/>
      <c r="NRC25" s="70"/>
      <c r="NRD25" s="70"/>
      <c r="NRE25" s="70"/>
      <c r="NRF25" s="70"/>
      <c r="NRG25" s="70"/>
      <c r="NRH25" s="70"/>
      <c r="NRI25" s="70"/>
      <c r="NRJ25" s="70"/>
      <c r="NRK25" s="70"/>
      <c r="NRL25" s="70"/>
      <c r="NRM25" s="70"/>
      <c r="NRN25" s="70"/>
      <c r="NRO25" s="70"/>
      <c r="NRP25" s="70"/>
      <c r="NRQ25" s="70"/>
      <c r="NRR25" s="70"/>
      <c r="NRS25" s="70"/>
      <c r="NRT25" s="70"/>
      <c r="NRU25" s="70"/>
      <c r="NRV25" s="70"/>
      <c r="NRW25" s="70"/>
      <c r="NRX25" s="70"/>
      <c r="NRY25" s="70"/>
      <c r="NRZ25" s="70"/>
      <c r="NSA25" s="70"/>
      <c r="NSB25" s="70"/>
      <c r="NSC25" s="70"/>
      <c r="NSD25" s="70"/>
      <c r="NSE25" s="70"/>
      <c r="NSF25" s="70"/>
      <c r="NSG25" s="70"/>
      <c r="NSH25" s="70"/>
      <c r="NSI25" s="70"/>
      <c r="NSJ25" s="70"/>
      <c r="NSK25" s="70"/>
      <c r="NSL25" s="70"/>
      <c r="NSM25" s="70"/>
      <c r="NSN25" s="70"/>
      <c r="NSO25" s="70"/>
      <c r="NSP25" s="70"/>
      <c r="NSQ25" s="70"/>
      <c r="NSR25" s="70"/>
      <c r="NSS25" s="70"/>
      <c r="NST25" s="70"/>
      <c r="NSU25" s="70"/>
      <c r="NSV25" s="70"/>
      <c r="NSW25" s="70"/>
      <c r="NSX25" s="70"/>
      <c r="NSY25" s="70"/>
      <c r="NSZ25" s="70"/>
      <c r="NTA25" s="70"/>
      <c r="NTB25" s="70"/>
      <c r="NTC25" s="70"/>
      <c r="NTD25" s="70"/>
      <c r="NTE25" s="70"/>
      <c r="NTF25" s="70"/>
      <c r="NTG25" s="70"/>
      <c r="NTH25" s="70"/>
      <c r="NTI25" s="70"/>
      <c r="NTJ25" s="70"/>
      <c r="NTK25" s="70"/>
      <c r="NTL25" s="70"/>
      <c r="NTM25" s="70"/>
      <c r="NTN25" s="70"/>
      <c r="NTO25" s="70"/>
      <c r="NTP25" s="70"/>
      <c r="NTQ25" s="70"/>
      <c r="NTR25" s="70"/>
      <c r="NTS25" s="70"/>
      <c r="NTT25" s="70"/>
      <c r="NTU25" s="70"/>
      <c r="NTV25" s="70"/>
      <c r="NTW25" s="70"/>
      <c r="NTX25" s="70"/>
      <c r="NTY25" s="70"/>
      <c r="NTZ25" s="70"/>
      <c r="NUA25" s="70"/>
      <c r="NUB25" s="70"/>
      <c r="NUC25" s="70"/>
      <c r="NUD25" s="70"/>
      <c r="NUE25" s="70"/>
      <c r="NUF25" s="70"/>
      <c r="NUG25" s="70"/>
      <c r="NUH25" s="70"/>
      <c r="NUI25" s="70"/>
      <c r="NUJ25" s="70"/>
      <c r="NUK25" s="70"/>
      <c r="NUL25" s="70"/>
      <c r="NUM25" s="70"/>
      <c r="NUN25" s="70"/>
      <c r="NUO25" s="70"/>
      <c r="NUP25" s="70"/>
      <c r="NUQ25" s="70"/>
      <c r="NUR25" s="70"/>
      <c r="NUS25" s="70"/>
      <c r="NUT25" s="70"/>
      <c r="NUU25" s="70"/>
      <c r="NUV25" s="70"/>
      <c r="NUW25" s="70"/>
      <c r="NUX25" s="70"/>
      <c r="NUY25" s="70"/>
      <c r="NUZ25" s="70"/>
      <c r="NVA25" s="70"/>
      <c r="NVB25" s="70"/>
      <c r="NVC25" s="70"/>
      <c r="NVD25" s="70"/>
      <c r="NVE25" s="70"/>
      <c r="NVF25" s="70"/>
      <c r="NVG25" s="70"/>
      <c r="NVH25" s="70"/>
      <c r="NVI25" s="70"/>
      <c r="NVJ25" s="70"/>
      <c r="NVK25" s="70"/>
      <c r="NVL25" s="70"/>
      <c r="NVM25" s="70"/>
      <c r="NVN25" s="70"/>
      <c r="NVO25" s="70"/>
      <c r="NVP25" s="70"/>
      <c r="NVQ25" s="70"/>
      <c r="NVR25" s="70"/>
      <c r="NVS25" s="70"/>
      <c r="NVT25" s="70"/>
      <c r="NVU25" s="70"/>
      <c r="NVV25" s="70"/>
      <c r="NVW25" s="70"/>
      <c r="NVX25" s="70"/>
      <c r="NVY25" s="70"/>
      <c r="NVZ25" s="70"/>
      <c r="NWA25" s="70"/>
      <c r="NWB25" s="70"/>
      <c r="NWC25" s="70"/>
      <c r="NWD25" s="70"/>
      <c r="NWE25" s="70"/>
      <c r="NWF25" s="70"/>
      <c r="NWG25" s="70"/>
      <c r="NWH25" s="70"/>
      <c r="NWI25" s="70"/>
      <c r="NWJ25" s="70"/>
      <c r="NWK25" s="70"/>
      <c r="NWL25" s="70"/>
      <c r="NWM25" s="70"/>
      <c r="NWN25" s="70"/>
      <c r="NWO25" s="70"/>
      <c r="NWP25" s="70"/>
      <c r="NWQ25" s="70"/>
      <c r="NWR25" s="70"/>
      <c r="NWS25" s="70"/>
      <c r="NWT25" s="70"/>
      <c r="NWU25" s="70"/>
      <c r="NWV25" s="70"/>
      <c r="NWW25" s="70"/>
      <c r="NWX25" s="70"/>
      <c r="NWY25" s="70"/>
      <c r="NWZ25" s="70"/>
      <c r="NXA25" s="70"/>
      <c r="NXB25" s="70"/>
      <c r="NXC25" s="70"/>
      <c r="NXD25" s="70"/>
      <c r="NXE25" s="70"/>
      <c r="NXF25" s="70"/>
      <c r="NXG25" s="70"/>
      <c r="NXH25" s="70"/>
      <c r="NXI25" s="70"/>
      <c r="NXJ25" s="70"/>
      <c r="NXK25" s="70"/>
      <c r="NXL25" s="70"/>
      <c r="NXM25" s="70"/>
      <c r="NXN25" s="70"/>
      <c r="NXO25" s="70"/>
      <c r="NXP25" s="70"/>
      <c r="NXQ25" s="70"/>
      <c r="NXR25" s="70"/>
      <c r="NXS25" s="70"/>
      <c r="NXT25" s="70"/>
      <c r="NXU25" s="70"/>
      <c r="NXV25" s="70"/>
      <c r="NXW25" s="70"/>
      <c r="NXX25" s="70"/>
      <c r="NXY25" s="70"/>
      <c r="NXZ25" s="70"/>
      <c r="NYA25" s="70"/>
      <c r="NYB25" s="70"/>
      <c r="NYC25" s="70"/>
      <c r="NYD25" s="70"/>
      <c r="NYE25" s="70"/>
      <c r="NYF25" s="70"/>
      <c r="NYG25" s="70"/>
      <c r="NYH25" s="70"/>
      <c r="NYI25" s="70"/>
      <c r="NYJ25" s="70"/>
      <c r="NYK25" s="70"/>
      <c r="NYL25" s="70"/>
      <c r="NYM25" s="70"/>
      <c r="NYN25" s="70"/>
      <c r="NYO25" s="70"/>
      <c r="NYP25" s="70"/>
      <c r="NYQ25" s="70"/>
      <c r="NYR25" s="70"/>
      <c r="NYS25" s="70"/>
      <c r="NYT25" s="70"/>
      <c r="NYU25" s="70"/>
      <c r="NYV25" s="70"/>
      <c r="NYW25" s="70"/>
      <c r="NYX25" s="70"/>
      <c r="NYY25" s="70"/>
      <c r="NYZ25" s="70"/>
      <c r="NZA25" s="70"/>
      <c r="NZB25" s="70"/>
      <c r="NZC25" s="70"/>
      <c r="NZD25" s="70"/>
      <c r="NZE25" s="70"/>
      <c r="NZF25" s="70"/>
      <c r="NZG25" s="70"/>
      <c r="NZH25" s="70"/>
      <c r="NZI25" s="70"/>
      <c r="NZJ25" s="70"/>
      <c r="NZK25" s="70"/>
      <c r="NZL25" s="70"/>
      <c r="NZM25" s="70"/>
      <c r="NZN25" s="70"/>
      <c r="NZO25" s="70"/>
      <c r="NZP25" s="70"/>
      <c r="NZQ25" s="70"/>
      <c r="NZR25" s="70"/>
      <c r="NZS25" s="70"/>
      <c r="NZT25" s="70"/>
      <c r="NZU25" s="70"/>
      <c r="NZV25" s="70"/>
      <c r="NZW25" s="70"/>
      <c r="NZX25" s="70"/>
      <c r="NZY25" s="70"/>
      <c r="NZZ25" s="70"/>
      <c r="OAA25" s="70"/>
      <c r="OAB25" s="70"/>
      <c r="OAC25" s="70"/>
      <c r="OAD25" s="70"/>
      <c r="OAE25" s="70"/>
      <c r="OAF25" s="70"/>
      <c r="OAG25" s="70"/>
      <c r="OAH25" s="70"/>
      <c r="OAI25" s="70"/>
      <c r="OAJ25" s="70"/>
      <c r="OAK25" s="70"/>
      <c r="OAL25" s="70"/>
      <c r="OAM25" s="70"/>
      <c r="OAN25" s="70"/>
      <c r="OAO25" s="70"/>
      <c r="OAP25" s="70"/>
      <c r="OAQ25" s="70"/>
      <c r="OAR25" s="70"/>
      <c r="OAS25" s="70"/>
      <c r="OAT25" s="70"/>
      <c r="OAU25" s="70"/>
      <c r="OAV25" s="70"/>
      <c r="OAW25" s="70"/>
      <c r="OAX25" s="70"/>
      <c r="OAY25" s="70"/>
      <c r="OAZ25" s="70"/>
      <c r="OBA25" s="70"/>
      <c r="OBB25" s="70"/>
      <c r="OBC25" s="70"/>
      <c r="OBD25" s="70"/>
      <c r="OBE25" s="70"/>
      <c r="OBF25" s="70"/>
      <c r="OBG25" s="70"/>
      <c r="OBH25" s="70"/>
      <c r="OBI25" s="70"/>
      <c r="OBJ25" s="70"/>
      <c r="OBK25" s="70"/>
      <c r="OBL25" s="70"/>
      <c r="OBM25" s="70"/>
      <c r="OBN25" s="70"/>
      <c r="OBO25" s="70"/>
      <c r="OBP25" s="70"/>
      <c r="OBQ25" s="70"/>
      <c r="OBR25" s="70"/>
      <c r="OBS25" s="70"/>
      <c r="OBT25" s="70"/>
      <c r="OBU25" s="70"/>
      <c r="OBV25" s="70"/>
      <c r="OBW25" s="70"/>
      <c r="OBX25" s="70"/>
      <c r="OBY25" s="70"/>
      <c r="OBZ25" s="70"/>
      <c r="OCA25" s="70"/>
      <c r="OCB25" s="70"/>
      <c r="OCC25" s="70"/>
      <c r="OCD25" s="70"/>
      <c r="OCE25" s="70"/>
      <c r="OCF25" s="70"/>
      <c r="OCG25" s="70"/>
      <c r="OCH25" s="70"/>
      <c r="OCI25" s="70"/>
      <c r="OCJ25" s="70"/>
      <c r="OCK25" s="70"/>
      <c r="OCL25" s="70"/>
      <c r="OCM25" s="70"/>
      <c r="OCN25" s="70"/>
      <c r="OCO25" s="70"/>
      <c r="OCP25" s="70"/>
      <c r="OCQ25" s="70"/>
      <c r="OCR25" s="70"/>
      <c r="OCS25" s="70"/>
      <c r="OCT25" s="70"/>
      <c r="OCU25" s="70"/>
      <c r="OCV25" s="70"/>
      <c r="OCW25" s="70"/>
      <c r="OCX25" s="70"/>
      <c r="OCY25" s="70"/>
      <c r="OCZ25" s="70"/>
      <c r="ODA25" s="70"/>
      <c r="ODB25" s="70"/>
      <c r="ODC25" s="70"/>
      <c r="ODD25" s="70"/>
      <c r="ODE25" s="70"/>
      <c r="ODF25" s="70"/>
      <c r="ODG25" s="70"/>
      <c r="ODH25" s="70"/>
      <c r="ODI25" s="70"/>
      <c r="ODJ25" s="70"/>
      <c r="ODK25" s="70"/>
      <c r="ODL25" s="70"/>
      <c r="ODM25" s="70"/>
      <c r="ODN25" s="70"/>
      <c r="ODO25" s="70"/>
      <c r="ODP25" s="70"/>
      <c r="ODQ25" s="70"/>
      <c r="ODR25" s="70"/>
      <c r="ODS25" s="70"/>
      <c r="ODT25" s="70"/>
      <c r="ODU25" s="70"/>
      <c r="ODV25" s="70"/>
      <c r="ODW25" s="70"/>
      <c r="ODX25" s="70"/>
      <c r="ODY25" s="70"/>
      <c r="ODZ25" s="70"/>
      <c r="OEA25" s="70"/>
      <c r="OEB25" s="70"/>
      <c r="OEC25" s="70"/>
      <c r="OED25" s="70"/>
      <c r="OEE25" s="70"/>
      <c r="OEF25" s="70"/>
      <c r="OEG25" s="70"/>
      <c r="OEH25" s="70"/>
      <c r="OEI25" s="70"/>
      <c r="OEJ25" s="70"/>
      <c r="OEK25" s="70"/>
      <c r="OEL25" s="70"/>
      <c r="OEM25" s="70"/>
      <c r="OEN25" s="70"/>
      <c r="OEO25" s="70"/>
      <c r="OEP25" s="70"/>
      <c r="OEQ25" s="70"/>
      <c r="OER25" s="70"/>
      <c r="OES25" s="70"/>
      <c r="OET25" s="70"/>
      <c r="OEU25" s="70"/>
      <c r="OEV25" s="70"/>
      <c r="OEW25" s="70"/>
      <c r="OEX25" s="70"/>
      <c r="OEY25" s="70"/>
      <c r="OEZ25" s="70"/>
      <c r="OFA25" s="70"/>
      <c r="OFB25" s="70"/>
      <c r="OFC25" s="70"/>
      <c r="OFD25" s="70"/>
      <c r="OFE25" s="70"/>
      <c r="OFF25" s="70"/>
      <c r="OFG25" s="70"/>
      <c r="OFH25" s="70"/>
      <c r="OFI25" s="70"/>
      <c r="OFJ25" s="70"/>
      <c r="OFK25" s="70"/>
      <c r="OFL25" s="70"/>
      <c r="OFM25" s="70"/>
      <c r="OFN25" s="70"/>
      <c r="OFO25" s="70"/>
      <c r="OFP25" s="70"/>
      <c r="OFQ25" s="70"/>
      <c r="OFR25" s="70"/>
      <c r="OFS25" s="70"/>
      <c r="OFT25" s="70"/>
      <c r="OFU25" s="70"/>
      <c r="OFV25" s="70"/>
      <c r="OFW25" s="70"/>
      <c r="OFX25" s="70"/>
      <c r="OFY25" s="70"/>
      <c r="OFZ25" s="70"/>
      <c r="OGA25" s="70"/>
      <c r="OGB25" s="70"/>
      <c r="OGC25" s="70"/>
      <c r="OGD25" s="70"/>
      <c r="OGE25" s="70"/>
      <c r="OGF25" s="70"/>
      <c r="OGG25" s="70"/>
      <c r="OGH25" s="70"/>
      <c r="OGI25" s="70"/>
      <c r="OGJ25" s="70"/>
      <c r="OGK25" s="70"/>
      <c r="OGL25" s="70"/>
      <c r="OGM25" s="70"/>
      <c r="OGN25" s="70"/>
      <c r="OGO25" s="70"/>
      <c r="OGP25" s="70"/>
      <c r="OGQ25" s="70"/>
      <c r="OGR25" s="70"/>
      <c r="OGS25" s="70"/>
      <c r="OGT25" s="70"/>
      <c r="OGU25" s="70"/>
      <c r="OGV25" s="70"/>
      <c r="OGW25" s="70"/>
      <c r="OGX25" s="70"/>
      <c r="OGY25" s="70"/>
      <c r="OGZ25" s="70"/>
      <c r="OHA25" s="70"/>
      <c r="OHB25" s="70"/>
      <c r="OHC25" s="70"/>
      <c r="OHD25" s="70"/>
      <c r="OHE25" s="70"/>
      <c r="OHF25" s="70"/>
      <c r="OHG25" s="70"/>
      <c r="OHH25" s="70"/>
      <c r="OHI25" s="70"/>
      <c r="OHJ25" s="70"/>
      <c r="OHK25" s="70"/>
      <c r="OHL25" s="70"/>
      <c r="OHM25" s="70"/>
      <c r="OHN25" s="70"/>
      <c r="OHO25" s="70"/>
      <c r="OHP25" s="70"/>
      <c r="OHQ25" s="70"/>
      <c r="OHR25" s="70"/>
      <c r="OHS25" s="70"/>
      <c r="OHT25" s="70"/>
      <c r="OHU25" s="70"/>
      <c r="OHV25" s="70"/>
      <c r="OHW25" s="70"/>
      <c r="OHX25" s="70"/>
      <c r="OHY25" s="70"/>
      <c r="OHZ25" s="70"/>
      <c r="OIA25" s="70"/>
      <c r="OIB25" s="70"/>
      <c r="OIC25" s="70"/>
      <c r="OID25" s="70"/>
      <c r="OIE25" s="70"/>
      <c r="OIF25" s="70"/>
      <c r="OIG25" s="70"/>
      <c r="OIH25" s="70"/>
      <c r="OII25" s="70"/>
      <c r="OIJ25" s="70"/>
      <c r="OIK25" s="70"/>
      <c r="OIL25" s="70"/>
      <c r="OIM25" s="70"/>
      <c r="OIN25" s="70"/>
      <c r="OIO25" s="70"/>
      <c r="OIP25" s="70"/>
      <c r="OIQ25" s="70"/>
      <c r="OIR25" s="70"/>
      <c r="OIS25" s="70"/>
      <c r="OIT25" s="70"/>
      <c r="OIU25" s="70"/>
      <c r="OIV25" s="70"/>
      <c r="OIW25" s="70"/>
      <c r="OIX25" s="70"/>
      <c r="OIY25" s="70"/>
      <c r="OIZ25" s="70"/>
      <c r="OJA25" s="70"/>
      <c r="OJB25" s="70"/>
      <c r="OJC25" s="70"/>
      <c r="OJD25" s="70"/>
      <c r="OJE25" s="70"/>
      <c r="OJF25" s="70"/>
      <c r="OJG25" s="70"/>
      <c r="OJH25" s="70"/>
      <c r="OJI25" s="70"/>
      <c r="OJJ25" s="70"/>
      <c r="OJK25" s="70"/>
      <c r="OJL25" s="70"/>
      <c r="OJM25" s="70"/>
      <c r="OJN25" s="70"/>
      <c r="OJO25" s="70"/>
      <c r="OJP25" s="70"/>
      <c r="OJQ25" s="70"/>
      <c r="OJR25" s="70"/>
      <c r="OJS25" s="70"/>
      <c r="OJT25" s="70"/>
      <c r="OJU25" s="70"/>
      <c r="OJV25" s="70"/>
      <c r="OJW25" s="70"/>
      <c r="OJX25" s="70"/>
      <c r="OJY25" s="70"/>
      <c r="OJZ25" s="70"/>
      <c r="OKA25" s="70"/>
      <c r="OKB25" s="70"/>
      <c r="OKC25" s="70"/>
      <c r="OKD25" s="70"/>
      <c r="OKE25" s="70"/>
      <c r="OKF25" s="70"/>
      <c r="OKG25" s="70"/>
      <c r="OKH25" s="70"/>
      <c r="OKI25" s="70"/>
      <c r="OKJ25" s="70"/>
      <c r="OKK25" s="70"/>
      <c r="OKL25" s="70"/>
      <c r="OKM25" s="70"/>
      <c r="OKN25" s="70"/>
      <c r="OKO25" s="70"/>
      <c r="OKP25" s="70"/>
      <c r="OKQ25" s="70"/>
      <c r="OKR25" s="70"/>
      <c r="OKS25" s="70"/>
      <c r="OKT25" s="70"/>
      <c r="OKU25" s="70"/>
      <c r="OKV25" s="70"/>
      <c r="OKW25" s="70"/>
      <c r="OKX25" s="70"/>
      <c r="OKY25" s="70"/>
      <c r="OKZ25" s="70"/>
      <c r="OLA25" s="70"/>
      <c r="OLB25" s="70"/>
      <c r="OLC25" s="70"/>
      <c r="OLD25" s="70"/>
      <c r="OLE25" s="70"/>
      <c r="OLF25" s="70"/>
      <c r="OLG25" s="70"/>
      <c r="OLH25" s="70"/>
      <c r="OLI25" s="70"/>
      <c r="OLJ25" s="70"/>
      <c r="OLK25" s="70"/>
      <c r="OLL25" s="70"/>
      <c r="OLM25" s="70"/>
      <c r="OLN25" s="70"/>
      <c r="OLO25" s="70"/>
      <c r="OLP25" s="70"/>
      <c r="OLQ25" s="70"/>
      <c r="OLR25" s="70"/>
      <c r="OLS25" s="70"/>
      <c r="OLT25" s="70"/>
      <c r="OLU25" s="70"/>
      <c r="OLV25" s="70"/>
      <c r="OLW25" s="70"/>
      <c r="OLX25" s="70"/>
      <c r="OLY25" s="70"/>
      <c r="OLZ25" s="70"/>
      <c r="OMA25" s="70"/>
      <c r="OMB25" s="70"/>
      <c r="OMC25" s="70"/>
      <c r="OMD25" s="70"/>
      <c r="OME25" s="70"/>
      <c r="OMF25" s="70"/>
      <c r="OMG25" s="70"/>
      <c r="OMH25" s="70"/>
      <c r="OMI25" s="70"/>
      <c r="OMJ25" s="70"/>
      <c r="OMK25" s="70"/>
      <c r="OML25" s="70"/>
      <c r="OMM25" s="70"/>
      <c r="OMN25" s="70"/>
      <c r="OMO25" s="70"/>
      <c r="OMP25" s="70"/>
      <c r="OMQ25" s="70"/>
      <c r="OMR25" s="70"/>
      <c r="OMS25" s="70"/>
      <c r="OMT25" s="70"/>
      <c r="OMU25" s="70"/>
      <c r="OMV25" s="70"/>
      <c r="OMW25" s="70"/>
      <c r="OMX25" s="70"/>
      <c r="OMY25" s="70"/>
      <c r="OMZ25" s="70"/>
      <c r="ONA25" s="70"/>
      <c r="ONB25" s="70"/>
      <c r="ONC25" s="70"/>
      <c r="OND25" s="70"/>
      <c r="ONE25" s="70"/>
      <c r="ONF25" s="70"/>
      <c r="ONG25" s="70"/>
      <c r="ONH25" s="70"/>
      <c r="ONI25" s="70"/>
      <c r="ONJ25" s="70"/>
      <c r="ONK25" s="70"/>
      <c r="ONL25" s="70"/>
      <c r="ONM25" s="70"/>
      <c r="ONN25" s="70"/>
      <c r="ONO25" s="70"/>
      <c r="ONP25" s="70"/>
      <c r="ONQ25" s="70"/>
      <c r="ONR25" s="70"/>
      <c r="ONS25" s="70"/>
      <c r="ONT25" s="70"/>
      <c r="ONU25" s="70"/>
      <c r="ONV25" s="70"/>
      <c r="ONW25" s="70"/>
      <c r="ONX25" s="70"/>
      <c r="ONY25" s="70"/>
      <c r="ONZ25" s="70"/>
      <c r="OOA25" s="70"/>
      <c r="OOB25" s="70"/>
      <c r="OOC25" s="70"/>
      <c r="OOD25" s="70"/>
      <c r="OOE25" s="70"/>
      <c r="OOF25" s="70"/>
      <c r="OOG25" s="70"/>
      <c r="OOH25" s="70"/>
      <c r="OOI25" s="70"/>
      <c r="OOJ25" s="70"/>
      <c r="OOK25" s="70"/>
      <c r="OOL25" s="70"/>
      <c r="OOM25" s="70"/>
      <c r="OON25" s="70"/>
      <c r="OOO25" s="70"/>
      <c r="OOP25" s="70"/>
      <c r="OOQ25" s="70"/>
      <c r="OOR25" s="70"/>
      <c r="OOS25" s="70"/>
      <c r="OOT25" s="70"/>
      <c r="OOU25" s="70"/>
      <c r="OOV25" s="70"/>
      <c r="OOW25" s="70"/>
      <c r="OOX25" s="70"/>
      <c r="OOY25" s="70"/>
      <c r="OOZ25" s="70"/>
      <c r="OPA25" s="70"/>
      <c r="OPB25" s="70"/>
      <c r="OPC25" s="70"/>
      <c r="OPD25" s="70"/>
      <c r="OPE25" s="70"/>
      <c r="OPF25" s="70"/>
      <c r="OPG25" s="70"/>
      <c r="OPH25" s="70"/>
      <c r="OPI25" s="70"/>
      <c r="OPJ25" s="70"/>
      <c r="OPK25" s="70"/>
      <c r="OPL25" s="70"/>
      <c r="OPM25" s="70"/>
      <c r="OPN25" s="70"/>
      <c r="OPO25" s="70"/>
      <c r="OPP25" s="70"/>
      <c r="OPQ25" s="70"/>
      <c r="OPR25" s="70"/>
      <c r="OPS25" s="70"/>
      <c r="OPT25" s="70"/>
      <c r="OPU25" s="70"/>
      <c r="OPV25" s="70"/>
      <c r="OPW25" s="70"/>
      <c r="OPX25" s="70"/>
      <c r="OPY25" s="70"/>
      <c r="OPZ25" s="70"/>
      <c r="OQA25" s="70"/>
      <c r="OQB25" s="70"/>
      <c r="OQC25" s="70"/>
      <c r="OQD25" s="70"/>
      <c r="OQE25" s="70"/>
      <c r="OQF25" s="70"/>
      <c r="OQG25" s="70"/>
      <c r="OQH25" s="70"/>
      <c r="OQI25" s="70"/>
      <c r="OQJ25" s="70"/>
      <c r="OQK25" s="70"/>
      <c r="OQL25" s="70"/>
      <c r="OQM25" s="70"/>
      <c r="OQN25" s="70"/>
      <c r="OQO25" s="70"/>
      <c r="OQP25" s="70"/>
      <c r="OQQ25" s="70"/>
      <c r="OQR25" s="70"/>
      <c r="OQS25" s="70"/>
      <c r="OQT25" s="70"/>
      <c r="OQU25" s="70"/>
      <c r="OQV25" s="70"/>
      <c r="OQW25" s="70"/>
      <c r="OQX25" s="70"/>
      <c r="OQY25" s="70"/>
      <c r="OQZ25" s="70"/>
      <c r="ORA25" s="70"/>
      <c r="ORB25" s="70"/>
      <c r="ORC25" s="70"/>
      <c r="ORD25" s="70"/>
      <c r="ORE25" s="70"/>
      <c r="ORF25" s="70"/>
      <c r="ORG25" s="70"/>
      <c r="ORH25" s="70"/>
      <c r="ORI25" s="70"/>
      <c r="ORJ25" s="70"/>
      <c r="ORK25" s="70"/>
      <c r="ORL25" s="70"/>
      <c r="ORM25" s="70"/>
      <c r="ORN25" s="70"/>
      <c r="ORO25" s="70"/>
      <c r="ORP25" s="70"/>
      <c r="ORQ25" s="70"/>
      <c r="ORR25" s="70"/>
      <c r="ORS25" s="70"/>
      <c r="ORT25" s="70"/>
      <c r="ORU25" s="70"/>
      <c r="ORV25" s="70"/>
      <c r="ORW25" s="70"/>
      <c r="ORX25" s="70"/>
      <c r="ORY25" s="70"/>
      <c r="ORZ25" s="70"/>
      <c r="OSA25" s="70"/>
      <c r="OSB25" s="70"/>
      <c r="OSC25" s="70"/>
      <c r="OSD25" s="70"/>
      <c r="OSE25" s="70"/>
      <c r="OSF25" s="70"/>
      <c r="OSG25" s="70"/>
      <c r="OSH25" s="70"/>
      <c r="OSI25" s="70"/>
      <c r="OSJ25" s="70"/>
      <c r="OSK25" s="70"/>
      <c r="OSL25" s="70"/>
      <c r="OSM25" s="70"/>
      <c r="OSN25" s="70"/>
      <c r="OSO25" s="70"/>
      <c r="OSP25" s="70"/>
      <c r="OSQ25" s="70"/>
      <c r="OSR25" s="70"/>
      <c r="OSS25" s="70"/>
      <c r="OST25" s="70"/>
      <c r="OSU25" s="70"/>
      <c r="OSV25" s="70"/>
      <c r="OSW25" s="70"/>
      <c r="OSX25" s="70"/>
      <c r="OSY25" s="70"/>
      <c r="OSZ25" s="70"/>
      <c r="OTA25" s="70"/>
      <c r="OTB25" s="70"/>
      <c r="OTC25" s="70"/>
      <c r="OTD25" s="70"/>
      <c r="OTE25" s="70"/>
      <c r="OTF25" s="70"/>
      <c r="OTG25" s="70"/>
      <c r="OTH25" s="70"/>
      <c r="OTI25" s="70"/>
      <c r="OTJ25" s="70"/>
      <c r="OTK25" s="70"/>
      <c r="OTL25" s="70"/>
      <c r="OTM25" s="70"/>
      <c r="OTN25" s="70"/>
      <c r="OTO25" s="70"/>
      <c r="OTP25" s="70"/>
      <c r="OTQ25" s="70"/>
      <c r="OTR25" s="70"/>
      <c r="OTS25" s="70"/>
      <c r="OTT25" s="70"/>
      <c r="OTU25" s="70"/>
      <c r="OTV25" s="70"/>
      <c r="OTW25" s="70"/>
      <c r="OTX25" s="70"/>
      <c r="OTY25" s="70"/>
      <c r="OTZ25" s="70"/>
      <c r="OUA25" s="70"/>
      <c r="OUB25" s="70"/>
      <c r="OUC25" s="70"/>
      <c r="OUD25" s="70"/>
      <c r="OUE25" s="70"/>
      <c r="OUF25" s="70"/>
      <c r="OUG25" s="70"/>
      <c r="OUH25" s="70"/>
      <c r="OUI25" s="70"/>
      <c r="OUJ25" s="70"/>
      <c r="OUK25" s="70"/>
      <c r="OUL25" s="70"/>
      <c r="OUM25" s="70"/>
      <c r="OUN25" s="70"/>
      <c r="OUO25" s="70"/>
      <c r="OUP25" s="70"/>
      <c r="OUQ25" s="70"/>
      <c r="OUR25" s="70"/>
      <c r="OUS25" s="70"/>
      <c r="OUT25" s="70"/>
      <c r="OUU25" s="70"/>
      <c r="OUV25" s="70"/>
      <c r="OUW25" s="70"/>
      <c r="OUX25" s="70"/>
      <c r="OUY25" s="70"/>
      <c r="OUZ25" s="70"/>
      <c r="OVA25" s="70"/>
      <c r="OVB25" s="70"/>
      <c r="OVC25" s="70"/>
      <c r="OVD25" s="70"/>
      <c r="OVE25" s="70"/>
      <c r="OVF25" s="70"/>
      <c r="OVG25" s="70"/>
      <c r="OVH25" s="70"/>
      <c r="OVI25" s="70"/>
      <c r="OVJ25" s="70"/>
      <c r="OVK25" s="70"/>
      <c r="OVL25" s="70"/>
      <c r="OVM25" s="70"/>
      <c r="OVN25" s="70"/>
      <c r="OVO25" s="70"/>
      <c r="OVP25" s="70"/>
      <c r="OVQ25" s="70"/>
      <c r="OVR25" s="70"/>
      <c r="OVS25" s="70"/>
      <c r="OVT25" s="70"/>
      <c r="OVU25" s="70"/>
      <c r="OVV25" s="70"/>
      <c r="OVW25" s="70"/>
      <c r="OVX25" s="70"/>
      <c r="OVY25" s="70"/>
      <c r="OVZ25" s="70"/>
      <c r="OWA25" s="70"/>
      <c r="OWB25" s="70"/>
      <c r="OWC25" s="70"/>
      <c r="OWD25" s="70"/>
      <c r="OWE25" s="70"/>
      <c r="OWF25" s="70"/>
      <c r="OWG25" s="70"/>
      <c r="OWH25" s="70"/>
      <c r="OWI25" s="70"/>
      <c r="OWJ25" s="70"/>
      <c r="OWK25" s="70"/>
      <c r="OWL25" s="70"/>
      <c r="OWM25" s="70"/>
      <c r="OWN25" s="70"/>
      <c r="OWO25" s="70"/>
      <c r="OWP25" s="70"/>
      <c r="OWQ25" s="70"/>
      <c r="OWR25" s="70"/>
      <c r="OWS25" s="70"/>
      <c r="OWT25" s="70"/>
      <c r="OWU25" s="70"/>
      <c r="OWV25" s="70"/>
      <c r="OWW25" s="70"/>
      <c r="OWX25" s="70"/>
      <c r="OWY25" s="70"/>
      <c r="OWZ25" s="70"/>
      <c r="OXA25" s="70"/>
      <c r="OXB25" s="70"/>
      <c r="OXC25" s="70"/>
      <c r="OXD25" s="70"/>
      <c r="OXE25" s="70"/>
      <c r="OXF25" s="70"/>
      <c r="OXG25" s="70"/>
      <c r="OXH25" s="70"/>
      <c r="OXI25" s="70"/>
      <c r="OXJ25" s="70"/>
      <c r="OXK25" s="70"/>
      <c r="OXL25" s="70"/>
      <c r="OXM25" s="70"/>
      <c r="OXN25" s="70"/>
      <c r="OXO25" s="70"/>
      <c r="OXP25" s="70"/>
      <c r="OXQ25" s="70"/>
      <c r="OXR25" s="70"/>
      <c r="OXS25" s="70"/>
      <c r="OXT25" s="70"/>
      <c r="OXU25" s="70"/>
      <c r="OXV25" s="70"/>
      <c r="OXW25" s="70"/>
      <c r="OXX25" s="70"/>
      <c r="OXY25" s="70"/>
      <c r="OXZ25" s="70"/>
      <c r="OYA25" s="70"/>
      <c r="OYB25" s="70"/>
      <c r="OYC25" s="70"/>
      <c r="OYD25" s="70"/>
      <c r="OYE25" s="70"/>
      <c r="OYF25" s="70"/>
      <c r="OYG25" s="70"/>
      <c r="OYH25" s="70"/>
      <c r="OYI25" s="70"/>
      <c r="OYJ25" s="70"/>
      <c r="OYK25" s="70"/>
      <c r="OYL25" s="70"/>
      <c r="OYM25" s="70"/>
      <c r="OYN25" s="70"/>
      <c r="OYO25" s="70"/>
      <c r="OYP25" s="70"/>
      <c r="OYQ25" s="70"/>
      <c r="OYR25" s="70"/>
      <c r="OYS25" s="70"/>
      <c r="OYT25" s="70"/>
      <c r="OYU25" s="70"/>
      <c r="OYV25" s="70"/>
      <c r="OYW25" s="70"/>
      <c r="OYX25" s="70"/>
      <c r="OYY25" s="70"/>
      <c r="OYZ25" s="70"/>
      <c r="OZA25" s="70"/>
      <c r="OZB25" s="70"/>
      <c r="OZC25" s="70"/>
      <c r="OZD25" s="70"/>
      <c r="OZE25" s="70"/>
      <c r="OZF25" s="70"/>
      <c r="OZG25" s="70"/>
      <c r="OZH25" s="70"/>
      <c r="OZI25" s="70"/>
      <c r="OZJ25" s="70"/>
      <c r="OZK25" s="70"/>
      <c r="OZL25" s="70"/>
      <c r="OZM25" s="70"/>
      <c r="OZN25" s="70"/>
      <c r="OZO25" s="70"/>
      <c r="OZP25" s="70"/>
      <c r="OZQ25" s="70"/>
      <c r="OZR25" s="70"/>
      <c r="OZS25" s="70"/>
      <c r="OZT25" s="70"/>
      <c r="OZU25" s="70"/>
      <c r="OZV25" s="70"/>
      <c r="OZW25" s="70"/>
      <c r="OZX25" s="70"/>
      <c r="OZY25" s="70"/>
      <c r="OZZ25" s="70"/>
      <c r="PAA25" s="70"/>
      <c r="PAB25" s="70"/>
      <c r="PAC25" s="70"/>
      <c r="PAD25" s="70"/>
      <c r="PAE25" s="70"/>
      <c r="PAF25" s="70"/>
      <c r="PAG25" s="70"/>
      <c r="PAH25" s="70"/>
      <c r="PAI25" s="70"/>
      <c r="PAJ25" s="70"/>
      <c r="PAK25" s="70"/>
      <c r="PAL25" s="70"/>
      <c r="PAM25" s="70"/>
      <c r="PAN25" s="70"/>
      <c r="PAO25" s="70"/>
      <c r="PAP25" s="70"/>
      <c r="PAQ25" s="70"/>
      <c r="PAR25" s="70"/>
      <c r="PAS25" s="70"/>
      <c r="PAT25" s="70"/>
      <c r="PAU25" s="70"/>
      <c r="PAV25" s="70"/>
      <c r="PAW25" s="70"/>
      <c r="PAX25" s="70"/>
      <c r="PAY25" s="70"/>
      <c r="PAZ25" s="70"/>
      <c r="PBA25" s="70"/>
      <c r="PBB25" s="70"/>
      <c r="PBC25" s="70"/>
      <c r="PBD25" s="70"/>
      <c r="PBE25" s="70"/>
      <c r="PBF25" s="70"/>
      <c r="PBG25" s="70"/>
      <c r="PBH25" s="70"/>
      <c r="PBI25" s="70"/>
      <c r="PBJ25" s="70"/>
      <c r="PBK25" s="70"/>
      <c r="PBL25" s="70"/>
      <c r="PBM25" s="70"/>
      <c r="PBN25" s="70"/>
      <c r="PBO25" s="70"/>
      <c r="PBP25" s="70"/>
      <c r="PBQ25" s="70"/>
      <c r="PBR25" s="70"/>
      <c r="PBS25" s="70"/>
      <c r="PBT25" s="70"/>
      <c r="PBU25" s="70"/>
      <c r="PBV25" s="70"/>
      <c r="PBW25" s="70"/>
      <c r="PBX25" s="70"/>
      <c r="PBY25" s="70"/>
      <c r="PBZ25" s="70"/>
      <c r="PCA25" s="70"/>
      <c r="PCB25" s="70"/>
      <c r="PCC25" s="70"/>
      <c r="PCD25" s="70"/>
      <c r="PCE25" s="70"/>
      <c r="PCF25" s="70"/>
      <c r="PCG25" s="70"/>
      <c r="PCH25" s="70"/>
      <c r="PCI25" s="70"/>
      <c r="PCJ25" s="70"/>
      <c r="PCK25" s="70"/>
      <c r="PCL25" s="70"/>
      <c r="PCM25" s="70"/>
      <c r="PCN25" s="70"/>
      <c r="PCO25" s="70"/>
      <c r="PCP25" s="70"/>
      <c r="PCQ25" s="70"/>
      <c r="PCR25" s="70"/>
      <c r="PCS25" s="70"/>
      <c r="PCT25" s="70"/>
      <c r="PCU25" s="70"/>
      <c r="PCV25" s="70"/>
      <c r="PCW25" s="70"/>
      <c r="PCX25" s="70"/>
      <c r="PCY25" s="70"/>
      <c r="PCZ25" s="70"/>
      <c r="PDA25" s="70"/>
      <c r="PDB25" s="70"/>
      <c r="PDC25" s="70"/>
      <c r="PDD25" s="70"/>
      <c r="PDE25" s="70"/>
      <c r="PDF25" s="70"/>
      <c r="PDG25" s="70"/>
      <c r="PDH25" s="70"/>
      <c r="PDI25" s="70"/>
      <c r="PDJ25" s="70"/>
      <c r="PDK25" s="70"/>
      <c r="PDL25" s="70"/>
      <c r="PDM25" s="70"/>
      <c r="PDN25" s="70"/>
      <c r="PDO25" s="70"/>
      <c r="PDP25" s="70"/>
      <c r="PDQ25" s="70"/>
      <c r="PDR25" s="70"/>
      <c r="PDS25" s="70"/>
      <c r="PDT25" s="70"/>
      <c r="PDU25" s="70"/>
      <c r="PDV25" s="70"/>
      <c r="PDW25" s="70"/>
      <c r="PDX25" s="70"/>
      <c r="PDY25" s="70"/>
      <c r="PDZ25" s="70"/>
      <c r="PEA25" s="70"/>
      <c r="PEB25" s="70"/>
      <c r="PEC25" s="70"/>
      <c r="PED25" s="70"/>
      <c r="PEE25" s="70"/>
      <c r="PEF25" s="70"/>
      <c r="PEG25" s="70"/>
      <c r="PEH25" s="70"/>
      <c r="PEI25" s="70"/>
      <c r="PEJ25" s="70"/>
      <c r="PEK25" s="70"/>
      <c r="PEL25" s="70"/>
      <c r="PEM25" s="70"/>
      <c r="PEN25" s="70"/>
      <c r="PEO25" s="70"/>
      <c r="PEP25" s="70"/>
      <c r="PEQ25" s="70"/>
      <c r="PER25" s="70"/>
      <c r="PES25" s="70"/>
      <c r="PET25" s="70"/>
      <c r="PEU25" s="70"/>
      <c r="PEV25" s="70"/>
      <c r="PEW25" s="70"/>
      <c r="PEX25" s="70"/>
      <c r="PEY25" s="70"/>
      <c r="PEZ25" s="70"/>
      <c r="PFA25" s="70"/>
      <c r="PFB25" s="70"/>
      <c r="PFC25" s="70"/>
      <c r="PFD25" s="70"/>
      <c r="PFE25" s="70"/>
      <c r="PFF25" s="70"/>
      <c r="PFG25" s="70"/>
      <c r="PFH25" s="70"/>
      <c r="PFI25" s="70"/>
      <c r="PFJ25" s="70"/>
      <c r="PFK25" s="70"/>
      <c r="PFL25" s="70"/>
      <c r="PFM25" s="70"/>
      <c r="PFN25" s="70"/>
      <c r="PFO25" s="70"/>
      <c r="PFP25" s="70"/>
      <c r="PFQ25" s="70"/>
      <c r="PFR25" s="70"/>
      <c r="PFS25" s="70"/>
      <c r="PFT25" s="70"/>
      <c r="PFU25" s="70"/>
      <c r="PFV25" s="70"/>
      <c r="PFW25" s="70"/>
      <c r="PFX25" s="70"/>
      <c r="PFY25" s="70"/>
      <c r="PFZ25" s="70"/>
      <c r="PGA25" s="70"/>
      <c r="PGB25" s="70"/>
      <c r="PGC25" s="70"/>
      <c r="PGD25" s="70"/>
      <c r="PGE25" s="70"/>
      <c r="PGF25" s="70"/>
      <c r="PGG25" s="70"/>
      <c r="PGH25" s="70"/>
      <c r="PGI25" s="70"/>
      <c r="PGJ25" s="70"/>
      <c r="PGK25" s="70"/>
      <c r="PGL25" s="70"/>
      <c r="PGM25" s="70"/>
      <c r="PGN25" s="70"/>
      <c r="PGO25" s="70"/>
      <c r="PGP25" s="70"/>
      <c r="PGQ25" s="70"/>
      <c r="PGR25" s="70"/>
      <c r="PGS25" s="70"/>
      <c r="PGT25" s="70"/>
      <c r="PGU25" s="70"/>
      <c r="PGV25" s="70"/>
      <c r="PGW25" s="70"/>
      <c r="PGX25" s="70"/>
      <c r="PGY25" s="70"/>
      <c r="PGZ25" s="70"/>
      <c r="PHA25" s="70"/>
      <c r="PHB25" s="70"/>
      <c r="PHC25" s="70"/>
      <c r="PHD25" s="70"/>
      <c r="PHE25" s="70"/>
      <c r="PHF25" s="70"/>
      <c r="PHG25" s="70"/>
      <c r="PHH25" s="70"/>
      <c r="PHI25" s="70"/>
      <c r="PHJ25" s="70"/>
      <c r="PHK25" s="70"/>
      <c r="PHL25" s="70"/>
      <c r="PHM25" s="70"/>
      <c r="PHN25" s="70"/>
      <c r="PHO25" s="70"/>
      <c r="PHP25" s="70"/>
      <c r="PHQ25" s="70"/>
      <c r="PHR25" s="70"/>
      <c r="PHS25" s="70"/>
      <c r="PHT25" s="70"/>
      <c r="PHU25" s="70"/>
      <c r="PHV25" s="70"/>
      <c r="PHW25" s="70"/>
      <c r="PHX25" s="70"/>
      <c r="PHY25" s="70"/>
      <c r="PHZ25" s="70"/>
      <c r="PIA25" s="70"/>
      <c r="PIB25" s="70"/>
      <c r="PIC25" s="70"/>
      <c r="PID25" s="70"/>
      <c r="PIE25" s="70"/>
      <c r="PIF25" s="70"/>
      <c r="PIG25" s="70"/>
      <c r="PIH25" s="70"/>
      <c r="PII25" s="70"/>
      <c r="PIJ25" s="70"/>
      <c r="PIK25" s="70"/>
      <c r="PIL25" s="70"/>
      <c r="PIM25" s="70"/>
      <c r="PIN25" s="70"/>
      <c r="PIO25" s="70"/>
      <c r="PIP25" s="70"/>
      <c r="PIQ25" s="70"/>
      <c r="PIR25" s="70"/>
      <c r="PIS25" s="70"/>
      <c r="PIT25" s="70"/>
      <c r="PIU25" s="70"/>
      <c r="PIV25" s="70"/>
      <c r="PIW25" s="70"/>
      <c r="PIX25" s="70"/>
      <c r="PIY25" s="70"/>
      <c r="PIZ25" s="70"/>
      <c r="PJA25" s="70"/>
      <c r="PJB25" s="70"/>
      <c r="PJC25" s="70"/>
      <c r="PJD25" s="70"/>
      <c r="PJE25" s="70"/>
      <c r="PJF25" s="70"/>
      <c r="PJG25" s="70"/>
      <c r="PJH25" s="70"/>
      <c r="PJI25" s="70"/>
      <c r="PJJ25" s="70"/>
      <c r="PJK25" s="70"/>
      <c r="PJL25" s="70"/>
      <c r="PJM25" s="70"/>
      <c r="PJN25" s="70"/>
      <c r="PJO25" s="70"/>
      <c r="PJP25" s="70"/>
      <c r="PJQ25" s="70"/>
      <c r="PJR25" s="70"/>
      <c r="PJS25" s="70"/>
      <c r="PJT25" s="70"/>
      <c r="PJU25" s="70"/>
      <c r="PJV25" s="70"/>
      <c r="PJW25" s="70"/>
      <c r="PJX25" s="70"/>
      <c r="PJY25" s="70"/>
      <c r="PJZ25" s="70"/>
      <c r="PKA25" s="70"/>
      <c r="PKB25" s="70"/>
      <c r="PKC25" s="70"/>
      <c r="PKD25" s="70"/>
      <c r="PKE25" s="70"/>
      <c r="PKF25" s="70"/>
      <c r="PKG25" s="70"/>
      <c r="PKH25" s="70"/>
      <c r="PKI25" s="70"/>
      <c r="PKJ25" s="70"/>
      <c r="PKK25" s="70"/>
      <c r="PKL25" s="70"/>
      <c r="PKM25" s="70"/>
      <c r="PKN25" s="70"/>
      <c r="PKO25" s="70"/>
      <c r="PKP25" s="70"/>
      <c r="PKQ25" s="70"/>
      <c r="PKR25" s="70"/>
      <c r="PKS25" s="70"/>
      <c r="PKT25" s="70"/>
      <c r="PKU25" s="70"/>
      <c r="PKV25" s="70"/>
      <c r="PKW25" s="70"/>
      <c r="PKX25" s="70"/>
      <c r="PKY25" s="70"/>
      <c r="PKZ25" s="70"/>
      <c r="PLA25" s="70"/>
      <c r="PLB25" s="70"/>
      <c r="PLC25" s="70"/>
      <c r="PLD25" s="70"/>
      <c r="PLE25" s="70"/>
      <c r="PLF25" s="70"/>
      <c r="PLG25" s="70"/>
      <c r="PLH25" s="70"/>
      <c r="PLI25" s="70"/>
      <c r="PLJ25" s="70"/>
      <c r="PLK25" s="70"/>
      <c r="PLL25" s="70"/>
      <c r="PLM25" s="70"/>
      <c r="PLN25" s="70"/>
      <c r="PLO25" s="70"/>
      <c r="PLP25" s="70"/>
      <c r="PLQ25" s="70"/>
      <c r="PLR25" s="70"/>
      <c r="PLS25" s="70"/>
      <c r="PLT25" s="70"/>
      <c r="PLU25" s="70"/>
      <c r="PLV25" s="70"/>
      <c r="PLW25" s="70"/>
      <c r="PLX25" s="70"/>
      <c r="PLY25" s="70"/>
      <c r="PLZ25" s="70"/>
      <c r="PMA25" s="70"/>
      <c r="PMB25" s="70"/>
      <c r="PMC25" s="70"/>
      <c r="PMD25" s="70"/>
      <c r="PME25" s="70"/>
      <c r="PMF25" s="70"/>
      <c r="PMG25" s="70"/>
      <c r="PMH25" s="70"/>
      <c r="PMI25" s="70"/>
      <c r="PMJ25" s="70"/>
      <c r="PMK25" s="70"/>
      <c r="PML25" s="70"/>
      <c r="PMM25" s="70"/>
      <c r="PMN25" s="70"/>
      <c r="PMO25" s="70"/>
      <c r="PMP25" s="70"/>
      <c r="PMQ25" s="70"/>
      <c r="PMR25" s="70"/>
      <c r="PMS25" s="70"/>
      <c r="PMT25" s="70"/>
      <c r="PMU25" s="70"/>
      <c r="PMV25" s="70"/>
      <c r="PMW25" s="70"/>
      <c r="PMX25" s="70"/>
      <c r="PMY25" s="70"/>
      <c r="PMZ25" s="70"/>
      <c r="PNA25" s="70"/>
      <c r="PNB25" s="70"/>
      <c r="PNC25" s="70"/>
      <c r="PND25" s="70"/>
      <c r="PNE25" s="70"/>
      <c r="PNF25" s="70"/>
      <c r="PNG25" s="70"/>
      <c r="PNH25" s="70"/>
      <c r="PNI25" s="70"/>
      <c r="PNJ25" s="70"/>
      <c r="PNK25" s="70"/>
      <c r="PNL25" s="70"/>
      <c r="PNM25" s="70"/>
      <c r="PNN25" s="70"/>
      <c r="PNO25" s="70"/>
      <c r="PNP25" s="70"/>
      <c r="PNQ25" s="70"/>
      <c r="PNR25" s="70"/>
      <c r="PNS25" s="70"/>
      <c r="PNT25" s="70"/>
      <c r="PNU25" s="70"/>
      <c r="PNV25" s="70"/>
      <c r="PNW25" s="70"/>
      <c r="PNX25" s="70"/>
      <c r="PNY25" s="70"/>
      <c r="PNZ25" s="70"/>
      <c r="POA25" s="70"/>
      <c r="POB25" s="70"/>
      <c r="POC25" s="70"/>
      <c r="POD25" s="70"/>
      <c r="POE25" s="70"/>
      <c r="POF25" s="70"/>
      <c r="POG25" s="70"/>
      <c r="POH25" s="70"/>
      <c r="POI25" s="70"/>
      <c r="POJ25" s="70"/>
      <c r="POK25" s="70"/>
      <c r="POL25" s="70"/>
      <c r="POM25" s="70"/>
      <c r="PON25" s="70"/>
      <c r="POO25" s="70"/>
      <c r="POP25" s="70"/>
      <c r="POQ25" s="70"/>
      <c r="POR25" s="70"/>
      <c r="POS25" s="70"/>
      <c r="POT25" s="70"/>
      <c r="POU25" s="70"/>
      <c r="POV25" s="70"/>
      <c r="POW25" s="70"/>
      <c r="POX25" s="70"/>
      <c r="POY25" s="70"/>
      <c r="POZ25" s="70"/>
      <c r="PPA25" s="70"/>
      <c r="PPB25" s="70"/>
      <c r="PPC25" s="70"/>
      <c r="PPD25" s="70"/>
      <c r="PPE25" s="70"/>
      <c r="PPF25" s="70"/>
      <c r="PPG25" s="70"/>
      <c r="PPH25" s="70"/>
      <c r="PPI25" s="70"/>
      <c r="PPJ25" s="70"/>
      <c r="PPK25" s="70"/>
      <c r="PPL25" s="70"/>
      <c r="PPM25" s="70"/>
      <c r="PPN25" s="70"/>
      <c r="PPO25" s="70"/>
      <c r="PPP25" s="70"/>
      <c r="PPQ25" s="70"/>
      <c r="PPR25" s="70"/>
      <c r="PPS25" s="70"/>
      <c r="PPT25" s="70"/>
      <c r="PPU25" s="70"/>
      <c r="PPV25" s="70"/>
      <c r="PPW25" s="70"/>
      <c r="PPX25" s="70"/>
      <c r="PPY25" s="70"/>
      <c r="PPZ25" s="70"/>
      <c r="PQA25" s="70"/>
      <c r="PQB25" s="70"/>
      <c r="PQC25" s="70"/>
      <c r="PQD25" s="70"/>
      <c r="PQE25" s="70"/>
      <c r="PQF25" s="70"/>
      <c r="PQG25" s="70"/>
      <c r="PQH25" s="70"/>
      <c r="PQI25" s="70"/>
      <c r="PQJ25" s="70"/>
      <c r="PQK25" s="70"/>
      <c r="PQL25" s="70"/>
      <c r="PQM25" s="70"/>
      <c r="PQN25" s="70"/>
      <c r="PQO25" s="70"/>
      <c r="PQP25" s="70"/>
      <c r="PQQ25" s="70"/>
      <c r="PQR25" s="70"/>
      <c r="PQS25" s="70"/>
      <c r="PQT25" s="70"/>
      <c r="PQU25" s="70"/>
      <c r="PQV25" s="70"/>
      <c r="PQW25" s="70"/>
      <c r="PQX25" s="70"/>
      <c r="PQY25" s="70"/>
      <c r="PQZ25" s="70"/>
      <c r="PRA25" s="70"/>
      <c r="PRB25" s="70"/>
      <c r="PRC25" s="70"/>
      <c r="PRD25" s="70"/>
      <c r="PRE25" s="70"/>
      <c r="PRF25" s="70"/>
      <c r="PRG25" s="70"/>
      <c r="PRH25" s="70"/>
      <c r="PRI25" s="70"/>
      <c r="PRJ25" s="70"/>
      <c r="PRK25" s="70"/>
      <c r="PRL25" s="70"/>
      <c r="PRM25" s="70"/>
      <c r="PRN25" s="70"/>
      <c r="PRO25" s="70"/>
      <c r="PRP25" s="70"/>
      <c r="PRQ25" s="70"/>
      <c r="PRR25" s="70"/>
      <c r="PRS25" s="70"/>
      <c r="PRT25" s="70"/>
      <c r="PRU25" s="70"/>
      <c r="PRV25" s="70"/>
      <c r="PRW25" s="70"/>
      <c r="PRX25" s="70"/>
      <c r="PRY25" s="70"/>
      <c r="PRZ25" s="70"/>
      <c r="PSA25" s="70"/>
      <c r="PSB25" s="70"/>
      <c r="PSC25" s="70"/>
      <c r="PSD25" s="70"/>
      <c r="PSE25" s="70"/>
      <c r="PSF25" s="70"/>
      <c r="PSG25" s="70"/>
      <c r="PSH25" s="70"/>
      <c r="PSI25" s="70"/>
      <c r="PSJ25" s="70"/>
      <c r="PSK25" s="70"/>
      <c r="PSL25" s="70"/>
      <c r="PSM25" s="70"/>
      <c r="PSN25" s="70"/>
      <c r="PSO25" s="70"/>
      <c r="PSP25" s="70"/>
      <c r="PSQ25" s="70"/>
      <c r="PSR25" s="70"/>
      <c r="PSS25" s="70"/>
      <c r="PST25" s="70"/>
      <c r="PSU25" s="70"/>
      <c r="PSV25" s="70"/>
      <c r="PSW25" s="70"/>
      <c r="PSX25" s="70"/>
      <c r="PSY25" s="70"/>
      <c r="PSZ25" s="70"/>
      <c r="PTA25" s="70"/>
      <c r="PTB25" s="70"/>
      <c r="PTC25" s="70"/>
      <c r="PTD25" s="70"/>
      <c r="PTE25" s="70"/>
      <c r="PTF25" s="70"/>
      <c r="PTG25" s="70"/>
      <c r="PTH25" s="70"/>
      <c r="PTI25" s="70"/>
      <c r="PTJ25" s="70"/>
      <c r="PTK25" s="70"/>
      <c r="PTL25" s="70"/>
      <c r="PTM25" s="70"/>
      <c r="PTN25" s="70"/>
      <c r="PTO25" s="70"/>
      <c r="PTP25" s="70"/>
      <c r="PTQ25" s="70"/>
      <c r="PTR25" s="70"/>
      <c r="PTS25" s="70"/>
      <c r="PTT25" s="70"/>
      <c r="PTU25" s="70"/>
      <c r="PTV25" s="70"/>
      <c r="PTW25" s="70"/>
      <c r="PTX25" s="70"/>
      <c r="PTY25" s="70"/>
      <c r="PTZ25" s="70"/>
      <c r="PUA25" s="70"/>
      <c r="PUB25" s="70"/>
      <c r="PUC25" s="70"/>
      <c r="PUD25" s="70"/>
      <c r="PUE25" s="70"/>
      <c r="PUF25" s="70"/>
      <c r="PUG25" s="70"/>
      <c r="PUH25" s="70"/>
      <c r="PUI25" s="70"/>
      <c r="PUJ25" s="70"/>
      <c r="PUK25" s="70"/>
      <c r="PUL25" s="70"/>
      <c r="PUM25" s="70"/>
      <c r="PUN25" s="70"/>
      <c r="PUO25" s="70"/>
      <c r="PUP25" s="70"/>
      <c r="PUQ25" s="70"/>
      <c r="PUR25" s="70"/>
      <c r="PUS25" s="70"/>
      <c r="PUT25" s="70"/>
      <c r="PUU25" s="70"/>
      <c r="PUV25" s="70"/>
      <c r="PUW25" s="70"/>
      <c r="PUX25" s="70"/>
      <c r="PUY25" s="70"/>
      <c r="PUZ25" s="70"/>
      <c r="PVA25" s="70"/>
      <c r="PVB25" s="70"/>
      <c r="PVC25" s="70"/>
      <c r="PVD25" s="70"/>
      <c r="PVE25" s="70"/>
      <c r="PVF25" s="70"/>
      <c r="PVG25" s="70"/>
      <c r="PVH25" s="70"/>
      <c r="PVI25" s="70"/>
      <c r="PVJ25" s="70"/>
      <c r="PVK25" s="70"/>
      <c r="PVL25" s="70"/>
      <c r="PVM25" s="70"/>
      <c r="PVN25" s="70"/>
      <c r="PVO25" s="70"/>
      <c r="PVP25" s="70"/>
      <c r="PVQ25" s="70"/>
      <c r="PVR25" s="70"/>
      <c r="PVS25" s="70"/>
      <c r="PVT25" s="70"/>
      <c r="PVU25" s="70"/>
      <c r="PVV25" s="70"/>
      <c r="PVW25" s="70"/>
      <c r="PVX25" s="70"/>
      <c r="PVY25" s="70"/>
      <c r="PVZ25" s="70"/>
      <c r="PWA25" s="70"/>
      <c r="PWB25" s="70"/>
      <c r="PWC25" s="70"/>
      <c r="PWD25" s="70"/>
      <c r="PWE25" s="70"/>
      <c r="PWF25" s="70"/>
      <c r="PWG25" s="70"/>
      <c r="PWH25" s="70"/>
      <c r="PWI25" s="70"/>
      <c r="PWJ25" s="70"/>
      <c r="PWK25" s="70"/>
      <c r="PWL25" s="70"/>
      <c r="PWM25" s="70"/>
      <c r="PWN25" s="70"/>
      <c r="PWO25" s="70"/>
      <c r="PWP25" s="70"/>
      <c r="PWQ25" s="70"/>
      <c r="PWR25" s="70"/>
      <c r="PWS25" s="70"/>
      <c r="PWT25" s="70"/>
      <c r="PWU25" s="70"/>
      <c r="PWV25" s="70"/>
      <c r="PWW25" s="70"/>
      <c r="PWX25" s="70"/>
      <c r="PWY25" s="70"/>
      <c r="PWZ25" s="70"/>
      <c r="PXA25" s="70"/>
      <c r="PXB25" s="70"/>
      <c r="PXC25" s="70"/>
      <c r="PXD25" s="70"/>
      <c r="PXE25" s="70"/>
      <c r="PXF25" s="70"/>
      <c r="PXG25" s="70"/>
      <c r="PXH25" s="70"/>
      <c r="PXI25" s="70"/>
      <c r="PXJ25" s="70"/>
      <c r="PXK25" s="70"/>
      <c r="PXL25" s="70"/>
      <c r="PXM25" s="70"/>
      <c r="PXN25" s="70"/>
      <c r="PXO25" s="70"/>
      <c r="PXP25" s="70"/>
      <c r="PXQ25" s="70"/>
      <c r="PXR25" s="70"/>
      <c r="PXS25" s="70"/>
      <c r="PXT25" s="70"/>
      <c r="PXU25" s="70"/>
      <c r="PXV25" s="70"/>
      <c r="PXW25" s="70"/>
      <c r="PXX25" s="70"/>
      <c r="PXY25" s="70"/>
      <c r="PXZ25" s="70"/>
      <c r="PYA25" s="70"/>
      <c r="PYB25" s="70"/>
      <c r="PYC25" s="70"/>
      <c r="PYD25" s="70"/>
      <c r="PYE25" s="70"/>
      <c r="PYF25" s="70"/>
      <c r="PYG25" s="70"/>
      <c r="PYH25" s="70"/>
      <c r="PYI25" s="70"/>
      <c r="PYJ25" s="70"/>
      <c r="PYK25" s="70"/>
      <c r="PYL25" s="70"/>
      <c r="PYM25" s="70"/>
      <c r="PYN25" s="70"/>
      <c r="PYO25" s="70"/>
      <c r="PYP25" s="70"/>
      <c r="PYQ25" s="70"/>
      <c r="PYR25" s="70"/>
      <c r="PYS25" s="70"/>
      <c r="PYT25" s="70"/>
      <c r="PYU25" s="70"/>
      <c r="PYV25" s="70"/>
      <c r="PYW25" s="70"/>
      <c r="PYX25" s="70"/>
      <c r="PYY25" s="70"/>
      <c r="PYZ25" s="70"/>
      <c r="PZA25" s="70"/>
      <c r="PZB25" s="70"/>
      <c r="PZC25" s="70"/>
      <c r="PZD25" s="70"/>
      <c r="PZE25" s="70"/>
      <c r="PZF25" s="70"/>
      <c r="PZG25" s="70"/>
      <c r="PZH25" s="70"/>
      <c r="PZI25" s="70"/>
      <c r="PZJ25" s="70"/>
      <c r="PZK25" s="70"/>
      <c r="PZL25" s="70"/>
      <c r="PZM25" s="70"/>
      <c r="PZN25" s="70"/>
      <c r="PZO25" s="70"/>
      <c r="PZP25" s="70"/>
      <c r="PZQ25" s="70"/>
      <c r="PZR25" s="70"/>
      <c r="PZS25" s="70"/>
      <c r="PZT25" s="70"/>
      <c r="PZU25" s="70"/>
      <c r="PZV25" s="70"/>
      <c r="PZW25" s="70"/>
      <c r="PZX25" s="70"/>
      <c r="PZY25" s="70"/>
      <c r="PZZ25" s="70"/>
      <c r="QAA25" s="70"/>
      <c r="QAB25" s="70"/>
      <c r="QAC25" s="70"/>
      <c r="QAD25" s="70"/>
      <c r="QAE25" s="70"/>
      <c r="QAF25" s="70"/>
      <c r="QAG25" s="70"/>
      <c r="QAH25" s="70"/>
      <c r="QAI25" s="70"/>
      <c r="QAJ25" s="70"/>
      <c r="QAK25" s="70"/>
      <c r="QAL25" s="70"/>
      <c r="QAM25" s="70"/>
      <c r="QAN25" s="70"/>
      <c r="QAO25" s="70"/>
      <c r="QAP25" s="70"/>
      <c r="QAQ25" s="70"/>
      <c r="QAR25" s="70"/>
      <c r="QAS25" s="70"/>
      <c r="QAT25" s="70"/>
      <c r="QAU25" s="70"/>
      <c r="QAV25" s="70"/>
      <c r="QAW25" s="70"/>
      <c r="QAX25" s="70"/>
      <c r="QAY25" s="70"/>
      <c r="QAZ25" s="70"/>
      <c r="QBA25" s="70"/>
      <c r="QBB25" s="70"/>
      <c r="QBC25" s="70"/>
      <c r="QBD25" s="70"/>
      <c r="QBE25" s="70"/>
      <c r="QBF25" s="70"/>
      <c r="QBG25" s="70"/>
      <c r="QBH25" s="70"/>
      <c r="QBI25" s="70"/>
      <c r="QBJ25" s="70"/>
      <c r="QBK25" s="70"/>
      <c r="QBL25" s="70"/>
      <c r="QBM25" s="70"/>
      <c r="QBN25" s="70"/>
      <c r="QBO25" s="70"/>
      <c r="QBP25" s="70"/>
      <c r="QBQ25" s="70"/>
      <c r="QBR25" s="70"/>
      <c r="QBS25" s="70"/>
      <c r="QBT25" s="70"/>
      <c r="QBU25" s="70"/>
      <c r="QBV25" s="70"/>
      <c r="QBW25" s="70"/>
      <c r="QBX25" s="70"/>
      <c r="QBY25" s="70"/>
      <c r="QBZ25" s="70"/>
      <c r="QCA25" s="70"/>
      <c r="QCB25" s="70"/>
      <c r="QCC25" s="70"/>
      <c r="QCD25" s="70"/>
      <c r="QCE25" s="70"/>
      <c r="QCF25" s="70"/>
      <c r="QCG25" s="70"/>
      <c r="QCH25" s="70"/>
      <c r="QCI25" s="70"/>
      <c r="QCJ25" s="70"/>
      <c r="QCK25" s="70"/>
      <c r="QCL25" s="70"/>
      <c r="QCM25" s="70"/>
      <c r="QCN25" s="70"/>
      <c r="QCO25" s="70"/>
      <c r="QCP25" s="70"/>
      <c r="QCQ25" s="70"/>
      <c r="QCR25" s="70"/>
      <c r="QCS25" s="70"/>
      <c r="QCT25" s="70"/>
      <c r="QCU25" s="70"/>
      <c r="QCV25" s="70"/>
      <c r="QCW25" s="70"/>
      <c r="QCX25" s="70"/>
      <c r="QCY25" s="70"/>
      <c r="QCZ25" s="70"/>
      <c r="QDA25" s="70"/>
      <c r="QDB25" s="70"/>
      <c r="QDC25" s="70"/>
      <c r="QDD25" s="70"/>
      <c r="QDE25" s="70"/>
      <c r="QDF25" s="70"/>
      <c r="QDG25" s="70"/>
      <c r="QDH25" s="70"/>
      <c r="QDI25" s="70"/>
      <c r="QDJ25" s="70"/>
      <c r="QDK25" s="70"/>
      <c r="QDL25" s="70"/>
      <c r="QDM25" s="70"/>
      <c r="QDN25" s="70"/>
      <c r="QDO25" s="70"/>
      <c r="QDP25" s="70"/>
      <c r="QDQ25" s="70"/>
      <c r="QDR25" s="70"/>
      <c r="QDS25" s="70"/>
      <c r="QDT25" s="70"/>
      <c r="QDU25" s="70"/>
      <c r="QDV25" s="70"/>
      <c r="QDW25" s="70"/>
      <c r="QDX25" s="70"/>
      <c r="QDY25" s="70"/>
      <c r="QDZ25" s="70"/>
      <c r="QEA25" s="70"/>
      <c r="QEB25" s="70"/>
      <c r="QEC25" s="70"/>
      <c r="QED25" s="70"/>
      <c r="QEE25" s="70"/>
      <c r="QEF25" s="70"/>
      <c r="QEG25" s="70"/>
      <c r="QEH25" s="70"/>
      <c r="QEI25" s="70"/>
      <c r="QEJ25" s="70"/>
      <c r="QEK25" s="70"/>
      <c r="QEL25" s="70"/>
      <c r="QEM25" s="70"/>
      <c r="QEN25" s="70"/>
      <c r="QEO25" s="70"/>
      <c r="QEP25" s="70"/>
      <c r="QEQ25" s="70"/>
      <c r="QER25" s="70"/>
      <c r="QES25" s="70"/>
      <c r="QET25" s="70"/>
      <c r="QEU25" s="70"/>
      <c r="QEV25" s="70"/>
      <c r="QEW25" s="70"/>
      <c r="QEX25" s="70"/>
      <c r="QEY25" s="70"/>
      <c r="QEZ25" s="70"/>
      <c r="QFA25" s="70"/>
      <c r="QFB25" s="70"/>
      <c r="QFC25" s="70"/>
      <c r="QFD25" s="70"/>
      <c r="QFE25" s="70"/>
      <c r="QFF25" s="70"/>
      <c r="QFG25" s="70"/>
      <c r="QFH25" s="70"/>
      <c r="QFI25" s="70"/>
      <c r="QFJ25" s="70"/>
      <c r="QFK25" s="70"/>
      <c r="QFL25" s="70"/>
      <c r="QFM25" s="70"/>
      <c r="QFN25" s="70"/>
      <c r="QFO25" s="70"/>
      <c r="QFP25" s="70"/>
      <c r="QFQ25" s="70"/>
      <c r="QFR25" s="70"/>
      <c r="QFS25" s="70"/>
      <c r="QFT25" s="70"/>
      <c r="QFU25" s="70"/>
      <c r="QFV25" s="70"/>
      <c r="QFW25" s="70"/>
      <c r="QFX25" s="70"/>
      <c r="QFY25" s="70"/>
      <c r="QFZ25" s="70"/>
      <c r="QGA25" s="70"/>
      <c r="QGB25" s="70"/>
      <c r="QGC25" s="70"/>
      <c r="QGD25" s="70"/>
      <c r="QGE25" s="70"/>
      <c r="QGF25" s="70"/>
      <c r="QGG25" s="70"/>
      <c r="QGH25" s="70"/>
      <c r="QGI25" s="70"/>
      <c r="QGJ25" s="70"/>
      <c r="QGK25" s="70"/>
      <c r="QGL25" s="70"/>
      <c r="QGM25" s="70"/>
      <c r="QGN25" s="70"/>
      <c r="QGO25" s="70"/>
      <c r="QGP25" s="70"/>
      <c r="QGQ25" s="70"/>
      <c r="QGR25" s="70"/>
      <c r="QGS25" s="70"/>
      <c r="QGT25" s="70"/>
      <c r="QGU25" s="70"/>
      <c r="QGV25" s="70"/>
      <c r="QGW25" s="70"/>
      <c r="QGX25" s="70"/>
      <c r="QGY25" s="70"/>
      <c r="QGZ25" s="70"/>
      <c r="QHA25" s="70"/>
      <c r="QHB25" s="70"/>
      <c r="QHC25" s="70"/>
      <c r="QHD25" s="70"/>
      <c r="QHE25" s="70"/>
      <c r="QHF25" s="70"/>
      <c r="QHG25" s="70"/>
      <c r="QHH25" s="70"/>
      <c r="QHI25" s="70"/>
      <c r="QHJ25" s="70"/>
      <c r="QHK25" s="70"/>
      <c r="QHL25" s="70"/>
      <c r="QHM25" s="70"/>
      <c r="QHN25" s="70"/>
      <c r="QHO25" s="70"/>
      <c r="QHP25" s="70"/>
      <c r="QHQ25" s="70"/>
      <c r="QHR25" s="70"/>
      <c r="QHS25" s="70"/>
      <c r="QHT25" s="70"/>
      <c r="QHU25" s="70"/>
      <c r="QHV25" s="70"/>
      <c r="QHW25" s="70"/>
      <c r="QHX25" s="70"/>
      <c r="QHY25" s="70"/>
      <c r="QHZ25" s="70"/>
      <c r="QIA25" s="70"/>
      <c r="QIB25" s="70"/>
      <c r="QIC25" s="70"/>
      <c r="QID25" s="70"/>
      <c r="QIE25" s="70"/>
      <c r="QIF25" s="70"/>
      <c r="QIG25" s="70"/>
      <c r="QIH25" s="70"/>
      <c r="QII25" s="70"/>
      <c r="QIJ25" s="70"/>
      <c r="QIK25" s="70"/>
      <c r="QIL25" s="70"/>
      <c r="QIM25" s="70"/>
      <c r="QIN25" s="70"/>
      <c r="QIO25" s="70"/>
      <c r="QIP25" s="70"/>
      <c r="QIQ25" s="70"/>
      <c r="QIR25" s="70"/>
      <c r="QIS25" s="70"/>
      <c r="QIT25" s="70"/>
      <c r="QIU25" s="70"/>
      <c r="QIV25" s="70"/>
      <c r="QIW25" s="70"/>
      <c r="QIX25" s="70"/>
      <c r="QIY25" s="70"/>
      <c r="QIZ25" s="70"/>
      <c r="QJA25" s="70"/>
      <c r="QJB25" s="70"/>
      <c r="QJC25" s="70"/>
      <c r="QJD25" s="70"/>
      <c r="QJE25" s="70"/>
      <c r="QJF25" s="70"/>
      <c r="QJG25" s="70"/>
      <c r="QJH25" s="70"/>
      <c r="QJI25" s="70"/>
      <c r="QJJ25" s="70"/>
      <c r="QJK25" s="70"/>
      <c r="QJL25" s="70"/>
      <c r="QJM25" s="70"/>
      <c r="QJN25" s="70"/>
      <c r="QJO25" s="70"/>
      <c r="QJP25" s="70"/>
      <c r="QJQ25" s="70"/>
      <c r="QJR25" s="70"/>
      <c r="QJS25" s="70"/>
      <c r="QJT25" s="70"/>
      <c r="QJU25" s="70"/>
      <c r="QJV25" s="70"/>
      <c r="QJW25" s="70"/>
      <c r="QJX25" s="70"/>
      <c r="QJY25" s="70"/>
      <c r="QJZ25" s="70"/>
      <c r="QKA25" s="70"/>
      <c r="QKB25" s="70"/>
      <c r="QKC25" s="70"/>
      <c r="QKD25" s="70"/>
      <c r="QKE25" s="70"/>
      <c r="QKF25" s="70"/>
      <c r="QKG25" s="70"/>
      <c r="QKH25" s="70"/>
      <c r="QKI25" s="70"/>
      <c r="QKJ25" s="70"/>
      <c r="QKK25" s="70"/>
      <c r="QKL25" s="70"/>
      <c r="QKM25" s="70"/>
      <c r="QKN25" s="70"/>
      <c r="QKO25" s="70"/>
      <c r="QKP25" s="70"/>
      <c r="QKQ25" s="70"/>
      <c r="QKR25" s="70"/>
      <c r="QKS25" s="70"/>
      <c r="QKT25" s="70"/>
      <c r="QKU25" s="70"/>
      <c r="QKV25" s="70"/>
      <c r="QKW25" s="70"/>
      <c r="QKX25" s="70"/>
      <c r="QKY25" s="70"/>
      <c r="QKZ25" s="70"/>
      <c r="QLA25" s="70"/>
      <c r="QLB25" s="70"/>
      <c r="QLC25" s="70"/>
      <c r="QLD25" s="70"/>
      <c r="QLE25" s="70"/>
      <c r="QLF25" s="70"/>
      <c r="QLG25" s="70"/>
      <c r="QLH25" s="70"/>
      <c r="QLI25" s="70"/>
      <c r="QLJ25" s="70"/>
      <c r="QLK25" s="70"/>
      <c r="QLL25" s="70"/>
      <c r="QLM25" s="70"/>
      <c r="QLN25" s="70"/>
      <c r="QLO25" s="70"/>
      <c r="QLP25" s="70"/>
      <c r="QLQ25" s="70"/>
      <c r="QLR25" s="70"/>
      <c r="QLS25" s="70"/>
      <c r="QLT25" s="70"/>
      <c r="QLU25" s="70"/>
      <c r="QLV25" s="70"/>
      <c r="QLW25" s="70"/>
      <c r="QLX25" s="70"/>
      <c r="QLY25" s="70"/>
      <c r="QLZ25" s="70"/>
      <c r="QMA25" s="70"/>
      <c r="QMB25" s="70"/>
      <c r="QMC25" s="70"/>
      <c r="QMD25" s="70"/>
      <c r="QME25" s="70"/>
      <c r="QMF25" s="70"/>
      <c r="QMG25" s="70"/>
      <c r="QMH25" s="70"/>
      <c r="QMI25" s="70"/>
      <c r="QMJ25" s="70"/>
      <c r="QMK25" s="70"/>
      <c r="QML25" s="70"/>
      <c r="QMM25" s="70"/>
      <c r="QMN25" s="70"/>
      <c r="QMO25" s="70"/>
      <c r="QMP25" s="70"/>
      <c r="QMQ25" s="70"/>
      <c r="QMR25" s="70"/>
      <c r="QMS25" s="70"/>
      <c r="QMT25" s="70"/>
      <c r="QMU25" s="70"/>
      <c r="QMV25" s="70"/>
      <c r="QMW25" s="70"/>
      <c r="QMX25" s="70"/>
      <c r="QMY25" s="70"/>
      <c r="QMZ25" s="70"/>
      <c r="QNA25" s="70"/>
      <c r="QNB25" s="70"/>
      <c r="QNC25" s="70"/>
      <c r="QND25" s="70"/>
      <c r="QNE25" s="70"/>
      <c r="QNF25" s="70"/>
      <c r="QNG25" s="70"/>
      <c r="QNH25" s="70"/>
      <c r="QNI25" s="70"/>
      <c r="QNJ25" s="70"/>
      <c r="QNK25" s="70"/>
      <c r="QNL25" s="70"/>
      <c r="QNM25" s="70"/>
      <c r="QNN25" s="70"/>
      <c r="QNO25" s="70"/>
      <c r="QNP25" s="70"/>
      <c r="QNQ25" s="70"/>
      <c r="QNR25" s="70"/>
      <c r="QNS25" s="70"/>
      <c r="QNT25" s="70"/>
      <c r="QNU25" s="70"/>
      <c r="QNV25" s="70"/>
      <c r="QNW25" s="70"/>
      <c r="QNX25" s="70"/>
      <c r="QNY25" s="70"/>
      <c r="QNZ25" s="70"/>
      <c r="QOA25" s="70"/>
      <c r="QOB25" s="70"/>
      <c r="QOC25" s="70"/>
      <c r="QOD25" s="70"/>
      <c r="QOE25" s="70"/>
      <c r="QOF25" s="70"/>
      <c r="QOG25" s="70"/>
      <c r="QOH25" s="70"/>
      <c r="QOI25" s="70"/>
      <c r="QOJ25" s="70"/>
      <c r="QOK25" s="70"/>
      <c r="QOL25" s="70"/>
      <c r="QOM25" s="70"/>
      <c r="QON25" s="70"/>
      <c r="QOO25" s="70"/>
      <c r="QOP25" s="70"/>
      <c r="QOQ25" s="70"/>
      <c r="QOR25" s="70"/>
      <c r="QOS25" s="70"/>
      <c r="QOT25" s="70"/>
      <c r="QOU25" s="70"/>
      <c r="QOV25" s="70"/>
      <c r="QOW25" s="70"/>
      <c r="QOX25" s="70"/>
      <c r="QOY25" s="70"/>
      <c r="QOZ25" s="70"/>
      <c r="QPA25" s="70"/>
      <c r="QPB25" s="70"/>
      <c r="QPC25" s="70"/>
      <c r="QPD25" s="70"/>
      <c r="QPE25" s="70"/>
      <c r="QPF25" s="70"/>
      <c r="QPG25" s="70"/>
      <c r="QPH25" s="70"/>
      <c r="QPI25" s="70"/>
      <c r="QPJ25" s="70"/>
      <c r="QPK25" s="70"/>
      <c r="QPL25" s="70"/>
      <c r="QPM25" s="70"/>
      <c r="QPN25" s="70"/>
      <c r="QPO25" s="70"/>
      <c r="QPP25" s="70"/>
      <c r="QPQ25" s="70"/>
      <c r="QPR25" s="70"/>
      <c r="QPS25" s="70"/>
      <c r="QPT25" s="70"/>
      <c r="QPU25" s="70"/>
      <c r="QPV25" s="70"/>
      <c r="QPW25" s="70"/>
      <c r="QPX25" s="70"/>
      <c r="QPY25" s="70"/>
      <c r="QPZ25" s="70"/>
      <c r="QQA25" s="70"/>
      <c r="QQB25" s="70"/>
      <c r="QQC25" s="70"/>
      <c r="QQD25" s="70"/>
      <c r="QQE25" s="70"/>
      <c r="QQF25" s="70"/>
      <c r="QQG25" s="70"/>
      <c r="QQH25" s="70"/>
      <c r="QQI25" s="70"/>
      <c r="QQJ25" s="70"/>
      <c r="QQK25" s="70"/>
      <c r="QQL25" s="70"/>
      <c r="QQM25" s="70"/>
      <c r="QQN25" s="70"/>
      <c r="QQO25" s="70"/>
      <c r="QQP25" s="70"/>
      <c r="QQQ25" s="70"/>
      <c r="QQR25" s="70"/>
      <c r="QQS25" s="70"/>
      <c r="QQT25" s="70"/>
      <c r="QQU25" s="70"/>
      <c r="QQV25" s="70"/>
      <c r="QQW25" s="70"/>
      <c r="QQX25" s="70"/>
      <c r="QQY25" s="70"/>
      <c r="QQZ25" s="70"/>
      <c r="QRA25" s="70"/>
      <c r="QRB25" s="70"/>
      <c r="QRC25" s="70"/>
      <c r="QRD25" s="70"/>
      <c r="QRE25" s="70"/>
      <c r="QRF25" s="70"/>
      <c r="QRG25" s="70"/>
      <c r="QRH25" s="70"/>
      <c r="QRI25" s="70"/>
      <c r="QRJ25" s="70"/>
      <c r="QRK25" s="70"/>
      <c r="QRL25" s="70"/>
      <c r="QRM25" s="70"/>
      <c r="QRN25" s="70"/>
      <c r="QRO25" s="70"/>
      <c r="QRP25" s="70"/>
      <c r="QRQ25" s="70"/>
      <c r="QRR25" s="70"/>
      <c r="QRS25" s="70"/>
      <c r="QRT25" s="70"/>
      <c r="QRU25" s="70"/>
      <c r="QRV25" s="70"/>
      <c r="QRW25" s="70"/>
      <c r="QRX25" s="70"/>
      <c r="QRY25" s="70"/>
      <c r="QRZ25" s="70"/>
      <c r="QSA25" s="70"/>
      <c r="QSB25" s="70"/>
      <c r="QSC25" s="70"/>
      <c r="QSD25" s="70"/>
      <c r="QSE25" s="70"/>
      <c r="QSF25" s="70"/>
      <c r="QSG25" s="70"/>
      <c r="QSH25" s="70"/>
      <c r="QSI25" s="70"/>
      <c r="QSJ25" s="70"/>
      <c r="QSK25" s="70"/>
      <c r="QSL25" s="70"/>
      <c r="QSM25" s="70"/>
      <c r="QSN25" s="70"/>
      <c r="QSO25" s="70"/>
      <c r="QSP25" s="70"/>
      <c r="QSQ25" s="70"/>
      <c r="QSR25" s="70"/>
      <c r="QSS25" s="70"/>
      <c r="QST25" s="70"/>
      <c r="QSU25" s="70"/>
      <c r="QSV25" s="70"/>
      <c r="QSW25" s="70"/>
      <c r="QSX25" s="70"/>
      <c r="QSY25" s="70"/>
      <c r="QSZ25" s="70"/>
      <c r="QTA25" s="70"/>
      <c r="QTB25" s="70"/>
      <c r="QTC25" s="70"/>
      <c r="QTD25" s="70"/>
      <c r="QTE25" s="70"/>
      <c r="QTF25" s="70"/>
      <c r="QTG25" s="70"/>
      <c r="QTH25" s="70"/>
      <c r="QTI25" s="70"/>
      <c r="QTJ25" s="70"/>
      <c r="QTK25" s="70"/>
      <c r="QTL25" s="70"/>
      <c r="QTM25" s="70"/>
      <c r="QTN25" s="70"/>
      <c r="QTO25" s="70"/>
      <c r="QTP25" s="70"/>
      <c r="QTQ25" s="70"/>
      <c r="QTR25" s="70"/>
      <c r="QTS25" s="70"/>
      <c r="QTT25" s="70"/>
      <c r="QTU25" s="70"/>
      <c r="QTV25" s="70"/>
      <c r="QTW25" s="70"/>
      <c r="QTX25" s="70"/>
      <c r="QTY25" s="70"/>
      <c r="QTZ25" s="70"/>
      <c r="QUA25" s="70"/>
      <c r="QUB25" s="70"/>
      <c r="QUC25" s="70"/>
      <c r="QUD25" s="70"/>
      <c r="QUE25" s="70"/>
      <c r="QUF25" s="70"/>
      <c r="QUG25" s="70"/>
      <c r="QUH25" s="70"/>
      <c r="QUI25" s="70"/>
      <c r="QUJ25" s="70"/>
      <c r="QUK25" s="70"/>
      <c r="QUL25" s="70"/>
      <c r="QUM25" s="70"/>
      <c r="QUN25" s="70"/>
      <c r="QUO25" s="70"/>
      <c r="QUP25" s="70"/>
      <c r="QUQ25" s="70"/>
      <c r="QUR25" s="70"/>
      <c r="QUS25" s="70"/>
      <c r="QUT25" s="70"/>
      <c r="QUU25" s="70"/>
      <c r="QUV25" s="70"/>
      <c r="QUW25" s="70"/>
      <c r="QUX25" s="70"/>
      <c r="QUY25" s="70"/>
      <c r="QUZ25" s="70"/>
      <c r="QVA25" s="70"/>
      <c r="QVB25" s="70"/>
      <c r="QVC25" s="70"/>
      <c r="QVD25" s="70"/>
      <c r="QVE25" s="70"/>
      <c r="QVF25" s="70"/>
      <c r="QVG25" s="70"/>
      <c r="QVH25" s="70"/>
      <c r="QVI25" s="70"/>
      <c r="QVJ25" s="70"/>
      <c r="QVK25" s="70"/>
      <c r="QVL25" s="70"/>
      <c r="QVM25" s="70"/>
      <c r="QVN25" s="70"/>
      <c r="QVO25" s="70"/>
      <c r="QVP25" s="70"/>
      <c r="QVQ25" s="70"/>
      <c r="QVR25" s="70"/>
      <c r="QVS25" s="70"/>
      <c r="QVT25" s="70"/>
      <c r="QVU25" s="70"/>
      <c r="QVV25" s="70"/>
      <c r="QVW25" s="70"/>
      <c r="QVX25" s="70"/>
      <c r="QVY25" s="70"/>
      <c r="QVZ25" s="70"/>
      <c r="QWA25" s="70"/>
      <c r="QWB25" s="70"/>
      <c r="QWC25" s="70"/>
      <c r="QWD25" s="70"/>
      <c r="QWE25" s="70"/>
      <c r="QWF25" s="70"/>
      <c r="QWG25" s="70"/>
      <c r="QWH25" s="70"/>
      <c r="QWI25" s="70"/>
      <c r="QWJ25" s="70"/>
      <c r="QWK25" s="70"/>
      <c r="QWL25" s="70"/>
      <c r="QWM25" s="70"/>
      <c r="QWN25" s="70"/>
      <c r="QWO25" s="70"/>
      <c r="QWP25" s="70"/>
      <c r="QWQ25" s="70"/>
      <c r="QWR25" s="70"/>
      <c r="QWS25" s="70"/>
      <c r="QWT25" s="70"/>
      <c r="QWU25" s="70"/>
      <c r="QWV25" s="70"/>
      <c r="QWW25" s="70"/>
      <c r="QWX25" s="70"/>
      <c r="QWY25" s="70"/>
      <c r="QWZ25" s="70"/>
      <c r="QXA25" s="70"/>
      <c r="QXB25" s="70"/>
      <c r="QXC25" s="70"/>
      <c r="QXD25" s="70"/>
      <c r="QXE25" s="70"/>
      <c r="QXF25" s="70"/>
      <c r="QXG25" s="70"/>
      <c r="QXH25" s="70"/>
      <c r="QXI25" s="70"/>
      <c r="QXJ25" s="70"/>
      <c r="QXK25" s="70"/>
      <c r="QXL25" s="70"/>
      <c r="QXM25" s="70"/>
      <c r="QXN25" s="70"/>
      <c r="QXO25" s="70"/>
      <c r="QXP25" s="70"/>
      <c r="QXQ25" s="70"/>
      <c r="QXR25" s="70"/>
      <c r="QXS25" s="70"/>
      <c r="QXT25" s="70"/>
      <c r="QXU25" s="70"/>
      <c r="QXV25" s="70"/>
      <c r="QXW25" s="70"/>
      <c r="QXX25" s="70"/>
      <c r="QXY25" s="70"/>
      <c r="QXZ25" s="70"/>
      <c r="QYA25" s="70"/>
      <c r="QYB25" s="70"/>
      <c r="QYC25" s="70"/>
      <c r="QYD25" s="70"/>
      <c r="QYE25" s="70"/>
      <c r="QYF25" s="70"/>
      <c r="QYG25" s="70"/>
      <c r="QYH25" s="70"/>
      <c r="QYI25" s="70"/>
      <c r="QYJ25" s="70"/>
      <c r="QYK25" s="70"/>
      <c r="QYL25" s="70"/>
      <c r="QYM25" s="70"/>
      <c r="QYN25" s="70"/>
      <c r="QYO25" s="70"/>
      <c r="QYP25" s="70"/>
      <c r="QYQ25" s="70"/>
      <c r="QYR25" s="70"/>
      <c r="QYS25" s="70"/>
      <c r="QYT25" s="70"/>
      <c r="QYU25" s="70"/>
      <c r="QYV25" s="70"/>
      <c r="QYW25" s="70"/>
      <c r="QYX25" s="70"/>
      <c r="QYY25" s="70"/>
      <c r="QYZ25" s="70"/>
      <c r="QZA25" s="70"/>
      <c r="QZB25" s="70"/>
      <c r="QZC25" s="70"/>
      <c r="QZD25" s="70"/>
      <c r="QZE25" s="70"/>
      <c r="QZF25" s="70"/>
      <c r="QZG25" s="70"/>
      <c r="QZH25" s="70"/>
      <c r="QZI25" s="70"/>
      <c r="QZJ25" s="70"/>
      <c r="QZK25" s="70"/>
      <c r="QZL25" s="70"/>
      <c r="QZM25" s="70"/>
      <c r="QZN25" s="70"/>
      <c r="QZO25" s="70"/>
      <c r="QZP25" s="70"/>
      <c r="QZQ25" s="70"/>
      <c r="QZR25" s="70"/>
      <c r="QZS25" s="70"/>
      <c r="QZT25" s="70"/>
      <c r="QZU25" s="70"/>
      <c r="QZV25" s="70"/>
      <c r="QZW25" s="70"/>
      <c r="QZX25" s="70"/>
      <c r="QZY25" s="70"/>
      <c r="QZZ25" s="70"/>
      <c r="RAA25" s="70"/>
      <c r="RAB25" s="70"/>
      <c r="RAC25" s="70"/>
      <c r="RAD25" s="70"/>
      <c r="RAE25" s="70"/>
      <c r="RAF25" s="70"/>
      <c r="RAG25" s="70"/>
      <c r="RAH25" s="70"/>
      <c r="RAI25" s="70"/>
      <c r="RAJ25" s="70"/>
      <c r="RAK25" s="70"/>
      <c r="RAL25" s="70"/>
      <c r="RAM25" s="70"/>
      <c r="RAN25" s="70"/>
      <c r="RAO25" s="70"/>
      <c r="RAP25" s="70"/>
      <c r="RAQ25" s="70"/>
      <c r="RAR25" s="70"/>
      <c r="RAS25" s="70"/>
      <c r="RAT25" s="70"/>
      <c r="RAU25" s="70"/>
      <c r="RAV25" s="70"/>
      <c r="RAW25" s="70"/>
      <c r="RAX25" s="70"/>
      <c r="RAY25" s="70"/>
      <c r="RAZ25" s="70"/>
      <c r="RBA25" s="70"/>
      <c r="RBB25" s="70"/>
      <c r="RBC25" s="70"/>
      <c r="RBD25" s="70"/>
      <c r="RBE25" s="70"/>
      <c r="RBF25" s="70"/>
      <c r="RBG25" s="70"/>
      <c r="RBH25" s="70"/>
      <c r="RBI25" s="70"/>
      <c r="RBJ25" s="70"/>
      <c r="RBK25" s="70"/>
      <c r="RBL25" s="70"/>
      <c r="RBM25" s="70"/>
      <c r="RBN25" s="70"/>
      <c r="RBO25" s="70"/>
      <c r="RBP25" s="70"/>
      <c r="RBQ25" s="70"/>
      <c r="RBR25" s="70"/>
      <c r="RBS25" s="70"/>
      <c r="RBT25" s="70"/>
      <c r="RBU25" s="70"/>
      <c r="RBV25" s="70"/>
      <c r="RBW25" s="70"/>
      <c r="RBX25" s="70"/>
      <c r="RBY25" s="70"/>
      <c r="RBZ25" s="70"/>
      <c r="RCA25" s="70"/>
      <c r="RCB25" s="70"/>
      <c r="RCC25" s="70"/>
      <c r="RCD25" s="70"/>
      <c r="RCE25" s="70"/>
      <c r="RCF25" s="70"/>
      <c r="RCG25" s="70"/>
      <c r="RCH25" s="70"/>
      <c r="RCI25" s="70"/>
      <c r="RCJ25" s="70"/>
      <c r="RCK25" s="70"/>
      <c r="RCL25" s="70"/>
      <c r="RCM25" s="70"/>
      <c r="RCN25" s="70"/>
      <c r="RCO25" s="70"/>
      <c r="RCP25" s="70"/>
      <c r="RCQ25" s="70"/>
      <c r="RCR25" s="70"/>
      <c r="RCS25" s="70"/>
      <c r="RCT25" s="70"/>
      <c r="RCU25" s="70"/>
      <c r="RCV25" s="70"/>
      <c r="RCW25" s="70"/>
      <c r="RCX25" s="70"/>
      <c r="RCY25" s="70"/>
      <c r="RCZ25" s="70"/>
      <c r="RDA25" s="70"/>
      <c r="RDB25" s="70"/>
      <c r="RDC25" s="70"/>
      <c r="RDD25" s="70"/>
      <c r="RDE25" s="70"/>
      <c r="RDF25" s="70"/>
      <c r="RDG25" s="70"/>
      <c r="RDH25" s="70"/>
      <c r="RDI25" s="70"/>
      <c r="RDJ25" s="70"/>
      <c r="RDK25" s="70"/>
      <c r="RDL25" s="70"/>
      <c r="RDM25" s="70"/>
      <c r="RDN25" s="70"/>
      <c r="RDO25" s="70"/>
      <c r="RDP25" s="70"/>
      <c r="RDQ25" s="70"/>
      <c r="RDR25" s="70"/>
      <c r="RDS25" s="70"/>
      <c r="RDT25" s="70"/>
      <c r="RDU25" s="70"/>
      <c r="RDV25" s="70"/>
      <c r="RDW25" s="70"/>
      <c r="RDX25" s="70"/>
      <c r="RDY25" s="70"/>
      <c r="RDZ25" s="70"/>
      <c r="REA25" s="70"/>
      <c r="REB25" s="70"/>
      <c r="REC25" s="70"/>
      <c r="RED25" s="70"/>
      <c r="REE25" s="70"/>
      <c r="REF25" s="70"/>
      <c r="REG25" s="70"/>
      <c r="REH25" s="70"/>
      <c r="REI25" s="70"/>
      <c r="REJ25" s="70"/>
      <c r="REK25" s="70"/>
      <c r="REL25" s="70"/>
      <c r="REM25" s="70"/>
      <c r="REN25" s="70"/>
      <c r="REO25" s="70"/>
      <c r="REP25" s="70"/>
      <c r="REQ25" s="70"/>
      <c r="RER25" s="70"/>
      <c r="RES25" s="70"/>
      <c r="RET25" s="70"/>
      <c r="REU25" s="70"/>
      <c r="REV25" s="70"/>
      <c r="REW25" s="70"/>
      <c r="REX25" s="70"/>
      <c r="REY25" s="70"/>
      <c r="REZ25" s="70"/>
      <c r="RFA25" s="70"/>
      <c r="RFB25" s="70"/>
      <c r="RFC25" s="70"/>
      <c r="RFD25" s="70"/>
      <c r="RFE25" s="70"/>
      <c r="RFF25" s="70"/>
      <c r="RFG25" s="70"/>
      <c r="RFH25" s="70"/>
      <c r="RFI25" s="70"/>
      <c r="RFJ25" s="70"/>
      <c r="RFK25" s="70"/>
      <c r="RFL25" s="70"/>
      <c r="RFM25" s="70"/>
      <c r="RFN25" s="70"/>
      <c r="RFO25" s="70"/>
      <c r="RFP25" s="70"/>
      <c r="RFQ25" s="70"/>
      <c r="RFR25" s="70"/>
      <c r="RFS25" s="70"/>
      <c r="RFT25" s="70"/>
      <c r="RFU25" s="70"/>
      <c r="RFV25" s="70"/>
      <c r="RFW25" s="70"/>
      <c r="RFX25" s="70"/>
      <c r="RFY25" s="70"/>
      <c r="RFZ25" s="70"/>
      <c r="RGA25" s="70"/>
      <c r="RGB25" s="70"/>
      <c r="RGC25" s="70"/>
      <c r="RGD25" s="70"/>
      <c r="RGE25" s="70"/>
      <c r="RGF25" s="70"/>
      <c r="RGG25" s="70"/>
      <c r="RGH25" s="70"/>
      <c r="RGI25" s="70"/>
      <c r="RGJ25" s="70"/>
      <c r="RGK25" s="70"/>
      <c r="RGL25" s="70"/>
      <c r="RGM25" s="70"/>
      <c r="RGN25" s="70"/>
      <c r="RGO25" s="70"/>
      <c r="RGP25" s="70"/>
      <c r="RGQ25" s="70"/>
      <c r="RGR25" s="70"/>
      <c r="RGS25" s="70"/>
      <c r="RGT25" s="70"/>
      <c r="RGU25" s="70"/>
      <c r="RGV25" s="70"/>
      <c r="RGW25" s="70"/>
      <c r="RGX25" s="70"/>
      <c r="RGY25" s="70"/>
      <c r="RGZ25" s="70"/>
      <c r="RHA25" s="70"/>
      <c r="RHB25" s="70"/>
      <c r="RHC25" s="70"/>
      <c r="RHD25" s="70"/>
      <c r="RHE25" s="70"/>
      <c r="RHF25" s="70"/>
      <c r="RHG25" s="70"/>
      <c r="RHH25" s="70"/>
      <c r="RHI25" s="70"/>
      <c r="RHJ25" s="70"/>
      <c r="RHK25" s="70"/>
      <c r="RHL25" s="70"/>
      <c r="RHM25" s="70"/>
      <c r="RHN25" s="70"/>
      <c r="RHO25" s="70"/>
      <c r="RHP25" s="70"/>
      <c r="RHQ25" s="70"/>
      <c r="RHR25" s="70"/>
      <c r="RHS25" s="70"/>
      <c r="RHT25" s="70"/>
      <c r="RHU25" s="70"/>
      <c r="RHV25" s="70"/>
      <c r="RHW25" s="70"/>
      <c r="RHX25" s="70"/>
      <c r="RHY25" s="70"/>
      <c r="RHZ25" s="70"/>
      <c r="RIA25" s="70"/>
      <c r="RIB25" s="70"/>
      <c r="RIC25" s="70"/>
      <c r="RID25" s="70"/>
      <c r="RIE25" s="70"/>
      <c r="RIF25" s="70"/>
      <c r="RIG25" s="70"/>
      <c r="RIH25" s="70"/>
      <c r="RII25" s="70"/>
      <c r="RIJ25" s="70"/>
      <c r="RIK25" s="70"/>
      <c r="RIL25" s="70"/>
      <c r="RIM25" s="70"/>
      <c r="RIN25" s="70"/>
      <c r="RIO25" s="70"/>
      <c r="RIP25" s="70"/>
      <c r="RIQ25" s="70"/>
      <c r="RIR25" s="70"/>
      <c r="RIS25" s="70"/>
      <c r="RIT25" s="70"/>
      <c r="RIU25" s="70"/>
      <c r="RIV25" s="70"/>
      <c r="RIW25" s="70"/>
      <c r="RIX25" s="70"/>
      <c r="RIY25" s="70"/>
      <c r="RIZ25" s="70"/>
      <c r="RJA25" s="70"/>
      <c r="RJB25" s="70"/>
      <c r="RJC25" s="70"/>
      <c r="RJD25" s="70"/>
      <c r="RJE25" s="70"/>
      <c r="RJF25" s="70"/>
      <c r="RJG25" s="70"/>
      <c r="RJH25" s="70"/>
      <c r="RJI25" s="70"/>
      <c r="RJJ25" s="70"/>
      <c r="RJK25" s="70"/>
      <c r="RJL25" s="70"/>
      <c r="RJM25" s="70"/>
      <c r="RJN25" s="70"/>
      <c r="RJO25" s="70"/>
      <c r="RJP25" s="70"/>
      <c r="RJQ25" s="70"/>
      <c r="RJR25" s="70"/>
      <c r="RJS25" s="70"/>
      <c r="RJT25" s="70"/>
      <c r="RJU25" s="70"/>
      <c r="RJV25" s="70"/>
      <c r="RJW25" s="70"/>
      <c r="RJX25" s="70"/>
      <c r="RJY25" s="70"/>
      <c r="RJZ25" s="70"/>
      <c r="RKA25" s="70"/>
      <c r="RKB25" s="70"/>
      <c r="RKC25" s="70"/>
      <c r="RKD25" s="70"/>
      <c r="RKE25" s="70"/>
      <c r="RKF25" s="70"/>
      <c r="RKG25" s="70"/>
      <c r="RKH25" s="70"/>
      <c r="RKI25" s="70"/>
      <c r="RKJ25" s="70"/>
      <c r="RKK25" s="70"/>
      <c r="RKL25" s="70"/>
      <c r="RKM25" s="70"/>
      <c r="RKN25" s="70"/>
      <c r="RKO25" s="70"/>
      <c r="RKP25" s="70"/>
      <c r="RKQ25" s="70"/>
      <c r="RKR25" s="70"/>
      <c r="RKS25" s="70"/>
      <c r="RKT25" s="70"/>
      <c r="RKU25" s="70"/>
      <c r="RKV25" s="70"/>
      <c r="RKW25" s="70"/>
      <c r="RKX25" s="70"/>
      <c r="RKY25" s="70"/>
      <c r="RKZ25" s="70"/>
      <c r="RLA25" s="70"/>
      <c r="RLB25" s="70"/>
      <c r="RLC25" s="70"/>
      <c r="RLD25" s="70"/>
      <c r="RLE25" s="70"/>
      <c r="RLF25" s="70"/>
      <c r="RLG25" s="70"/>
      <c r="RLH25" s="70"/>
      <c r="RLI25" s="70"/>
      <c r="RLJ25" s="70"/>
      <c r="RLK25" s="70"/>
      <c r="RLL25" s="70"/>
      <c r="RLM25" s="70"/>
      <c r="RLN25" s="70"/>
      <c r="RLO25" s="70"/>
      <c r="RLP25" s="70"/>
      <c r="RLQ25" s="70"/>
      <c r="RLR25" s="70"/>
      <c r="RLS25" s="70"/>
      <c r="RLT25" s="70"/>
      <c r="RLU25" s="70"/>
      <c r="RLV25" s="70"/>
      <c r="RLW25" s="70"/>
      <c r="RLX25" s="70"/>
      <c r="RLY25" s="70"/>
      <c r="RLZ25" s="70"/>
      <c r="RMA25" s="70"/>
      <c r="RMB25" s="70"/>
      <c r="RMC25" s="70"/>
      <c r="RMD25" s="70"/>
      <c r="RME25" s="70"/>
      <c r="RMF25" s="70"/>
      <c r="RMG25" s="70"/>
      <c r="RMH25" s="70"/>
      <c r="RMI25" s="70"/>
      <c r="RMJ25" s="70"/>
      <c r="RMK25" s="70"/>
      <c r="RML25" s="70"/>
      <c r="RMM25" s="70"/>
      <c r="RMN25" s="70"/>
      <c r="RMO25" s="70"/>
      <c r="RMP25" s="70"/>
      <c r="RMQ25" s="70"/>
      <c r="RMR25" s="70"/>
      <c r="RMS25" s="70"/>
      <c r="RMT25" s="70"/>
      <c r="RMU25" s="70"/>
      <c r="RMV25" s="70"/>
      <c r="RMW25" s="70"/>
      <c r="RMX25" s="70"/>
      <c r="RMY25" s="70"/>
      <c r="RMZ25" s="70"/>
      <c r="RNA25" s="70"/>
      <c r="RNB25" s="70"/>
      <c r="RNC25" s="70"/>
      <c r="RND25" s="70"/>
      <c r="RNE25" s="70"/>
      <c r="RNF25" s="70"/>
      <c r="RNG25" s="70"/>
      <c r="RNH25" s="70"/>
      <c r="RNI25" s="70"/>
      <c r="RNJ25" s="70"/>
      <c r="RNK25" s="70"/>
      <c r="RNL25" s="70"/>
      <c r="RNM25" s="70"/>
      <c r="RNN25" s="70"/>
      <c r="RNO25" s="70"/>
      <c r="RNP25" s="70"/>
      <c r="RNQ25" s="70"/>
      <c r="RNR25" s="70"/>
      <c r="RNS25" s="70"/>
      <c r="RNT25" s="70"/>
      <c r="RNU25" s="70"/>
      <c r="RNV25" s="70"/>
      <c r="RNW25" s="70"/>
      <c r="RNX25" s="70"/>
      <c r="RNY25" s="70"/>
      <c r="RNZ25" s="70"/>
      <c r="ROA25" s="70"/>
      <c r="ROB25" s="70"/>
      <c r="ROC25" s="70"/>
      <c r="ROD25" s="70"/>
      <c r="ROE25" s="70"/>
      <c r="ROF25" s="70"/>
      <c r="ROG25" s="70"/>
      <c r="ROH25" s="70"/>
      <c r="ROI25" s="70"/>
      <c r="ROJ25" s="70"/>
      <c r="ROK25" s="70"/>
      <c r="ROL25" s="70"/>
      <c r="ROM25" s="70"/>
      <c r="RON25" s="70"/>
      <c r="ROO25" s="70"/>
      <c r="ROP25" s="70"/>
      <c r="ROQ25" s="70"/>
      <c r="ROR25" s="70"/>
      <c r="ROS25" s="70"/>
      <c r="ROT25" s="70"/>
      <c r="ROU25" s="70"/>
      <c r="ROV25" s="70"/>
      <c r="ROW25" s="70"/>
      <c r="ROX25" s="70"/>
      <c r="ROY25" s="70"/>
      <c r="ROZ25" s="70"/>
      <c r="RPA25" s="70"/>
      <c r="RPB25" s="70"/>
      <c r="RPC25" s="70"/>
      <c r="RPD25" s="70"/>
      <c r="RPE25" s="70"/>
      <c r="RPF25" s="70"/>
      <c r="RPG25" s="70"/>
      <c r="RPH25" s="70"/>
      <c r="RPI25" s="70"/>
      <c r="RPJ25" s="70"/>
      <c r="RPK25" s="70"/>
      <c r="RPL25" s="70"/>
      <c r="RPM25" s="70"/>
      <c r="RPN25" s="70"/>
      <c r="RPO25" s="70"/>
      <c r="RPP25" s="70"/>
      <c r="RPQ25" s="70"/>
      <c r="RPR25" s="70"/>
      <c r="RPS25" s="70"/>
      <c r="RPT25" s="70"/>
      <c r="RPU25" s="70"/>
      <c r="RPV25" s="70"/>
      <c r="RPW25" s="70"/>
      <c r="RPX25" s="70"/>
      <c r="RPY25" s="70"/>
      <c r="RPZ25" s="70"/>
      <c r="RQA25" s="70"/>
      <c r="RQB25" s="70"/>
      <c r="RQC25" s="70"/>
      <c r="RQD25" s="70"/>
      <c r="RQE25" s="70"/>
      <c r="RQF25" s="70"/>
      <c r="RQG25" s="70"/>
      <c r="RQH25" s="70"/>
      <c r="RQI25" s="70"/>
      <c r="RQJ25" s="70"/>
      <c r="RQK25" s="70"/>
      <c r="RQL25" s="70"/>
      <c r="RQM25" s="70"/>
      <c r="RQN25" s="70"/>
      <c r="RQO25" s="70"/>
      <c r="RQP25" s="70"/>
      <c r="RQQ25" s="70"/>
      <c r="RQR25" s="70"/>
      <c r="RQS25" s="70"/>
      <c r="RQT25" s="70"/>
      <c r="RQU25" s="70"/>
      <c r="RQV25" s="70"/>
      <c r="RQW25" s="70"/>
      <c r="RQX25" s="70"/>
      <c r="RQY25" s="70"/>
      <c r="RQZ25" s="70"/>
      <c r="RRA25" s="70"/>
      <c r="RRB25" s="70"/>
      <c r="RRC25" s="70"/>
      <c r="RRD25" s="70"/>
      <c r="RRE25" s="70"/>
      <c r="RRF25" s="70"/>
      <c r="RRG25" s="70"/>
      <c r="RRH25" s="70"/>
      <c r="RRI25" s="70"/>
      <c r="RRJ25" s="70"/>
      <c r="RRK25" s="70"/>
      <c r="RRL25" s="70"/>
      <c r="RRM25" s="70"/>
      <c r="RRN25" s="70"/>
      <c r="RRO25" s="70"/>
      <c r="RRP25" s="70"/>
      <c r="RRQ25" s="70"/>
      <c r="RRR25" s="70"/>
      <c r="RRS25" s="70"/>
      <c r="RRT25" s="70"/>
      <c r="RRU25" s="70"/>
      <c r="RRV25" s="70"/>
      <c r="RRW25" s="70"/>
      <c r="RRX25" s="70"/>
      <c r="RRY25" s="70"/>
      <c r="RRZ25" s="70"/>
      <c r="RSA25" s="70"/>
      <c r="RSB25" s="70"/>
      <c r="RSC25" s="70"/>
      <c r="RSD25" s="70"/>
      <c r="RSE25" s="70"/>
      <c r="RSF25" s="70"/>
      <c r="RSG25" s="70"/>
      <c r="RSH25" s="70"/>
      <c r="RSI25" s="70"/>
      <c r="RSJ25" s="70"/>
      <c r="RSK25" s="70"/>
      <c r="RSL25" s="70"/>
      <c r="RSM25" s="70"/>
      <c r="RSN25" s="70"/>
      <c r="RSO25" s="70"/>
      <c r="RSP25" s="70"/>
      <c r="RSQ25" s="70"/>
      <c r="RSR25" s="70"/>
      <c r="RSS25" s="70"/>
      <c r="RST25" s="70"/>
      <c r="RSU25" s="70"/>
      <c r="RSV25" s="70"/>
      <c r="RSW25" s="70"/>
      <c r="RSX25" s="70"/>
      <c r="RSY25" s="70"/>
      <c r="RSZ25" s="70"/>
      <c r="RTA25" s="70"/>
      <c r="RTB25" s="70"/>
      <c r="RTC25" s="70"/>
      <c r="RTD25" s="70"/>
      <c r="RTE25" s="70"/>
      <c r="RTF25" s="70"/>
      <c r="RTG25" s="70"/>
      <c r="RTH25" s="70"/>
      <c r="RTI25" s="70"/>
      <c r="RTJ25" s="70"/>
      <c r="RTK25" s="70"/>
      <c r="RTL25" s="70"/>
      <c r="RTM25" s="70"/>
      <c r="RTN25" s="70"/>
      <c r="RTO25" s="70"/>
      <c r="RTP25" s="70"/>
      <c r="RTQ25" s="70"/>
      <c r="RTR25" s="70"/>
      <c r="RTS25" s="70"/>
      <c r="RTT25" s="70"/>
      <c r="RTU25" s="70"/>
      <c r="RTV25" s="70"/>
      <c r="RTW25" s="70"/>
      <c r="RTX25" s="70"/>
      <c r="RTY25" s="70"/>
      <c r="RTZ25" s="70"/>
      <c r="RUA25" s="70"/>
      <c r="RUB25" s="70"/>
      <c r="RUC25" s="70"/>
      <c r="RUD25" s="70"/>
      <c r="RUE25" s="70"/>
      <c r="RUF25" s="70"/>
      <c r="RUG25" s="70"/>
      <c r="RUH25" s="70"/>
      <c r="RUI25" s="70"/>
      <c r="RUJ25" s="70"/>
      <c r="RUK25" s="70"/>
      <c r="RUL25" s="70"/>
      <c r="RUM25" s="70"/>
      <c r="RUN25" s="70"/>
      <c r="RUO25" s="70"/>
      <c r="RUP25" s="70"/>
      <c r="RUQ25" s="70"/>
      <c r="RUR25" s="70"/>
      <c r="RUS25" s="70"/>
      <c r="RUT25" s="70"/>
      <c r="RUU25" s="70"/>
      <c r="RUV25" s="70"/>
      <c r="RUW25" s="70"/>
      <c r="RUX25" s="70"/>
      <c r="RUY25" s="70"/>
      <c r="RUZ25" s="70"/>
      <c r="RVA25" s="70"/>
      <c r="RVB25" s="70"/>
      <c r="RVC25" s="70"/>
      <c r="RVD25" s="70"/>
      <c r="RVE25" s="70"/>
      <c r="RVF25" s="70"/>
      <c r="RVG25" s="70"/>
      <c r="RVH25" s="70"/>
      <c r="RVI25" s="70"/>
      <c r="RVJ25" s="70"/>
      <c r="RVK25" s="70"/>
      <c r="RVL25" s="70"/>
      <c r="RVM25" s="70"/>
      <c r="RVN25" s="70"/>
      <c r="RVO25" s="70"/>
      <c r="RVP25" s="70"/>
      <c r="RVQ25" s="70"/>
      <c r="RVR25" s="70"/>
      <c r="RVS25" s="70"/>
      <c r="RVT25" s="70"/>
      <c r="RVU25" s="70"/>
      <c r="RVV25" s="70"/>
      <c r="RVW25" s="70"/>
      <c r="RVX25" s="70"/>
      <c r="RVY25" s="70"/>
      <c r="RVZ25" s="70"/>
      <c r="RWA25" s="70"/>
      <c r="RWB25" s="70"/>
      <c r="RWC25" s="70"/>
      <c r="RWD25" s="70"/>
      <c r="RWE25" s="70"/>
      <c r="RWF25" s="70"/>
      <c r="RWG25" s="70"/>
      <c r="RWH25" s="70"/>
      <c r="RWI25" s="70"/>
      <c r="RWJ25" s="70"/>
      <c r="RWK25" s="70"/>
      <c r="RWL25" s="70"/>
      <c r="RWM25" s="70"/>
      <c r="RWN25" s="70"/>
      <c r="RWO25" s="70"/>
      <c r="RWP25" s="70"/>
      <c r="RWQ25" s="70"/>
      <c r="RWR25" s="70"/>
      <c r="RWS25" s="70"/>
      <c r="RWT25" s="70"/>
      <c r="RWU25" s="70"/>
      <c r="RWV25" s="70"/>
      <c r="RWW25" s="70"/>
      <c r="RWX25" s="70"/>
      <c r="RWY25" s="70"/>
      <c r="RWZ25" s="70"/>
      <c r="RXA25" s="70"/>
      <c r="RXB25" s="70"/>
      <c r="RXC25" s="70"/>
      <c r="RXD25" s="70"/>
      <c r="RXE25" s="70"/>
      <c r="RXF25" s="70"/>
      <c r="RXG25" s="70"/>
      <c r="RXH25" s="70"/>
      <c r="RXI25" s="70"/>
      <c r="RXJ25" s="70"/>
      <c r="RXK25" s="70"/>
      <c r="RXL25" s="70"/>
      <c r="RXM25" s="70"/>
      <c r="RXN25" s="70"/>
      <c r="RXO25" s="70"/>
      <c r="RXP25" s="70"/>
      <c r="RXQ25" s="70"/>
      <c r="RXR25" s="70"/>
      <c r="RXS25" s="70"/>
      <c r="RXT25" s="70"/>
      <c r="RXU25" s="70"/>
      <c r="RXV25" s="70"/>
      <c r="RXW25" s="70"/>
      <c r="RXX25" s="70"/>
      <c r="RXY25" s="70"/>
      <c r="RXZ25" s="70"/>
      <c r="RYA25" s="70"/>
      <c r="RYB25" s="70"/>
      <c r="RYC25" s="70"/>
      <c r="RYD25" s="70"/>
      <c r="RYE25" s="70"/>
      <c r="RYF25" s="70"/>
      <c r="RYG25" s="70"/>
      <c r="RYH25" s="70"/>
      <c r="RYI25" s="70"/>
      <c r="RYJ25" s="70"/>
      <c r="RYK25" s="70"/>
      <c r="RYL25" s="70"/>
      <c r="RYM25" s="70"/>
      <c r="RYN25" s="70"/>
      <c r="RYO25" s="70"/>
      <c r="RYP25" s="70"/>
      <c r="RYQ25" s="70"/>
      <c r="RYR25" s="70"/>
      <c r="RYS25" s="70"/>
      <c r="RYT25" s="70"/>
      <c r="RYU25" s="70"/>
      <c r="RYV25" s="70"/>
      <c r="RYW25" s="70"/>
      <c r="RYX25" s="70"/>
      <c r="RYY25" s="70"/>
      <c r="RYZ25" s="70"/>
      <c r="RZA25" s="70"/>
      <c r="RZB25" s="70"/>
      <c r="RZC25" s="70"/>
      <c r="RZD25" s="70"/>
      <c r="RZE25" s="70"/>
      <c r="RZF25" s="70"/>
      <c r="RZG25" s="70"/>
      <c r="RZH25" s="70"/>
      <c r="RZI25" s="70"/>
      <c r="RZJ25" s="70"/>
      <c r="RZK25" s="70"/>
      <c r="RZL25" s="70"/>
      <c r="RZM25" s="70"/>
      <c r="RZN25" s="70"/>
      <c r="RZO25" s="70"/>
      <c r="RZP25" s="70"/>
      <c r="RZQ25" s="70"/>
      <c r="RZR25" s="70"/>
      <c r="RZS25" s="70"/>
      <c r="RZT25" s="70"/>
      <c r="RZU25" s="70"/>
      <c r="RZV25" s="70"/>
      <c r="RZW25" s="70"/>
      <c r="RZX25" s="70"/>
      <c r="RZY25" s="70"/>
      <c r="RZZ25" s="70"/>
      <c r="SAA25" s="70"/>
      <c r="SAB25" s="70"/>
      <c r="SAC25" s="70"/>
      <c r="SAD25" s="70"/>
      <c r="SAE25" s="70"/>
      <c r="SAF25" s="70"/>
      <c r="SAG25" s="70"/>
      <c r="SAH25" s="70"/>
      <c r="SAI25" s="70"/>
      <c r="SAJ25" s="70"/>
      <c r="SAK25" s="70"/>
      <c r="SAL25" s="70"/>
      <c r="SAM25" s="70"/>
      <c r="SAN25" s="70"/>
      <c r="SAO25" s="70"/>
      <c r="SAP25" s="70"/>
      <c r="SAQ25" s="70"/>
      <c r="SAR25" s="70"/>
      <c r="SAS25" s="70"/>
      <c r="SAT25" s="70"/>
      <c r="SAU25" s="70"/>
      <c r="SAV25" s="70"/>
      <c r="SAW25" s="70"/>
      <c r="SAX25" s="70"/>
      <c r="SAY25" s="70"/>
      <c r="SAZ25" s="70"/>
      <c r="SBA25" s="70"/>
      <c r="SBB25" s="70"/>
      <c r="SBC25" s="70"/>
      <c r="SBD25" s="70"/>
      <c r="SBE25" s="70"/>
      <c r="SBF25" s="70"/>
      <c r="SBG25" s="70"/>
      <c r="SBH25" s="70"/>
      <c r="SBI25" s="70"/>
      <c r="SBJ25" s="70"/>
      <c r="SBK25" s="70"/>
      <c r="SBL25" s="70"/>
      <c r="SBM25" s="70"/>
      <c r="SBN25" s="70"/>
      <c r="SBO25" s="70"/>
      <c r="SBP25" s="70"/>
      <c r="SBQ25" s="70"/>
      <c r="SBR25" s="70"/>
      <c r="SBS25" s="70"/>
      <c r="SBT25" s="70"/>
      <c r="SBU25" s="70"/>
      <c r="SBV25" s="70"/>
      <c r="SBW25" s="70"/>
      <c r="SBX25" s="70"/>
      <c r="SBY25" s="70"/>
      <c r="SBZ25" s="70"/>
      <c r="SCA25" s="70"/>
      <c r="SCB25" s="70"/>
      <c r="SCC25" s="70"/>
      <c r="SCD25" s="70"/>
      <c r="SCE25" s="70"/>
      <c r="SCF25" s="70"/>
      <c r="SCG25" s="70"/>
      <c r="SCH25" s="70"/>
      <c r="SCI25" s="70"/>
      <c r="SCJ25" s="70"/>
      <c r="SCK25" s="70"/>
      <c r="SCL25" s="70"/>
      <c r="SCM25" s="70"/>
      <c r="SCN25" s="70"/>
      <c r="SCO25" s="70"/>
      <c r="SCP25" s="70"/>
      <c r="SCQ25" s="70"/>
      <c r="SCR25" s="70"/>
      <c r="SCS25" s="70"/>
      <c r="SCT25" s="70"/>
      <c r="SCU25" s="70"/>
      <c r="SCV25" s="70"/>
      <c r="SCW25" s="70"/>
      <c r="SCX25" s="70"/>
      <c r="SCY25" s="70"/>
      <c r="SCZ25" s="70"/>
      <c r="SDA25" s="70"/>
      <c r="SDB25" s="70"/>
      <c r="SDC25" s="70"/>
      <c r="SDD25" s="70"/>
      <c r="SDE25" s="70"/>
      <c r="SDF25" s="70"/>
      <c r="SDG25" s="70"/>
      <c r="SDH25" s="70"/>
      <c r="SDI25" s="70"/>
      <c r="SDJ25" s="70"/>
      <c r="SDK25" s="70"/>
      <c r="SDL25" s="70"/>
      <c r="SDM25" s="70"/>
      <c r="SDN25" s="70"/>
      <c r="SDO25" s="70"/>
      <c r="SDP25" s="70"/>
      <c r="SDQ25" s="70"/>
      <c r="SDR25" s="70"/>
      <c r="SDS25" s="70"/>
      <c r="SDT25" s="70"/>
      <c r="SDU25" s="70"/>
      <c r="SDV25" s="70"/>
      <c r="SDW25" s="70"/>
      <c r="SDX25" s="70"/>
      <c r="SDY25" s="70"/>
      <c r="SDZ25" s="70"/>
      <c r="SEA25" s="70"/>
      <c r="SEB25" s="70"/>
      <c r="SEC25" s="70"/>
      <c r="SED25" s="70"/>
      <c r="SEE25" s="70"/>
      <c r="SEF25" s="70"/>
      <c r="SEG25" s="70"/>
      <c r="SEH25" s="70"/>
      <c r="SEI25" s="70"/>
      <c r="SEJ25" s="70"/>
      <c r="SEK25" s="70"/>
      <c r="SEL25" s="70"/>
      <c r="SEM25" s="70"/>
      <c r="SEN25" s="70"/>
      <c r="SEO25" s="70"/>
      <c r="SEP25" s="70"/>
      <c r="SEQ25" s="70"/>
      <c r="SER25" s="70"/>
      <c r="SES25" s="70"/>
      <c r="SET25" s="70"/>
      <c r="SEU25" s="70"/>
      <c r="SEV25" s="70"/>
      <c r="SEW25" s="70"/>
      <c r="SEX25" s="70"/>
      <c r="SEY25" s="70"/>
      <c r="SEZ25" s="70"/>
      <c r="SFA25" s="70"/>
      <c r="SFB25" s="70"/>
      <c r="SFC25" s="70"/>
      <c r="SFD25" s="70"/>
      <c r="SFE25" s="70"/>
      <c r="SFF25" s="70"/>
      <c r="SFG25" s="70"/>
      <c r="SFH25" s="70"/>
      <c r="SFI25" s="70"/>
      <c r="SFJ25" s="70"/>
      <c r="SFK25" s="70"/>
      <c r="SFL25" s="70"/>
      <c r="SFM25" s="70"/>
      <c r="SFN25" s="70"/>
      <c r="SFO25" s="70"/>
      <c r="SFP25" s="70"/>
      <c r="SFQ25" s="70"/>
      <c r="SFR25" s="70"/>
      <c r="SFS25" s="70"/>
      <c r="SFT25" s="70"/>
      <c r="SFU25" s="70"/>
      <c r="SFV25" s="70"/>
      <c r="SFW25" s="70"/>
      <c r="SFX25" s="70"/>
      <c r="SFY25" s="70"/>
      <c r="SFZ25" s="70"/>
      <c r="SGA25" s="70"/>
      <c r="SGB25" s="70"/>
      <c r="SGC25" s="70"/>
      <c r="SGD25" s="70"/>
      <c r="SGE25" s="70"/>
      <c r="SGF25" s="70"/>
      <c r="SGG25" s="70"/>
      <c r="SGH25" s="70"/>
      <c r="SGI25" s="70"/>
      <c r="SGJ25" s="70"/>
      <c r="SGK25" s="70"/>
      <c r="SGL25" s="70"/>
      <c r="SGM25" s="70"/>
      <c r="SGN25" s="70"/>
      <c r="SGO25" s="70"/>
      <c r="SGP25" s="70"/>
      <c r="SGQ25" s="70"/>
      <c r="SGR25" s="70"/>
      <c r="SGS25" s="70"/>
      <c r="SGT25" s="70"/>
      <c r="SGU25" s="70"/>
      <c r="SGV25" s="70"/>
      <c r="SGW25" s="70"/>
      <c r="SGX25" s="70"/>
      <c r="SGY25" s="70"/>
      <c r="SGZ25" s="70"/>
      <c r="SHA25" s="70"/>
      <c r="SHB25" s="70"/>
      <c r="SHC25" s="70"/>
      <c r="SHD25" s="70"/>
      <c r="SHE25" s="70"/>
      <c r="SHF25" s="70"/>
      <c r="SHG25" s="70"/>
      <c r="SHH25" s="70"/>
      <c r="SHI25" s="70"/>
      <c r="SHJ25" s="70"/>
      <c r="SHK25" s="70"/>
      <c r="SHL25" s="70"/>
      <c r="SHM25" s="70"/>
      <c r="SHN25" s="70"/>
      <c r="SHO25" s="70"/>
      <c r="SHP25" s="70"/>
      <c r="SHQ25" s="70"/>
      <c r="SHR25" s="70"/>
      <c r="SHS25" s="70"/>
      <c r="SHT25" s="70"/>
      <c r="SHU25" s="70"/>
      <c r="SHV25" s="70"/>
      <c r="SHW25" s="70"/>
      <c r="SHX25" s="70"/>
      <c r="SHY25" s="70"/>
      <c r="SHZ25" s="70"/>
      <c r="SIA25" s="70"/>
      <c r="SIB25" s="70"/>
      <c r="SIC25" s="70"/>
      <c r="SID25" s="70"/>
      <c r="SIE25" s="70"/>
      <c r="SIF25" s="70"/>
      <c r="SIG25" s="70"/>
      <c r="SIH25" s="70"/>
      <c r="SII25" s="70"/>
      <c r="SIJ25" s="70"/>
      <c r="SIK25" s="70"/>
      <c r="SIL25" s="70"/>
      <c r="SIM25" s="70"/>
      <c r="SIN25" s="70"/>
      <c r="SIO25" s="70"/>
      <c r="SIP25" s="70"/>
      <c r="SIQ25" s="70"/>
      <c r="SIR25" s="70"/>
      <c r="SIS25" s="70"/>
      <c r="SIT25" s="70"/>
      <c r="SIU25" s="70"/>
      <c r="SIV25" s="70"/>
      <c r="SIW25" s="70"/>
      <c r="SIX25" s="70"/>
      <c r="SIY25" s="70"/>
      <c r="SIZ25" s="70"/>
      <c r="SJA25" s="70"/>
      <c r="SJB25" s="70"/>
      <c r="SJC25" s="70"/>
      <c r="SJD25" s="70"/>
      <c r="SJE25" s="70"/>
      <c r="SJF25" s="70"/>
      <c r="SJG25" s="70"/>
      <c r="SJH25" s="70"/>
      <c r="SJI25" s="70"/>
      <c r="SJJ25" s="70"/>
      <c r="SJK25" s="70"/>
      <c r="SJL25" s="70"/>
      <c r="SJM25" s="70"/>
      <c r="SJN25" s="70"/>
      <c r="SJO25" s="70"/>
      <c r="SJP25" s="70"/>
      <c r="SJQ25" s="70"/>
      <c r="SJR25" s="70"/>
      <c r="SJS25" s="70"/>
      <c r="SJT25" s="70"/>
      <c r="SJU25" s="70"/>
      <c r="SJV25" s="70"/>
      <c r="SJW25" s="70"/>
      <c r="SJX25" s="70"/>
      <c r="SJY25" s="70"/>
      <c r="SJZ25" s="70"/>
      <c r="SKA25" s="70"/>
      <c r="SKB25" s="70"/>
      <c r="SKC25" s="70"/>
      <c r="SKD25" s="70"/>
      <c r="SKE25" s="70"/>
      <c r="SKF25" s="70"/>
      <c r="SKG25" s="70"/>
      <c r="SKH25" s="70"/>
      <c r="SKI25" s="70"/>
      <c r="SKJ25" s="70"/>
      <c r="SKK25" s="70"/>
      <c r="SKL25" s="70"/>
      <c r="SKM25" s="70"/>
      <c r="SKN25" s="70"/>
      <c r="SKO25" s="70"/>
      <c r="SKP25" s="70"/>
      <c r="SKQ25" s="70"/>
      <c r="SKR25" s="70"/>
      <c r="SKS25" s="70"/>
      <c r="SKT25" s="70"/>
      <c r="SKU25" s="70"/>
      <c r="SKV25" s="70"/>
      <c r="SKW25" s="70"/>
      <c r="SKX25" s="70"/>
      <c r="SKY25" s="70"/>
      <c r="SKZ25" s="70"/>
      <c r="SLA25" s="70"/>
      <c r="SLB25" s="70"/>
      <c r="SLC25" s="70"/>
      <c r="SLD25" s="70"/>
      <c r="SLE25" s="70"/>
      <c r="SLF25" s="70"/>
      <c r="SLG25" s="70"/>
      <c r="SLH25" s="70"/>
      <c r="SLI25" s="70"/>
      <c r="SLJ25" s="70"/>
      <c r="SLK25" s="70"/>
      <c r="SLL25" s="70"/>
      <c r="SLM25" s="70"/>
      <c r="SLN25" s="70"/>
      <c r="SLO25" s="70"/>
      <c r="SLP25" s="70"/>
      <c r="SLQ25" s="70"/>
      <c r="SLR25" s="70"/>
      <c r="SLS25" s="70"/>
      <c r="SLT25" s="70"/>
      <c r="SLU25" s="70"/>
      <c r="SLV25" s="70"/>
      <c r="SLW25" s="70"/>
      <c r="SLX25" s="70"/>
      <c r="SLY25" s="70"/>
      <c r="SLZ25" s="70"/>
      <c r="SMA25" s="70"/>
      <c r="SMB25" s="70"/>
      <c r="SMC25" s="70"/>
      <c r="SMD25" s="70"/>
      <c r="SME25" s="70"/>
      <c r="SMF25" s="70"/>
      <c r="SMG25" s="70"/>
      <c r="SMH25" s="70"/>
      <c r="SMI25" s="70"/>
      <c r="SMJ25" s="70"/>
      <c r="SMK25" s="70"/>
      <c r="SML25" s="70"/>
      <c r="SMM25" s="70"/>
      <c r="SMN25" s="70"/>
      <c r="SMO25" s="70"/>
      <c r="SMP25" s="70"/>
      <c r="SMQ25" s="70"/>
      <c r="SMR25" s="70"/>
      <c r="SMS25" s="70"/>
      <c r="SMT25" s="70"/>
      <c r="SMU25" s="70"/>
      <c r="SMV25" s="70"/>
      <c r="SMW25" s="70"/>
      <c r="SMX25" s="70"/>
      <c r="SMY25" s="70"/>
      <c r="SMZ25" s="70"/>
      <c r="SNA25" s="70"/>
      <c r="SNB25" s="70"/>
      <c r="SNC25" s="70"/>
      <c r="SND25" s="70"/>
      <c r="SNE25" s="70"/>
      <c r="SNF25" s="70"/>
      <c r="SNG25" s="70"/>
      <c r="SNH25" s="70"/>
      <c r="SNI25" s="70"/>
      <c r="SNJ25" s="70"/>
      <c r="SNK25" s="70"/>
      <c r="SNL25" s="70"/>
      <c r="SNM25" s="70"/>
      <c r="SNN25" s="70"/>
      <c r="SNO25" s="70"/>
      <c r="SNP25" s="70"/>
      <c r="SNQ25" s="70"/>
      <c r="SNR25" s="70"/>
      <c r="SNS25" s="70"/>
      <c r="SNT25" s="70"/>
      <c r="SNU25" s="70"/>
      <c r="SNV25" s="70"/>
      <c r="SNW25" s="70"/>
      <c r="SNX25" s="70"/>
      <c r="SNY25" s="70"/>
      <c r="SNZ25" s="70"/>
      <c r="SOA25" s="70"/>
      <c r="SOB25" s="70"/>
      <c r="SOC25" s="70"/>
      <c r="SOD25" s="70"/>
      <c r="SOE25" s="70"/>
      <c r="SOF25" s="70"/>
      <c r="SOG25" s="70"/>
      <c r="SOH25" s="70"/>
      <c r="SOI25" s="70"/>
      <c r="SOJ25" s="70"/>
      <c r="SOK25" s="70"/>
      <c r="SOL25" s="70"/>
      <c r="SOM25" s="70"/>
      <c r="SON25" s="70"/>
      <c r="SOO25" s="70"/>
      <c r="SOP25" s="70"/>
      <c r="SOQ25" s="70"/>
      <c r="SOR25" s="70"/>
      <c r="SOS25" s="70"/>
      <c r="SOT25" s="70"/>
      <c r="SOU25" s="70"/>
      <c r="SOV25" s="70"/>
      <c r="SOW25" s="70"/>
      <c r="SOX25" s="70"/>
      <c r="SOY25" s="70"/>
      <c r="SOZ25" s="70"/>
      <c r="SPA25" s="70"/>
      <c r="SPB25" s="70"/>
      <c r="SPC25" s="70"/>
      <c r="SPD25" s="70"/>
      <c r="SPE25" s="70"/>
      <c r="SPF25" s="70"/>
      <c r="SPG25" s="70"/>
      <c r="SPH25" s="70"/>
      <c r="SPI25" s="70"/>
      <c r="SPJ25" s="70"/>
      <c r="SPK25" s="70"/>
      <c r="SPL25" s="70"/>
      <c r="SPM25" s="70"/>
      <c r="SPN25" s="70"/>
      <c r="SPO25" s="70"/>
      <c r="SPP25" s="70"/>
      <c r="SPQ25" s="70"/>
      <c r="SPR25" s="70"/>
      <c r="SPS25" s="70"/>
      <c r="SPT25" s="70"/>
      <c r="SPU25" s="70"/>
      <c r="SPV25" s="70"/>
      <c r="SPW25" s="70"/>
      <c r="SPX25" s="70"/>
      <c r="SPY25" s="70"/>
      <c r="SPZ25" s="70"/>
      <c r="SQA25" s="70"/>
      <c r="SQB25" s="70"/>
      <c r="SQC25" s="70"/>
      <c r="SQD25" s="70"/>
      <c r="SQE25" s="70"/>
      <c r="SQF25" s="70"/>
      <c r="SQG25" s="70"/>
      <c r="SQH25" s="70"/>
      <c r="SQI25" s="70"/>
      <c r="SQJ25" s="70"/>
      <c r="SQK25" s="70"/>
      <c r="SQL25" s="70"/>
      <c r="SQM25" s="70"/>
      <c r="SQN25" s="70"/>
      <c r="SQO25" s="70"/>
      <c r="SQP25" s="70"/>
      <c r="SQQ25" s="70"/>
      <c r="SQR25" s="70"/>
      <c r="SQS25" s="70"/>
      <c r="SQT25" s="70"/>
      <c r="SQU25" s="70"/>
      <c r="SQV25" s="70"/>
      <c r="SQW25" s="70"/>
      <c r="SQX25" s="70"/>
      <c r="SQY25" s="70"/>
      <c r="SQZ25" s="70"/>
      <c r="SRA25" s="70"/>
      <c r="SRB25" s="70"/>
      <c r="SRC25" s="70"/>
      <c r="SRD25" s="70"/>
      <c r="SRE25" s="70"/>
      <c r="SRF25" s="70"/>
      <c r="SRG25" s="70"/>
      <c r="SRH25" s="70"/>
      <c r="SRI25" s="70"/>
      <c r="SRJ25" s="70"/>
      <c r="SRK25" s="70"/>
      <c r="SRL25" s="70"/>
      <c r="SRM25" s="70"/>
      <c r="SRN25" s="70"/>
      <c r="SRO25" s="70"/>
      <c r="SRP25" s="70"/>
      <c r="SRQ25" s="70"/>
      <c r="SRR25" s="70"/>
      <c r="SRS25" s="70"/>
      <c r="SRT25" s="70"/>
      <c r="SRU25" s="70"/>
      <c r="SRV25" s="70"/>
      <c r="SRW25" s="70"/>
      <c r="SRX25" s="70"/>
      <c r="SRY25" s="70"/>
      <c r="SRZ25" s="70"/>
      <c r="SSA25" s="70"/>
      <c r="SSB25" s="70"/>
      <c r="SSC25" s="70"/>
      <c r="SSD25" s="70"/>
      <c r="SSE25" s="70"/>
      <c r="SSF25" s="70"/>
      <c r="SSG25" s="70"/>
      <c r="SSH25" s="70"/>
      <c r="SSI25" s="70"/>
      <c r="SSJ25" s="70"/>
      <c r="SSK25" s="70"/>
      <c r="SSL25" s="70"/>
      <c r="SSM25" s="70"/>
      <c r="SSN25" s="70"/>
      <c r="SSO25" s="70"/>
      <c r="SSP25" s="70"/>
      <c r="SSQ25" s="70"/>
      <c r="SSR25" s="70"/>
      <c r="SSS25" s="70"/>
      <c r="SST25" s="70"/>
      <c r="SSU25" s="70"/>
      <c r="SSV25" s="70"/>
      <c r="SSW25" s="70"/>
      <c r="SSX25" s="70"/>
      <c r="SSY25" s="70"/>
      <c r="SSZ25" s="70"/>
      <c r="STA25" s="70"/>
      <c r="STB25" s="70"/>
      <c r="STC25" s="70"/>
      <c r="STD25" s="70"/>
      <c r="STE25" s="70"/>
      <c r="STF25" s="70"/>
      <c r="STG25" s="70"/>
      <c r="STH25" s="70"/>
      <c r="STI25" s="70"/>
      <c r="STJ25" s="70"/>
      <c r="STK25" s="70"/>
      <c r="STL25" s="70"/>
      <c r="STM25" s="70"/>
      <c r="STN25" s="70"/>
      <c r="STO25" s="70"/>
      <c r="STP25" s="70"/>
      <c r="STQ25" s="70"/>
      <c r="STR25" s="70"/>
      <c r="STS25" s="70"/>
      <c r="STT25" s="70"/>
      <c r="STU25" s="70"/>
      <c r="STV25" s="70"/>
      <c r="STW25" s="70"/>
      <c r="STX25" s="70"/>
      <c r="STY25" s="70"/>
      <c r="STZ25" s="70"/>
      <c r="SUA25" s="70"/>
      <c r="SUB25" s="70"/>
      <c r="SUC25" s="70"/>
      <c r="SUD25" s="70"/>
      <c r="SUE25" s="70"/>
      <c r="SUF25" s="70"/>
      <c r="SUG25" s="70"/>
      <c r="SUH25" s="70"/>
      <c r="SUI25" s="70"/>
      <c r="SUJ25" s="70"/>
      <c r="SUK25" s="70"/>
      <c r="SUL25" s="70"/>
      <c r="SUM25" s="70"/>
      <c r="SUN25" s="70"/>
      <c r="SUO25" s="70"/>
      <c r="SUP25" s="70"/>
      <c r="SUQ25" s="70"/>
      <c r="SUR25" s="70"/>
      <c r="SUS25" s="70"/>
      <c r="SUT25" s="70"/>
      <c r="SUU25" s="70"/>
      <c r="SUV25" s="70"/>
      <c r="SUW25" s="70"/>
      <c r="SUX25" s="70"/>
      <c r="SUY25" s="70"/>
      <c r="SUZ25" s="70"/>
      <c r="SVA25" s="70"/>
      <c r="SVB25" s="70"/>
      <c r="SVC25" s="70"/>
      <c r="SVD25" s="70"/>
      <c r="SVE25" s="70"/>
      <c r="SVF25" s="70"/>
      <c r="SVG25" s="70"/>
      <c r="SVH25" s="70"/>
      <c r="SVI25" s="70"/>
      <c r="SVJ25" s="70"/>
      <c r="SVK25" s="70"/>
      <c r="SVL25" s="70"/>
      <c r="SVM25" s="70"/>
      <c r="SVN25" s="70"/>
      <c r="SVO25" s="70"/>
      <c r="SVP25" s="70"/>
      <c r="SVQ25" s="70"/>
      <c r="SVR25" s="70"/>
      <c r="SVS25" s="70"/>
      <c r="SVT25" s="70"/>
      <c r="SVU25" s="70"/>
      <c r="SVV25" s="70"/>
      <c r="SVW25" s="70"/>
      <c r="SVX25" s="70"/>
      <c r="SVY25" s="70"/>
      <c r="SVZ25" s="70"/>
      <c r="SWA25" s="70"/>
      <c r="SWB25" s="70"/>
      <c r="SWC25" s="70"/>
      <c r="SWD25" s="70"/>
      <c r="SWE25" s="70"/>
      <c r="SWF25" s="70"/>
      <c r="SWG25" s="70"/>
      <c r="SWH25" s="70"/>
      <c r="SWI25" s="70"/>
      <c r="SWJ25" s="70"/>
      <c r="SWK25" s="70"/>
      <c r="SWL25" s="70"/>
      <c r="SWM25" s="70"/>
      <c r="SWN25" s="70"/>
      <c r="SWO25" s="70"/>
      <c r="SWP25" s="70"/>
      <c r="SWQ25" s="70"/>
      <c r="SWR25" s="70"/>
      <c r="SWS25" s="70"/>
      <c r="SWT25" s="70"/>
      <c r="SWU25" s="70"/>
      <c r="SWV25" s="70"/>
      <c r="SWW25" s="70"/>
      <c r="SWX25" s="70"/>
      <c r="SWY25" s="70"/>
      <c r="SWZ25" s="70"/>
      <c r="SXA25" s="70"/>
      <c r="SXB25" s="70"/>
      <c r="SXC25" s="70"/>
      <c r="SXD25" s="70"/>
      <c r="SXE25" s="70"/>
      <c r="SXF25" s="70"/>
      <c r="SXG25" s="70"/>
      <c r="SXH25" s="70"/>
      <c r="SXI25" s="70"/>
      <c r="SXJ25" s="70"/>
      <c r="SXK25" s="70"/>
      <c r="SXL25" s="70"/>
      <c r="SXM25" s="70"/>
      <c r="SXN25" s="70"/>
      <c r="SXO25" s="70"/>
      <c r="SXP25" s="70"/>
      <c r="SXQ25" s="70"/>
      <c r="SXR25" s="70"/>
      <c r="SXS25" s="70"/>
      <c r="SXT25" s="70"/>
      <c r="SXU25" s="70"/>
      <c r="SXV25" s="70"/>
      <c r="SXW25" s="70"/>
      <c r="SXX25" s="70"/>
      <c r="SXY25" s="70"/>
      <c r="SXZ25" s="70"/>
      <c r="SYA25" s="70"/>
      <c r="SYB25" s="70"/>
      <c r="SYC25" s="70"/>
      <c r="SYD25" s="70"/>
      <c r="SYE25" s="70"/>
      <c r="SYF25" s="70"/>
      <c r="SYG25" s="70"/>
      <c r="SYH25" s="70"/>
      <c r="SYI25" s="70"/>
      <c r="SYJ25" s="70"/>
      <c r="SYK25" s="70"/>
      <c r="SYL25" s="70"/>
      <c r="SYM25" s="70"/>
      <c r="SYN25" s="70"/>
      <c r="SYO25" s="70"/>
      <c r="SYP25" s="70"/>
      <c r="SYQ25" s="70"/>
      <c r="SYR25" s="70"/>
      <c r="SYS25" s="70"/>
      <c r="SYT25" s="70"/>
      <c r="SYU25" s="70"/>
      <c r="SYV25" s="70"/>
      <c r="SYW25" s="70"/>
      <c r="SYX25" s="70"/>
      <c r="SYY25" s="70"/>
      <c r="SYZ25" s="70"/>
      <c r="SZA25" s="70"/>
      <c r="SZB25" s="70"/>
      <c r="SZC25" s="70"/>
      <c r="SZD25" s="70"/>
      <c r="SZE25" s="70"/>
      <c r="SZF25" s="70"/>
      <c r="SZG25" s="70"/>
      <c r="SZH25" s="70"/>
      <c r="SZI25" s="70"/>
      <c r="SZJ25" s="70"/>
      <c r="SZK25" s="70"/>
      <c r="SZL25" s="70"/>
      <c r="SZM25" s="70"/>
      <c r="SZN25" s="70"/>
      <c r="SZO25" s="70"/>
      <c r="SZP25" s="70"/>
      <c r="SZQ25" s="70"/>
      <c r="SZR25" s="70"/>
      <c r="SZS25" s="70"/>
      <c r="SZT25" s="70"/>
      <c r="SZU25" s="70"/>
      <c r="SZV25" s="70"/>
      <c r="SZW25" s="70"/>
      <c r="SZX25" s="70"/>
      <c r="SZY25" s="70"/>
      <c r="SZZ25" s="70"/>
      <c r="TAA25" s="70"/>
      <c r="TAB25" s="70"/>
      <c r="TAC25" s="70"/>
      <c r="TAD25" s="70"/>
      <c r="TAE25" s="70"/>
      <c r="TAF25" s="70"/>
      <c r="TAG25" s="70"/>
      <c r="TAH25" s="70"/>
      <c r="TAI25" s="70"/>
      <c r="TAJ25" s="70"/>
      <c r="TAK25" s="70"/>
      <c r="TAL25" s="70"/>
      <c r="TAM25" s="70"/>
      <c r="TAN25" s="70"/>
      <c r="TAO25" s="70"/>
      <c r="TAP25" s="70"/>
      <c r="TAQ25" s="70"/>
      <c r="TAR25" s="70"/>
      <c r="TAS25" s="70"/>
      <c r="TAT25" s="70"/>
      <c r="TAU25" s="70"/>
      <c r="TAV25" s="70"/>
      <c r="TAW25" s="70"/>
      <c r="TAX25" s="70"/>
      <c r="TAY25" s="70"/>
      <c r="TAZ25" s="70"/>
      <c r="TBA25" s="70"/>
      <c r="TBB25" s="70"/>
      <c r="TBC25" s="70"/>
      <c r="TBD25" s="70"/>
      <c r="TBE25" s="70"/>
      <c r="TBF25" s="70"/>
      <c r="TBG25" s="70"/>
      <c r="TBH25" s="70"/>
      <c r="TBI25" s="70"/>
      <c r="TBJ25" s="70"/>
      <c r="TBK25" s="70"/>
      <c r="TBL25" s="70"/>
      <c r="TBM25" s="70"/>
      <c r="TBN25" s="70"/>
      <c r="TBO25" s="70"/>
      <c r="TBP25" s="70"/>
      <c r="TBQ25" s="70"/>
      <c r="TBR25" s="70"/>
      <c r="TBS25" s="70"/>
      <c r="TBT25" s="70"/>
      <c r="TBU25" s="70"/>
      <c r="TBV25" s="70"/>
      <c r="TBW25" s="70"/>
      <c r="TBX25" s="70"/>
      <c r="TBY25" s="70"/>
      <c r="TBZ25" s="70"/>
      <c r="TCA25" s="70"/>
      <c r="TCB25" s="70"/>
      <c r="TCC25" s="70"/>
      <c r="TCD25" s="70"/>
      <c r="TCE25" s="70"/>
      <c r="TCF25" s="70"/>
      <c r="TCG25" s="70"/>
      <c r="TCH25" s="70"/>
      <c r="TCI25" s="70"/>
      <c r="TCJ25" s="70"/>
      <c r="TCK25" s="70"/>
      <c r="TCL25" s="70"/>
      <c r="TCM25" s="70"/>
      <c r="TCN25" s="70"/>
      <c r="TCO25" s="70"/>
      <c r="TCP25" s="70"/>
      <c r="TCQ25" s="70"/>
      <c r="TCR25" s="70"/>
      <c r="TCS25" s="70"/>
      <c r="TCT25" s="70"/>
      <c r="TCU25" s="70"/>
      <c r="TCV25" s="70"/>
      <c r="TCW25" s="70"/>
      <c r="TCX25" s="70"/>
      <c r="TCY25" s="70"/>
      <c r="TCZ25" s="70"/>
      <c r="TDA25" s="70"/>
      <c r="TDB25" s="70"/>
      <c r="TDC25" s="70"/>
      <c r="TDD25" s="70"/>
      <c r="TDE25" s="70"/>
      <c r="TDF25" s="70"/>
      <c r="TDG25" s="70"/>
      <c r="TDH25" s="70"/>
      <c r="TDI25" s="70"/>
      <c r="TDJ25" s="70"/>
      <c r="TDK25" s="70"/>
      <c r="TDL25" s="70"/>
      <c r="TDM25" s="70"/>
      <c r="TDN25" s="70"/>
      <c r="TDO25" s="70"/>
      <c r="TDP25" s="70"/>
      <c r="TDQ25" s="70"/>
      <c r="TDR25" s="70"/>
      <c r="TDS25" s="70"/>
      <c r="TDT25" s="70"/>
      <c r="TDU25" s="70"/>
      <c r="TDV25" s="70"/>
      <c r="TDW25" s="70"/>
      <c r="TDX25" s="70"/>
      <c r="TDY25" s="70"/>
      <c r="TDZ25" s="70"/>
      <c r="TEA25" s="70"/>
      <c r="TEB25" s="70"/>
      <c r="TEC25" s="70"/>
      <c r="TED25" s="70"/>
      <c r="TEE25" s="70"/>
      <c r="TEF25" s="70"/>
      <c r="TEG25" s="70"/>
      <c r="TEH25" s="70"/>
      <c r="TEI25" s="70"/>
      <c r="TEJ25" s="70"/>
      <c r="TEK25" s="70"/>
      <c r="TEL25" s="70"/>
      <c r="TEM25" s="70"/>
      <c r="TEN25" s="70"/>
      <c r="TEO25" s="70"/>
      <c r="TEP25" s="70"/>
      <c r="TEQ25" s="70"/>
      <c r="TER25" s="70"/>
      <c r="TES25" s="70"/>
      <c r="TET25" s="70"/>
      <c r="TEU25" s="70"/>
      <c r="TEV25" s="70"/>
      <c r="TEW25" s="70"/>
      <c r="TEX25" s="70"/>
      <c r="TEY25" s="70"/>
      <c r="TEZ25" s="70"/>
      <c r="TFA25" s="70"/>
      <c r="TFB25" s="70"/>
      <c r="TFC25" s="70"/>
      <c r="TFD25" s="70"/>
      <c r="TFE25" s="70"/>
      <c r="TFF25" s="70"/>
      <c r="TFG25" s="70"/>
      <c r="TFH25" s="70"/>
      <c r="TFI25" s="70"/>
      <c r="TFJ25" s="70"/>
      <c r="TFK25" s="70"/>
      <c r="TFL25" s="70"/>
      <c r="TFM25" s="70"/>
      <c r="TFN25" s="70"/>
      <c r="TFO25" s="70"/>
      <c r="TFP25" s="70"/>
      <c r="TFQ25" s="70"/>
      <c r="TFR25" s="70"/>
      <c r="TFS25" s="70"/>
      <c r="TFT25" s="70"/>
      <c r="TFU25" s="70"/>
      <c r="TFV25" s="70"/>
      <c r="TFW25" s="70"/>
      <c r="TFX25" s="70"/>
      <c r="TFY25" s="70"/>
      <c r="TFZ25" s="70"/>
      <c r="TGA25" s="70"/>
      <c r="TGB25" s="70"/>
      <c r="TGC25" s="70"/>
      <c r="TGD25" s="70"/>
      <c r="TGE25" s="70"/>
      <c r="TGF25" s="70"/>
      <c r="TGG25" s="70"/>
      <c r="TGH25" s="70"/>
      <c r="TGI25" s="70"/>
      <c r="TGJ25" s="70"/>
      <c r="TGK25" s="70"/>
      <c r="TGL25" s="70"/>
      <c r="TGM25" s="70"/>
      <c r="TGN25" s="70"/>
      <c r="TGO25" s="70"/>
      <c r="TGP25" s="70"/>
      <c r="TGQ25" s="70"/>
      <c r="TGR25" s="70"/>
      <c r="TGS25" s="70"/>
      <c r="TGT25" s="70"/>
      <c r="TGU25" s="70"/>
      <c r="TGV25" s="70"/>
      <c r="TGW25" s="70"/>
      <c r="TGX25" s="70"/>
      <c r="TGY25" s="70"/>
      <c r="TGZ25" s="70"/>
      <c r="THA25" s="70"/>
      <c r="THB25" s="70"/>
      <c r="THC25" s="70"/>
      <c r="THD25" s="70"/>
      <c r="THE25" s="70"/>
      <c r="THF25" s="70"/>
      <c r="THG25" s="70"/>
      <c r="THH25" s="70"/>
      <c r="THI25" s="70"/>
      <c r="THJ25" s="70"/>
      <c r="THK25" s="70"/>
      <c r="THL25" s="70"/>
      <c r="THM25" s="70"/>
      <c r="THN25" s="70"/>
      <c r="THO25" s="70"/>
      <c r="THP25" s="70"/>
      <c r="THQ25" s="70"/>
      <c r="THR25" s="70"/>
      <c r="THS25" s="70"/>
      <c r="THT25" s="70"/>
      <c r="THU25" s="70"/>
      <c r="THV25" s="70"/>
      <c r="THW25" s="70"/>
      <c r="THX25" s="70"/>
      <c r="THY25" s="70"/>
      <c r="THZ25" s="70"/>
      <c r="TIA25" s="70"/>
      <c r="TIB25" s="70"/>
      <c r="TIC25" s="70"/>
      <c r="TID25" s="70"/>
      <c r="TIE25" s="70"/>
      <c r="TIF25" s="70"/>
      <c r="TIG25" s="70"/>
      <c r="TIH25" s="70"/>
      <c r="TII25" s="70"/>
      <c r="TIJ25" s="70"/>
      <c r="TIK25" s="70"/>
      <c r="TIL25" s="70"/>
      <c r="TIM25" s="70"/>
      <c r="TIN25" s="70"/>
      <c r="TIO25" s="70"/>
      <c r="TIP25" s="70"/>
      <c r="TIQ25" s="70"/>
      <c r="TIR25" s="70"/>
      <c r="TIS25" s="70"/>
      <c r="TIT25" s="70"/>
      <c r="TIU25" s="70"/>
      <c r="TIV25" s="70"/>
      <c r="TIW25" s="70"/>
      <c r="TIX25" s="70"/>
      <c r="TIY25" s="70"/>
      <c r="TIZ25" s="70"/>
      <c r="TJA25" s="70"/>
      <c r="TJB25" s="70"/>
      <c r="TJC25" s="70"/>
      <c r="TJD25" s="70"/>
      <c r="TJE25" s="70"/>
      <c r="TJF25" s="70"/>
      <c r="TJG25" s="70"/>
      <c r="TJH25" s="70"/>
      <c r="TJI25" s="70"/>
      <c r="TJJ25" s="70"/>
      <c r="TJK25" s="70"/>
      <c r="TJL25" s="70"/>
      <c r="TJM25" s="70"/>
      <c r="TJN25" s="70"/>
      <c r="TJO25" s="70"/>
      <c r="TJP25" s="70"/>
      <c r="TJQ25" s="70"/>
      <c r="TJR25" s="70"/>
      <c r="TJS25" s="70"/>
      <c r="TJT25" s="70"/>
      <c r="TJU25" s="70"/>
      <c r="TJV25" s="70"/>
      <c r="TJW25" s="70"/>
      <c r="TJX25" s="70"/>
      <c r="TJY25" s="70"/>
      <c r="TJZ25" s="70"/>
      <c r="TKA25" s="70"/>
      <c r="TKB25" s="70"/>
      <c r="TKC25" s="70"/>
      <c r="TKD25" s="70"/>
      <c r="TKE25" s="70"/>
      <c r="TKF25" s="70"/>
      <c r="TKG25" s="70"/>
      <c r="TKH25" s="70"/>
      <c r="TKI25" s="70"/>
      <c r="TKJ25" s="70"/>
      <c r="TKK25" s="70"/>
      <c r="TKL25" s="70"/>
      <c r="TKM25" s="70"/>
      <c r="TKN25" s="70"/>
      <c r="TKO25" s="70"/>
      <c r="TKP25" s="70"/>
      <c r="TKQ25" s="70"/>
      <c r="TKR25" s="70"/>
      <c r="TKS25" s="70"/>
      <c r="TKT25" s="70"/>
      <c r="TKU25" s="70"/>
      <c r="TKV25" s="70"/>
      <c r="TKW25" s="70"/>
      <c r="TKX25" s="70"/>
      <c r="TKY25" s="70"/>
      <c r="TKZ25" s="70"/>
      <c r="TLA25" s="70"/>
      <c r="TLB25" s="70"/>
      <c r="TLC25" s="70"/>
      <c r="TLD25" s="70"/>
      <c r="TLE25" s="70"/>
      <c r="TLF25" s="70"/>
      <c r="TLG25" s="70"/>
      <c r="TLH25" s="70"/>
      <c r="TLI25" s="70"/>
      <c r="TLJ25" s="70"/>
      <c r="TLK25" s="70"/>
      <c r="TLL25" s="70"/>
      <c r="TLM25" s="70"/>
      <c r="TLN25" s="70"/>
      <c r="TLO25" s="70"/>
      <c r="TLP25" s="70"/>
      <c r="TLQ25" s="70"/>
      <c r="TLR25" s="70"/>
      <c r="TLS25" s="70"/>
      <c r="TLT25" s="70"/>
      <c r="TLU25" s="70"/>
      <c r="TLV25" s="70"/>
      <c r="TLW25" s="70"/>
      <c r="TLX25" s="70"/>
      <c r="TLY25" s="70"/>
      <c r="TLZ25" s="70"/>
      <c r="TMA25" s="70"/>
      <c r="TMB25" s="70"/>
      <c r="TMC25" s="70"/>
      <c r="TMD25" s="70"/>
      <c r="TME25" s="70"/>
      <c r="TMF25" s="70"/>
      <c r="TMG25" s="70"/>
      <c r="TMH25" s="70"/>
      <c r="TMI25" s="70"/>
      <c r="TMJ25" s="70"/>
      <c r="TMK25" s="70"/>
      <c r="TML25" s="70"/>
      <c r="TMM25" s="70"/>
      <c r="TMN25" s="70"/>
      <c r="TMO25" s="70"/>
      <c r="TMP25" s="70"/>
      <c r="TMQ25" s="70"/>
      <c r="TMR25" s="70"/>
      <c r="TMS25" s="70"/>
      <c r="TMT25" s="70"/>
      <c r="TMU25" s="70"/>
      <c r="TMV25" s="70"/>
      <c r="TMW25" s="70"/>
      <c r="TMX25" s="70"/>
      <c r="TMY25" s="70"/>
      <c r="TMZ25" s="70"/>
      <c r="TNA25" s="70"/>
      <c r="TNB25" s="70"/>
      <c r="TNC25" s="70"/>
      <c r="TND25" s="70"/>
      <c r="TNE25" s="70"/>
      <c r="TNF25" s="70"/>
      <c r="TNG25" s="70"/>
      <c r="TNH25" s="70"/>
      <c r="TNI25" s="70"/>
      <c r="TNJ25" s="70"/>
      <c r="TNK25" s="70"/>
      <c r="TNL25" s="70"/>
      <c r="TNM25" s="70"/>
      <c r="TNN25" s="70"/>
      <c r="TNO25" s="70"/>
      <c r="TNP25" s="70"/>
      <c r="TNQ25" s="70"/>
      <c r="TNR25" s="70"/>
      <c r="TNS25" s="70"/>
      <c r="TNT25" s="70"/>
      <c r="TNU25" s="70"/>
      <c r="TNV25" s="70"/>
      <c r="TNW25" s="70"/>
      <c r="TNX25" s="70"/>
      <c r="TNY25" s="70"/>
      <c r="TNZ25" s="70"/>
      <c r="TOA25" s="70"/>
      <c r="TOB25" s="70"/>
      <c r="TOC25" s="70"/>
      <c r="TOD25" s="70"/>
      <c r="TOE25" s="70"/>
      <c r="TOF25" s="70"/>
      <c r="TOG25" s="70"/>
      <c r="TOH25" s="70"/>
      <c r="TOI25" s="70"/>
      <c r="TOJ25" s="70"/>
      <c r="TOK25" s="70"/>
      <c r="TOL25" s="70"/>
      <c r="TOM25" s="70"/>
      <c r="TON25" s="70"/>
      <c r="TOO25" s="70"/>
      <c r="TOP25" s="70"/>
      <c r="TOQ25" s="70"/>
      <c r="TOR25" s="70"/>
      <c r="TOS25" s="70"/>
      <c r="TOT25" s="70"/>
      <c r="TOU25" s="70"/>
      <c r="TOV25" s="70"/>
      <c r="TOW25" s="70"/>
      <c r="TOX25" s="70"/>
      <c r="TOY25" s="70"/>
      <c r="TOZ25" s="70"/>
      <c r="TPA25" s="70"/>
      <c r="TPB25" s="70"/>
      <c r="TPC25" s="70"/>
      <c r="TPD25" s="70"/>
      <c r="TPE25" s="70"/>
      <c r="TPF25" s="70"/>
      <c r="TPG25" s="70"/>
      <c r="TPH25" s="70"/>
      <c r="TPI25" s="70"/>
      <c r="TPJ25" s="70"/>
      <c r="TPK25" s="70"/>
      <c r="TPL25" s="70"/>
      <c r="TPM25" s="70"/>
      <c r="TPN25" s="70"/>
      <c r="TPO25" s="70"/>
      <c r="TPP25" s="70"/>
      <c r="TPQ25" s="70"/>
      <c r="TPR25" s="70"/>
      <c r="TPS25" s="70"/>
      <c r="TPT25" s="70"/>
      <c r="TPU25" s="70"/>
      <c r="TPV25" s="70"/>
      <c r="TPW25" s="70"/>
      <c r="TPX25" s="70"/>
      <c r="TPY25" s="70"/>
      <c r="TPZ25" s="70"/>
      <c r="TQA25" s="70"/>
      <c r="TQB25" s="70"/>
      <c r="TQC25" s="70"/>
      <c r="TQD25" s="70"/>
      <c r="TQE25" s="70"/>
      <c r="TQF25" s="70"/>
      <c r="TQG25" s="70"/>
      <c r="TQH25" s="70"/>
      <c r="TQI25" s="70"/>
      <c r="TQJ25" s="70"/>
      <c r="TQK25" s="70"/>
      <c r="TQL25" s="70"/>
      <c r="TQM25" s="70"/>
      <c r="TQN25" s="70"/>
      <c r="TQO25" s="70"/>
      <c r="TQP25" s="70"/>
      <c r="TQQ25" s="70"/>
      <c r="TQR25" s="70"/>
      <c r="TQS25" s="70"/>
      <c r="TQT25" s="70"/>
      <c r="TQU25" s="70"/>
      <c r="TQV25" s="70"/>
      <c r="TQW25" s="70"/>
      <c r="TQX25" s="70"/>
      <c r="TQY25" s="70"/>
      <c r="TQZ25" s="70"/>
      <c r="TRA25" s="70"/>
      <c r="TRB25" s="70"/>
      <c r="TRC25" s="70"/>
      <c r="TRD25" s="70"/>
      <c r="TRE25" s="70"/>
      <c r="TRF25" s="70"/>
      <c r="TRG25" s="70"/>
      <c r="TRH25" s="70"/>
      <c r="TRI25" s="70"/>
      <c r="TRJ25" s="70"/>
      <c r="TRK25" s="70"/>
      <c r="TRL25" s="70"/>
      <c r="TRM25" s="70"/>
      <c r="TRN25" s="70"/>
      <c r="TRO25" s="70"/>
      <c r="TRP25" s="70"/>
      <c r="TRQ25" s="70"/>
      <c r="TRR25" s="70"/>
      <c r="TRS25" s="70"/>
      <c r="TRT25" s="70"/>
      <c r="TRU25" s="70"/>
      <c r="TRV25" s="70"/>
      <c r="TRW25" s="70"/>
      <c r="TRX25" s="70"/>
      <c r="TRY25" s="70"/>
      <c r="TRZ25" s="70"/>
      <c r="TSA25" s="70"/>
      <c r="TSB25" s="70"/>
      <c r="TSC25" s="70"/>
      <c r="TSD25" s="70"/>
      <c r="TSE25" s="70"/>
      <c r="TSF25" s="70"/>
      <c r="TSG25" s="70"/>
      <c r="TSH25" s="70"/>
      <c r="TSI25" s="70"/>
      <c r="TSJ25" s="70"/>
      <c r="TSK25" s="70"/>
      <c r="TSL25" s="70"/>
      <c r="TSM25" s="70"/>
      <c r="TSN25" s="70"/>
      <c r="TSO25" s="70"/>
      <c r="TSP25" s="70"/>
      <c r="TSQ25" s="70"/>
      <c r="TSR25" s="70"/>
      <c r="TSS25" s="70"/>
      <c r="TST25" s="70"/>
      <c r="TSU25" s="70"/>
      <c r="TSV25" s="70"/>
      <c r="TSW25" s="70"/>
      <c r="TSX25" s="70"/>
      <c r="TSY25" s="70"/>
      <c r="TSZ25" s="70"/>
      <c r="TTA25" s="70"/>
      <c r="TTB25" s="70"/>
      <c r="TTC25" s="70"/>
      <c r="TTD25" s="70"/>
      <c r="TTE25" s="70"/>
      <c r="TTF25" s="70"/>
      <c r="TTG25" s="70"/>
      <c r="TTH25" s="70"/>
      <c r="TTI25" s="70"/>
      <c r="TTJ25" s="70"/>
      <c r="TTK25" s="70"/>
      <c r="TTL25" s="70"/>
      <c r="TTM25" s="70"/>
      <c r="TTN25" s="70"/>
      <c r="TTO25" s="70"/>
      <c r="TTP25" s="70"/>
      <c r="TTQ25" s="70"/>
      <c r="TTR25" s="70"/>
      <c r="TTS25" s="70"/>
      <c r="TTT25" s="70"/>
      <c r="TTU25" s="70"/>
      <c r="TTV25" s="70"/>
      <c r="TTW25" s="70"/>
      <c r="TTX25" s="70"/>
      <c r="TTY25" s="70"/>
      <c r="TTZ25" s="70"/>
      <c r="TUA25" s="70"/>
      <c r="TUB25" s="70"/>
      <c r="TUC25" s="70"/>
      <c r="TUD25" s="70"/>
      <c r="TUE25" s="70"/>
      <c r="TUF25" s="70"/>
      <c r="TUG25" s="70"/>
      <c r="TUH25" s="70"/>
      <c r="TUI25" s="70"/>
      <c r="TUJ25" s="70"/>
      <c r="TUK25" s="70"/>
      <c r="TUL25" s="70"/>
      <c r="TUM25" s="70"/>
      <c r="TUN25" s="70"/>
      <c r="TUO25" s="70"/>
      <c r="TUP25" s="70"/>
      <c r="TUQ25" s="70"/>
      <c r="TUR25" s="70"/>
      <c r="TUS25" s="70"/>
      <c r="TUT25" s="70"/>
      <c r="TUU25" s="70"/>
      <c r="TUV25" s="70"/>
      <c r="TUW25" s="70"/>
      <c r="TUX25" s="70"/>
      <c r="TUY25" s="70"/>
      <c r="TUZ25" s="70"/>
      <c r="TVA25" s="70"/>
      <c r="TVB25" s="70"/>
      <c r="TVC25" s="70"/>
      <c r="TVD25" s="70"/>
      <c r="TVE25" s="70"/>
      <c r="TVF25" s="70"/>
      <c r="TVG25" s="70"/>
      <c r="TVH25" s="70"/>
      <c r="TVI25" s="70"/>
      <c r="TVJ25" s="70"/>
      <c r="TVK25" s="70"/>
      <c r="TVL25" s="70"/>
      <c r="TVM25" s="70"/>
      <c r="TVN25" s="70"/>
      <c r="TVO25" s="70"/>
      <c r="TVP25" s="70"/>
      <c r="TVQ25" s="70"/>
      <c r="TVR25" s="70"/>
      <c r="TVS25" s="70"/>
      <c r="TVT25" s="70"/>
      <c r="TVU25" s="70"/>
      <c r="TVV25" s="70"/>
      <c r="TVW25" s="70"/>
      <c r="TVX25" s="70"/>
      <c r="TVY25" s="70"/>
      <c r="TVZ25" s="70"/>
      <c r="TWA25" s="70"/>
      <c r="TWB25" s="70"/>
      <c r="TWC25" s="70"/>
      <c r="TWD25" s="70"/>
      <c r="TWE25" s="70"/>
      <c r="TWF25" s="70"/>
      <c r="TWG25" s="70"/>
      <c r="TWH25" s="70"/>
      <c r="TWI25" s="70"/>
      <c r="TWJ25" s="70"/>
      <c r="TWK25" s="70"/>
      <c r="TWL25" s="70"/>
      <c r="TWM25" s="70"/>
      <c r="TWN25" s="70"/>
      <c r="TWO25" s="70"/>
      <c r="TWP25" s="70"/>
      <c r="TWQ25" s="70"/>
      <c r="TWR25" s="70"/>
      <c r="TWS25" s="70"/>
      <c r="TWT25" s="70"/>
      <c r="TWU25" s="70"/>
      <c r="TWV25" s="70"/>
      <c r="TWW25" s="70"/>
      <c r="TWX25" s="70"/>
      <c r="TWY25" s="70"/>
      <c r="TWZ25" s="70"/>
      <c r="TXA25" s="70"/>
      <c r="TXB25" s="70"/>
      <c r="TXC25" s="70"/>
      <c r="TXD25" s="70"/>
      <c r="TXE25" s="70"/>
      <c r="TXF25" s="70"/>
      <c r="TXG25" s="70"/>
      <c r="TXH25" s="70"/>
      <c r="TXI25" s="70"/>
      <c r="TXJ25" s="70"/>
      <c r="TXK25" s="70"/>
      <c r="TXL25" s="70"/>
      <c r="TXM25" s="70"/>
      <c r="TXN25" s="70"/>
      <c r="TXO25" s="70"/>
      <c r="TXP25" s="70"/>
      <c r="TXQ25" s="70"/>
      <c r="TXR25" s="70"/>
      <c r="TXS25" s="70"/>
      <c r="TXT25" s="70"/>
      <c r="TXU25" s="70"/>
      <c r="TXV25" s="70"/>
      <c r="TXW25" s="70"/>
      <c r="TXX25" s="70"/>
      <c r="TXY25" s="70"/>
      <c r="TXZ25" s="70"/>
      <c r="TYA25" s="70"/>
      <c r="TYB25" s="70"/>
      <c r="TYC25" s="70"/>
      <c r="TYD25" s="70"/>
      <c r="TYE25" s="70"/>
      <c r="TYF25" s="70"/>
      <c r="TYG25" s="70"/>
      <c r="TYH25" s="70"/>
      <c r="TYI25" s="70"/>
      <c r="TYJ25" s="70"/>
      <c r="TYK25" s="70"/>
      <c r="TYL25" s="70"/>
      <c r="TYM25" s="70"/>
      <c r="TYN25" s="70"/>
      <c r="TYO25" s="70"/>
      <c r="TYP25" s="70"/>
      <c r="TYQ25" s="70"/>
      <c r="TYR25" s="70"/>
      <c r="TYS25" s="70"/>
      <c r="TYT25" s="70"/>
      <c r="TYU25" s="70"/>
      <c r="TYV25" s="70"/>
      <c r="TYW25" s="70"/>
      <c r="TYX25" s="70"/>
      <c r="TYY25" s="70"/>
      <c r="TYZ25" s="70"/>
      <c r="TZA25" s="70"/>
      <c r="TZB25" s="70"/>
      <c r="TZC25" s="70"/>
      <c r="TZD25" s="70"/>
      <c r="TZE25" s="70"/>
      <c r="TZF25" s="70"/>
      <c r="TZG25" s="70"/>
      <c r="TZH25" s="70"/>
      <c r="TZI25" s="70"/>
      <c r="TZJ25" s="70"/>
      <c r="TZK25" s="70"/>
      <c r="TZL25" s="70"/>
      <c r="TZM25" s="70"/>
      <c r="TZN25" s="70"/>
      <c r="TZO25" s="70"/>
      <c r="TZP25" s="70"/>
      <c r="TZQ25" s="70"/>
      <c r="TZR25" s="70"/>
      <c r="TZS25" s="70"/>
      <c r="TZT25" s="70"/>
      <c r="TZU25" s="70"/>
      <c r="TZV25" s="70"/>
      <c r="TZW25" s="70"/>
      <c r="TZX25" s="70"/>
      <c r="TZY25" s="70"/>
      <c r="TZZ25" s="70"/>
      <c r="UAA25" s="70"/>
      <c r="UAB25" s="70"/>
      <c r="UAC25" s="70"/>
      <c r="UAD25" s="70"/>
      <c r="UAE25" s="70"/>
      <c r="UAF25" s="70"/>
      <c r="UAG25" s="70"/>
      <c r="UAH25" s="70"/>
      <c r="UAI25" s="70"/>
      <c r="UAJ25" s="70"/>
      <c r="UAK25" s="70"/>
      <c r="UAL25" s="70"/>
      <c r="UAM25" s="70"/>
      <c r="UAN25" s="70"/>
      <c r="UAO25" s="70"/>
      <c r="UAP25" s="70"/>
      <c r="UAQ25" s="70"/>
      <c r="UAR25" s="70"/>
      <c r="UAS25" s="70"/>
      <c r="UAT25" s="70"/>
      <c r="UAU25" s="70"/>
      <c r="UAV25" s="70"/>
      <c r="UAW25" s="70"/>
      <c r="UAX25" s="70"/>
      <c r="UAY25" s="70"/>
      <c r="UAZ25" s="70"/>
      <c r="UBA25" s="70"/>
      <c r="UBB25" s="70"/>
      <c r="UBC25" s="70"/>
      <c r="UBD25" s="70"/>
      <c r="UBE25" s="70"/>
      <c r="UBF25" s="70"/>
      <c r="UBG25" s="70"/>
      <c r="UBH25" s="70"/>
      <c r="UBI25" s="70"/>
      <c r="UBJ25" s="70"/>
      <c r="UBK25" s="70"/>
      <c r="UBL25" s="70"/>
      <c r="UBM25" s="70"/>
      <c r="UBN25" s="70"/>
      <c r="UBO25" s="70"/>
      <c r="UBP25" s="70"/>
      <c r="UBQ25" s="70"/>
      <c r="UBR25" s="70"/>
      <c r="UBS25" s="70"/>
      <c r="UBT25" s="70"/>
      <c r="UBU25" s="70"/>
      <c r="UBV25" s="70"/>
      <c r="UBW25" s="70"/>
      <c r="UBX25" s="70"/>
      <c r="UBY25" s="70"/>
      <c r="UBZ25" s="70"/>
      <c r="UCA25" s="70"/>
      <c r="UCB25" s="70"/>
      <c r="UCC25" s="70"/>
      <c r="UCD25" s="70"/>
      <c r="UCE25" s="70"/>
      <c r="UCF25" s="70"/>
      <c r="UCG25" s="70"/>
      <c r="UCH25" s="70"/>
      <c r="UCI25" s="70"/>
      <c r="UCJ25" s="70"/>
      <c r="UCK25" s="70"/>
      <c r="UCL25" s="70"/>
      <c r="UCM25" s="70"/>
      <c r="UCN25" s="70"/>
      <c r="UCO25" s="70"/>
      <c r="UCP25" s="70"/>
      <c r="UCQ25" s="70"/>
      <c r="UCR25" s="70"/>
      <c r="UCS25" s="70"/>
      <c r="UCT25" s="70"/>
      <c r="UCU25" s="70"/>
      <c r="UCV25" s="70"/>
      <c r="UCW25" s="70"/>
      <c r="UCX25" s="70"/>
      <c r="UCY25" s="70"/>
      <c r="UCZ25" s="70"/>
      <c r="UDA25" s="70"/>
      <c r="UDB25" s="70"/>
      <c r="UDC25" s="70"/>
      <c r="UDD25" s="70"/>
      <c r="UDE25" s="70"/>
      <c r="UDF25" s="70"/>
      <c r="UDG25" s="70"/>
      <c r="UDH25" s="70"/>
      <c r="UDI25" s="70"/>
      <c r="UDJ25" s="70"/>
      <c r="UDK25" s="70"/>
      <c r="UDL25" s="70"/>
      <c r="UDM25" s="70"/>
      <c r="UDN25" s="70"/>
      <c r="UDO25" s="70"/>
      <c r="UDP25" s="70"/>
      <c r="UDQ25" s="70"/>
      <c r="UDR25" s="70"/>
      <c r="UDS25" s="70"/>
      <c r="UDT25" s="70"/>
      <c r="UDU25" s="70"/>
      <c r="UDV25" s="70"/>
      <c r="UDW25" s="70"/>
      <c r="UDX25" s="70"/>
      <c r="UDY25" s="70"/>
      <c r="UDZ25" s="70"/>
      <c r="UEA25" s="70"/>
      <c r="UEB25" s="70"/>
      <c r="UEC25" s="70"/>
      <c r="UED25" s="70"/>
      <c r="UEE25" s="70"/>
      <c r="UEF25" s="70"/>
      <c r="UEG25" s="70"/>
      <c r="UEH25" s="70"/>
      <c r="UEI25" s="70"/>
      <c r="UEJ25" s="70"/>
      <c r="UEK25" s="70"/>
      <c r="UEL25" s="70"/>
      <c r="UEM25" s="70"/>
      <c r="UEN25" s="70"/>
      <c r="UEO25" s="70"/>
      <c r="UEP25" s="70"/>
      <c r="UEQ25" s="70"/>
      <c r="UER25" s="70"/>
      <c r="UES25" s="70"/>
      <c r="UET25" s="70"/>
      <c r="UEU25" s="70"/>
      <c r="UEV25" s="70"/>
      <c r="UEW25" s="70"/>
      <c r="UEX25" s="70"/>
      <c r="UEY25" s="70"/>
      <c r="UEZ25" s="70"/>
      <c r="UFA25" s="70"/>
      <c r="UFB25" s="70"/>
      <c r="UFC25" s="70"/>
      <c r="UFD25" s="70"/>
      <c r="UFE25" s="70"/>
      <c r="UFF25" s="70"/>
      <c r="UFG25" s="70"/>
      <c r="UFH25" s="70"/>
      <c r="UFI25" s="70"/>
      <c r="UFJ25" s="70"/>
      <c r="UFK25" s="70"/>
      <c r="UFL25" s="70"/>
      <c r="UFM25" s="70"/>
      <c r="UFN25" s="70"/>
      <c r="UFO25" s="70"/>
      <c r="UFP25" s="70"/>
      <c r="UFQ25" s="70"/>
      <c r="UFR25" s="70"/>
      <c r="UFS25" s="70"/>
      <c r="UFT25" s="70"/>
      <c r="UFU25" s="70"/>
      <c r="UFV25" s="70"/>
      <c r="UFW25" s="70"/>
      <c r="UFX25" s="70"/>
      <c r="UFY25" s="70"/>
      <c r="UFZ25" s="70"/>
      <c r="UGA25" s="70"/>
      <c r="UGB25" s="70"/>
      <c r="UGC25" s="70"/>
      <c r="UGD25" s="70"/>
      <c r="UGE25" s="70"/>
      <c r="UGF25" s="70"/>
      <c r="UGG25" s="70"/>
      <c r="UGH25" s="70"/>
      <c r="UGI25" s="70"/>
      <c r="UGJ25" s="70"/>
      <c r="UGK25" s="70"/>
      <c r="UGL25" s="70"/>
      <c r="UGM25" s="70"/>
      <c r="UGN25" s="70"/>
      <c r="UGO25" s="70"/>
      <c r="UGP25" s="70"/>
      <c r="UGQ25" s="70"/>
      <c r="UGR25" s="70"/>
      <c r="UGS25" s="70"/>
      <c r="UGT25" s="70"/>
      <c r="UGU25" s="70"/>
      <c r="UGV25" s="70"/>
      <c r="UGW25" s="70"/>
      <c r="UGX25" s="70"/>
      <c r="UGY25" s="70"/>
      <c r="UGZ25" s="70"/>
      <c r="UHA25" s="70"/>
      <c r="UHB25" s="70"/>
      <c r="UHC25" s="70"/>
      <c r="UHD25" s="70"/>
      <c r="UHE25" s="70"/>
      <c r="UHF25" s="70"/>
      <c r="UHG25" s="70"/>
      <c r="UHH25" s="70"/>
      <c r="UHI25" s="70"/>
      <c r="UHJ25" s="70"/>
      <c r="UHK25" s="70"/>
      <c r="UHL25" s="70"/>
      <c r="UHM25" s="70"/>
      <c r="UHN25" s="70"/>
      <c r="UHO25" s="70"/>
      <c r="UHP25" s="70"/>
      <c r="UHQ25" s="70"/>
      <c r="UHR25" s="70"/>
      <c r="UHS25" s="70"/>
      <c r="UHT25" s="70"/>
      <c r="UHU25" s="70"/>
      <c r="UHV25" s="70"/>
      <c r="UHW25" s="70"/>
      <c r="UHX25" s="70"/>
      <c r="UHY25" s="70"/>
      <c r="UHZ25" s="70"/>
      <c r="UIA25" s="70"/>
      <c r="UIB25" s="70"/>
      <c r="UIC25" s="70"/>
      <c r="UID25" s="70"/>
      <c r="UIE25" s="70"/>
      <c r="UIF25" s="70"/>
      <c r="UIG25" s="70"/>
      <c r="UIH25" s="70"/>
      <c r="UII25" s="70"/>
      <c r="UIJ25" s="70"/>
      <c r="UIK25" s="70"/>
      <c r="UIL25" s="70"/>
      <c r="UIM25" s="70"/>
      <c r="UIN25" s="70"/>
      <c r="UIO25" s="70"/>
      <c r="UIP25" s="70"/>
      <c r="UIQ25" s="70"/>
      <c r="UIR25" s="70"/>
      <c r="UIS25" s="70"/>
      <c r="UIT25" s="70"/>
      <c r="UIU25" s="70"/>
      <c r="UIV25" s="70"/>
      <c r="UIW25" s="70"/>
      <c r="UIX25" s="70"/>
      <c r="UIY25" s="70"/>
      <c r="UIZ25" s="70"/>
      <c r="UJA25" s="70"/>
      <c r="UJB25" s="70"/>
      <c r="UJC25" s="70"/>
      <c r="UJD25" s="70"/>
      <c r="UJE25" s="70"/>
      <c r="UJF25" s="70"/>
      <c r="UJG25" s="70"/>
      <c r="UJH25" s="70"/>
      <c r="UJI25" s="70"/>
      <c r="UJJ25" s="70"/>
      <c r="UJK25" s="70"/>
      <c r="UJL25" s="70"/>
      <c r="UJM25" s="70"/>
      <c r="UJN25" s="70"/>
      <c r="UJO25" s="70"/>
      <c r="UJP25" s="70"/>
      <c r="UJQ25" s="70"/>
      <c r="UJR25" s="70"/>
      <c r="UJS25" s="70"/>
      <c r="UJT25" s="70"/>
      <c r="UJU25" s="70"/>
      <c r="UJV25" s="70"/>
      <c r="UJW25" s="70"/>
      <c r="UJX25" s="70"/>
      <c r="UJY25" s="70"/>
      <c r="UJZ25" s="70"/>
      <c r="UKA25" s="70"/>
      <c r="UKB25" s="70"/>
      <c r="UKC25" s="70"/>
      <c r="UKD25" s="70"/>
      <c r="UKE25" s="70"/>
      <c r="UKF25" s="70"/>
      <c r="UKG25" s="70"/>
      <c r="UKH25" s="70"/>
      <c r="UKI25" s="70"/>
      <c r="UKJ25" s="70"/>
      <c r="UKK25" s="70"/>
      <c r="UKL25" s="70"/>
      <c r="UKM25" s="70"/>
      <c r="UKN25" s="70"/>
      <c r="UKO25" s="70"/>
      <c r="UKP25" s="70"/>
      <c r="UKQ25" s="70"/>
      <c r="UKR25" s="70"/>
      <c r="UKS25" s="70"/>
      <c r="UKT25" s="70"/>
      <c r="UKU25" s="70"/>
      <c r="UKV25" s="70"/>
      <c r="UKW25" s="70"/>
      <c r="UKX25" s="70"/>
      <c r="UKY25" s="70"/>
      <c r="UKZ25" s="70"/>
      <c r="ULA25" s="70"/>
      <c r="ULB25" s="70"/>
      <c r="ULC25" s="70"/>
      <c r="ULD25" s="70"/>
      <c r="ULE25" s="70"/>
      <c r="ULF25" s="70"/>
      <c r="ULG25" s="70"/>
      <c r="ULH25" s="70"/>
      <c r="ULI25" s="70"/>
      <c r="ULJ25" s="70"/>
      <c r="ULK25" s="70"/>
      <c r="ULL25" s="70"/>
      <c r="ULM25" s="70"/>
      <c r="ULN25" s="70"/>
      <c r="ULO25" s="70"/>
      <c r="ULP25" s="70"/>
      <c r="ULQ25" s="70"/>
      <c r="ULR25" s="70"/>
      <c r="ULS25" s="70"/>
      <c r="ULT25" s="70"/>
      <c r="ULU25" s="70"/>
      <c r="ULV25" s="70"/>
      <c r="ULW25" s="70"/>
      <c r="ULX25" s="70"/>
      <c r="ULY25" s="70"/>
      <c r="ULZ25" s="70"/>
      <c r="UMA25" s="70"/>
      <c r="UMB25" s="70"/>
      <c r="UMC25" s="70"/>
      <c r="UMD25" s="70"/>
      <c r="UME25" s="70"/>
      <c r="UMF25" s="70"/>
      <c r="UMG25" s="70"/>
      <c r="UMH25" s="70"/>
      <c r="UMI25" s="70"/>
      <c r="UMJ25" s="70"/>
      <c r="UMK25" s="70"/>
      <c r="UML25" s="70"/>
      <c r="UMM25" s="70"/>
      <c r="UMN25" s="70"/>
      <c r="UMO25" s="70"/>
      <c r="UMP25" s="70"/>
      <c r="UMQ25" s="70"/>
      <c r="UMR25" s="70"/>
      <c r="UMS25" s="70"/>
      <c r="UMT25" s="70"/>
      <c r="UMU25" s="70"/>
      <c r="UMV25" s="70"/>
      <c r="UMW25" s="70"/>
      <c r="UMX25" s="70"/>
      <c r="UMY25" s="70"/>
      <c r="UMZ25" s="70"/>
      <c r="UNA25" s="70"/>
      <c r="UNB25" s="70"/>
      <c r="UNC25" s="70"/>
      <c r="UND25" s="70"/>
      <c r="UNE25" s="70"/>
      <c r="UNF25" s="70"/>
      <c r="UNG25" s="70"/>
      <c r="UNH25" s="70"/>
      <c r="UNI25" s="70"/>
      <c r="UNJ25" s="70"/>
      <c r="UNK25" s="70"/>
      <c r="UNL25" s="70"/>
      <c r="UNM25" s="70"/>
      <c r="UNN25" s="70"/>
      <c r="UNO25" s="70"/>
      <c r="UNP25" s="70"/>
      <c r="UNQ25" s="70"/>
      <c r="UNR25" s="70"/>
      <c r="UNS25" s="70"/>
      <c r="UNT25" s="70"/>
      <c r="UNU25" s="70"/>
      <c r="UNV25" s="70"/>
      <c r="UNW25" s="70"/>
      <c r="UNX25" s="70"/>
      <c r="UNY25" s="70"/>
      <c r="UNZ25" s="70"/>
      <c r="UOA25" s="70"/>
      <c r="UOB25" s="70"/>
      <c r="UOC25" s="70"/>
      <c r="UOD25" s="70"/>
      <c r="UOE25" s="70"/>
      <c r="UOF25" s="70"/>
      <c r="UOG25" s="70"/>
      <c r="UOH25" s="70"/>
      <c r="UOI25" s="70"/>
      <c r="UOJ25" s="70"/>
      <c r="UOK25" s="70"/>
      <c r="UOL25" s="70"/>
      <c r="UOM25" s="70"/>
      <c r="UON25" s="70"/>
      <c r="UOO25" s="70"/>
      <c r="UOP25" s="70"/>
      <c r="UOQ25" s="70"/>
      <c r="UOR25" s="70"/>
      <c r="UOS25" s="70"/>
      <c r="UOT25" s="70"/>
      <c r="UOU25" s="70"/>
      <c r="UOV25" s="70"/>
      <c r="UOW25" s="70"/>
      <c r="UOX25" s="70"/>
      <c r="UOY25" s="70"/>
      <c r="UOZ25" s="70"/>
      <c r="UPA25" s="70"/>
      <c r="UPB25" s="70"/>
      <c r="UPC25" s="70"/>
      <c r="UPD25" s="70"/>
      <c r="UPE25" s="70"/>
      <c r="UPF25" s="70"/>
      <c r="UPG25" s="70"/>
      <c r="UPH25" s="70"/>
      <c r="UPI25" s="70"/>
      <c r="UPJ25" s="70"/>
      <c r="UPK25" s="70"/>
      <c r="UPL25" s="70"/>
      <c r="UPM25" s="70"/>
      <c r="UPN25" s="70"/>
      <c r="UPO25" s="70"/>
      <c r="UPP25" s="70"/>
      <c r="UPQ25" s="70"/>
      <c r="UPR25" s="70"/>
      <c r="UPS25" s="70"/>
      <c r="UPT25" s="70"/>
      <c r="UPU25" s="70"/>
      <c r="UPV25" s="70"/>
      <c r="UPW25" s="70"/>
      <c r="UPX25" s="70"/>
      <c r="UPY25" s="70"/>
      <c r="UPZ25" s="70"/>
      <c r="UQA25" s="70"/>
      <c r="UQB25" s="70"/>
      <c r="UQC25" s="70"/>
      <c r="UQD25" s="70"/>
      <c r="UQE25" s="70"/>
      <c r="UQF25" s="70"/>
      <c r="UQG25" s="70"/>
      <c r="UQH25" s="70"/>
      <c r="UQI25" s="70"/>
      <c r="UQJ25" s="70"/>
      <c r="UQK25" s="70"/>
      <c r="UQL25" s="70"/>
      <c r="UQM25" s="70"/>
      <c r="UQN25" s="70"/>
      <c r="UQO25" s="70"/>
      <c r="UQP25" s="70"/>
      <c r="UQQ25" s="70"/>
      <c r="UQR25" s="70"/>
      <c r="UQS25" s="70"/>
      <c r="UQT25" s="70"/>
      <c r="UQU25" s="70"/>
      <c r="UQV25" s="70"/>
      <c r="UQW25" s="70"/>
      <c r="UQX25" s="70"/>
      <c r="UQY25" s="70"/>
      <c r="UQZ25" s="70"/>
      <c r="URA25" s="70"/>
      <c r="URB25" s="70"/>
      <c r="URC25" s="70"/>
      <c r="URD25" s="70"/>
      <c r="URE25" s="70"/>
      <c r="URF25" s="70"/>
      <c r="URG25" s="70"/>
      <c r="URH25" s="70"/>
      <c r="URI25" s="70"/>
      <c r="URJ25" s="70"/>
      <c r="URK25" s="70"/>
      <c r="URL25" s="70"/>
      <c r="URM25" s="70"/>
      <c r="URN25" s="70"/>
      <c r="URO25" s="70"/>
      <c r="URP25" s="70"/>
      <c r="URQ25" s="70"/>
      <c r="URR25" s="70"/>
      <c r="URS25" s="70"/>
      <c r="URT25" s="70"/>
      <c r="URU25" s="70"/>
      <c r="URV25" s="70"/>
      <c r="URW25" s="70"/>
      <c r="URX25" s="70"/>
      <c r="URY25" s="70"/>
      <c r="URZ25" s="70"/>
      <c r="USA25" s="70"/>
      <c r="USB25" s="70"/>
      <c r="USC25" s="70"/>
      <c r="USD25" s="70"/>
      <c r="USE25" s="70"/>
      <c r="USF25" s="70"/>
      <c r="USG25" s="70"/>
      <c r="USH25" s="70"/>
      <c r="USI25" s="70"/>
      <c r="USJ25" s="70"/>
      <c r="USK25" s="70"/>
      <c r="USL25" s="70"/>
      <c r="USM25" s="70"/>
      <c r="USN25" s="70"/>
      <c r="USO25" s="70"/>
      <c r="USP25" s="70"/>
      <c r="USQ25" s="70"/>
      <c r="USR25" s="70"/>
      <c r="USS25" s="70"/>
      <c r="UST25" s="70"/>
      <c r="USU25" s="70"/>
      <c r="USV25" s="70"/>
      <c r="USW25" s="70"/>
      <c r="USX25" s="70"/>
      <c r="USY25" s="70"/>
      <c r="USZ25" s="70"/>
      <c r="UTA25" s="70"/>
      <c r="UTB25" s="70"/>
      <c r="UTC25" s="70"/>
      <c r="UTD25" s="70"/>
      <c r="UTE25" s="70"/>
      <c r="UTF25" s="70"/>
      <c r="UTG25" s="70"/>
      <c r="UTH25" s="70"/>
      <c r="UTI25" s="70"/>
      <c r="UTJ25" s="70"/>
      <c r="UTK25" s="70"/>
      <c r="UTL25" s="70"/>
      <c r="UTM25" s="70"/>
      <c r="UTN25" s="70"/>
      <c r="UTO25" s="70"/>
      <c r="UTP25" s="70"/>
      <c r="UTQ25" s="70"/>
      <c r="UTR25" s="70"/>
      <c r="UTS25" s="70"/>
      <c r="UTT25" s="70"/>
      <c r="UTU25" s="70"/>
      <c r="UTV25" s="70"/>
      <c r="UTW25" s="70"/>
      <c r="UTX25" s="70"/>
      <c r="UTY25" s="70"/>
      <c r="UTZ25" s="70"/>
      <c r="UUA25" s="70"/>
      <c r="UUB25" s="70"/>
      <c r="UUC25" s="70"/>
      <c r="UUD25" s="70"/>
      <c r="UUE25" s="70"/>
      <c r="UUF25" s="70"/>
      <c r="UUG25" s="70"/>
      <c r="UUH25" s="70"/>
      <c r="UUI25" s="70"/>
      <c r="UUJ25" s="70"/>
      <c r="UUK25" s="70"/>
      <c r="UUL25" s="70"/>
      <c r="UUM25" s="70"/>
      <c r="UUN25" s="70"/>
      <c r="UUO25" s="70"/>
      <c r="UUP25" s="70"/>
      <c r="UUQ25" s="70"/>
      <c r="UUR25" s="70"/>
      <c r="UUS25" s="70"/>
      <c r="UUT25" s="70"/>
      <c r="UUU25" s="70"/>
      <c r="UUV25" s="70"/>
      <c r="UUW25" s="70"/>
      <c r="UUX25" s="70"/>
      <c r="UUY25" s="70"/>
      <c r="UUZ25" s="70"/>
      <c r="UVA25" s="70"/>
      <c r="UVB25" s="70"/>
      <c r="UVC25" s="70"/>
      <c r="UVD25" s="70"/>
      <c r="UVE25" s="70"/>
      <c r="UVF25" s="70"/>
      <c r="UVG25" s="70"/>
      <c r="UVH25" s="70"/>
      <c r="UVI25" s="70"/>
      <c r="UVJ25" s="70"/>
      <c r="UVK25" s="70"/>
      <c r="UVL25" s="70"/>
      <c r="UVM25" s="70"/>
      <c r="UVN25" s="70"/>
      <c r="UVO25" s="70"/>
      <c r="UVP25" s="70"/>
      <c r="UVQ25" s="70"/>
      <c r="UVR25" s="70"/>
      <c r="UVS25" s="70"/>
      <c r="UVT25" s="70"/>
      <c r="UVU25" s="70"/>
      <c r="UVV25" s="70"/>
      <c r="UVW25" s="70"/>
      <c r="UVX25" s="70"/>
      <c r="UVY25" s="70"/>
      <c r="UVZ25" s="70"/>
      <c r="UWA25" s="70"/>
      <c r="UWB25" s="70"/>
      <c r="UWC25" s="70"/>
      <c r="UWD25" s="70"/>
      <c r="UWE25" s="70"/>
      <c r="UWF25" s="70"/>
      <c r="UWG25" s="70"/>
      <c r="UWH25" s="70"/>
      <c r="UWI25" s="70"/>
      <c r="UWJ25" s="70"/>
      <c r="UWK25" s="70"/>
      <c r="UWL25" s="70"/>
      <c r="UWM25" s="70"/>
      <c r="UWN25" s="70"/>
      <c r="UWO25" s="70"/>
      <c r="UWP25" s="70"/>
      <c r="UWQ25" s="70"/>
      <c r="UWR25" s="70"/>
      <c r="UWS25" s="70"/>
      <c r="UWT25" s="70"/>
      <c r="UWU25" s="70"/>
      <c r="UWV25" s="70"/>
      <c r="UWW25" s="70"/>
      <c r="UWX25" s="70"/>
      <c r="UWY25" s="70"/>
      <c r="UWZ25" s="70"/>
      <c r="UXA25" s="70"/>
      <c r="UXB25" s="70"/>
      <c r="UXC25" s="70"/>
      <c r="UXD25" s="70"/>
      <c r="UXE25" s="70"/>
      <c r="UXF25" s="70"/>
      <c r="UXG25" s="70"/>
      <c r="UXH25" s="70"/>
      <c r="UXI25" s="70"/>
      <c r="UXJ25" s="70"/>
      <c r="UXK25" s="70"/>
      <c r="UXL25" s="70"/>
      <c r="UXM25" s="70"/>
      <c r="UXN25" s="70"/>
      <c r="UXO25" s="70"/>
      <c r="UXP25" s="70"/>
      <c r="UXQ25" s="70"/>
      <c r="UXR25" s="70"/>
      <c r="UXS25" s="70"/>
      <c r="UXT25" s="70"/>
      <c r="UXU25" s="70"/>
      <c r="UXV25" s="70"/>
      <c r="UXW25" s="70"/>
      <c r="UXX25" s="70"/>
      <c r="UXY25" s="70"/>
      <c r="UXZ25" s="70"/>
      <c r="UYA25" s="70"/>
      <c r="UYB25" s="70"/>
      <c r="UYC25" s="70"/>
      <c r="UYD25" s="70"/>
      <c r="UYE25" s="70"/>
      <c r="UYF25" s="70"/>
      <c r="UYG25" s="70"/>
      <c r="UYH25" s="70"/>
      <c r="UYI25" s="70"/>
      <c r="UYJ25" s="70"/>
      <c r="UYK25" s="70"/>
      <c r="UYL25" s="70"/>
      <c r="UYM25" s="70"/>
      <c r="UYN25" s="70"/>
      <c r="UYO25" s="70"/>
      <c r="UYP25" s="70"/>
      <c r="UYQ25" s="70"/>
      <c r="UYR25" s="70"/>
      <c r="UYS25" s="70"/>
      <c r="UYT25" s="70"/>
      <c r="UYU25" s="70"/>
      <c r="UYV25" s="70"/>
      <c r="UYW25" s="70"/>
      <c r="UYX25" s="70"/>
      <c r="UYY25" s="70"/>
      <c r="UYZ25" s="70"/>
      <c r="UZA25" s="70"/>
      <c r="UZB25" s="70"/>
      <c r="UZC25" s="70"/>
      <c r="UZD25" s="70"/>
      <c r="UZE25" s="70"/>
      <c r="UZF25" s="70"/>
      <c r="UZG25" s="70"/>
      <c r="UZH25" s="70"/>
      <c r="UZI25" s="70"/>
      <c r="UZJ25" s="70"/>
      <c r="UZK25" s="70"/>
      <c r="UZL25" s="70"/>
      <c r="UZM25" s="70"/>
      <c r="UZN25" s="70"/>
      <c r="UZO25" s="70"/>
      <c r="UZP25" s="70"/>
      <c r="UZQ25" s="70"/>
      <c r="UZR25" s="70"/>
      <c r="UZS25" s="70"/>
      <c r="UZT25" s="70"/>
      <c r="UZU25" s="70"/>
      <c r="UZV25" s="70"/>
      <c r="UZW25" s="70"/>
      <c r="UZX25" s="70"/>
      <c r="UZY25" s="70"/>
      <c r="UZZ25" s="70"/>
      <c r="VAA25" s="70"/>
      <c r="VAB25" s="70"/>
      <c r="VAC25" s="70"/>
      <c r="VAD25" s="70"/>
      <c r="VAE25" s="70"/>
      <c r="VAF25" s="70"/>
      <c r="VAG25" s="70"/>
      <c r="VAH25" s="70"/>
      <c r="VAI25" s="70"/>
      <c r="VAJ25" s="70"/>
      <c r="VAK25" s="70"/>
      <c r="VAL25" s="70"/>
      <c r="VAM25" s="70"/>
      <c r="VAN25" s="70"/>
      <c r="VAO25" s="70"/>
      <c r="VAP25" s="70"/>
      <c r="VAQ25" s="70"/>
      <c r="VAR25" s="70"/>
      <c r="VAS25" s="70"/>
      <c r="VAT25" s="70"/>
      <c r="VAU25" s="70"/>
      <c r="VAV25" s="70"/>
      <c r="VAW25" s="70"/>
      <c r="VAX25" s="70"/>
      <c r="VAY25" s="70"/>
      <c r="VAZ25" s="70"/>
      <c r="VBA25" s="70"/>
      <c r="VBB25" s="70"/>
      <c r="VBC25" s="70"/>
      <c r="VBD25" s="70"/>
      <c r="VBE25" s="70"/>
      <c r="VBF25" s="70"/>
      <c r="VBG25" s="70"/>
      <c r="VBH25" s="70"/>
      <c r="VBI25" s="70"/>
      <c r="VBJ25" s="70"/>
      <c r="VBK25" s="70"/>
      <c r="VBL25" s="70"/>
      <c r="VBM25" s="70"/>
      <c r="VBN25" s="70"/>
      <c r="VBO25" s="70"/>
      <c r="VBP25" s="70"/>
      <c r="VBQ25" s="70"/>
      <c r="VBR25" s="70"/>
      <c r="VBS25" s="70"/>
      <c r="VBT25" s="70"/>
      <c r="VBU25" s="70"/>
      <c r="VBV25" s="70"/>
      <c r="VBW25" s="70"/>
      <c r="VBX25" s="70"/>
      <c r="VBY25" s="70"/>
      <c r="VBZ25" s="70"/>
      <c r="VCA25" s="70"/>
      <c r="VCB25" s="70"/>
      <c r="VCC25" s="70"/>
      <c r="VCD25" s="70"/>
      <c r="VCE25" s="70"/>
      <c r="VCF25" s="70"/>
      <c r="VCG25" s="70"/>
      <c r="VCH25" s="70"/>
      <c r="VCI25" s="70"/>
      <c r="VCJ25" s="70"/>
      <c r="VCK25" s="70"/>
      <c r="VCL25" s="70"/>
      <c r="VCM25" s="70"/>
      <c r="VCN25" s="70"/>
      <c r="VCO25" s="70"/>
      <c r="VCP25" s="70"/>
      <c r="VCQ25" s="70"/>
      <c r="VCR25" s="70"/>
      <c r="VCS25" s="70"/>
      <c r="VCT25" s="70"/>
      <c r="VCU25" s="70"/>
      <c r="VCV25" s="70"/>
      <c r="VCW25" s="70"/>
      <c r="VCX25" s="70"/>
      <c r="VCY25" s="70"/>
      <c r="VCZ25" s="70"/>
      <c r="VDA25" s="70"/>
      <c r="VDB25" s="70"/>
      <c r="VDC25" s="70"/>
      <c r="VDD25" s="70"/>
      <c r="VDE25" s="70"/>
      <c r="VDF25" s="70"/>
      <c r="VDG25" s="70"/>
      <c r="VDH25" s="70"/>
      <c r="VDI25" s="70"/>
      <c r="VDJ25" s="70"/>
      <c r="VDK25" s="70"/>
      <c r="VDL25" s="70"/>
      <c r="VDM25" s="70"/>
      <c r="VDN25" s="70"/>
      <c r="VDO25" s="70"/>
      <c r="VDP25" s="70"/>
      <c r="VDQ25" s="70"/>
      <c r="VDR25" s="70"/>
      <c r="VDS25" s="70"/>
      <c r="VDT25" s="70"/>
      <c r="VDU25" s="70"/>
      <c r="VDV25" s="70"/>
      <c r="VDW25" s="70"/>
      <c r="VDX25" s="70"/>
      <c r="VDY25" s="70"/>
      <c r="VDZ25" s="70"/>
      <c r="VEA25" s="70"/>
      <c r="VEB25" s="70"/>
      <c r="VEC25" s="70"/>
      <c r="VED25" s="70"/>
      <c r="VEE25" s="70"/>
      <c r="VEF25" s="70"/>
      <c r="VEG25" s="70"/>
      <c r="VEH25" s="70"/>
      <c r="VEI25" s="70"/>
      <c r="VEJ25" s="70"/>
      <c r="VEK25" s="70"/>
      <c r="VEL25" s="70"/>
      <c r="VEM25" s="70"/>
      <c r="VEN25" s="70"/>
      <c r="VEO25" s="70"/>
      <c r="VEP25" s="70"/>
      <c r="VEQ25" s="70"/>
      <c r="VER25" s="70"/>
      <c r="VES25" s="70"/>
      <c r="VET25" s="70"/>
      <c r="VEU25" s="70"/>
      <c r="VEV25" s="70"/>
      <c r="VEW25" s="70"/>
      <c r="VEX25" s="70"/>
      <c r="VEY25" s="70"/>
      <c r="VEZ25" s="70"/>
      <c r="VFA25" s="70"/>
      <c r="VFB25" s="70"/>
      <c r="VFC25" s="70"/>
      <c r="VFD25" s="70"/>
      <c r="VFE25" s="70"/>
      <c r="VFF25" s="70"/>
      <c r="VFG25" s="70"/>
      <c r="VFH25" s="70"/>
      <c r="VFI25" s="70"/>
      <c r="VFJ25" s="70"/>
      <c r="VFK25" s="70"/>
      <c r="VFL25" s="70"/>
      <c r="VFM25" s="70"/>
      <c r="VFN25" s="70"/>
      <c r="VFO25" s="70"/>
      <c r="VFP25" s="70"/>
      <c r="VFQ25" s="70"/>
      <c r="VFR25" s="70"/>
      <c r="VFS25" s="70"/>
      <c r="VFT25" s="70"/>
      <c r="VFU25" s="70"/>
      <c r="VFV25" s="70"/>
      <c r="VFW25" s="70"/>
      <c r="VFX25" s="70"/>
      <c r="VFY25" s="70"/>
      <c r="VFZ25" s="70"/>
      <c r="VGA25" s="70"/>
      <c r="VGB25" s="70"/>
      <c r="VGC25" s="70"/>
      <c r="VGD25" s="70"/>
      <c r="VGE25" s="70"/>
      <c r="VGF25" s="70"/>
      <c r="VGG25" s="70"/>
      <c r="VGH25" s="70"/>
      <c r="VGI25" s="70"/>
      <c r="VGJ25" s="70"/>
      <c r="VGK25" s="70"/>
      <c r="VGL25" s="70"/>
      <c r="VGM25" s="70"/>
      <c r="VGN25" s="70"/>
      <c r="VGO25" s="70"/>
      <c r="VGP25" s="70"/>
      <c r="VGQ25" s="70"/>
      <c r="VGR25" s="70"/>
      <c r="VGS25" s="70"/>
      <c r="VGT25" s="70"/>
      <c r="VGU25" s="70"/>
      <c r="VGV25" s="70"/>
      <c r="VGW25" s="70"/>
      <c r="VGX25" s="70"/>
      <c r="VGY25" s="70"/>
      <c r="VGZ25" s="70"/>
      <c r="VHA25" s="70"/>
      <c r="VHB25" s="70"/>
      <c r="VHC25" s="70"/>
      <c r="VHD25" s="70"/>
      <c r="VHE25" s="70"/>
      <c r="VHF25" s="70"/>
      <c r="VHG25" s="70"/>
      <c r="VHH25" s="70"/>
      <c r="VHI25" s="70"/>
      <c r="VHJ25" s="70"/>
      <c r="VHK25" s="70"/>
      <c r="VHL25" s="70"/>
      <c r="VHM25" s="70"/>
      <c r="VHN25" s="70"/>
      <c r="VHO25" s="70"/>
      <c r="VHP25" s="70"/>
      <c r="VHQ25" s="70"/>
      <c r="VHR25" s="70"/>
      <c r="VHS25" s="70"/>
      <c r="VHT25" s="70"/>
      <c r="VHU25" s="70"/>
      <c r="VHV25" s="70"/>
      <c r="VHW25" s="70"/>
      <c r="VHX25" s="70"/>
      <c r="VHY25" s="70"/>
      <c r="VHZ25" s="70"/>
      <c r="VIA25" s="70"/>
      <c r="VIB25" s="70"/>
      <c r="VIC25" s="70"/>
      <c r="VID25" s="70"/>
      <c r="VIE25" s="70"/>
      <c r="VIF25" s="70"/>
      <c r="VIG25" s="70"/>
      <c r="VIH25" s="70"/>
      <c r="VII25" s="70"/>
      <c r="VIJ25" s="70"/>
      <c r="VIK25" s="70"/>
      <c r="VIL25" s="70"/>
      <c r="VIM25" s="70"/>
      <c r="VIN25" s="70"/>
      <c r="VIO25" s="70"/>
      <c r="VIP25" s="70"/>
      <c r="VIQ25" s="70"/>
      <c r="VIR25" s="70"/>
      <c r="VIS25" s="70"/>
      <c r="VIT25" s="70"/>
      <c r="VIU25" s="70"/>
      <c r="VIV25" s="70"/>
      <c r="VIW25" s="70"/>
      <c r="VIX25" s="70"/>
      <c r="VIY25" s="70"/>
      <c r="VIZ25" s="70"/>
      <c r="VJA25" s="70"/>
      <c r="VJB25" s="70"/>
      <c r="VJC25" s="70"/>
      <c r="VJD25" s="70"/>
      <c r="VJE25" s="70"/>
      <c r="VJF25" s="70"/>
      <c r="VJG25" s="70"/>
      <c r="VJH25" s="70"/>
      <c r="VJI25" s="70"/>
      <c r="VJJ25" s="70"/>
      <c r="VJK25" s="70"/>
      <c r="VJL25" s="70"/>
      <c r="VJM25" s="70"/>
      <c r="VJN25" s="70"/>
      <c r="VJO25" s="70"/>
      <c r="VJP25" s="70"/>
      <c r="VJQ25" s="70"/>
      <c r="VJR25" s="70"/>
      <c r="VJS25" s="70"/>
      <c r="VJT25" s="70"/>
      <c r="VJU25" s="70"/>
      <c r="VJV25" s="70"/>
      <c r="VJW25" s="70"/>
      <c r="VJX25" s="70"/>
      <c r="VJY25" s="70"/>
      <c r="VJZ25" s="70"/>
      <c r="VKA25" s="70"/>
      <c r="VKB25" s="70"/>
      <c r="VKC25" s="70"/>
      <c r="VKD25" s="70"/>
      <c r="VKE25" s="70"/>
      <c r="VKF25" s="70"/>
      <c r="VKG25" s="70"/>
      <c r="VKH25" s="70"/>
      <c r="VKI25" s="70"/>
      <c r="VKJ25" s="70"/>
      <c r="VKK25" s="70"/>
      <c r="VKL25" s="70"/>
      <c r="VKM25" s="70"/>
      <c r="VKN25" s="70"/>
      <c r="VKO25" s="70"/>
      <c r="VKP25" s="70"/>
      <c r="VKQ25" s="70"/>
      <c r="VKR25" s="70"/>
      <c r="VKS25" s="70"/>
      <c r="VKT25" s="70"/>
      <c r="VKU25" s="70"/>
      <c r="VKV25" s="70"/>
      <c r="VKW25" s="70"/>
      <c r="VKX25" s="70"/>
      <c r="VKY25" s="70"/>
      <c r="VKZ25" s="70"/>
      <c r="VLA25" s="70"/>
      <c r="VLB25" s="70"/>
      <c r="VLC25" s="70"/>
      <c r="VLD25" s="70"/>
      <c r="VLE25" s="70"/>
      <c r="VLF25" s="70"/>
      <c r="VLG25" s="70"/>
      <c r="VLH25" s="70"/>
      <c r="VLI25" s="70"/>
      <c r="VLJ25" s="70"/>
      <c r="VLK25" s="70"/>
      <c r="VLL25" s="70"/>
      <c r="VLM25" s="70"/>
      <c r="VLN25" s="70"/>
      <c r="VLO25" s="70"/>
      <c r="VLP25" s="70"/>
      <c r="VLQ25" s="70"/>
      <c r="VLR25" s="70"/>
      <c r="VLS25" s="70"/>
      <c r="VLT25" s="70"/>
      <c r="VLU25" s="70"/>
      <c r="VLV25" s="70"/>
      <c r="VLW25" s="70"/>
      <c r="VLX25" s="70"/>
      <c r="VLY25" s="70"/>
      <c r="VLZ25" s="70"/>
      <c r="VMA25" s="70"/>
      <c r="VMB25" s="70"/>
      <c r="VMC25" s="70"/>
      <c r="VMD25" s="70"/>
      <c r="VME25" s="70"/>
      <c r="VMF25" s="70"/>
      <c r="VMG25" s="70"/>
      <c r="VMH25" s="70"/>
      <c r="VMI25" s="70"/>
      <c r="VMJ25" s="70"/>
      <c r="VMK25" s="70"/>
      <c r="VML25" s="70"/>
      <c r="VMM25" s="70"/>
      <c r="VMN25" s="70"/>
      <c r="VMO25" s="70"/>
      <c r="VMP25" s="70"/>
      <c r="VMQ25" s="70"/>
      <c r="VMR25" s="70"/>
      <c r="VMS25" s="70"/>
      <c r="VMT25" s="70"/>
      <c r="VMU25" s="70"/>
      <c r="VMV25" s="70"/>
      <c r="VMW25" s="70"/>
      <c r="VMX25" s="70"/>
      <c r="VMY25" s="70"/>
      <c r="VMZ25" s="70"/>
      <c r="VNA25" s="70"/>
      <c r="VNB25" s="70"/>
      <c r="VNC25" s="70"/>
      <c r="VND25" s="70"/>
      <c r="VNE25" s="70"/>
      <c r="VNF25" s="70"/>
      <c r="VNG25" s="70"/>
      <c r="VNH25" s="70"/>
      <c r="VNI25" s="70"/>
      <c r="VNJ25" s="70"/>
      <c r="VNK25" s="70"/>
      <c r="VNL25" s="70"/>
      <c r="VNM25" s="70"/>
      <c r="VNN25" s="70"/>
      <c r="VNO25" s="70"/>
      <c r="VNP25" s="70"/>
      <c r="VNQ25" s="70"/>
      <c r="VNR25" s="70"/>
      <c r="VNS25" s="70"/>
      <c r="VNT25" s="70"/>
      <c r="VNU25" s="70"/>
      <c r="VNV25" s="70"/>
      <c r="VNW25" s="70"/>
      <c r="VNX25" s="70"/>
      <c r="VNY25" s="70"/>
      <c r="VNZ25" s="70"/>
      <c r="VOA25" s="70"/>
      <c r="VOB25" s="70"/>
      <c r="VOC25" s="70"/>
      <c r="VOD25" s="70"/>
      <c r="VOE25" s="70"/>
      <c r="VOF25" s="70"/>
      <c r="VOG25" s="70"/>
      <c r="VOH25" s="70"/>
      <c r="VOI25" s="70"/>
      <c r="VOJ25" s="70"/>
      <c r="VOK25" s="70"/>
      <c r="VOL25" s="70"/>
      <c r="VOM25" s="70"/>
      <c r="VON25" s="70"/>
      <c r="VOO25" s="70"/>
      <c r="VOP25" s="70"/>
      <c r="VOQ25" s="70"/>
      <c r="VOR25" s="70"/>
      <c r="VOS25" s="70"/>
      <c r="VOT25" s="70"/>
      <c r="VOU25" s="70"/>
      <c r="VOV25" s="70"/>
      <c r="VOW25" s="70"/>
      <c r="VOX25" s="70"/>
      <c r="VOY25" s="70"/>
      <c r="VOZ25" s="70"/>
      <c r="VPA25" s="70"/>
      <c r="VPB25" s="70"/>
      <c r="VPC25" s="70"/>
      <c r="VPD25" s="70"/>
      <c r="VPE25" s="70"/>
      <c r="VPF25" s="70"/>
      <c r="VPG25" s="70"/>
      <c r="VPH25" s="70"/>
      <c r="VPI25" s="70"/>
      <c r="VPJ25" s="70"/>
      <c r="VPK25" s="70"/>
      <c r="VPL25" s="70"/>
      <c r="VPM25" s="70"/>
      <c r="VPN25" s="70"/>
      <c r="VPO25" s="70"/>
      <c r="VPP25" s="70"/>
      <c r="VPQ25" s="70"/>
      <c r="VPR25" s="70"/>
      <c r="VPS25" s="70"/>
      <c r="VPT25" s="70"/>
      <c r="VPU25" s="70"/>
      <c r="VPV25" s="70"/>
      <c r="VPW25" s="70"/>
      <c r="VPX25" s="70"/>
      <c r="VPY25" s="70"/>
      <c r="VPZ25" s="70"/>
      <c r="VQA25" s="70"/>
      <c r="VQB25" s="70"/>
      <c r="VQC25" s="70"/>
      <c r="VQD25" s="70"/>
      <c r="VQE25" s="70"/>
      <c r="VQF25" s="70"/>
      <c r="VQG25" s="70"/>
      <c r="VQH25" s="70"/>
      <c r="VQI25" s="70"/>
      <c r="VQJ25" s="70"/>
      <c r="VQK25" s="70"/>
      <c r="VQL25" s="70"/>
      <c r="VQM25" s="70"/>
      <c r="VQN25" s="70"/>
      <c r="VQO25" s="70"/>
      <c r="VQP25" s="70"/>
      <c r="VQQ25" s="70"/>
      <c r="VQR25" s="70"/>
      <c r="VQS25" s="70"/>
      <c r="VQT25" s="70"/>
      <c r="VQU25" s="70"/>
      <c r="VQV25" s="70"/>
      <c r="VQW25" s="70"/>
      <c r="VQX25" s="70"/>
      <c r="VQY25" s="70"/>
      <c r="VQZ25" s="70"/>
      <c r="VRA25" s="70"/>
      <c r="VRB25" s="70"/>
      <c r="VRC25" s="70"/>
      <c r="VRD25" s="70"/>
      <c r="VRE25" s="70"/>
      <c r="VRF25" s="70"/>
      <c r="VRG25" s="70"/>
      <c r="VRH25" s="70"/>
      <c r="VRI25" s="70"/>
      <c r="VRJ25" s="70"/>
      <c r="VRK25" s="70"/>
      <c r="VRL25" s="70"/>
      <c r="VRM25" s="70"/>
      <c r="VRN25" s="70"/>
      <c r="VRO25" s="70"/>
      <c r="VRP25" s="70"/>
      <c r="VRQ25" s="70"/>
      <c r="VRR25" s="70"/>
      <c r="VRS25" s="70"/>
      <c r="VRT25" s="70"/>
      <c r="VRU25" s="70"/>
      <c r="VRV25" s="70"/>
      <c r="VRW25" s="70"/>
      <c r="VRX25" s="70"/>
      <c r="VRY25" s="70"/>
      <c r="VRZ25" s="70"/>
      <c r="VSA25" s="70"/>
      <c r="VSB25" s="70"/>
      <c r="VSC25" s="70"/>
      <c r="VSD25" s="70"/>
      <c r="VSE25" s="70"/>
      <c r="VSF25" s="70"/>
      <c r="VSG25" s="70"/>
      <c r="VSH25" s="70"/>
      <c r="VSI25" s="70"/>
      <c r="VSJ25" s="70"/>
      <c r="VSK25" s="70"/>
      <c r="VSL25" s="70"/>
      <c r="VSM25" s="70"/>
      <c r="VSN25" s="70"/>
      <c r="VSO25" s="70"/>
      <c r="VSP25" s="70"/>
      <c r="VSQ25" s="70"/>
      <c r="VSR25" s="70"/>
      <c r="VSS25" s="70"/>
      <c r="VST25" s="70"/>
      <c r="VSU25" s="70"/>
      <c r="VSV25" s="70"/>
      <c r="VSW25" s="70"/>
      <c r="VSX25" s="70"/>
      <c r="VSY25" s="70"/>
      <c r="VSZ25" s="70"/>
      <c r="VTA25" s="70"/>
      <c r="VTB25" s="70"/>
      <c r="VTC25" s="70"/>
      <c r="VTD25" s="70"/>
      <c r="VTE25" s="70"/>
      <c r="VTF25" s="70"/>
      <c r="VTG25" s="70"/>
      <c r="VTH25" s="70"/>
      <c r="VTI25" s="70"/>
      <c r="VTJ25" s="70"/>
      <c r="VTK25" s="70"/>
      <c r="VTL25" s="70"/>
      <c r="VTM25" s="70"/>
      <c r="VTN25" s="70"/>
      <c r="VTO25" s="70"/>
      <c r="VTP25" s="70"/>
      <c r="VTQ25" s="70"/>
      <c r="VTR25" s="70"/>
      <c r="VTS25" s="70"/>
      <c r="VTT25" s="70"/>
      <c r="VTU25" s="70"/>
      <c r="VTV25" s="70"/>
      <c r="VTW25" s="70"/>
      <c r="VTX25" s="70"/>
      <c r="VTY25" s="70"/>
      <c r="VTZ25" s="70"/>
      <c r="VUA25" s="70"/>
      <c r="VUB25" s="70"/>
      <c r="VUC25" s="70"/>
      <c r="VUD25" s="70"/>
      <c r="VUE25" s="70"/>
      <c r="VUF25" s="70"/>
      <c r="VUG25" s="70"/>
      <c r="VUH25" s="70"/>
      <c r="VUI25" s="70"/>
      <c r="VUJ25" s="70"/>
      <c r="VUK25" s="70"/>
      <c r="VUL25" s="70"/>
      <c r="VUM25" s="70"/>
      <c r="VUN25" s="70"/>
      <c r="VUO25" s="70"/>
      <c r="VUP25" s="70"/>
      <c r="VUQ25" s="70"/>
      <c r="VUR25" s="70"/>
      <c r="VUS25" s="70"/>
      <c r="VUT25" s="70"/>
      <c r="VUU25" s="70"/>
      <c r="VUV25" s="70"/>
      <c r="VUW25" s="70"/>
      <c r="VUX25" s="70"/>
      <c r="VUY25" s="70"/>
      <c r="VUZ25" s="70"/>
      <c r="VVA25" s="70"/>
      <c r="VVB25" s="70"/>
      <c r="VVC25" s="70"/>
      <c r="VVD25" s="70"/>
      <c r="VVE25" s="70"/>
      <c r="VVF25" s="70"/>
      <c r="VVG25" s="70"/>
      <c r="VVH25" s="70"/>
      <c r="VVI25" s="70"/>
      <c r="VVJ25" s="70"/>
      <c r="VVK25" s="70"/>
      <c r="VVL25" s="70"/>
      <c r="VVM25" s="70"/>
      <c r="VVN25" s="70"/>
      <c r="VVO25" s="70"/>
      <c r="VVP25" s="70"/>
      <c r="VVQ25" s="70"/>
      <c r="VVR25" s="70"/>
      <c r="VVS25" s="70"/>
      <c r="VVT25" s="70"/>
      <c r="VVU25" s="70"/>
      <c r="VVV25" s="70"/>
      <c r="VVW25" s="70"/>
      <c r="VVX25" s="70"/>
      <c r="VVY25" s="70"/>
      <c r="VVZ25" s="70"/>
      <c r="VWA25" s="70"/>
      <c r="VWB25" s="70"/>
      <c r="VWC25" s="70"/>
      <c r="VWD25" s="70"/>
      <c r="VWE25" s="70"/>
      <c r="VWF25" s="70"/>
      <c r="VWG25" s="70"/>
      <c r="VWH25" s="70"/>
      <c r="VWI25" s="70"/>
      <c r="VWJ25" s="70"/>
      <c r="VWK25" s="70"/>
      <c r="VWL25" s="70"/>
      <c r="VWM25" s="70"/>
      <c r="VWN25" s="70"/>
      <c r="VWO25" s="70"/>
      <c r="VWP25" s="70"/>
      <c r="VWQ25" s="70"/>
      <c r="VWR25" s="70"/>
      <c r="VWS25" s="70"/>
      <c r="VWT25" s="70"/>
      <c r="VWU25" s="70"/>
      <c r="VWV25" s="70"/>
      <c r="VWW25" s="70"/>
      <c r="VWX25" s="70"/>
      <c r="VWY25" s="70"/>
      <c r="VWZ25" s="70"/>
      <c r="VXA25" s="70"/>
      <c r="VXB25" s="70"/>
      <c r="VXC25" s="70"/>
      <c r="VXD25" s="70"/>
      <c r="VXE25" s="70"/>
      <c r="VXF25" s="70"/>
      <c r="VXG25" s="70"/>
      <c r="VXH25" s="70"/>
      <c r="VXI25" s="70"/>
      <c r="VXJ25" s="70"/>
      <c r="VXK25" s="70"/>
      <c r="VXL25" s="70"/>
      <c r="VXM25" s="70"/>
      <c r="VXN25" s="70"/>
      <c r="VXO25" s="70"/>
      <c r="VXP25" s="70"/>
      <c r="VXQ25" s="70"/>
      <c r="VXR25" s="70"/>
      <c r="VXS25" s="70"/>
      <c r="VXT25" s="70"/>
      <c r="VXU25" s="70"/>
      <c r="VXV25" s="70"/>
      <c r="VXW25" s="70"/>
      <c r="VXX25" s="70"/>
      <c r="VXY25" s="70"/>
      <c r="VXZ25" s="70"/>
      <c r="VYA25" s="70"/>
      <c r="VYB25" s="70"/>
      <c r="VYC25" s="70"/>
      <c r="VYD25" s="70"/>
      <c r="VYE25" s="70"/>
      <c r="VYF25" s="70"/>
      <c r="VYG25" s="70"/>
      <c r="VYH25" s="70"/>
      <c r="VYI25" s="70"/>
      <c r="VYJ25" s="70"/>
      <c r="VYK25" s="70"/>
      <c r="VYL25" s="70"/>
      <c r="VYM25" s="70"/>
      <c r="VYN25" s="70"/>
      <c r="VYO25" s="70"/>
      <c r="VYP25" s="70"/>
      <c r="VYQ25" s="70"/>
      <c r="VYR25" s="70"/>
      <c r="VYS25" s="70"/>
      <c r="VYT25" s="70"/>
      <c r="VYU25" s="70"/>
      <c r="VYV25" s="70"/>
      <c r="VYW25" s="70"/>
      <c r="VYX25" s="70"/>
      <c r="VYY25" s="70"/>
      <c r="VYZ25" s="70"/>
      <c r="VZA25" s="70"/>
      <c r="VZB25" s="70"/>
      <c r="VZC25" s="70"/>
      <c r="VZD25" s="70"/>
      <c r="VZE25" s="70"/>
      <c r="VZF25" s="70"/>
      <c r="VZG25" s="70"/>
      <c r="VZH25" s="70"/>
      <c r="VZI25" s="70"/>
      <c r="VZJ25" s="70"/>
      <c r="VZK25" s="70"/>
      <c r="VZL25" s="70"/>
      <c r="VZM25" s="70"/>
      <c r="VZN25" s="70"/>
      <c r="VZO25" s="70"/>
      <c r="VZP25" s="70"/>
      <c r="VZQ25" s="70"/>
      <c r="VZR25" s="70"/>
      <c r="VZS25" s="70"/>
      <c r="VZT25" s="70"/>
      <c r="VZU25" s="70"/>
      <c r="VZV25" s="70"/>
      <c r="VZW25" s="70"/>
      <c r="VZX25" s="70"/>
      <c r="VZY25" s="70"/>
      <c r="VZZ25" s="70"/>
      <c r="WAA25" s="70"/>
      <c r="WAB25" s="70"/>
      <c r="WAC25" s="70"/>
      <c r="WAD25" s="70"/>
      <c r="WAE25" s="70"/>
      <c r="WAF25" s="70"/>
      <c r="WAG25" s="70"/>
      <c r="WAH25" s="70"/>
      <c r="WAI25" s="70"/>
      <c r="WAJ25" s="70"/>
      <c r="WAK25" s="70"/>
      <c r="WAL25" s="70"/>
      <c r="WAM25" s="70"/>
      <c r="WAN25" s="70"/>
      <c r="WAO25" s="70"/>
      <c r="WAP25" s="70"/>
      <c r="WAQ25" s="70"/>
      <c r="WAR25" s="70"/>
      <c r="WAS25" s="70"/>
      <c r="WAT25" s="70"/>
      <c r="WAU25" s="70"/>
      <c r="WAV25" s="70"/>
      <c r="WAW25" s="70"/>
      <c r="WAX25" s="70"/>
      <c r="WAY25" s="70"/>
      <c r="WAZ25" s="70"/>
      <c r="WBA25" s="70"/>
      <c r="WBB25" s="70"/>
      <c r="WBC25" s="70"/>
      <c r="WBD25" s="70"/>
      <c r="WBE25" s="70"/>
      <c r="WBF25" s="70"/>
      <c r="WBG25" s="70"/>
      <c r="WBH25" s="70"/>
      <c r="WBI25" s="70"/>
      <c r="WBJ25" s="70"/>
      <c r="WBK25" s="70"/>
      <c r="WBL25" s="70"/>
      <c r="WBM25" s="70"/>
      <c r="WBN25" s="70"/>
      <c r="WBO25" s="70"/>
      <c r="WBP25" s="70"/>
      <c r="WBQ25" s="70"/>
      <c r="WBR25" s="70"/>
      <c r="WBS25" s="70"/>
      <c r="WBT25" s="70"/>
      <c r="WBU25" s="70"/>
      <c r="WBV25" s="70"/>
      <c r="WBW25" s="70"/>
      <c r="WBX25" s="70"/>
      <c r="WBY25" s="70"/>
      <c r="WBZ25" s="70"/>
      <c r="WCA25" s="70"/>
      <c r="WCB25" s="70"/>
      <c r="WCC25" s="70"/>
      <c r="WCD25" s="70"/>
      <c r="WCE25" s="70"/>
      <c r="WCF25" s="70"/>
      <c r="WCG25" s="70"/>
      <c r="WCH25" s="70"/>
      <c r="WCI25" s="70"/>
      <c r="WCJ25" s="70"/>
      <c r="WCK25" s="70"/>
      <c r="WCL25" s="70"/>
      <c r="WCM25" s="70"/>
      <c r="WCN25" s="70"/>
      <c r="WCO25" s="70"/>
      <c r="WCP25" s="70"/>
      <c r="WCQ25" s="70"/>
      <c r="WCR25" s="70"/>
      <c r="WCS25" s="70"/>
      <c r="WCT25" s="70"/>
      <c r="WCU25" s="70"/>
      <c r="WCV25" s="70"/>
      <c r="WCW25" s="70"/>
      <c r="WCX25" s="70"/>
      <c r="WCY25" s="70"/>
      <c r="WCZ25" s="70"/>
      <c r="WDA25" s="70"/>
      <c r="WDB25" s="70"/>
      <c r="WDC25" s="70"/>
      <c r="WDD25" s="70"/>
      <c r="WDE25" s="70"/>
      <c r="WDF25" s="70"/>
      <c r="WDG25" s="70"/>
      <c r="WDH25" s="70"/>
      <c r="WDI25" s="70"/>
      <c r="WDJ25" s="70"/>
      <c r="WDK25" s="70"/>
      <c r="WDL25" s="70"/>
      <c r="WDM25" s="70"/>
      <c r="WDN25" s="70"/>
      <c r="WDO25" s="70"/>
      <c r="WDP25" s="70"/>
      <c r="WDQ25" s="70"/>
      <c r="WDR25" s="70"/>
      <c r="WDS25" s="70"/>
      <c r="WDT25" s="70"/>
      <c r="WDU25" s="70"/>
      <c r="WDV25" s="70"/>
      <c r="WDW25" s="70"/>
      <c r="WDX25" s="70"/>
      <c r="WDY25" s="70"/>
      <c r="WDZ25" s="70"/>
      <c r="WEA25" s="70"/>
      <c r="WEB25" s="70"/>
      <c r="WEC25" s="70"/>
      <c r="WED25" s="70"/>
      <c r="WEE25" s="70"/>
      <c r="WEF25" s="70"/>
      <c r="WEG25" s="70"/>
      <c r="WEH25" s="70"/>
      <c r="WEI25" s="70"/>
      <c r="WEJ25" s="70"/>
      <c r="WEK25" s="70"/>
      <c r="WEL25" s="70"/>
      <c r="WEM25" s="70"/>
      <c r="WEN25" s="70"/>
      <c r="WEO25" s="70"/>
      <c r="WEP25" s="70"/>
      <c r="WEQ25" s="70"/>
      <c r="WER25" s="70"/>
      <c r="WES25" s="70"/>
      <c r="WET25" s="70"/>
      <c r="WEU25" s="70"/>
      <c r="WEV25" s="70"/>
      <c r="WEW25" s="70"/>
      <c r="WEX25" s="70"/>
      <c r="WEY25" s="70"/>
      <c r="WEZ25" s="70"/>
      <c r="WFA25" s="70"/>
      <c r="WFB25" s="70"/>
      <c r="WFC25" s="70"/>
      <c r="WFD25" s="70"/>
      <c r="WFE25" s="70"/>
      <c r="WFF25" s="70"/>
      <c r="WFG25" s="70"/>
      <c r="WFH25" s="70"/>
      <c r="WFI25" s="70"/>
      <c r="WFJ25" s="70"/>
      <c r="WFK25" s="70"/>
      <c r="WFL25" s="70"/>
      <c r="WFM25" s="70"/>
      <c r="WFN25" s="70"/>
      <c r="WFO25" s="70"/>
      <c r="WFP25" s="70"/>
      <c r="WFQ25" s="70"/>
      <c r="WFR25" s="70"/>
      <c r="WFS25" s="70"/>
      <c r="WFT25" s="70"/>
      <c r="WFU25" s="70"/>
      <c r="WFV25" s="70"/>
      <c r="WFW25" s="70"/>
      <c r="WFX25" s="70"/>
      <c r="WFY25" s="70"/>
      <c r="WFZ25" s="70"/>
      <c r="WGA25" s="70"/>
      <c r="WGB25" s="70"/>
      <c r="WGC25" s="70"/>
      <c r="WGD25" s="70"/>
      <c r="WGE25" s="70"/>
      <c r="WGF25" s="70"/>
      <c r="WGG25" s="70"/>
      <c r="WGH25" s="70"/>
      <c r="WGI25" s="70"/>
      <c r="WGJ25" s="70"/>
      <c r="WGK25" s="70"/>
      <c r="WGL25" s="70"/>
      <c r="WGM25" s="70"/>
      <c r="WGN25" s="70"/>
      <c r="WGO25" s="70"/>
      <c r="WGP25" s="70"/>
      <c r="WGQ25" s="70"/>
      <c r="WGR25" s="70"/>
      <c r="WGS25" s="70"/>
      <c r="WGT25" s="70"/>
      <c r="WGU25" s="70"/>
      <c r="WGV25" s="70"/>
      <c r="WGW25" s="70"/>
      <c r="WGX25" s="70"/>
      <c r="WGY25" s="70"/>
      <c r="WGZ25" s="70"/>
      <c r="WHA25" s="70"/>
      <c r="WHB25" s="70"/>
      <c r="WHC25" s="70"/>
      <c r="WHD25" s="70"/>
      <c r="WHE25" s="70"/>
      <c r="WHF25" s="70"/>
      <c r="WHG25" s="70"/>
      <c r="WHH25" s="70"/>
      <c r="WHI25" s="70"/>
      <c r="WHJ25" s="70"/>
      <c r="WHK25" s="70"/>
      <c r="WHL25" s="70"/>
      <c r="WHM25" s="70"/>
      <c r="WHN25" s="70"/>
      <c r="WHO25" s="70"/>
      <c r="WHP25" s="70"/>
      <c r="WHQ25" s="70"/>
      <c r="WHR25" s="70"/>
      <c r="WHS25" s="70"/>
      <c r="WHT25" s="70"/>
      <c r="WHU25" s="70"/>
      <c r="WHV25" s="70"/>
      <c r="WHW25" s="70"/>
      <c r="WHX25" s="70"/>
      <c r="WHY25" s="70"/>
      <c r="WHZ25" s="70"/>
      <c r="WIA25" s="70"/>
      <c r="WIB25" s="70"/>
      <c r="WIC25" s="70"/>
      <c r="WID25" s="70"/>
      <c r="WIE25" s="70"/>
      <c r="WIF25" s="70"/>
      <c r="WIG25" s="70"/>
      <c r="WIH25" s="70"/>
      <c r="WII25" s="70"/>
      <c r="WIJ25" s="70"/>
      <c r="WIK25" s="70"/>
      <c r="WIL25" s="70"/>
      <c r="WIM25" s="70"/>
      <c r="WIN25" s="70"/>
      <c r="WIO25" s="70"/>
      <c r="WIP25" s="70"/>
      <c r="WIQ25" s="70"/>
      <c r="WIR25" s="70"/>
      <c r="WIS25" s="70"/>
      <c r="WIT25" s="70"/>
      <c r="WIU25" s="70"/>
      <c r="WIV25" s="70"/>
      <c r="WIW25" s="70"/>
      <c r="WIX25" s="70"/>
      <c r="WIY25" s="70"/>
      <c r="WIZ25" s="70"/>
      <c r="WJA25" s="70"/>
      <c r="WJB25" s="70"/>
      <c r="WJC25" s="70"/>
      <c r="WJD25" s="70"/>
      <c r="WJE25" s="70"/>
      <c r="WJF25" s="70"/>
      <c r="WJG25" s="70"/>
      <c r="WJH25" s="70"/>
      <c r="WJI25" s="70"/>
      <c r="WJJ25" s="70"/>
      <c r="WJK25" s="70"/>
      <c r="WJL25" s="70"/>
      <c r="WJM25" s="70"/>
      <c r="WJN25" s="70"/>
      <c r="WJO25" s="70"/>
      <c r="WJP25" s="70"/>
      <c r="WJQ25" s="70"/>
      <c r="WJR25" s="70"/>
      <c r="WJS25" s="70"/>
      <c r="WJT25" s="70"/>
      <c r="WJU25" s="70"/>
      <c r="WJV25" s="70"/>
      <c r="WJW25" s="70"/>
      <c r="WJX25" s="70"/>
      <c r="WJY25" s="70"/>
      <c r="WJZ25" s="70"/>
      <c r="WKA25" s="70"/>
      <c r="WKB25" s="70"/>
      <c r="WKC25" s="70"/>
      <c r="WKD25" s="70"/>
      <c r="WKE25" s="70"/>
      <c r="WKF25" s="70"/>
      <c r="WKG25" s="70"/>
      <c r="WKH25" s="70"/>
      <c r="WKI25" s="70"/>
      <c r="WKJ25" s="70"/>
      <c r="WKK25" s="70"/>
      <c r="WKL25" s="70"/>
      <c r="WKM25" s="70"/>
      <c r="WKN25" s="70"/>
      <c r="WKO25" s="70"/>
      <c r="WKP25" s="70"/>
      <c r="WKQ25" s="70"/>
      <c r="WKR25" s="70"/>
      <c r="WKS25" s="70"/>
      <c r="WKT25" s="70"/>
      <c r="WKU25" s="70"/>
      <c r="WKV25" s="70"/>
      <c r="WKW25" s="70"/>
      <c r="WKX25" s="70"/>
      <c r="WKY25" s="70"/>
      <c r="WKZ25" s="70"/>
      <c r="WLA25" s="70"/>
      <c r="WLB25" s="70"/>
      <c r="WLC25" s="70"/>
      <c r="WLD25" s="70"/>
      <c r="WLE25" s="70"/>
      <c r="WLF25" s="70"/>
      <c r="WLG25" s="70"/>
      <c r="WLH25" s="70"/>
      <c r="WLI25" s="70"/>
      <c r="WLJ25" s="70"/>
      <c r="WLK25" s="70"/>
      <c r="WLL25" s="70"/>
      <c r="WLM25" s="70"/>
      <c r="WLN25" s="70"/>
      <c r="WLO25" s="70"/>
      <c r="WLP25" s="70"/>
      <c r="WLQ25" s="70"/>
      <c r="WLR25" s="70"/>
      <c r="WLS25" s="70"/>
      <c r="WLT25" s="70"/>
      <c r="WLU25" s="70"/>
      <c r="WLV25" s="70"/>
      <c r="WLW25" s="70"/>
      <c r="WLX25" s="70"/>
      <c r="WLY25" s="70"/>
      <c r="WLZ25" s="70"/>
      <c r="WMA25" s="70"/>
      <c r="WMB25" s="70"/>
      <c r="WMC25" s="70"/>
      <c r="WMD25" s="70"/>
      <c r="WME25" s="70"/>
      <c r="WMF25" s="70"/>
      <c r="WMG25" s="70"/>
      <c r="WMH25" s="70"/>
      <c r="WMI25" s="70"/>
      <c r="WMJ25" s="70"/>
      <c r="WMK25" s="70"/>
      <c r="WML25" s="70"/>
      <c r="WMM25" s="70"/>
      <c r="WMN25" s="70"/>
      <c r="WMO25" s="70"/>
      <c r="WMP25" s="70"/>
      <c r="WMQ25" s="70"/>
      <c r="WMR25" s="70"/>
      <c r="WMS25" s="70"/>
      <c r="WMT25" s="70"/>
      <c r="WMU25" s="70"/>
      <c r="WMV25" s="70"/>
      <c r="WMW25" s="70"/>
      <c r="WMX25" s="70"/>
      <c r="WMY25" s="70"/>
      <c r="WMZ25" s="70"/>
      <c r="WNA25" s="70"/>
      <c r="WNB25" s="70"/>
      <c r="WNC25" s="70"/>
      <c r="WND25" s="70"/>
      <c r="WNE25" s="70"/>
      <c r="WNF25" s="70"/>
      <c r="WNG25" s="70"/>
      <c r="WNH25" s="70"/>
      <c r="WNI25" s="70"/>
      <c r="WNJ25" s="70"/>
      <c r="WNK25" s="70"/>
      <c r="WNL25" s="70"/>
      <c r="WNM25" s="70"/>
      <c r="WNN25" s="70"/>
      <c r="WNO25" s="70"/>
      <c r="WNP25" s="70"/>
      <c r="WNQ25" s="70"/>
      <c r="WNR25" s="70"/>
      <c r="WNS25" s="70"/>
      <c r="WNT25" s="70"/>
      <c r="WNU25" s="70"/>
      <c r="WNV25" s="70"/>
      <c r="WNW25" s="70"/>
      <c r="WNX25" s="70"/>
      <c r="WNY25" s="70"/>
      <c r="WNZ25" s="70"/>
      <c r="WOA25" s="70"/>
      <c r="WOB25" s="70"/>
      <c r="WOC25" s="70"/>
      <c r="WOD25" s="70"/>
      <c r="WOE25" s="70"/>
      <c r="WOF25" s="70"/>
      <c r="WOG25" s="70"/>
      <c r="WOH25" s="70"/>
      <c r="WOI25" s="70"/>
      <c r="WOJ25" s="70"/>
      <c r="WOK25" s="70"/>
      <c r="WOL25" s="70"/>
      <c r="WOM25" s="70"/>
      <c r="WON25" s="70"/>
      <c r="WOO25" s="70"/>
      <c r="WOP25" s="70"/>
      <c r="WOQ25" s="70"/>
      <c r="WOR25" s="70"/>
      <c r="WOS25" s="70"/>
      <c r="WOT25" s="70"/>
      <c r="WOU25" s="70"/>
      <c r="WOV25" s="70"/>
      <c r="WOW25" s="70"/>
      <c r="WOX25" s="70"/>
      <c r="WOY25" s="70"/>
      <c r="WOZ25" s="70"/>
      <c r="WPA25" s="70"/>
      <c r="WPB25" s="70"/>
      <c r="WPC25" s="70"/>
      <c r="WPD25" s="70"/>
      <c r="WPE25" s="70"/>
      <c r="WPF25" s="70"/>
      <c r="WPG25" s="70"/>
      <c r="WPH25" s="70"/>
      <c r="WPI25" s="70"/>
      <c r="WPJ25" s="70"/>
      <c r="WPK25" s="70"/>
      <c r="WPL25" s="70"/>
      <c r="WPM25" s="70"/>
      <c r="WPN25" s="70"/>
      <c r="WPO25" s="70"/>
      <c r="WPP25" s="70"/>
      <c r="WPQ25" s="70"/>
      <c r="WPR25" s="70"/>
      <c r="WPS25" s="70"/>
      <c r="WPT25" s="70"/>
      <c r="WPU25" s="70"/>
      <c r="WPV25" s="70"/>
      <c r="WPW25" s="70"/>
      <c r="WPX25" s="70"/>
      <c r="WPY25" s="70"/>
      <c r="WPZ25" s="70"/>
      <c r="WQA25" s="70"/>
      <c r="WQB25" s="70"/>
      <c r="WQC25" s="70"/>
      <c r="WQD25" s="70"/>
      <c r="WQE25" s="70"/>
      <c r="WQF25" s="70"/>
      <c r="WQG25" s="70"/>
      <c r="WQH25" s="70"/>
      <c r="WQI25" s="70"/>
      <c r="WQJ25" s="70"/>
      <c r="WQK25" s="70"/>
      <c r="WQL25" s="70"/>
      <c r="WQM25" s="70"/>
      <c r="WQN25" s="70"/>
      <c r="WQO25" s="70"/>
      <c r="WQP25" s="70"/>
      <c r="WQQ25" s="70"/>
      <c r="WQR25" s="70"/>
      <c r="WQS25" s="70"/>
      <c r="WQT25" s="70"/>
      <c r="WQU25" s="70"/>
      <c r="WQV25" s="70"/>
      <c r="WQW25" s="70"/>
      <c r="WQX25" s="70"/>
      <c r="WQY25" s="70"/>
      <c r="WQZ25" s="70"/>
      <c r="WRA25" s="70"/>
      <c r="WRB25" s="70"/>
      <c r="WRC25" s="70"/>
      <c r="WRD25" s="70"/>
      <c r="WRE25" s="70"/>
      <c r="WRF25" s="70"/>
      <c r="WRG25" s="70"/>
      <c r="WRH25" s="70"/>
      <c r="WRI25" s="70"/>
      <c r="WRJ25" s="70"/>
      <c r="WRK25" s="70"/>
      <c r="WRL25" s="70"/>
      <c r="WRM25" s="70"/>
      <c r="WRN25" s="70"/>
      <c r="WRO25" s="70"/>
      <c r="WRP25" s="70"/>
      <c r="WRQ25" s="70"/>
      <c r="WRR25" s="70"/>
      <c r="WRS25" s="70"/>
      <c r="WRT25" s="70"/>
      <c r="WRU25" s="70"/>
      <c r="WRV25" s="70"/>
      <c r="WRW25" s="70"/>
      <c r="WRX25" s="70"/>
      <c r="WRY25" s="70"/>
      <c r="WRZ25" s="70"/>
      <c r="WSA25" s="70"/>
      <c r="WSB25" s="70"/>
      <c r="WSC25" s="70"/>
      <c r="WSD25" s="70"/>
      <c r="WSE25" s="70"/>
      <c r="WSF25" s="70"/>
      <c r="WSG25" s="70"/>
      <c r="WSH25" s="70"/>
      <c r="WSI25" s="70"/>
      <c r="WSJ25" s="70"/>
      <c r="WSK25" s="70"/>
      <c r="WSL25" s="70"/>
      <c r="WSM25" s="70"/>
      <c r="WSN25" s="70"/>
      <c r="WSO25" s="70"/>
      <c r="WSP25" s="70"/>
      <c r="WSQ25" s="70"/>
      <c r="WSR25" s="70"/>
      <c r="WSS25" s="70"/>
      <c r="WST25" s="70"/>
      <c r="WSU25" s="70"/>
      <c r="WSV25" s="70"/>
      <c r="WSW25" s="70"/>
      <c r="WSX25" s="70"/>
      <c r="WSY25" s="70"/>
      <c r="WSZ25" s="70"/>
      <c r="WTA25" s="70"/>
      <c r="WTB25" s="70"/>
      <c r="WTC25" s="70"/>
      <c r="WTD25" s="70"/>
      <c r="WTE25" s="70"/>
      <c r="WTF25" s="70"/>
      <c r="WTG25" s="70"/>
      <c r="WTH25" s="70"/>
      <c r="WTI25" s="70"/>
      <c r="WTJ25" s="70"/>
      <c r="WTK25" s="70"/>
      <c r="WTL25" s="70"/>
      <c r="WTM25" s="70"/>
      <c r="WTN25" s="70"/>
      <c r="WTO25" s="70"/>
      <c r="WTP25" s="70"/>
      <c r="WTQ25" s="70"/>
      <c r="WTR25" s="70"/>
      <c r="WTS25" s="70"/>
      <c r="WTT25" s="70"/>
      <c r="WTU25" s="70"/>
      <c r="WTV25" s="70"/>
      <c r="WTW25" s="70"/>
      <c r="WTX25" s="70"/>
      <c r="WTY25" s="70"/>
      <c r="WTZ25" s="70"/>
      <c r="WUA25" s="70"/>
      <c r="WUB25" s="70"/>
      <c r="WUC25" s="70"/>
      <c r="WUD25" s="70"/>
      <c r="WUE25" s="70"/>
      <c r="WUF25" s="70"/>
      <c r="WUG25" s="70"/>
      <c r="WUH25" s="70"/>
      <c r="WUI25" s="70"/>
      <c r="WUJ25" s="70"/>
      <c r="WUK25" s="70"/>
      <c r="WUL25" s="70"/>
      <c r="WUM25" s="70"/>
      <c r="WUN25" s="70"/>
      <c r="WUO25" s="70"/>
      <c r="WUP25" s="70"/>
      <c r="WUQ25" s="70"/>
      <c r="WUR25" s="70"/>
      <c r="WUS25" s="70"/>
      <c r="WUT25" s="70"/>
      <c r="WUU25" s="70"/>
      <c r="WUV25" s="70"/>
      <c r="WUW25" s="70"/>
      <c r="WUX25" s="70"/>
      <c r="WUY25" s="70"/>
      <c r="WUZ25" s="70"/>
      <c r="WVA25" s="70"/>
      <c r="WVB25" s="70"/>
      <c r="WVC25" s="70"/>
      <c r="WVD25" s="70"/>
      <c r="WVE25" s="70"/>
      <c r="WVF25" s="70"/>
      <c r="WVG25" s="70"/>
      <c r="WVH25" s="70"/>
      <c r="WVI25" s="70"/>
      <c r="WVJ25" s="70"/>
      <c r="WVK25" s="70"/>
      <c r="WVL25" s="70"/>
      <c r="WVM25" s="70"/>
      <c r="WVN25" s="70"/>
      <c r="WVO25" s="70"/>
      <c r="WVP25" s="70"/>
      <c r="WVQ25" s="70"/>
      <c r="WVR25" s="70"/>
      <c r="WVS25" s="70"/>
      <c r="WVT25" s="70"/>
      <c r="WVU25" s="70"/>
      <c r="WVV25" s="70"/>
      <c r="WVW25" s="70"/>
      <c r="WVX25" s="70"/>
      <c r="WVY25" s="70"/>
      <c r="WVZ25" s="70"/>
      <c r="WWA25" s="70"/>
      <c r="WWB25" s="70"/>
      <c r="WWC25" s="70"/>
      <c r="WWD25" s="70"/>
      <c r="WWE25" s="70"/>
      <c r="WWF25" s="70"/>
      <c r="WWG25" s="70"/>
      <c r="WWH25" s="70"/>
      <c r="WWI25" s="70"/>
      <c r="WWJ25" s="70"/>
      <c r="WWK25" s="70"/>
      <c r="WWL25" s="70"/>
      <c r="WWM25" s="70"/>
      <c r="WWN25" s="70"/>
      <c r="WWO25" s="70"/>
      <c r="WWP25" s="70"/>
      <c r="WWQ25" s="70"/>
      <c r="WWR25" s="70"/>
      <c r="WWS25" s="70"/>
      <c r="WWT25" s="70"/>
      <c r="WWU25" s="70"/>
      <c r="WWV25" s="70"/>
      <c r="WWW25" s="70"/>
      <c r="WWX25" s="70"/>
      <c r="WWY25" s="70"/>
      <c r="WWZ25" s="70"/>
      <c r="WXA25" s="70"/>
      <c r="WXB25" s="70"/>
      <c r="WXC25" s="70"/>
      <c r="WXD25" s="70"/>
      <c r="WXE25" s="70"/>
      <c r="WXF25" s="70"/>
      <c r="WXG25" s="70"/>
      <c r="WXH25" s="70"/>
      <c r="WXI25" s="70"/>
      <c r="WXJ25" s="70"/>
      <c r="WXK25" s="70"/>
      <c r="WXL25" s="70"/>
      <c r="WXM25" s="70"/>
      <c r="WXN25" s="70"/>
      <c r="WXO25" s="70"/>
      <c r="WXP25" s="70"/>
      <c r="WXQ25" s="70"/>
      <c r="WXR25" s="70"/>
      <c r="WXS25" s="70"/>
      <c r="WXT25" s="70"/>
      <c r="WXU25" s="70"/>
      <c r="WXV25" s="70"/>
      <c r="WXW25" s="70"/>
      <c r="WXX25" s="70"/>
      <c r="WXY25" s="70"/>
      <c r="WXZ25" s="70"/>
      <c r="WYA25" s="70"/>
      <c r="WYB25" s="70"/>
      <c r="WYC25" s="70"/>
      <c r="WYD25" s="70"/>
      <c r="WYE25" s="70"/>
      <c r="WYF25" s="70"/>
      <c r="WYG25" s="70"/>
      <c r="WYH25" s="70"/>
      <c r="WYI25" s="70"/>
      <c r="WYJ25" s="70"/>
      <c r="WYK25" s="70"/>
      <c r="WYL25" s="70"/>
      <c r="WYM25" s="70"/>
      <c r="WYN25" s="70"/>
      <c r="WYO25" s="70"/>
      <c r="WYP25" s="70"/>
      <c r="WYQ25" s="70"/>
      <c r="WYR25" s="70"/>
      <c r="WYS25" s="70"/>
      <c r="WYT25" s="70"/>
      <c r="WYU25" s="70"/>
      <c r="WYV25" s="70"/>
      <c r="WYW25" s="70"/>
      <c r="WYX25" s="70"/>
      <c r="WYY25" s="70"/>
      <c r="WYZ25" s="70"/>
      <c r="WZA25" s="70"/>
      <c r="WZB25" s="70"/>
      <c r="WZC25" s="70"/>
      <c r="WZD25" s="70"/>
      <c r="WZE25" s="70"/>
      <c r="WZF25" s="70"/>
      <c r="WZG25" s="70"/>
      <c r="WZH25" s="70"/>
      <c r="WZI25" s="70"/>
      <c r="WZJ25" s="70"/>
      <c r="WZK25" s="70"/>
      <c r="WZL25" s="70"/>
      <c r="WZM25" s="70"/>
      <c r="WZN25" s="70"/>
      <c r="WZO25" s="70"/>
      <c r="WZP25" s="70"/>
      <c r="WZQ25" s="70"/>
      <c r="WZR25" s="70"/>
      <c r="WZS25" s="70"/>
      <c r="WZT25" s="70"/>
      <c r="WZU25" s="70"/>
      <c r="WZV25" s="70"/>
      <c r="WZW25" s="70"/>
      <c r="WZX25" s="70"/>
      <c r="WZY25" s="70"/>
      <c r="WZZ25" s="70"/>
      <c r="XAA25" s="70"/>
      <c r="XAB25" s="70"/>
      <c r="XAC25" s="70"/>
      <c r="XAD25" s="70"/>
      <c r="XAE25" s="70"/>
      <c r="XAF25" s="70"/>
      <c r="XAG25" s="70"/>
      <c r="XAH25" s="70"/>
      <c r="XAI25" s="70"/>
      <c r="XAJ25" s="70"/>
      <c r="XAK25" s="70"/>
      <c r="XAL25" s="70"/>
      <c r="XAM25" s="70"/>
      <c r="XAN25" s="70"/>
      <c r="XAO25" s="70"/>
      <c r="XAP25" s="70"/>
      <c r="XAQ25" s="70"/>
      <c r="XAR25" s="70"/>
      <c r="XAS25" s="70"/>
      <c r="XAT25" s="70"/>
      <c r="XAU25" s="70"/>
      <c r="XAV25" s="70"/>
      <c r="XAW25" s="70"/>
      <c r="XAX25" s="70"/>
      <c r="XAY25" s="70"/>
      <c r="XAZ25" s="70"/>
      <c r="XBA25" s="70"/>
      <c r="XBB25" s="70"/>
      <c r="XBC25" s="70"/>
      <c r="XBD25" s="70"/>
      <c r="XBE25" s="70"/>
      <c r="XBF25" s="70"/>
      <c r="XBG25" s="70"/>
      <c r="XBH25" s="70"/>
      <c r="XBI25" s="70"/>
      <c r="XBJ25" s="70"/>
      <c r="XBK25" s="70"/>
      <c r="XBL25" s="70"/>
      <c r="XBM25" s="70"/>
      <c r="XBN25" s="70"/>
      <c r="XBO25" s="70"/>
      <c r="XBP25" s="70"/>
      <c r="XBQ25" s="70"/>
      <c r="XBR25" s="70"/>
      <c r="XBS25" s="70"/>
      <c r="XBT25" s="70"/>
      <c r="XBU25" s="70"/>
      <c r="XBV25" s="70"/>
      <c r="XBW25" s="70"/>
      <c r="XBX25" s="70"/>
      <c r="XBY25" s="70"/>
      <c r="XBZ25" s="70"/>
      <c r="XCA25" s="70"/>
      <c r="XCB25" s="70"/>
      <c r="XCC25" s="70"/>
      <c r="XCD25" s="70"/>
      <c r="XCE25" s="70"/>
      <c r="XCF25" s="70"/>
      <c r="XCG25" s="70"/>
      <c r="XCH25" s="70"/>
      <c r="XCI25" s="70"/>
      <c r="XCJ25" s="70"/>
      <c r="XCK25" s="70"/>
      <c r="XCL25" s="70"/>
      <c r="XCM25" s="70"/>
      <c r="XCN25" s="70"/>
      <c r="XCO25" s="70"/>
      <c r="XCP25" s="70"/>
      <c r="XCQ25" s="70"/>
      <c r="XCR25" s="70"/>
      <c r="XCS25" s="70"/>
      <c r="XCT25" s="70"/>
      <c r="XCU25" s="70"/>
      <c r="XCV25" s="70"/>
      <c r="XCW25" s="70"/>
      <c r="XCX25" s="70"/>
      <c r="XCY25" s="70"/>
      <c r="XCZ25" s="70"/>
      <c r="XDA25" s="70"/>
      <c r="XDB25" s="70"/>
      <c r="XDC25" s="70"/>
      <c r="XDD25" s="70"/>
      <c r="XDE25" s="70"/>
      <c r="XDF25" s="70"/>
      <c r="XDG25" s="70"/>
      <c r="XDH25" s="70"/>
      <c r="XDI25" s="70"/>
      <c r="XDJ25" s="70"/>
      <c r="XDK25" s="70"/>
      <c r="XDL25" s="70"/>
      <c r="XDM25" s="70"/>
      <c r="XDN25" s="70"/>
      <c r="XDO25" s="70"/>
      <c r="XDP25" s="70"/>
      <c r="XDQ25" s="70"/>
      <c r="XDR25" s="70"/>
      <c r="XDS25" s="70"/>
      <c r="XDT25" s="70"/>
      <c r="XDU25" s="70"/>
      <c r="XDV25" s="70"/>
      <c r="XDW25" s="70"/>
      <c r="XDX25" s="70"/>
      <c r="XDY25" s="70"/>
      <c r="XDZ25" s="70"/>
      <c r="XEA25" s="70"/>
      <c r="XEB25" s="70"/>
      <c r="XEC25" s="70"/>
      <c r="XED25" s="70"/>
      <c r="XEE25" s="70"/>
      <c r="XEF25" s="70"/>
      <c r="XEG25" s="70"/>
      <c r="XEH25" s="70"/>
      <c r="XEI25" s="70"/>
      <c r="XEJ25" s="70"/>
      <c r="XEK25" s="70"/>
      <c r="XEL25" s="70"/>
      <c r="XEM25" s="70"/>
      <c r="XEN25" s="70"/>
      <c r="XEO25" s="70"/>
    </row>
    <row r="26" s="20" customFormat="1" ht="16.35" customHeight="1" spans="1:37">
      <c r="A26" s="43" t="s">
        <v>47</v>
      </c>
      <c r="B26" s="44"/>
      <c r="C26" s="44"/>
      <c r="D26" s="44"/>
      <c r="E26" s="45">
        <f>E25-库存调整表US!F1</f>
        <v>0</v>
      </c>
      <c r="F26" s="45"/>
      <c r="G26" s="45"/>
      <c r="H26" s="46"/>
      <c r="I26" s="46"/>
      <c r="J26" s="45">
        <f>J25-库存调整表US!H1</f>
        <v>0</v>
      </c>
      <c r="K26" s="45"/>
      <c r="L26" s="45"/>
      <c r="M26" s="46">
        <f>M25+在途仓!Q24</f>
        <v>0</v>
      </c>
      <c r="N26" s="46">
        <f>N25+在途仓!R24</f>
        <v>-2.18278728425503e-10</v>
      </c>
      <c r="O26" s="59">
        <f>O25-库存调整表US!K1</f>
        <v>0</v>
      </c>
      <c r="P26" s="60"/>
      <c r="Q26" s="60"/>
      <c r="R26" s="60"/>
      <c r="S26" s="60"/>
      <c r="T26" s="45">
        <f>T25-库存调整表US!I1</f>
        <v>0</v>
      </c>
      <c r="U26" s="46"/>
      <c r="V26" s="46"/>
      <c r="W26" s="46">
        <f>W25-库存调整表US!L1</f>
        <v>0</v>
      </c>
      <c r="X26" s="46"/>
      <c r="Y26" s="46"/>
      <c r="Z26" s="59">
        <f>Z25-库存调整表US!J1</f>
        <v>0</v>
      </c>
      <c r="AA26" s="59">
        <f>AA25-库存调整表US!M1</f>
        <v>0</v>
      </c>
      <c r="AB26" s="59">
        <f>AB25-库存调整表US!N1</f>
        <v>0</v>
      </c>
      <c r="AC26" s="59">
        <f>AC25-库存调整表US!O1</f>
        <v>0</v>
      </c>
      <c r="AD26" s="59"/>
      <c r="AE26" s="60"/>
      <c r="AF26" s="60"/>
      <c r="AG26" s="59"/>
      <c r="AH26" s="60"/>
      <c r="AI26" s="60"/>
      <c r="AJ26" s="60"/>
      <c r="AK26" s="60"/>
    </row>
    <row r="27" ht="15.95" customHeight="1" spans="5:33">
      <c r="E27" s="47"/>
      <c r="H27" s="48"/>
      <c r="I27" s="48"/>
      <c r="J27" s="47"/>
      <c r="O27" s="61"/>
      <c r="P27" s="62"/>
      <c r="Q27" s="62"/>
      <c r="AG27" s="47"/>
    </row>
    <row r="28" ht="15.95" customHeight="1"/>
    <row r="29" ht="15.95" customHeight="1"/>
    <row r="30" ht="15.95" customHeight="1"/>
    <row r="31" ht="15.95" customHeight="1"/>
    <row r="32" ht="15.95" customHeight="1"/>
    <row r="33" ht="15.95" customHeight="1"/>
    <row r="34" ht="15.95" customHeight="1"/>
    <row r="35" ht="15.95" customHeight="1"/>
    <row r="36" ht="15.95" customHeight="1"/>
    <row r="37" ht="15.95" customHeight="1"/>
    <row r="38" ht="15.95" customHeight="1"/>
    <row r="39" ht="15.95" customHeight="1"/>
  </sheetData>
  <mergeCells count="13">
    <mergeCell ref="A2:AJ2"/>
    <mergeCell ref="B4:C4"/>
    <mergeCell ref="E5:H5"/>
    <mergeCell ref="J5:N5"/>
    <mergeCell ref="O5:S5"/>
    <mergeCell ref="T5:V5"/>
    <mergeCell ref="W5:Y5"/>
    <mergeCell ref="Z5:AE5"/>
    <mergeCell ref="AG5:AJ5"/>
    <mergeCell ref="A5:A6"/>
    <mergeCell ref="B5:B6"/>
    <mergeCell ref="C5:C6"/>
    <mergeCell ref="D5:D6"/>
  </mergeCells>
  <conditionalFormatting sqref="A7:A24">
    <cfRule type="duplicateValues" dxfId="0" priority="1"/>
    <cfRule type="duplicateValues" dxfId="0" priority="2"/>
  </conditionalFormatting>
  <pageMargins left="0.0784722222222222" right="0.0388888888888889" top="0.118055555555556" bottom="0.314583333333333" header="0.156944444444444" footer="0.511111111111111"/>
  <pageSetup paperSize="9" scale="52" orientation="landscape"/>
  <headerFooter alignWithMargins="0" scaleWithDoc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E1" sqref="E1"/>
    </sheetView>
  </sheetViews>
  <sheetFormatPr defaultColWidth="9" defaultRowHeight="15.6" outlineLevelCol="3"/>
  <cols>
    <col min="1" max="1" width="12.875" customWidth="1"/>
    <col min="2" max="3" width="13.375" customWidth="1"/>
    <col min="4" max="4" width="13.75" customWidth="1"/>
  </cols>
  <sheetData>
    <row r="1" s="11" customFormat="1" ht="20" customHeight="1" spans="1:4">
      <c r="A1" s="12" t="s">
        <v>27</v>
      </c>
      <c r="B1" s="13" t="s">
        <v>108</v>
      </c>
      <c r="C1" s="13" t="s">
        <v>109</v>
      </c>
      <c r="D1" s="13" t="s">
        <v>110</v>
      </c>
    </row>
    <row r="2" ht="20" customHeight="1" spans="1:4">
      <c r="A2" s="14" t="s">
        <v>6</v>
      </c>
      <c r="B2" s="15">
        <v>4234</v>
      </c>
      <c r="C2" s="16">
        <v>4657.4</v>
      </c>
      <c r="D2" s="16">
        <f>C2-B2</f>
        <v>423.400000000001</v>
      </c>
    </row>
    <row r="3" ht="20" customHeight="1" spans="1:4">
      <c r="A3" s="14" t="s">
        <v>7</v>
      </c>
      <c r="B3" s="15">
        <v>5454.96</v>
      </c>
      <c r="C3" s="16">
        <v>6000.456</v>
      </c>
      <c r="D3" s="16">
        <f t="shared" ref="D3:D19" si="0">C3-B3</f>
        <v>545.496</v>
      </c>
    </row>
    <row r="4" ht="20" customHeight="1" spans="1:4">
      <c r="A4" s="14" t="s">
        <v>8</v>
      </c>
      <c r="B4" s="15">
        <v>12</v>
      </c>
      <c r="C4" s="16">
        <v>13.2</v>
      </c>
      <c r="D4" s="16">
        <f t="shared" si="0"/>
        <v>1.2</v>
      </c>
    </row>
    <row r="5" ht="20" customHeight="1" spans="1:4">
      <c r="A5" s="14" t="s">
        <v>9</v>
      </c>
      <c r="B5" s="15">
        <v>70163.95</v>
      </c>
      <c r="C5" s="16">
        <v>77180.345</v>
      </c>
      <c r="D5" s="16">
        <f t="shared" si="0"/>
        <v>7016.395</v>
      </c>
    </row>
    <row r="6" ht="20" customHeight="1" spans="1:4">
      <c r="A6" s="14" t="s">
        <v>10</v>
      </c>
      <c r="B6" s="15">
        <v>15664</v>
      </c>
      <c r="C6" s="16">
        <v>17230.4</v>
      </c>
      <c r="D6" s="16">
        <f t="shared" si="0"/>
        <v>1566.4</v>
      </c>
    </row>
    <row r="7" ht="20" customHeight="1" spans="1:4">
      <c r="A7" s="14" t="s">
        <v>11</v>
      </c>
      <c r="B7" s="15">
        <v>5000</v>
      </c>
      <c r="C7" s="16">
        <v>5500</v>
      </c>
      <c r="D7" s="16">
        <f t="shared" si="0"/>
        <v>500</v>
      </c>
    </row>
    <row r="8" ht="20" customHeight="1" spans="1:4">
      <c r="A8" s="14" t="s">
        <v>12</v>
      </c>
      <c r="B8" s="15">
        <v>551.8</v>
      </c>
      <c r="C8" s="16">
        <v>606.98</v>
      </c>
      <c r="D8" s="16">
        <f t="shared" si="0"/>
        <v>55.1800000000001</v>
      </c>
    </row>
    <row r="9" ht="20" customHeight="1" spans="1:4">
      <c r="A9" s="14" t="s">
        <v>13</v>
      </c>
      <c r="B9" s="15">
        <v>907.1</v>
      </c>
      <c r="C9" s="16">
        <v>997.81</v>
      </c>
      <c r="D9" s="16">
        <f t="shared" si="0"/>
        <v>90.71</v>
      </c>
    </row>
    <row r="10" ht="20" customHeight="1" spans="1:4">
      <c r="A10" s="14" t="s">
        <v>14</v>
      </c>
      <c r="B10" s="15">
        <v>477.6</v>
      </c>
      <c r="C10" s="16">
        <v>525.36</v>
      </c>
      <c r="D10" s="16">
        <f t="shared" si="0"/>
        <v>47.76</v>
      </c>
    </row>
    <row r="11" ht="20" customHeight="1" spans="1:4">
      <c r="A11" s="14" t="s">
        <v>15</v>
      </c>
      <c r="B11" s="15">
        <v>228</v>
      </c>
      <c r="C11" s="16">
        <v>250.8</v>
      </c>
      <c r="D11" s="16">
        <f t="shared" si="0"/>
        <v>22.8</v>
      </c>
    </row>
    <row r="12" ht="20" customHeight="1" spans="1:4">
      <c r="A12" s="14" t="s">
        <v>16</v>
      </c>
      <c r="B12" s="15">
        <v>240</v>
      </c>
      <c r="C12" s="16">
        <v>264</v>
      </c>
      <c r="D12" s="16">
        <f t="shared" si="0"/>
        <v>24</v>
      </c>
    </row>
    <row r="13" ht="20" customHeight="1" spans="1:4">
      <c r="A13" s="14" t="s">
        <v>17</v>
      </c>
      <c r="B13" s="15">
        <v>294.5</v>
      </c>
      <c r="C13" s="16">
        <v>323.95</v>
      </c>
      <c r="D13" s="16">
        <f t="shared" si="0"/>
        <v>29.45</v>
      </c>
    </row>
    <row r="14" ht="20" customHeight="1" spans="1:4">
      <c r="A14" s="14" t="s">
        <v>18</v>
      </c>
      <c r="B14" s="15">
        <v>0</v>
      </c>
      <c r="C14" s="16">
        <v>0</v>
      </c>
      <c r="D14" s="16">
        <f t="shared" si="0"/>
        <v>0</v>
      </c>
    </row>
    <row r="15" ht="20" customHeight="1" spans="1:4">
      <c r="A15" s="14" t="s">
        <v>19</v>
      </c>
      <c r="B15" s="15">
        <v>0</v>
      </c>
      <c r="C15" s="16">
        <v>0</v>
      </c>
      <c r="D15" s="16">
        <f t="shared" si="0"/>
        <v>0</v>
      </c>
    </row>
    <row r="16" ht="20" customHeight="1" spans="1:4">
      <c r="A16" s="14" t="s">
        <v>20</v>
      </c>
      <c r="B16" s="15">
        <v>0</v>
      </c>
      <c r="C16" s="16">
        <v>0</v>
      </c>
      <c r="D16" s="16">
        <f t="shared" si="0"/>
        <v>0</v>
      </c>
    </row>
    <row r="17" ht="20" customHeight="1" spans="1:4">
      <c r="A17" s="14" t="s">
        <v>21</v>
      </c>
      <c r="B17" s="15">
        <v>0</v>
      </c>
      <c r="C17" s="16">
        <v>0</v>
      </c>
      <c r="D17" s="16">
        <f t="shared" si="0"/>
        <v>0</v>
      </c>
    </row>
    <row r="18" ht="20" customHeight="1" spans="1:4">
      <c r="A18" s="14" t="s">
        <v>22</v>
      </c>
      <c r="B18" s="15">
        <v>0</v>
      </c>
      <c r="C18" s="16">
        <v>0</v>
      </c>
      <c r="D18" s="16">
        <f t="shared" si="0"/>
        <v>0</v>
      </c>
    </row>
    <row r="19" ht="20" customHeight="1" spans="1:4">
      <c r="A19" s="14" t="s">
        <v>23</v>
      </c>
      <c r="B19" s="15">
        <v>0</v>
      </c>
      <c r="C19" s="16">
        <v>0</v>
      </c>
      <c r="D19" s="16">
        <f t="shared" si="0"/>
        <v>0</v>
      </c>
    </row>
    <row r="20" spans="1:4">
      <c r="A20" s="17"/>
      <c r="B20" s="17"/>
      <c r="C20" s="17"/>
      <c r="D20" s="17"/>
    </row>
  </sheetData>
  <conditionalFormatting sqref="A2:A19">
    <cfRule type="duplicateValues" dxfId="0" priority="2"/>
    <cfRule type="duplicateValues" dxfId="0" priority="1"/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P22"/>
  <sheetViews>
    <sheetView zoomScale="85" zoomScaleNormal="85" workbookViewId="0">
      <pane xSplit="5" ySplit="3" topLeftCell="F4" activePane="bottomRight" state="frozen"/>
      <selection/>
      <selection pane="topRight"/>
      <selection pane="bottomLeft"/>
      <selection pane="bottomRight" activeCell="I17" sqref="I17"/>
    </sheetView>
  </sheetViews>
  <sheetFormatPr defaultColWidth="9" defaultRowHeight="17.4"/>
  <cols>
    <col min="1" max="1" width="18" style="3" customWidth="1"/>
    <col min="2" max="3" width="4.125" style="3" customWidth="1"/>
    <col min="4" max="4" width="3.375" style="3" customWidth="1"/>
    <col min="5" max="5" width="13.5" style="3" customWidth="1"/>
    <col min="6" max="6" width="15.625" style="4" customWidth="1"/>
    <col min="7" max="7" width="14.25" style="4" customWidth="1"/>
    <col min="8" max="8" width="12" style="4" customWidth="1"/>
    <col min="9" max="9" width="15" style="4" customWidth="1"/>
    <col min="10" max="10" width="9" style="5"/>
    <col min="11" max="11" width="14.75" style="4" customWidth="1"/>
    <col min="12" max="12" width="9" style="4"/>
    <col min="13" max="14" width="9" style="5"/>
    <col min="15" max="15" width="14.75" style="5" customWidth="1"/>
    <col min="16" max="16" width="19.875" style="4" customWidth="1"/>
    <col min="17" max="16384" width="9" style="3"/>
  </cols>
  <sheetData>
    <row r="1" s="1" customFormat="1" spans="6:16">
      <c r="F1" s="6">
        <f t="shared" ref="F1:P1" si="0">SUM(F4:F21)</f>
        <v>13050</v>
      </c>
      <c r="G1" s="6">
        <f t="shared" si="0"/>
        <v>11504</v>
      </c>
      <c r="H1" s="6">
        <f t="shared" si="0"/>
        <v>8477</v>
      </c>
      <c r="I1" s="6">
        <f t="shared" si="0"/>
        <v>750</v>
      </c>
      <c r="J1" s="9">
        <f t="shared" si="0"/>
        <v>26</v>
      </c>
      <c r="K1" s="6">
        <f t="shared" si="0"/>
        <v>-10767</v>
      </c>
      <c r="L1" s="6">
        <f t="shared" si="0"/>
        <v>-10</v>
      </c>
      <c r="M1" s="9">
        <f t="shared" si="0"/>
        <v>-8</v>
      </c>
      <c r="N1" s="9">
        <f t="shared" si="0"/>
        <v>-3</v>
      </c>
      <c r="O1" s="9">
        <f t="shared" si="0"/>
        <v>-11</v>
      </c>
      <c r="P1" s="6">
        <f t="shared" si="0"/>
        <v>0</v>
      </c>
    </row>
    <row r="2" s="1" customFormat="1" spans="6:16">
      <c r="F2" s="7" t="s">
        <v>111</v>
      </c>
      <c r="G2" s="7" t="s">
        <v>112</v>
      </c>
      <c r="H2" s="7" t="s">
        <v>113</v>
      </c>
      <c r="I2" s="7" t="s">
        <v>114</v>
      </c>
      <c r="J2" s="10" t="s">
        <v>98</v>
      </c>
      <c r="K2" s="7" t="s">
        <v>115</v>
      </c>
      <c r="L2" s="7" t="s">
        <v>96</v>
      </c>
      <c r="M2" s="10" t="s">
        <v>99</v>
      </c>
      <c r="N2" s="10" t="s">
        <v>100</v>
      </c>
      <c r="O2" s="10" t="s">
        <v>101</v>
      </c>
      <c r="P2" s="7" t="s">
        <v>116</v>
      </c>
    </row>
    <row r="3" s="2" customFormat="1" spans="1:16">
      <c r="A3" s="2" t="s">
        <v>27</v>
      </c>
      <c r="B3" s="2" t="s">
        <v>117</v>
      </c>
      <c r="C3" s="2" t="s">
        <v>118</v>
      </c>
      <c r="D3" s="2" t="s">
        <v>119</v>
      </c>
      <c r="E3" s="2" t="s">
        <v>120</v>
      </c>
      <c r="F3" s="8" t="s">
        <v>121</v>
      </c>
      <c r="G3" s="8" t="s">
        <v>122</v>
      </c>
      <c r="H3" s="8" t="s">
        <v>123</v>
      </c>
      <c r="I3" s="8" t="s">
        <v>124</v>
      </c>
      <c r="J3" s="9" t="s">
        <v>125</v>
      </c>
      <c r="K3" s="8" t="s">
        <v>126</v>
      </c>
      <c r="L3" s="8" t="s">
        <v>127</v>
      </c>
      <c r="M3" s="9" t="s">
        <v>128</v>
      </c>
      <c r="N3" s="9" t="s">
        <v>129</v>
      </c>
      <c r="O3" s="9" t="s">
        <v>130</v>
      </c>
      <c r="P3" s="8" t="s">
        <v>131</v>
      </c>
    </row>
    <row r="4" s="3" customFormat="1" spans="1:16">
      <c r="A4" s="3" t="s">
        <v>6</v>
      </c>
      <c r="E4" s="3" t="s">
        <v>132</v>
      </c>
      <c r="F4" s="4">
        <v>510</v>
      </c>
      <c r="G4" s="4">
        <v>581</v>
      </c>
      <c r="H4" s="4">
        <v>580</v>
      </c>
      <c r="I4" s="4">
        <v>77</v>
      </c>
      <c r="J4" s="5">
        <v>0</v>
      </c>
      <c r="K4" s="4">
        <v>-586</v>
      </c>
      <c r="L4" s="4">
        <v>0</v>
      </c>
      <c r="M4" s="5">
        <v>0</v>
      </c>
      <c r="N4" s="5">
        <v>0</v>
      </c>
      <c r="O4" s="5">
        <v>0</v>
      </c>
      <c r="P4" s="4"/>
    </row>
    <row r="5" s="3" customFormat="1" spans="1:16">
      <c r="A5" s="3" t="s">
        <v>7</v>
      </c>
      <c r="E5" s="3" t="s">
        <v>132</v>
      </c>
      <c r="F5" s="4">
        <v>3054</v>
      </c>
      <c r="G5" s="4">
        <v>3649</v>
      </c>
      <c r="H5" s="4">
        <v>2292</v>
      </c>
      <c r="I5" s="4">
        <v>182</v>
      </c>
      <c r="J5" s="5">
        <v>2</v>
      </c>
      <c r="K5" s="4">
        <v>-1877</v>
      </c>
      <c r="L5" s="4">
        <v>-4</v>
      </c>
      <c r="M5" s="5">
        <v>0</v>
      </c>
      <c r="N5" s="5">
        <v>0</v>
      </c>
      <c r="O5" s="5">
        <v>0</v>
      </c>
      <c r="P5" s="4">
        <v>0</v>
      </c>
    </row>
    <row r="6" s="3" customFormat="1" spans="1:16">
      <c r="A6" s="3" t="s">
        <v>8</v>
      </c>
      <c r="E6" s="3" t="s">
        <v>132</v>
      </c>
      <c r="F6" s="4">
        <v>2</v>
      </c>
      <c r="G6" s="4">
        <v>6</v>
      </c>
      <c r="H6" s="4">
        <v>3</v>
      </c>
      <c r="I6" s="4">
        <v>0</v>
      </c>
      <c r="J6" s="5">
        <v>2</v>
      </c>
      <c r="K6" s="4">
        <v>-1</v>
      </c>
      <c r="L6" s="4">
        <v>0</v>
      </c>
      <c r="M6" s="5">
        <v>0</v>
      </c>
      <c r="N6" s="5">
        <v>0</v>
      </c>
      <c r="O6" s="5">
        <v>0</v>
      </c>
      <c r="P6" s="4">
        <v>0</v>
      </c>
    </row>
    <row r="7" s="3" customFormat="1" spans="1:16">
      <c r="A7" s="3" t="s">
        <v>9</v>
      </c>
      <c r="E7" s="3" t="s">
        <v>132</v>
      </c>
      <c r="F7" s="4">
        <v>3138</v>
      </c>
      <c r="G7" s="4">
        <v>1077</v>
      </c>
      <c r="H7" s="4">
        <v>3431</v>
      </c>
      <c r="I7" s="4">
        <v>136</v>
      </c>
      <c r="J7" s="5">
        <v>8</v>
      </c>
      <c r="K7" s="4">
        <v>-5627</v>
      </c>
      <c r="L7" s="4">
        <v>-2</v>
      </c>
      <c r="M7" s="5">
        <v>0</v>
      </c>
      <c r="N7" s="5">
        <v>-3</v>
      </c>
      <c r="O7" s="5">
        <v>-4</v>
      </c>
      <c r="P7" s="4">
        <v>0</v>
      </c>
    </row>
    <row r="8" s="3" customFormat="1" spans="1:16">
      <c r="A8" s="3" t="s">
        <v>10</v>
      </c>
      <c r="E8" s="3" t="s">
        <v>132</v>
      </c>
      <c r="F8" s="4">
        <v>2055</v>
      </c>
      <c r="G8" s="4">
        <v>1929</v>
      </c>
      <c r="H8" s="4">
        <v>1324</v>
      </c>
      <c r="I8" s="4">
        <v>78</v>
      </c>
      <c r="J8" s="5">
        <v>0</v>
      </c>
      <c r="K8" s="4">
        <v>-1526</v>
      </c>
      <c r="L8" s="4">
        <v>-1</v>
      </c>
      <c r="M8" s="5">
        <v>-1</v>
      </c>
      <c r="N8" s="5">
        <v>0</v>
      </c>
      <c r="O8" s="5">
        <v>0</v>
      </c>
      <c r="P8" s="4">
        <v>0</v>
      </c>
    </row>
    <row r="9" s="3" customFormat="1" spans="1:16">
      <c r="A9" s="3" t="s">
        <v>11</v>
      </c>
      <c r="E9" s="3" t="s">
        <v>132</v>
      </c>
      <c r="F9" s="4">
        <v>1113</v>
      </c>
      <c r="G9" s="4">
        <v>1107</v>
      </c>
      <c r="H9" s="4">
        <v>500</v>
      </c>
      <c r="I9" s="4">
        <v>75</v>
      </c>
      <c r="J9" s="5">
        <v>0</v>
      </c>
      <c r="K9" s="4">
        <v>-579</v>
      </c>
      <c r="L9" s="4">
        <v>-1</v>
      </c>
      <c r="M9" s="5">
        <v>-1</v>
      </c>
      <c r="N9" s="5">
        <v>0</v>
      </c>
      <c r="O9" s="5">
        <v>0</v>
      </c>
      <c r="P9" s="4">
        <v>0</v>
      </c>
    </row>
    <row r="10" s="3" customFormat="1" spans="1:16">
      <c r="A10" s="3" t="s">
        <v>12</v>
      </c>
      <c r="E10" s="3" t="s">
        <v>132</v>
      </c>
      <c r="F10" s="4">
        <v>175</v>
      </c>
      <c r="G10" s="4">
        <v>145</v>
      </c>
      <c r="H10" s="4">
        <v>178</v>
      </c>
      <c r="I10" s="4">
        <v>164</v>
      </c>
      <c r="J10" s="5">
        <v>1</v>
      </c>
      <c r="K10" s="4">
        <v>-369</v>
      </c>
      <c r="L10" s="4">
        <v>-1</v>
      </c>
      <c r="M10" s="5">
        <v>-3</v>
      </c>
      <c r="N10" s="5">
        <v>0</v>
      </c>
      <c r="O10" s="5">
        <v>0</v>
      </c>
      <c r="P10" s="4"/>
    </row>
    <row r="11" s="3" customFormat="1" spans="1:16">
      <c r="A11" s="3" t="s">
        <v>13</v>
      </c>
      <c r="E11" s="3" t="s">
        <v>132</v>
      </c>
      <c r="F11" s="4">
        <v>107</v>
      </c>
      <c r="G11" s="4">
        <v>13</v>
      </c>
      <c r="H11" s="4">
        <v>47</v>
      </c>
      <c r="I11" s="4">
        <v>0</v>
      </c>
      <c r="J11" s="5">
        <v>2</v>
      </c>
      <c r="K11" s="4">
        <v>-143</v>
      </c>
      <c r="L11" s="4">
        <v>0</v>
      </c>
      <c r="M11" s="5">
        <v>0</v>
      </c>
      <c r="N11" s="5">
        <v>0</v>
      </c>
      <c r="O11" s="5">
        <v>0</v>
      </c>
      <c r="P11" s="4">
        <v>0</v>
      </c>
    </row>
    <row r="12" s="3" customFormat="1" spans="1:16">
      <c r="A12" s="3" t="s">
        <v>14</v>
      </c>
      <c r="E12" s="3" t="s">
        <v>132</v>
      </c>
      <c r="F12" s="4">
        <v>66</v>
      </c>
      <c r="G12" s="4">
        <v>71</v>
      </c>
      <c r="H12" s="4">
        <v>24</v>
      </c>
      <c r="I12" s="4">
        <v>0</v>
      </c>
      <c r="J12" s="5">
        <v>0</v>
      </c>
      <c r="K12" s="4">
        <v>-19</v>
      </c>
      <c r="L12" s="4">
        <v>0</v>
      </c>
      <c r="M12" s="5">
        <v>0</v>
      </c>
      <c r="N12" s="5">
        <v>0</v>
      </c>
      <c r="O12" s="5">
        <v>0</v>
      </c>
      <c r="P12" s="4">
        <v>0</v>
      </c>
    </row>
    <row r="13" s="3" customFormat="1" spans="1:16">
      <c r="A13" s="3" t="s">
        <v>15</v>
      </c>
      <c r="E13" s="3" t="s">
        <v>132</v>
      </c>
      <c r="F13" s="4">
        <v>180</v>
      </c>
      <c r="G13" s="4">
        <v>187</v>
      </c>
      <c r="H13" s="4">
        <v>19</v>
      </c>
      <c r="I13" s="4">
        <v>0</v>
      </c>
      <c r="J13" s="5">
        <v>0</v>
      </c>
      <c r="K13" s="4">
        <v>-12</v>
      </c>
      <c r="L13" s="4">
        <v>0</v>
      </c>
      <c r="M13" s="5">
        <v>0</v>
      </c>
      <c r="N13" s="5">
        <v>0</v>
      </c>
      <c r="O13" s="5">
        <v>0</v>
      </c>
      <c r="P13" s="4">
        <v>0</v>
      </c>
    </row>
    <row r="14" s="3" customFormat="1" spans="1:16">
      <c r="A14" s="3" t="s">
        <v>16</v>
      </c>
      <c r="E14" s="3" t="s">
        <v>132</v>
      </c>
      <c r="F14" s="4">
        <v>103</v>
      </c>
      <c r="G14" s="4">
        <v>122</v>
      </c>
      <c r="H14" s="4">
        <v>48</v>
      </c>
      <c r="I14" s="4">
        <v>0</v>
      </c>
      <c r="J14" s="5">
        <v>0</v>
      </c>
      <c r="K14" s="4">
        <v>-28</v>
      </c>
      <c r="L14" s="4">
        <v>0</v>
      </c>
      <c r="M14" s="5">
        <v>0</v>
      </c>
      <c r="N14" s="5">
        <v>0</v>
      </c>
      <c r="O14" s="5">
        <v>-1</v>
      </c>
      <c r="P14" s="4">
        <v>0</v>
      </c>
    </row>
    <row r="15" s="3" customFormat="1" spans="1:16">
      <c r="A15" s="3" t="s">
        <v>17</v>
      </c>
      <c r="E15" s="3" t="s">
        <v>132</v>
      </c>
      <c r="F15" s="4">
        <v>268</v>
      </c>
      <c r="G15" s="4">
        <v>299</v>
      </c>
      <c r="H15" s="4">
        <v>31</v>
      </c>
      <c r="I15" s="4">
        <v>0</v>
      </c>
      <c r="J15" s="5">
        <v>2</v>
      </c>
      <c r="K15" s="4">
        <v>0</v>
      </c>
      <c r="L15" s="4">
        <v>0</v>
      </c>
      <c r="M15" s="5">
        <v>-2</v>
      </c>
      <c r="N15" s="5">
        <v>0</v>
      </c>
      <c r="O15" s="5">
        <v>0</v>
      </c>
      <c r="P15" s="4">
        <v>0</v>
      </c>
    </row>
    <row r="16" s="3" customFormat="1" spans="1:16">
      <c r="A16" s="3" t="s">
        <v>18</v>
      </c>
      <c r="E16" s="3" t="s">
        <v>132</v>
      </c>
      <c r="F16" s="4">
        <v>13</v>
      </c>
      <c r="G16" s="4">
        <v>40</v>
      </c>
      <c r="H16" s="4">
        <v>0</v>
      </c>
      <c r="I16" s="4">
        <v>27</v>
      </c>
      <c r="J16" s="5">
        <v>0</v>
      </c>
      <c r="K16" s="4">
        <v>0</v>
      </c>
      <c r="L16" s="4">
        <v>0</v>
      </c>
      <c r="M16" s="5">
        <v>0</v>
      </c>
      <c r="N16" s="5">
        <v>0</v>
      </c>
      <c r="O16" s="5">
        <v>0</v>
      </c>
      <c r="P16" s="4">
        <v>0</v>
      </c>
    </row>
    <row r="17" s="3" customFormat="1" spans="1:16">
      <c r="A17" s="3" t="s">
        <v>19</v>
      </c>
      <c r="E17" s="3" t="s">
        <v>132</v>
      </c>
      <c r="F17" s="4">
        <v>91</v>
      </c>
      <c r="G17" s="4">
        <v>91</v>
      </c>
      <c r="H17" s="4">
        <v>0</v>
      </c>
      <c r="I17" s="4">
        <v>0</v>
      </c>
      <c r="J17" s="5">
        <v>0</v>
      </c>
      <c r="K17" s="4">
        <v>0</v>
      </c>
      <c r="L17" s="4">
        <v>0</v>
      </c>
      <c r="M17" s="5">
        <v>0</v>
      </c>
      <c r="N17" s="5">
        <v>0</v>
      </c>
      <c r="O17" s="5">
        <v>0</v>
      </c>
      <c r="P17" s="4">
        <v>0</v>
      </c>
    </row>
    <row r="18" s="3" customFormat="1" spans="1:16">
      <c r="A18" s="3" t="s">
        <v>20</v>
      </c>
      <c r="E18" s="3" t="s">
        <v>132</v>
      </c>
      <c r="F18" s="4">
        <v>165</v>
      </c>
      <c r="G18" s="4">
        <v>169</v>
      </c>
      <c r="H18" s="4">
        <v>0</v>
      </c>
      <c r="I18" s="4">
        <v>4</v>
      </c>
      <c r="J18" s="5">
        <v>1</v>
      </c>
      <c r="K18" s="4">
        <v>0</v>
      </c>
      <c r="L18" s="4">
        <v>-1</v>
      </c>
      <c r="M18" s="5">
        <v>0</v>
      </c>
      <c r="N18" s="5">
        <v>0</v>
      </c>
      <c r="O18" s="5">
        <v>0</v>
      </c>
      <c r="P18" s="4">
        <v>0</v>
      </c>
    </row>
    <row r="19" s="3" customFormat="1" spans="1:16">
      <c r="A19" s="3" t="s">
        <v>21</v>
      </c>
      <c r="E19" s="3" t="s">
        <v>132</v>
      </c>
      <c r="F19" s="4">
        <v>1900</v>
      </c>
      <c r="G19" s="4">
        <v>1906</v>
      </c>
      <c r="H19" s="4">
        <v>0</v>
      </c>
      <c r="I19" s="4">
        <v>5</v>
      </c>
      <c r="J19" s="5">
        <v>8</v>
      </c>
      <c r="K19" s="4">
        <v>0</v>
      </c>
      <c r="L19" s="4">
        <v>0</v>
      </c>
      <c r="M19" s="5">
        <v>-1</v>
      </c>
      <c r="N19" s="5">
        <v>0</v>
      </c>
      <c r="O19" s="5">
        <v>-6</v>
      </c>
      <c r="P19" s="4">
        <v>0</v>
      </c>
    </row>
    <row r="20" s="3" customFormat="1" spans="1:16">
      <c r="A20" s="3" t="s">
        <v>22</v>
      </c>
      <c r="E20" s="3" t="s">
        <v>132</v>
      </c>
      <c r="F20" s="4">
        <v>12</v>
      </c>
      <c r="G20" s="4">
        <v>14</v>
      </c>
      <c r="H20" s="4">
        <v>0</v>
      </c>
      <c r="I20" s="4">
        <v>2</v>
      </c>
      <c r="J20" s="5">
        <v>0</v>
      </c>
      <c r="K20" s="4">
        <v>0</v>
      </c>
      <c r="L20" s="4">
        <v>0</v>
      </c>
      <c r="M20" s="5">
        <v>0</v>
      </c>
      <c r="N20" s="5">
        <v>0</v>
      </c>
      <c r="O20" s="5">
        <v>0</v>
      </c>
      <c r="P20" s="4">
        <v>0</v>
      </c>
    </row>
    <row r="21" s="3" customFormat="1" spans="1:16">
      <c r="A21" s="3" t="s">
        <v>23</v>
      </c>
      <c r="E21" s="3" t="s">
        <v>132</v>
      </c>
      <c r="F21" s="4">
        <v>98</v>
      </c>
      <c r="G21" s="4">
        <v>98</v>
      </c>
      <c r="H21" s="4">
        <v>0</v>
      </c>
      <c r="I21" s="4">
        <v>0</v>
      </c>
      <c r="J21" s="5">
        <v>0</v>
      </c>
      <c r="K21" s="4">
        <v>0</v>
      </c>
      <c r="L21" s="4">
        <v>0</v>
      </c>
      <c r="M21" s="5">
        <v>0</v>
      </c>
      <c r="N21" s="5">
        <v>0</v>
      </c>
      <c r="O21" s="5">
        <v>0</v>
      </c>
      <c r="P21" s="4">
        <v>0</v>
      </c>
    </row>
    <row r="22" s="3" customFormat="1" spans="6:16">
      <c r="F22" s="4"/>
      <c r="G22" s="4"/>
      <c r="H22" s="4"/>
      <c r="I22" s="4"/>
      <c r="J22" s="5"/>
      <c r="K22" s="4"/>
      <c r="L22" s="4">
        <v>0</v>
      </c>
      <c r="M22" s="5"/>
      <c r="N22" s="5"/>
      <c r="O22" s="5"/>
      <c r="P22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基础资料</vt:lpstr>
      <vt:lpstr>本地仓-出入库明细</vt:lpstr>
      <vt:lpstr>本地仓</vt:lpstr>
      <vt:lpstr>物流信息跟踪</vt:lpstr>
      <vt:lpstr>在途仓</vt:lpstr>
      <vt:lpstr>FBA仓</vt:lpstr>
      <vt:lpstr>账单调整</vt:lpstr>
      <vt:lpstr>库存调整表US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Amiee</dc:creator>
  <cp:lastModifiedBy>陈东捷</cp:lastModifiedBy>
  <cp:revision>1</cp:revision>
  <dcterms:created xsi:type="dcterms:W3CDTF">2015-04-10T08:35:00Z</dcterms:created>
  <dcterms:modified xsi:type="dcterms:W3CDTF">2023-06-21T06:34:01Z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FFD0387A05AA4EB3908ADEB35DDB8296</vt:lpwstr>
  </property>
</Properties>
</file>