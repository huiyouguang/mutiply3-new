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omments1.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125" windowHeight="12465" tabRatio="949" firstSheet="2" activeTab="20"/>
  </bookViews>
  <sheets>
    <sheet name="封面" sheetId="78" state="hidden" r:id="rId1"/>
    <sheet name="1预算表" sheetId="74" r:id="rId2"/>
    <sheet name="2筹备表" sheetId="81" r:id="rId3"/>
    <sheet name="3撰稿表" sheetId="70" r:id="rId4"/>
    <sheet name="4流程表" sheetId="72" r:id="rId5"/>
    <sheet name="5选址表" sheetId="68" r:id="rId6"/>
    <sheet name="6验收表" sheetId="69" r:id="rId7"/>
    <sheet name="7物料表" sheetId="71" r:id="rId8"/>
    <sheet name="8尺寸表" sheetId="73" r:id="rId9"/>
    <sheet name="9联系表" sheetId="5" r:id="rId10"/>
    <sheet name="10执行表" sheetId="52" r:id="rId11"/>
    <sheet name="11行程表" sheetId="61" r:id="rId12"/>
    <sheet name="12嘉宾表" sheetId="53" r:id="rId13"/>
    <sheet name="13座位表" sheetId="66" r:id="rId14"/>
    <sheet name="14签到表" sheetId="67" r:id="rId15"/>
    <sheet name="15礼仪表" sheetId="50" r:id="rId16"/>
    <sheet name="16摄影表" sheetId="51" r:id="rId17"/>
    <sheet name="17设备表" sheetId="47" r:id="rId18"/>
    <sheet name="18彩排表" sheetId="56" r:id="rId19"/>
    <sheet name="19危机表" sheetId="79" r:id="rId20"/>
    <sheet name="20投放表" sheetId="55" r:id="rId21"/>
    <sheet name="21意见表" sheetId="65" r:id="rId22"/>
    <sheet name="22分析表" sheetId="80" r:id="rId23"/>
  </sheets>
  <definedNames>
    <definedName name="_xlnm.Print_Area" localSheetId="9">'9联系表'!$A$1:$L$38</definedName>
  </definedNames>
  <calcPr calcId="144525"/>
</workbook>
</file>

<file path=xl/comments1.xml><?xml version="1.0" encoding="utf-8"?>
<comments xmlns="http://schemas.openxmlformats.org/spreadsheetml/2006/main">
  <authors>
    <author>Administrator</author>
  </authors>
  <commentList>
    <comment ref="A46" authorId="0">
      <text>
        <r>
          <rPr>
            <b/>
            <sz val="9"/>
            <rFont val="宋体"/>
            <charset val="134"/>
          </rPr>
          <t>Administrator:</t>
        </r>
        <r>
          <rPr>
            <sz val="9"/>
            <rFont val="宋体"/>
            <charset val="134"/>
          </rPr>
          <t xml:space="preserve">
</t>
        </r>
      </text>
    </comment>
    <comment ref="A53" authorId="0">
      <text>
        <r>
          <rPr>
            <b/>
            <sz val="9"/>
            <rFont val="宋体"/>
            <charset val="134"/>
          </rPr>
          <t>Administrator:</t>
        </r>
        <r>
          <rPr>
            <sz val="9"/>
            <rFont val="宋体"/>
            <charset val="134"/>
          </rPr>
          <t xml:space="preserve">
</t>
        </r>
      </text>
    </comment>
  </commentList>
</comments>
</file>

<file path=xl/sharedStrings.xml><?xml version="1.0" encoding="utf-8"?>
<sst xmlns="http://schemas.openxmlformats.org/spreadsheetml/2006/main" count="6267" uniqueCount="2277">
  <si>
    <t>NO.1活动费用预算明细表（通用版）</t>
  </si>
  <si>
    <t>财务负责:（公司财务负责人）</t>
  </si>
  <si>
    <t>审批：xxx</t>
  </si>
  <si>
    <t>活动总预算: xxx-xxx万之间（建议大写）</t>
  </si>
  <si>
    <t>出纳：xxx</t>
  </si>
  <si>
    <t>1.策划执行服务（支付乙方）</t>
  </si>
  <si>
    <t>成本/元</t>
  </si>
  <si>
    <t>备注</t>
  </si>
  <si>
    <t>支付时间</t>
  </si>
  <si>
    <t>方案策划</t>
  </si>
  <si>
    <t>总共策划三套活动方案（创意+执行+传播+招商），客户选择一版</t>
  </si>
  <si>
    <t>确定</t>
  </si>
  <si>
    <t>活动结束七个工作日</t>
  </si>
  <si>
    <t>创意设计</t>
  </si>
  <si>
    <t>共准备3-5个创意思路（选择一个为活动主创意）</t>
  </si>
  <si>
    <t>未确定</t>
  </si>
  <si>
    <t>物料设计</t>
  </si>
  <si>
    <t>活动舞美效果图、现场平面图、主体海报、主视觉及延展物共计30项（详细请见物料设计清单）</t>
  </si>
  <si>
    <t>现场执行</t>
  </si>
  <si>
    <t>总计45人参与本次活动执行（另外聘导演团队3人，导播1人）</t>
  </si>
  <si>
    <t>（按格式添加或删减）</t>
  </si>
  <si>
    <t>小计（乙方）</t>
  </si>
  <si>
    <t>转账（增值税发票）</t>
  </si>
  <si>
    <t>注：在执行中产生的本预算以外的费用由甲方另行支付</t>
  </si>
  <si>
    <t>2.嘉宾+主持+第三方人员</t>
  </si>
  <si>
    <t>序</t>
  </si>
  <si>
    <t>类别</t>
  </si>
  <si>
    <t>支出内容</t>
  </si>
  <si>
    <t>姓名</t>
  </si>
  <si>
    <t xml:space="preserve">人数    </t>
  </si>
  <si>
    <t>是否开票</t>
  </si>
  <si>
    <t>支付方式（现金or转账）</t>
  </si>
  <si>
    <t>活动主持人邀请</t>
  </si>
  <si>
    <t>央视主持人xxx</t>
  </si>
  <si>
    <t xml:space="preserve">xxx  </t>
  </si>
  <si>
    <t>增值税发票</t>
  </si>
  <si>
    <t>转账</t>
  </si>
  <si>
    <t>活动结束当天</t>
  </si>
  <si>
    <t>央视二套主持人xxxx</t>
  </si>
  <si>
    <t>待定</t>
  </si>
  <si>
    <t>活动重要嘉宾邀请</t>
  </si>
  <si>
    <t>董事局主席xxx</t>
  </si>
  <si>
    <t>现金</t>
  </si>
  <si>
    <t>创始人xxx</t>
  </si>
  <si>
    <t>第三方供应商</t>
  </si>
  <si>
    <t>活动搭建</t>
  </si>
  <si>
    <t>活动演出供应商、演职人员</t>
  </si>
  <si>
    <t>服装供应商</t>
  </si>
  <si>
    <t>化妆、发型供应商</t>
  </si>
  <si>
    <t>AV灯光供应商</t>
  </si>
  <si>
    <t>活动翻译人员</t>
  </si>
  <si>
    <t>活动礼仪人员</t>
  </si>
  <si>
    <t>活动志愿者协助</t>
  </si>
  <si>
    <t>活动摄影摄像</t>
  </si>
  <si>
    <t>活动导演+导播团队</t>
  </si>
  <si>
    <t>接待汽车供应商</t>
  </si>
  <si>
    <t>活动安保人员</t>
  </si>
  <si>
    <t>xxx xxx</t>
  </si>
  <si>
    <t>其它外请人员</t>
  </si>
  <si>
    <t>印刷、礼品、彩排场地、视频制作</t>
  </si>
  <si>
    <t>无需开票</t>
  </si>
  <si>
    <t>总计：</t>
  </si>
  <si>
    <t>3.报批报备费用</t>
  </si>
  <si>
    <t>序号</t>
  </si>
  <si>
    <t>职能类别</t>
  </si>
  <si>
    <t xml:space="preserve">费用/人      </t>
  </si>
  <si>
    <t>合计</t>
  </si>
  <si>
    <t>活动报批费用</t>
  </si>
  <si>
    <t>公安报批</t>
  </si>
  <si>
    <t>活动前三天</t>
  </si>
  <si>
    <t>交警报批</t>
  </si>
  <si>
    <t>城管报批</t>
  </si>
  <si>
    <t>消防报批</t>
  </si>
  <si>
    <t>医疗支持</t>
  </si>
  <si>
    <t>活动安全保障</t>
  </si>
  <si>
    <t>120急救车</t>
  </si>
  <si>
    <t>119消防车</t>
  </si>
  <si>
    <t>活动其它备用</t>
  </si>
  <si>
    <t>备用网络</t>
  </si>
  <si>
    <t>备用电源</t>
  </si>
  <si>
    <t>小计（报批报备部分）</t>
  </si>
  <si>
    <t>4.活动场地费用</t>
  </si>
  <si>
    <t>类型</t>
  </si>
  <si>
    <t>场地报价</t>
  </si>
  <si>
    <t>单位</t>
  </si>
  <si>
    <t>数量</t>
  </si>
  <si>
    <t>使用期</t>
  </si>
  <si>
    <t>活动场地主厅</t>
  </si>
  <si>
    <t>增值税专票</t>
  </si>
  <si>
    <t>3天</t>
  </si>
  <si>
    <t>提前预定</t>
  </si>
  <si>
    <t>提前一周</t>
  </si>
  <si>
    <t>嘉宾贵宾间</t>
  </si>
  <si>
    <t>搭建押金+延长搭建金额</t>
  </si>
  <si>
    <t>演员化妆间</t>
  </si>
  <si>
    <t>场地停车费</t>
  </si>
  <si>
    <t>5.活动设备租赁</t>
  </si>
  <si>
    <t>规格此次</t>
  </si>
  <si>
    <t>单价</t>
  </si>
  <si>
    <t>租赁期</t>
  </si>
  <si>
    <t>音响</t>
  </si>
  <si>
    <t>8+4线阵</t>
  </si>
  <si>
    <t>对</t>
  </si>
  <si>
    <t>2天</t>
  </si>
  <si>
    <t>确定使用</t>
  </si>
  <si>
    <t>活动结束7个工作日</t>
  </si>
  <si>
    <t>反听</t>
  </si>
  <si>
    <t>音控台</t>
  </si>
  <si>
    <t>套</t>
  </si>
  <si>
    <t>话筒8支、话筒架双头2支、麦牌4个等</t>
  </si>
  <si>
    <t>桌椅</t>
  </si>
  <si>
    <t>沙发</t>
  </si>
  <si>
    <t>张</t>
  </si>
  <si>
    <t>茶几</t>
  </si>
  <si>
    <t>把</t>
  </si>
  <si>
    <t>灯光</t>
  </si>
  <si>
    <t>明道330光束灯</t>
  </si>
  <si>
    <t>台</t>
  </si>
  <si>
    <t>LED染色灯</t>
  </si>
  <si>
    <t>面光灯</t>
  </si>
  <si>
    <t>灯控台</t>
  </si>
  <si>
    <t>TURSS架（粗）</t>
  </si>
  <si>
    <t>米</t>
  </si>
  <si>
    <t>TURSS架（普通）</t>
  </si>
  <si>
    <t>电箱</t>
  </si>
  <si>
    <t>个</t>
  </si>
  <si>
    <t>舞台</t>
  </si>
  <si>
    <t>铝合金舞台18x4.8m</t>
  </si>
  <si>
    <t>平方</t>
  </si>
  <si>
    <t>半圆定制舞台5x2.5m</t>
  </si>
  <si>
    <t>舞台延边定制</t>
  </si>
  <si>
    <t>地毯</t>
  </si>
  <si>
    <t>LED屏幕</t>
  </si>
  <si>
    <t>全新P3LED屏幕，18x4m</t>
  </si>
  <si>
    <t>LED屏操控设备+苹果电脑</t>
  </si>
  <si>
    <t>发光字</t>
  </si>
  <si>
    <t>PVC+亚克力发光字，高80cm，12个字</t>
  </si>
  <si>
    <t>其他</t>
  </si>
  <si>
    <t>对讲机</t>
  </si>
  <si>
    <t>压线板</t>
  </si>
  <si>
    <t>块</t>
  </si>
  <si>
    <t>操控区桁架6x1.5x1m，含黑色绒布</t>
  </si>
  <si>
    <t>音控师</t>
  </si>
  <si>
    <t>人</t>
  </si>
  <si>
    <t>灯控师</t>
  </si>
  <si>
    <t>视控师</t>
  </si>
  <si>
    <t>工作人员餐水费</t>
  </si>
  <si>
    <t>运费及人员交通</t>
  </si>
  <si>
    <t>临时新增及不可预计费用</t>
  </si>
  <si>
    <t>小计（场地及设备租赁部分）</t>
  </si>
  <si>
    <t>6.活动媒体宣传报道</t>
  </si>
  <si>
    <t>项目</t>
  </si>
  <si>
    <t>项目明细</t>
  </si>
  <si>
    <t>报价</t>
  </si>
  <si>
    <t>活动新闻宣传</t>
  </si>
  <si>
    <t xml:space="preserve">新闻通稿
</t>
  </si>
  <si>
    <t>主流媒体邀请</t>
  </si>
  <si>
    <t>人员车马费、发稿费、网络直播、微信微博转发</t>
  </si>
  <si>
    <t>网红kol站台</t>
  </si>
  <si>
    <t>腾讯社交媒体</t>
  </si>
  <si>
    <t>小计（宣传报道部分）</t>
  </si>
  <si>
    <t>7.活动各项接待费用</t>
  </si>
  <si>
    <t>成本</t>
  </si>
  <si>
    <t>活动工作餐费</t>
  </si>
  <si>
    <t>活动接待费用</t>
  </si>
  <si>
    <t>周边会议室租用</t>
  </si>
  <si>
    <t>活动交通费</t>
  </si>
  <si>
    <t>其他费用</t>
  </si>
  <si>
    <t>小计（后勤接待部分）</t>
  </si>
  <si>
    <t>8.活动物料设计氛围营造</t>
  </si>
  <si>
    <t>长（米）</t>
  </si>
  <si>
    <t>宽/米</t>
  </si>
  <si>
    <t>高/厚</t>
  </si>
  <si>
    <t>面积㎡</t>
  </si>
  <si>
    <t>单价（元）</t>
  </si>
  <si>
    <t>总金额（元）</t>
  </si>
  <si>
    <t>背景墙桁架</t>
  </si>
  <si>
    <t>租赁</t>
  </si>
  <si>
    <t>背景墙画面</t>
  </si>
  <si>
    <t>黑底喷绘</t>
  </si>
  <si>
    <t>活动水牌</t>
  </si>
  <si>
    <t>写真裱冷板</t>
  </si>
  <si>
    <t>媒体区桁架</t>
  </si>
  <si>
    <t>媒体区画面</t>
  </si>
  <si>
    <t>活动桌布</t>
  </si>
  <si>
    <t>顶部字</t>
  </si>
  <si>
    <t>PVC字+金粉</t>
  </si>
  <si>
    <t>亚克力透明盒</t>
  </si>
  <si>
    <t>透明亚克力</t>
  </si>
  <si>
    <t>4楼大背景板桁架</t>
  </si>
  <si>
    <t>4楼大背景板底板</t>
  </si>
  <si>
    <t>木质</t>
  </si>
  <si>
    <t>造型背板</t>
  </si>
  <si>
    <t>15mmPVC雕刻</t>
  </si>
  <si>
    <t>灯槽灯带</t>
  </si>
  <si>
    <t>LED灯</t>
  </si>
  <si>
    <t>立体房子</t>
  </si>
  <si>
    <t>PVC雕刻+金粉</t>
  </si>
  <si>
    <t>左侧立体字</t>
  </si>
  <si>
    <t>顶部发光字</t>
  </si>
  <si>
    <t>接待台框架</t>
  </si>
  <si>
    <t>PVC雕刻+钢构</t>
  </si>
  <si>
    <t>底座+轮子</t>
  </si>
  <si>
    <t>中间圆形</t>
  </si>
  <si>
    <t>金色水晶字</t>
  </si>
  <si>
    <t>其他物料</t>
  </si>
  <si>
    <t>预估</t>
  </si>
  <si>
    <t>人工安装费</t>
  </si>
  <si>
    <t>运费</t>
  </si>
  <si>
    <t>其它物料</t>
  </si>
  <si>
    <t>邀请函</t>
  </si>
  <si>
    <t>工作证</t>
  </si>
  <si>
    <t>媒体证</t>
  </si>
  <si>
    <t>胸徽</t>
  </si>
  <si>
    <t>主持人手卡</t>
  </si>
  <si>
    <t>发言夹</t>
  </si>
  <si>
    <t>手提袋</t>
  </si>
  <si>
    <t>签字笔</t>
  </si>
  <si>
    <t>支</t>
  </si>
  <si>
    <t>翻页笔</t>
  </si>
  <si>
    <t>道具租赁</t>
  </si>
  <si>
    <t>视频音频制作</t>
  </si>
  <si>
    <t>活动伴手礼</t>
  </si>
  <si>
    <t>备用金</t>
  </si>
  <si>
    <t>总计</t>
  </si>
  <si>
    <t>各类税金总合计</t>
  </si>
  <si>
    <t>活动费用总合计</t>
  </si>
  <si>
    <t>NO:2活动整体筹备进度表（通用版）</t>
  </si>
  <si>
    <t>活动时间：   2020年10月7日                 活动地点：深圳春茧体育馆             总负责人：  小文老师</t>
  </si>
  <si>
    <t>牵头人</t>
  </si>
  <si>
    <t>关键步骤</t>
  </si>
  <si>
    <t>活动筹备内容</t>
  </si>
  <si>
    <t>注意事项</t>
  </si>
  <si>
    <t>开始日期</t>
  </si>
  <si>
    <t>结束日期</t>
  </si>
  <si>
    <t>10月</t>
  </si>
  <si>
    <t>11月</t>
  </si>
  <si>
    <t>12月</t>
  </si>
  <si>
    <t>1月</t>
  </si>
  <si>
    <t>2月</t>
  </si>
  <si>
    <t>3月</t>
  </si>
  <si>
    <t>01</t>
  </si>
  <si>
    <t>02</t>
  </si>
  <si>
    <t>05</t>
  </si>
  <si>
    <t>06</t>
  </si>
  <si>
    <t>07</t>
  </si>
  <si>
    <t>08</t>
  </si>
  <si>
    <t>09</t>
  </si>
  <si>
    <t>15-19</t>
  </si>
  <si>
    <t>Mon</t>
  </si>
  <si>
    <t>Fri</t>
  </si>
  <si>
    <t>Thu</t>
  </si>
  <si>
    <t>Tue</t>
  </si>
  <si>
    <t>Mo</t>
  </si>
  <si>
    <t>Wed</t>
  </si>
  <si>
    <t>Sat</t>
  </si>
  <si>
    <t>客户及方案管理</t>
  </si>
  <si>
    <t>活动整体时间进度条（活动周期总共3个月，所有活动进度需按照此进度表执行，如有特殊情况及时和总负责人报备）</t>
  </si>
  <si>
    <t>负责人</t>
  </si>
  <si>
    <t>活动方案策划</t>
  </si>
  <si>
    <t>小文老师</t>
  </si>
  <si>
    <t>企业背调</t>
  </si>
  <si>
    <t>调查客户业内口碑和背景，是否可靠</t>
  </si>
  <si>
    <t>是否存在重大违约行为或其他问题要谨慎（必须无误才合作）</t>
  </si>
  <si>
    <t>x月x日</t>
  </si>
  <si>
    <t>客户背调</t>
  </si>
  <si>
    <t>了解关键拍板人是谁？</t>
  </si>
  <si>
    <t>对关键拍板人尽力去了解他的的预想 和好恶，以便提高提案成功率</t>
  </si>
  <si>
    <t>客情需求</t>
  </si>
  <si>
    <t>确定活动是否需要涉及到招标</t>
  </si>
  <si>
    <t>如涉及招标问题需提前准备招投标材料（做好调研，以防陪标）</t>
  </si>
  <si>
    <t>核心需求</t>
  </si>
  <si>
    <t>了解客户办或的核心目的</t>
  </si>
  <si>
    <t>提升品牌形象？引爆公关传播？促进销售？</t>
  </si>
  <si>
    <t>确认客户（甲方）具体需求和建议</t>
  </si>
  <si>
    <t>确认活动预算+活动背景+活动创意+传播思路+参与人群</t>
  </si>
  <si>
    <t>了解客户提供的资源支持</t>
  </si>
  <si>
    <t>客户核心优势是什么？在哪些方面有助于活动？</t>
  </si>
  <si>
    <t>活动时间+人数规模+地点选择</t>
  </si>
  <si>
    <t>活动时间不要放在周一，周一往往会议比较多，尽量安排周末</t>
  </si>
  <si>
    <t>活动场地确认+提前预定</t>
  </si>
  <si>
    <t>至少准备3个以上不同类型场地，要提前一个月场地定死</t>
  </si>
  <si>
    <t>双方权责</t>
  </si>
  <si>
    <t>双方工作范围进行划分</t>
  </si>
  <si>
    <t>双方分工尽量明确且细致，高效推进后期工作</t>
  </si>
  <si>
    <t>确认活动所有参与方</t>
  </si>
  <si>
    <t>主办+承办+协办+赞助商等</t>
  </si>
  <si>
    <t>客户调研</t>
  </si>
  <si>
    <t>制作活动问卷调查</t>
  </si>
  <si>
    <t>调研市场上同类型活动</t>
  </si>
  <si>
    <t>客户企业VI系统</t>
  </si>
  <si>
    <t>LOGO、标准色搭配，后期制作方案使用</t>
  </si>
  <si>
    <t>客户以往活动图片及影像</t>
  </si>
  <si>
    <t>后期宣传片剪辑使用</t>
  </si>
  <si>
    <t>客户以往案例作品</t>
  </si>
  <si>
    <t>团队在策划方案时参考使用</t>
  </si>
  <si>
    <t>客户其它与方案相关材料</t>
  </si>
  <si>
    <t>团队要挖掘与活动相关的所有资料，详细全面的了解活动背景</t>
  </si>
  <si>
    <t>会议召集</t>
  </si>
  <si>
    <t>活动策略会</t>
  </si>
  <si>
    <t>高层讨论活动的主要方向，拍板大的主题，向主要参与人传达客户需求</t>
  </si>
  <si>
    <t>团队头脑风暴，确定初步方案（内部脑暴）</t>
  </si>
  <si>
    <t>由策划团队主导方案，其它部门无紧急工作可参与思路讨论，形成初案</t>
  </si>
  <si>
    <t>内部初稿方案讨论会</t>
  </si>
  <si>
    <t>确定活动创意、流程、执行、传播、招商等重要板块</t>
  </si>
  <si>
    <t>活动整体分工会</t>
  </si>
  <si>
    <t>按照活动方案，对参与活动人员进行整体分工，专人专岗</t>
  </si>
  <si>
    <t>方案撰写修改</t>
  </si>
  <si>
    <t>内部方案把控和审核（内部审核）</t>
  </si>
  <si>
    <t>由策划经理主导，对方案进行包装，确认方案框架内容</t>
  </si>
  <si>
    <t>活动方案第一版方案初稿提交（外部提案）</t>
  </si>
  <si>
    <t>至少准备3套方案，2套方案拿来备用，word+ppt</t>
  </si>
  <si>
    <t>活动方案第一版方案初稿反馈+修改</t>
  </si>
  <si>
    <t>由策划经理直接反馈给策划，不要二次传达</t>
  </si>
  <si>
    <t>活动方案修改版再次提交</t>
  </si>
  <si>
    <t>修改版由策划经理和总监审稿后提交客户</t>
  </si>
  <si>
    <t>活动方案修改版反馈+调整+确认</t>
  </si>
  <si>
    <t>如需继续修改，转由策划经理或总监撰稿</t>
  </si>
  <si>
    <t>把控活动进度</t>
  </si>
  <si>
    <t>活动整体时间进度表提交</t>
  </si>
  <si>
    <t>此表需要和甲方讨论及确定</t>
  </si>
  <si>
    <t>活动整体时间进度表修改+确认</t>
  </si>
  <si>
    <t>确认后下发各部门，准备部门分工会</t>
  </si>
  <si>
    <t>活动费用管理</t>
  </si>
  <si>
    <t>供应商询价</t>
  </si>
  <si>
    <t>搭建方询价</t>
  </si>
  <si>
    <t>必须为长期合作供应商，要求专业、靠谱，选择2-3家进行报价，择优选择</t>
  </si>
  <si>
    <t>物料询价</t>
  </si>
  <si>
    <t>对用到的所有物料进行询价，参考第7张表：物料表采购清单</t>
  </si>
  <si>
    <t>演员嘉宾询价</t>
  </si>
  <si>
    <t>对邀请的演员和嘉宾进行询价</t>
  </si>
  <si>
    <t>第三方人员询价</t>
  </si>
  <si>
    <t>摄影摄像+礼仪+志愿者+导演导播等</t>
  </si>
  <si>
    <t>制作活动预算</t>
  </si>
  <si>
    <t>核算活动成本</t>
  </si>
  <si>
    <t>由策划经理核算活动成本</t>
  </si>
  <si>
    <t>活动报价提交</t>
  </si>
  <si>
    <t>策划经理根据经客户确认的方案提供正式报价，并制作预算单</t>
  </si>
  <si>
    <t>活动方案修改中报价实时调整</t>
  </si>
  <si>
    <t>根据供应商报价进行试点调整</t>
  </si>
  <si>
    <t>活动利润核算</t>
  </si>
  <si>
    <t>在制作报价中算出利润率范围，正常在30%左右，如预期利润低于逾期需再讨论</t>
  </si>
  <si>
    <t>确认活动首款和尾款结算时间，草拟合同</t>
  </si>
  <si>
    <t>由由策划经理核算，财务进行审核</t>
  </si>
  <si>
    <t>活动人员管理</t>
  </si>
  <si>
    <t>确定核心团队</t>
  </si>
  <si>
    <t>核心团队人员确定</t>
  </si>
  <si>
    <t>活动负责人+主创策划+设计师+执行+媒介+演艺</t>
  </si>
  <si>
    <t>根据筹备表开部门分工会</t>
  </si>
  <si>
    <t>小组负责人向部门成员传达活动流程，做好分工</t>
  </si>
  <si>
    <t>确定合作团队</t>
  </si>
  <si>
    <t>制作活动内外部通联表</t>
  </si>
  <si>
    <t>进行人员分工安排，由活动负责人统筹</t>
  </si>
  <si>
    <t>合作商对接</t>
  </si>
  <si>
    <t>导演+导播+音视频制作设计+摄影摄像+礼仪等</t>
  </si>
  <si>
    <t>场地方对接</t>
  </si>
  <si>
    <t>活动报批（公安+消防+城管）</t>
  </si>
  <si>
    <t>第三方对接</t>
  </si>
  <si>
    <t>搭建+音响+舞美+灯光+场地+大屏+物料等</t>
  </si>
  <si>
    <t>合同管理</t>
  </si>
  <si>
    <t>客户合同（已签）</t>
  </si>
  <si>
    <t>明确双方的权利和义务，明确支付金额、付款方式及违约责任，特别是尾款</t>
  </si>
  <si>
    <t>供应商合同（已签）</t>
  </si>
  <si>
    <t>注意物料报价明细+搭建及撤场时间+效果评估+违约责任</t>
  </si>
  <si>
    <t>场地预定合同（已签）</t>
  </si>
  <si>
    <t>注意活动整体时间+场地硬件软件设施保证+违约责任</t>
  </si>
  <si>
    <t>媒体合同（未签）</t>
  </si>
  <si>
    <t>注意传播时间+投放渠道+价格+效果预估+违约责任</t>
  </si>
  <si>
    <t>赞助合同（未签）</t>
  </si>
  <si>
    <t>注意赞助金额+赞助内容+赞助回报+支付时间+违约责任</t>
  </si>
  <si>
    <t>演员合同（未签）</t>
  </si>
  <si>
    <t>注意个人具体行程安排+演艺配合+支付酬劳及时间+违约责任</t>
  </si>
  <si>
    <t>素材设计管理</t>
  </si>
  <si>
    <t>视觉呈现部分</t>
  </si>
  <si>
    <t>平面设计</t>
  </si>
  <si>
    <t>活动主KV设计修改、确定</t>
  </si>
  <si>
    <t>由活动核心设计师设计和把控</t>
  </si>
  <si>
    <t>PPT模板设计提交</t>
  </si>
  <si>
    <t>建议由设计师提供模板</t>
  </si>
  <si>
    <t>PPT模板审核确认+内容撰写</t>
  </si>
  <si>
    <t>建议由设计师进行美化</t>
  </si>
  <si>
    <t>延展设计提交</t>
  </si>
  <si>
    <t>主会场背板/分会场设计/签到处背板/展区设计/胸卡/指示系统设计等</t>
  </si>
  <si>
    <t>延展设计确认</t>
  </si>
  <si>
    <t>会场摆位图确认</t>
  </si>
  <si>
    <t>具体操作由甲方负责人决定</t>
  </si>
  <si>
    <t>所有场地整体平面图确认</t>
  </si>
  <si>
    <t>留存备用</t>
  </si>
  <si>
    <t>制作物平面设计及完稿提交</t>
  </si>
  <si>
    <t>设计师进行审核，勿遗漏</t>
  </si>
  <si>
    <t>制作物平面设计及完稿确认</t>
  </si>
  <si>
    <t>活动负责人和策划经理进行审核，勿遗漏</t>
  </si>
  <si>
    <t>舞美设计</t>
  </si>
  <si>
    <t>主舞台布置方案提交</t>
  </si>
  <si>
    <t>与客户进行讨论，提出修改意见</t>
  </si>
  <si>
    <t>主舞台设计、舞台结构确认</t>
  </si>
  <si>
    <t>活动负责人确认无误进行印刷和搭建</t>
  </si>
  <si>
    <t>分会场布置方案提交</t>
  </si>
  <si>
    <t>会场负责人进行验收</t>
  </si>
  <si>
    <t>设计结构确认</t>
  </si>
  <si>
    <t>负责人进行验收</t>
  </si>
  <si>
    <t>招商展台设计提交</t>
  </si>
  <si>
    <t>主办方展台设计提交</t>
  </si>
  <si>
    <t>外场搭建方案提交</t>
  </si>
  <si>
    <t>外场搭建方案确认</t>
  </si>
  <si>
    <t>施工文件制作</t>
  </si>
  <si>
    <t>负责人进行审核</t>
  </si>
  <si>
    <t>搭建及后勤管理</t>
  </si>
  <si>
    <t>AV管理</t>
  </si>
  <si>
    <t>场地尺寸核对</t>
  </si>
  <si>
    <t>主会场与分会场AV设备布置方案确认</t>
  </si>
  <si>
    <t>所有主舞台相关素材测试</t>
  </si>
  <si>
    <t>（视频/PPT/KV/题词器）</t>
  </si>
  <si>
    <t>AV进场布展、AV设备调试</t>
  </si>
  <si>
    <t>（技术组跟进）</t>
  </si>
  <si>
    <t>AV技术、内容彩排</t>
  </si>
  <si>
    <t>（技术彩排+演员彩排+模拟直播）</t>
  </si>
  <si>
    <t>现场呈现</t>
  </si>
  <si>
    <t>搭建管理</t>
  </si>
  <si>
    <t>主舞台及外场搭建结构终稿提供</t>
  </si>
  <si>
    <t>主舞台及外场搭建结构确认</t>
  </si>
  <si>
    <t>所有搭建平面输出</t>
  </si>
  <si>
    <t>所有搭建平面确认</t>
  </si>
  <si>
    <t>制作材质确认</t>
  </si>
  <si>
    <t>制作相关小样确认</t>
  </si>
  <si>
    <t>喷绘小样确认</t>
  </si>
  <si>
    <t>搭建进场布展</t>
  </si>
  <si>
    <t>安检检查，消电检</t>
  </si>
  <si>
    <t>内容管理</t>
  </si>
  <si>
    <t>内容撰写</t>
  </si>
  <si>
    <t>活动文案素材整理</t>
  </si>
  <si>
    <t>策划经理进行审核</t>
  </si>
  <si>
    <t>撰写活动文案撰稿单</t>
  </si>
  <si>
    <t>策划经理进行撰稿分工（参考第3张表，撰稿表）</t>
  </si>
  <si>
    <t>审核活动所有文案素材</t>
  </si>
  <si>
    <t>活动嘉宾材料索要</t>
  </si>
  <si>
    <t>主策划负责整理</t>
  </si>
  <si>
    <t>活动嘉宾材料修改</t>
  </si>
  <si>
    <t>活动嘉宾材料美化</t>
  </si>
  <si>
    <t>策划经理转交设计部进行美化</t>
  </si>
  <si>
    <t>活动所有物料设计统筹</t>
  </si>
  <si>
    <t>设计部开始全程跟进设计，内容参考第7张表：物料设计进度表</t>
  </si>
  <si>
    <t>活动所有物料尺寸把控，统一格式和尺寸</t>
  </si>
  <si>
    <t>设计部开始全程跟进设计，内容参考第8张表：物料尺寸表</t>
  </si>
  <si>
    <t>演讲PPT</t>
  </si>
  <si>
    <t>领导致辞演讲PPT收集整理</t>
  </si>
  <si>
    <t>敲定了演讲主题和大纲，主策划负责整理，截止时间一定要敲死</t>
  </si>
  <si>
    <t>流程管理</t>
  </si>
  <si>
    <t>主题大会流程确认</t>
  </si>
  <si>
    <t>活动总负责进行确认</t>
  </si>
  <si>
    <t>信息收集</t>
  </si>
  <si>
    <t>确认彩排时间，并给出最终的彩排时间计划</t>
  </si>
  <si>
    <t>提前预约所有嘉宾时间，做出彩排表</t>
  </si>
  <si>
    <t>提前一天现场彩排</t>
  </si>
  <si>
    <t>第一时间确认嘉宾是否能到场，按彩排表进行</t>
  </si>
  <si>
    <t>分会场管理</t>
  </si>
  <si>
    <t>流程确认</t>
  </si>
  <si>
    <t>演讲需求收集</t>
  </si>
  <si>
    <t>重要嘉宾管理</t>
  </si>
  <si>
    <t>重要嘉宾服务</t>
  </si>
  <si>
    <t>确认重要嘉宾邀请名单</t>
  </si>
  <si>
    <t>接待组负责人进行确认，确定嘉宾姓名、照片、联系方式、职务、个人介绍等信息</t>
  </si>
  <si>
    <t>嘉宾动态跟进(参考行程表)</t>
  </si>
  <si>
    <t>酒店、接送机、住宿、用餐、短信通知、参与通知、迎来送往、彩排、就坐的位置、上场次序是否对外等细节，参考第11张表：嘉宾行程表</t>
  </si>
  <si>
    <t>协助重要嘉宾服务明细</t>
  </si>
  <si>
    <t>接待组负责人进行负责和确认，包括VIP室安排，活动期间用餐安排，内容参考第12张表：嘉宾接待表</t>
  </si>
  <si>
    <t>嘉宾送离现场</t>
  </si>
  <si>
    <t>提前安排车辆自己送离，以免离场期间被打扰到</t>
  </si>
  <si>
    <t>媒体管理</t>
  </si>
  <si>
    <t>媒体签到，对接参加活动的相关媒体记者</t>
  </si>
  <si>
    <t>媒体组负责人进行确认，不要混进闲杂人员</t>
  </si>
  <si>
    <t>协助媒体采访嘉宾</t>
  </si>
  <si>
    <t>协助媒体联系嘉宾，安排时间采访安排</t>
  </si>
  <si>
    <t>统一给通稿，其它资料勿传</t>
  </si>
  <si>
    <t>等媒介部统一给到对外的稿件，不要轻易泄露其它资料</t>
  </si>
  <si>
    <t>媒体费用结算</t>
  </si>
  <si>
    <t>通知财物结算媒体费用（开发票）</t>
  </si>
  <si>
    <t>活动投放渠道确认+后期效果统计</t>
  </si>
  <si>
    <t>内容参考第20张表：媒体投放效果统计表</t>
  </si>
  <si>
    <t>赞助管理</t>
  </si>
  <si>
    <t>招商管理</t>
  </si>
  <si>
    <t>招商方案提交</t>
  </si>
  <si>
    <t>市场经理跟进+修改调整</t>
  </si>
  <si>
    <t>招商方案确认(包括调整最终确认)</t>
  </si>
  <si>
    <t>市场经理跟进+确认</t>
  </si>
  <si>
    <t>招商进行</t>
  </si>
  <si>
    <t>市场经理跟进</t>
  </si>
  <si>
    <t>招商最终确认</t>
  </si>
  <si>
    <t>展位管理</t>
  </si>
  <si>
    <t>赞助商展位</t>
  </si>
  <si>
    <t xml:space="preserve">赞助方Logo收集 </t>
  </si>
  <si>
    <t>市场经理+设计师跟进</t>
  </si>
  <si>
    <t xml:space="preserve">展位工作人员名单提供 </t>
  </si>
  <si>
    <r>
      <rPr>
        <sz val="14"/>
        <color indexed="8"/>
        <rFont val="微软雅黑"/>
        <charset val="134"/>
      </rPr>
      <t>提交展位特别需求表（电力</t>
    </r>
    <r>
      <rPr>
        <sz val="14"/>
        <color rgb="FF000000"/>
        <rFont val="微软雅黑"/>
        <charset val="134"/>
      </rPr>
      <t>、网络等）</t>
    </r>
  </si>
  <si>
    <t>提交海报设计</t>
  </si>
  <si>
    <t>对接设计师</t>
  </si>
  <si>
    <t>主办方活动审批</t>
  </si>
  <si>
    <t>对接公安消防等部门</t>
  </si>
  <si>
    <t>展位结构搭建开始制作</t>
  </si>
  <si>
    <t>对接搭建方</t>
  </si>
  <si>
    <t>资料、礼品运输清单</t>
  </si>
  <si>
    <t>赞助商演讲</t>
  </si>
  <si>
    <t>确认演讲人(收集演讲人资料，包括简历、照片和演讲讲义 )</t>
  </si>
  <si>
    <t>主策划负责整理，按照我们的格式提供，确保所有内容无误</t>
  </si>
  <si>
    <t xml:space="preserve">提交演讲初稿 </t>
  </si>
  <si>
    <t>赞助商完成slides修改并最终确认所有内容</t>
  </si>
  <si>
    <t>收集所有演讲者的演讲需求</t>
  </si>
  <si>
    <t>是否需要上网，确定演讲设备及其他需求</t>
  </si>
  <si>
    <t>活动总负责进行确认（参考18张表：活动彩排表）</t>
  </si>
  <si>
    <t>运输管理</t>
  </si>
  <si>
    <t>展区进场搭建时间</t>
  </si>
  <si>
    <t>展区撤场建时间</t>
  </si>
  <si>
    <t>活动管理</t>
  </si>
  <si>
    <t>第三方培训</t>
  </si>
  <si>
    <t>与摄影摄像师进行对接，梳理流程</t>
  </si>
  <si>
    <t>内容参考第16张表：摄影培训表</t>
  </si>
  <si>
    <t>与活动礼仪进行对接，梳理流程</t>
  </si>
  <si>
    <t>内容参考第15张表：礼仪培训表</t>
  </si>
  <si>
    <t>志愿者培训，对接工作流程</t>
  </si>
  <si>
    <t>按照执行表，划分好工作岗位及职责</t>
  </si>
  <si>
    <t>执行管理</t>
  </si>
  <si>
    <t>起草活动执行分工执行表</t>
  </si>
  <si>
    <t>策划经理负责起草，内容参考第10张表：活动现场执行表</t>
  </si>
  <si>
    <t>现场执行人员分工培训（依据执行表）</t>
  </si>
  <si>
    <t>按照分工执行表，对参与人员岗位进行统一培训，专人专岗</t>
  </si>
  <si>
    <t>制作现场人员联系表</t>
  </si>
  <si>
    <t>务必添加活动全部人员，内容参考第9张表：活动现场执行表</t>
  </si>
  <si>
    <t>确定活动危机预案</t>
  </si>
  <si>
    <t>确定活动现场执行危机的预案办法（内容参考第19张表：危机表）</t>
  </si>
  <si>
    <t>答谢/反馈收集</t>
  </si>
  <si>
    <t>主办方+合作方答谢</t>
  </si>
  <si>
    <t>对参与活动的主办合作方简单答谢，期待下次继续合作</t>
  </si>
  <si>
    <t>嘉宾评价收集</t>
  </si>
  <si>
    <t>收集嘉宾活动评价，后期传播使用</t>
  </si>
  <si>
    <t>观众满意度调查</t>
  </si>
  <si>
    <t>收集观众对活动的评价，后期传播使用</t>
  </si>
  <si>
    <t>第三方人员评价</t>
  </si>
  <si>
    <t>收集第三方对活动筹备的评价，后期传播使用</t>
  </si>
  <si>
    <t>活动收尾</t>
  </si>
  <si>
    <t>活动搭建撤场</t>
  </si>
  <si>
    <t>退还押金，搭建方撤场注意不要破坏场地物品</t>
  </si>
  <si>
    <t>活动人员清场</t>
  </si>
  <si>
    <t>活动人员清场注意不要遗留任何物品</t>
  </si>
  <si>
    <t>物料运输</t>
  </si>
  <si>
    <t>活动物料运输单整理</t>
  </si>
  <si>
    <t>后勤负责人确认（不要落下任何东西）</t>
  </si>
  <si>
    <t>对讲机提前充电及现场发放和回收</t>
  </si>
  <si>
    <t>后勤负责人确认（按活动人头算）</t>
  </si>
  <si>
    <t>活动人力运输</t>
  </si>
  <si>
    <t>将执行员工送回公司</t>
  </si>
  <si>
    <t>活动总结</t>
  </si>
  <si>
    <t>活动整体报告撰写+提交</t>
  </si>
  <si>
    <t>活动总负责确认</t>
  </si>
  <si>
    <t>活动剩余物料整理、运输</t>
  </si>
  <si>
    <t>后勤负责人确认</t>
  </si>
  <si>
    <t>活动照片后期处理+刻盘+提交+发布</t>
  </si>
  <si>
    <t>活动视频后期处理+提交+发布</t>
  </si>
  <si>
    <t>活动复盘+团队总结</t>
  </si>
  <si>
    <t>内容参考第21张表：活动意见反馈表</t>
  </si>
  <si>
    <t>材料归档</t>
  </si>
  <si>
    <t>活动文件全部归档</t>
  </si>
  <si>
    <t>保留所有方案资料的最终版本</t>
  </si>
  <si>
    <t>网盘备份</t>
  </si>
  <si>
    <t>除纸质版外，所有资料有线上的网盘全部进行备份</t>
  </si>
  <si>
    <t>合同/发票归档</t>
  </si>
  <si>
    <t>由财务部统一整理，涉及合同要保密</t>
  </si>
  <si>
    <t>尾款结算</t>
  </si>
  <si>
    <t>供应商款项结算</t>
  </si>
  <si>
    <t>财务确认（开好发票给供应商邮寄）</t>
  </si>
  <si>
    <t>甲方尾款催收和结算</t>
  </si>
  <si>
    <t>财务确认（开好发票给客户邮寄）</t>
  </si>
  <si>
    <t>活动成本分析+盈利状况</t>
  </si>
  <si>
    <t>内容参考第22张表，活动费用分析表</t>
  </si>
  <si>
    <t>NO:3策划团队内部撰稿表（通用版）</t>
  </si>
  <si>
    <t>2019/12月</t>
  </si>
  <si>
    <t>活动主题</t>
  </si>
  <si>
    <t>xxxx大型主题活动</t>
  </si>
  <si>
    <t>统稿部门</t>
  </si>
  <si>
    <t>策划部</t>
  </si>
  <si>
    <t>活动时间</t>
  </si>
  <si>
    <t>总负责人</t>
  </si>
  <si>
    <t>活动环节</t>
  </si>
  <si>
    <t>撰稿内容</t>
  </si>
  <si>
    <t>输出格式</t>
  </si>
  <si>
    <t>截稿时间</t>
  </si>
  <si>
    <t>撰稿人</t>
  </si>
  <si>
    <t>对接人</t>
  </si>
  <si>
    <t>是否完成</t>
  </si>
  <si>
    <t>未完成原因</t>
  </si>
  <si>
    <t>三</t>
  </si>
  <si>
    <t>四</t>
  </si>
  <si>
    <t>五</t>
  </si>
  <si>
    <t>六</t>
  </si>
  <si>
    <t>七</t>
  </si>
  <si>
    <t>一</t>
  </si>
  <si>
    <t>二</t>
  </si>
  <si>
    <t>活动预算</t>
  </si>
  <si>
    <t>预算表</t>
  </si>
  <si>
    <t>Excel</t>
  </si>
  <si>
    <t>x月x号18:00</t>
  </si>
  <si>
    <t>Xxx</t>
  </si>
  <si>
    <t>甲方</t>
  </si>
  <si>
    <t>已完成</t>
  </si>
  <si>
    <t>活动方案</t>
  </si>
  <si>
    <t>创意案</t>
  </si>
  <si>
    <t>Word、PPT</t>
  </si>
  <si>
    <t>活动招商</t>
  </si>
  <si>
    <t>招商案</t>
  </si>
  <si>
    <t>PPT</t>
  </si>
  <si>
    <t>活动传播</t>
  </si>
  <si>
    <t>传播案</t>
  </si>
  <si>
    <t>活动执行</t>
  </si>
  <si>
    <t>执行案</t>
  </si>
  <si>
    <t>Word、Excel</t>
  </si>
  <si>
    <t>致辞环节</t>
  </si>
  <si>
    <t>致辞稿</t>
  </si>
  <si>
    <t>Word</t>
  </si>
  <si>
    <t>领导组</t>
  </si>
  <si>
    <t>嘉宾演讲环节</t>
  </si>
  <si>
    <t>演讲素材</t>
  </si>
  <si>
    <t>嘉宾组</t>
  </si>
  <si>
    <t>嘉宾邀请</t>
  </si>
  <si>
    <t>未完成</t>
  </si>
  <si>
    <t>嘉宾未确定</t>
  </si>
  <si>
    <t>活动通知</t>
  </si>
  <si>
    <t>通知话术</t>
  </si>
  <si>
    <t>观众组</t>
  </si>
  <si>
    <t>活动物料</t>
  </si>
  <si>
    <t>文案素材</t>
  </si>
  <si>
    <t>设计师</t>
  </si>
  <si>
    <t>活动开场VCR</t>
  </si>
  <si>
    <t>脚本、图片</t>
  </si>
  <si>
    <t>视频组</t>
  </si>
  <si>
    <t>篇章过渡VCR</t>
  </si>
  <si>
    <t>3个脚本</t>
  </si>
  <si>
    <t>创意未确定</t>
  </si>
  <si>
    <t>暖场环节</t>
  </si>
  <si>
    <t>背景音乐</t>
  </si>
  <si>
    <t>音频</t>
  </si>
  <si>
    <t>音乐被客户驳回</t>
  </si>
  <si>
    <t>领导简介</t>
  </si>
  <si>
    <t>简介资料</t>
  </si>
  <si>
    <t>主持人</t>
  </si>
  <si>
    <t>活动主持串词</t>
  </si>
  <si>
    <t>串词稿</t>
  </si>
  <si>
    <t>活动主持手卡</t>
  </si>
  <si>
    <t>手卡排版</t>
  </si>
  <si>
    <t>现场解说词</t>
  </si>
  <si>
    <t>节目剧本</t>
  </si>
  <si>
    <t>活动颁奖</t>
  </si>
  <si>
    <t>颁奖词</t>
  </si>
  <si>
    <t>微信稿件</t>
  </si>
  <si>
    <t>图文编辑</t>
  </si>
  <si>
    <t>微信图文</t>
  </si>
  <si>
    <t>媒体组</t>
  </si>
  <si>
    <t>活动新闻稿</t>
  </si>
  <si>
    <t>新闻稿</t>
  </si>
  <si>
    <t>未通过，二稿中</t>
  </si>
  <si>
    <t>微博稿件</t>
  </si>
  <si>
    <t>效果投放</t>
  </si>
  <si>
    <t>效果数据表</t>
  </si>
  <si>
    <t>项目经理</t>
  </si>
  <si>
    <t>项目存档</t>
  </si>
  <si>
    <t>项目报告</t>
  </si>
  <si>
    <t>客户答复</t>
  </si>
  <si>
    <t>客户满意度表</t>
  </si>
  <si>
    <t>xxx</t>
  </si>
  <si>
    <t>客户</t>
  </si>
  <si>
    <t>项目复盘</t>
  </si>
  <si>
    <t>项目复盘表</t>
  </si>
  <si>
    <t>（按格式填写）</t>
  </si>
  <si>
    <t>备注：</t>
  </si>
  <si>
    <t>注：撰稿组监制为xx、负责人为xxx、文字统稿组长为xxx、VCR脚本统稿组长为xxx</t>
  </si>
  <si>
    <t>NO:4活动流程技术表（通用版）</t>
  </si>
  <si>
    <t>活动时间： 2020年10月1日                           活动总时长：预计4个小时                        活动地点：深圳春茧体育馆                         活动技术负责人：小许老师                      活动总负责人：  小文老师                       技术故障紧急电话：1111111111</t>
  </si>
  <si>
    <t>时长控制</t>
  </si>
  <si>
    <t>节目时长</t>
  </si>
  <si>
    <t>环节内容</t>
  </si>
  <si>
    <t>环节描述</t>
  </si>
  <si>
    <t>彩幕</t>
  </si>
  <si>
    <t>主屏幕</t>
  </si>
  <si>
    <t>两侧屏幕</t>
  </si>
  <si>
    <t>微博腰幕</t>
  </si>
  <si>
    <t>主持人MC</t>
  </si>
  <si>
    <t>手持、头戴</t>
  </si>
  <si>
    <t>礼仪</t>
  </si>
  <si>
    <t>兼职</t>
  </si>
  <si>
    <t>动作</t>
  </si>
  <si>
    <t>道具</t>
  </si>
  <si>
    <t>进场&amp;暖场</t>
  </si>
  <si>
    <t>员工进场</t>
  </si>
  <si>
    <t>幕布：暖场Video（多窗口）/视频素材（轮播）</t>
  </si>
  <si>
    <t>LIVE</t>
  </si>
  <si>
    <t>视频音乐</t>
  </si>
  <si>
    <t>舞台区灯光无</t>
  </si>
  <si>
    <t>/</t>
  </si>
  <si>
    <t>各岗位就位</t>
  </si>
  <si>
    <t xml:space="preserve">静音提示 </t>
  </si>
  <si>
    <t>主持人静音提示</t>
  </si>
  <si>
    <t>幕布：暖场Video（多窗口）</t>
  </si>
  <si>
    <t>KV</t>
  </si>
  <si>
    <t>静音提示</t>
  </si>
  <si>
    <t>#1</t>
  </si>
  <si>
    <t>节目1</t>
  </si>
  <si>
    <t>乐队演出-鼓点</t>
  </si>
  <si>
    <t>全场黑、幕布落下、收幕布</t>
  </si>
  <si>
    <t>乐器音乐</t>
  </si>
  <si>
    <t>节目2</t>
  </si>
  <si>
    <t>乐队演出</t>
  </si>
  <si>
    <t>素材</t>
  </si>
  <si>
    <t>节目光效</t>
  </si>
  <si>
    <t xml:space="preserve">MC开场 </t>
  </si>
  <si>
    <t>主持人致开场辞</t>
  </si>
  <si>
    <t>KV素材</t>
  </si>
  <si>
    <t>面光</t>
  </si>
  <si>
    <t>#1#2#3#4#5</t>
  </si>
  <si>
    <t xml:space="preserve">领导致辞 </t>
  </si>
  <si>
    <t>主持人邀请XX上场(题词屏演讲稿)</t>
  </si>
  <si>
    <t xml:space="preserve">上场音乐 </t>
  </si>
  <si>
    <t>上场灯光/追光</t>
  </si>
  <si>
    <t>引领</t>
  </si>
  <si>
    <t>首席执行官兼董事长</t>
  </si>
  <si>
    <t>#6手持</t>
  </si>
  <si>
    <t xml:space="preserve"> 节目 2</t>
  </si>
  <si>
    <t>主持人（2人）</t>
  </si>
  <si>
    <t>#1#2</t>
  </si>
  <si>
    <t>舞蹈配乐</t>
  </si>
  <si>
    <t xml:space="preserve"> </t>
  </si>
  <si>
    <t xml:space="preserve"> 节目 3</t>
  </si>
  <si>
    <t>节目3</t>
  </si>
  <si>
    <t>节目Video</t>
  </si>
  <si>
    <t>Video音乐</t>
  </si>
  <si>
    <t>#6手持#1#2#3#4头戴</t>
  </si>
  <si>
    <t>流程1</t>
  </si>
  <si>
    <t>1.主持人（2人）引出奖项Video</t>
  </si>
  <si>
    <t>#3#4</t>
  </si>
  <si>
    <t>获奖嘉宾催场</t>
  </si>
  <si>
    <t>2.Video播放</t>
  </si>
  <si>
    <t>优秀员工奖Video</t>
  </si>
  <si>
    <t>舞台区灯光暗</t>
  </si>
  <si>
    <t>3.主持人邀请获奖嘉宾上场（15位代表）</t>
  </si>
  <si>
    <t>串场PPT-获奖名单</t>
  </si>
  <si>
    <t>4.嘉宾从台侧上舞台区</t>
  </si>
  <si>
    <t>上场音乐</t>
  </si>
  <si>
    <t>上场灯光</t>
  </si>
  <si>
    <t>5.主持人邀请颁奖嘉宾上场</t>
  </si>
  <si>
    <t>追光、效果</t>
  </si>
  <si>
    <r>
      <rPr>
        <sz val="12"/>
        <color theme="1"/>
        <rFont val="微软雅黑"/>
        <charset val="134"/>
      </rPr>
      <t>6.颁奖-</t>
    </r>
    <r>
      <rPr>
        <sz val="12"/>
        <color theme="9" tint="-0.249977111117893"/>
        <rFont val="微软雅黑"/>
        <charset val="134"/>
      </rPr>
      <t>颁奖嘉宾 XX  XXX</t>
    </r>
  </si>
  <si>
    <t>颁奖音乐</t>
  </si>
  <si>
    <t xml:space="preserve"> 颁奖灯效</t>
  </si>
  <si>
    <t>递奖杯</t>
  </si>
  <si>
    <t>7.合影</t>
  </si>
  <si>
    <t>Video 定针画面</t>
  </si>
  <si>
    <t xml:space="preserve"> 面光</t>
  </si>
  <si>
    <t>流程2</t>
  </si>
  <si>
    <t>获奖嘉宾催场后台</t>
  </si>
  <si>
    <t>优秀团队奖Video</t>
  </si>
  <si>
    <t>3.主持人邀请获奖嘉宾上场（8个团队代表）</t>
  </si>
  <si>
    <t>串场PPT-获奖团队</t>
  </si>
  <si>
    <r>
      <rPr>
        <sz val="12"/>
        <color theme="1"/>
        <rFont val="微软雅黑"/>
        <charset val="134"/>
      </rPr>
      <t>6.颁奖-</t>
    </r>
    <r>
      <rPr>
        <sz val="12"/>
        <color theme="9" tint="-0.249977111117893"/>
        <rFont val="微软雅黑"/>
        <charset val="134"/>
      </rPr>
      <t>颁奖嘉宾 XXX  XXXX</t>
    </r>
  </si>
  <si>
    <t xml:space="preserve">颁奖 三   </t>
  </si>
  <si>
    <t>优秀管理层奖Video</t>
  </si>
  <si>
    <r>
      <rPr>
        <sz val="12"/>
        <color theme="1"/>
        <rFont val="微软雅黑"/>
        <charset val="134"/>
      </rPr>
      <t>6.颁奖-</t>
    </r>
    <r>
      <rPr>
        <sz val="12"/>
        <color theme="9" tint="-0.249977111117893"/>
        <rFont val="微软雅黑"/>
        <charset val="134"/>
      </rPr>
      <t xml:space="preserve">颁奖嘉宾 XXX   </t>
    </r>
  </si>
  <si>
    <t xml:space="preserve"> 幸运抽奖 </t>
  </si>
  <si>
    <t>主持人串场（2人）</t>
  </si>
  <si>
    <t>礼品领奖处准备</t>
  </si>
  <si>
    <t>（90人）每人购物卡</t>
  </si>
  <si>
    <t>串场PPT-福到</t>
  </si>
  <si>
    <t>抽奖音效</t>
  </si>
  <si>
    <t>抽签准备，奖品准备</t>
  </si>
  <si>
    <t>SONY智能手环+华为P7手机 （5人）       
爱生活奖：户外大礼包+索尼微单相机（5人）</t>
  </si>
  <si>
    <t>抽奖软件</t>
  </si>
  <si>
    <t>邀请获奖嘉宾上台（台口抽签决定是爱健康奖/爱生活奖）</t>
  </si>
  <si>
    <t>抽奖道具</t>
  </si>
  <si>
    <t>邀请颁奖嘉宾上场-XXX</t>
  </si>
  <si>
    <r>
      <rPr>
        <sz val="12"/>
        <color theme="1"/>
        <rFont val="微软雅黑"/>
        <charset val="134"/>
      </rPr>
      <t>颁奖</t>
    </r>
    <r>
      <rPr>
        <sz val="12"/>
        <color theme="9" tint="-0.249977111117893"/>
        <rFont val="微软雅黑"/>
        <charset val="134"/>
      </rPr>
      <t>-颁奖嘉宾 XXX</t>
    </r>
  </si>
  <si>
    <t>颁奖灯效</t>
  </si>
  <si>
    <t>礼品KT板</t>
  </si>
  <si>
    <t xml:space="preserve"> 节目4</t>
  </si>
  <si>
    <t>6个手持</t>
  </si>
  <si>
    <t>节目4</t>
  </si>
  <si>
    <t>节目伴奏</t>
  </si>
  <si>
    <t xml:space="preserve"> 节目5</t>
  </si>
  <si>
    <t>节目5</t>
  </si>
  <si>
    <t xml:space="preserve"> 节目6</t>
  </si>
  <si>
    <t>2手持，1立麦</t>
  </si>
  <si>
    <t xml:space="preserve"> 颁奖 四 </t>
  </si>
  <si>
    <t>创新奖Video</t>
  </si>
  <si>
    <t>3.主持人邀请获奖嘉宾上场（4个团队）</t>
  </si>
  <si>
    <t>串场PPT-奖项名称</t>
  </si>
  <si>
    <r>
      <rPr>
        <sz val="12"/>
        <color theme="1"/>
        <rFont val="微软雅黑"/>
        <charset val="134"/>
      </rPr>
      <t>6.颁奖-</t>
    </r>
    <r>
      <rPr>
        <sz val="12"/>
        <color theme="9" tint="-0.249977111117893"/>
        <rFont val="微软雅黑"/>
        <charset val="134"/>
      </rPr>
      <t>颁奖嘉宾 XXX</t>
    </r>
  </si>
  <si>
    <t xml:space="preserve"> 幸运抽奖</t>
  </si>
  <si>
    <t>（10人）丰富家庭娱乐奖：苹果TV+Ipad Mini 3 16G （5人）       
读书音乐奖：Kindle Paperwhite 电子阅读器+魅族MX4 Pro 16G（5人）</t>
  </si>
  <si>
    <t>6人颁奖/2人引领</t>
  </si>
  <si>
    <t>邀请获奖嘉宾上台</t>
  </si>
  <si>
    <t xml:space="preserve">邀请颁奖嘉宾上场-XXX </t>
  </si>
  <si>
    <t>串场PPT-财到</t>
  </si>
  <si>
    <t xml:space="preserve"> 节目 7</t>
  </si>
  <si>
    <t>节目7</t>
  </si>
  <si>
    <t>节目video</t>
  </si>
  <si>
    <t>6个头戴</t>
  </si>
  <si>
    <t xml:space="preserve"> 节目 8</t>
  </si>
  <si>
    <t>节目video/素材</t>
  </si>
  <si>
    <t xml:space="preserve"> 颁奖 五</t>
  </si>
  <si>
    <t>十年服务贡献奖Video</t>
  </si>
  <si>
    <t>舞台区光暗</t>
  </si>
  <si>
    <t>3.主持人邀请获奖嘉宾上场（15人）</t>
  </si>
  <si>
    <t>追光</t>
  </si>
  <si>
    <t>奖杯准备</t>
  </si>
  <si>
    <t xml:space="preserve"> 节目 9</t>
  </si>
  <si>
    <t>节目8-《歌曲串烧》</t>
  </si>
  <si>
    <t>节目8-《歌曲串烧</t>
  </si>
  <si>
    <t>素材+LIVE（其女友游机亮相）</t>
  </si>
  <si>
    <t xml:space="preserve"> 颁奖 六</t>
  </si>
  <si>
    <t>15年奖杯23个</t>
  </si>
  <si>
    <t>十五年服务贡献奖Video</t>
  </si>
  <si>
    <t>3.主持人邀请获奖嘉宾上场（23人）</t>
  </si>
  <si>
    <t>颁奖音乐（与其他奖项不同）</t>
  </si>
  <si>
    <t>7.合影、下台</t>
  </si>
  <si>
    <t>8.主持人邀请XXX留步</t>
  </si>
  <si>
    <t>奖杯</t>
  </si>
  <si>
    <t>9.Video播放-XXX</t>
  </si>
  <si>
    <t>曹国伟 Video</t>
  </si>
  <si>
    <t>10.主持人有请颁奖嘉宾上场</t>
  </si>
  <si>
    <r>
      <rPr>
        <sz val="12"/>
        <color theme="1"/>
        <rFont val="微软雅黑"/>
        <charset val="134"/>
      </rPr>
      <t>11.颁奖-</t>
    </r>
    <r>
      <rPr>
        <sz val="12"/>
        <color rgb="FFD66612"/>
        <rFont val="微软雅黑"/>
        <charset val="134"/>
      </rPr>
      <t>颁奖嘉宾 XXX</t>
    </r>
  </si>
  <si>
    <t>12.合影</t>
  </si>
  <si>
    <t>#4</t>
  </si>
  <si>
    <t xml:space="preserve"> 节目 10</t>
  </si>
  <si>
    <t>节目10</t>
  </si>
  <si>
    <t xml:space="preserve"> 幸运抽奖 三  </t>
  </si>
  <si>
    <t>更便捷奖：苹果 Ipad Air 2 16G (5人)</t>
  </si>
  <si>
    <t>奖品PPT/抽奖软件</t>
  </si>
  <si>
    <t>抽奖音乐</t>
  </si>
  <si>
    <t>抽奖灯效</t>
  </si>
  <si>
    <t>颁奖</t>
  </si>
  <si>
    <t>呈递</t>
  </si>
  <si>
    <t>超级乐奖：乐视TV  (5人)</t>
  </si>
  <si>
    <t>奖品呈递</t>
  </si>
  <si>
    <t>串场PPT</t>
  </si>
  <si>
    <t>特文艺：钢琴  (5人)</t>
  </si>
  <si>
    <t>颁奖（台口抽签决定是6 plus/6）</t>
  </si>
  <si>
    <t xml:space="preserve"> 节目评选</t>
  </si>
  <si>
    <t>主持人5人串场邀请节目代表上场</t>
  </si>
  <si>
    <t>奖金</t>
  </si>
  <si>
    <t>奖金准备</t>
  </si>
  <si>
    <t>主持人公布评分结果（15位领导打分）</t>
  </si>
  <si>
    <t>串场PPT（评分结果）</t>
  </si>
  <si>
    <r>
      <rPr>
        <sz val="12"/>
        <color theme="1"/>
        <rFont val="微软雅黑"/>
        <charset val="134"/>
      </rPr>
      <t>颁奖-</t>
    </r>
    <r>
      <rPr>
        <sz val="12"/>
        <color rgb="FFD66612"/>
        <rFont val="微软雅黑"/>
        <charset val="134"/>
      </rPr>
      <t>主持人</t>
    </r>
  </si>
  <si>
    <t>#3</t>
  </si>
  <si>
    <t>奖金呈递</t>
  </si>
  <si>
    <t xml:space="preserve"> 幸运抽奖 三</t>
  </si>
  <si>
    <t>邀请颁奖嘉宾-XXX</t>
  </si>
  <si>
    <t>抽奖-1人  大礼包：乐视TV+SONY智能手环+EOS 700D单反相机+XboxOne</t>
  </si>
  <si>
    <t>递礼品KT板</t>
  </si>
  <si>
    <t xml:space="preserve">结束语 </t>
  </si>
  <si>
    <t>5位主持人致结束辞并邀请节目演员及领导一同合影</t>
  </si>
  <si>
    <t xml:space="preserve"> KV</t>
  </si>
  <si>
    <t>结束音乐</t>
  </si>
  <si>
    <t xml:space="preserve">面光/场地光亮 </t>
  </si>
  <si>
    <t xml:space="preserve"> /</t>
  </si>
  <si>
    <t>NO:5活动场地选址检查流程表（通用版）</t>
  </si>
  <si>
    <t xml:space="preserve">活动地点：深圳希尔顿酒店                                     </t>
  </si>
  <si>
    <t xml:space="preserve">活动时间：2019年10月1日                                   </t>
  </si>
  <si>
    <t>场地选址负责人：小文老师</t>
  </si>
  <si>
    <t>场地要点</t>
  </si>
  <si>
    <t>场地位置</t>
  </si>
  <si>
    <t>场地选址注意事项</t>
  </si>
  <si>
    <t>场地调研结果</t>
  </si>
  <si>
    <t>是否合格</t>
  </si>
  <si>
    <t>交通位置</t>
  </si>
  <si>
    <t>1.场地交通位置便利（是否靠地铁站、高铁机场、码头、城市市中心等）</t>
  </si>
  <si>
    <t>靠近地铁站200米，活动出行非常便利</t>
  </si>
  <si>
    <t>合格</t>
  </si>
  <si>
    <t>容纳人数</t>
  </si>
  <si>
    <t>2.场地面积+常规容纳人数+最大容纳人数，座位材质，座位间隔、座位舒适度</t>
  </si>
  <si>
    <t>面积1000平米，常规人数500人，最大容纳650人，座椅为皮材料，较为舒服</t>
  </si>
  <si>
    <t>场地图纸</t>
  </si>
  <si>
    <t xml:space="preserve">3.场地图纸（平面图+周边配套图+设备图+提供物料清单）
场地照片：外景、入口处、停车场、大堂、通道、水牌、签到处预想位置、主会场
　（舞台、座席区、桌椅、讲台）、宴会厅（舞台、座席区、桌椅、讲台）、VIP室、
　化妆间、VIP通道、会议室
</t>
  </si>
  <si>
    <t>所有图纸齐全，照片已拍摄发设计</t>
  </si>
  <si>
    <t>场地设备</t>
  </si>
  <si>
    <t>4.活动整体设备检查（大屏+主舞台+音响），是否满足活动基础需求</t>
  </si>
  <si>
    <t>设备经过调试，满足活动需求，大屏需要重新搭建</t>
  </si>
  <si>
    <t>停车数量</t>
  </si>
  <si>
    <t>5.停车位数量，停车收费情况，限高（搭建）</t>
  </si>
  <si>
    <t>停车数量300+，旁边停车场可支持200+，费用15元/小时</t>
  </si>
  <si>
    <t>场地价格</t>
  </si>
  <si>
    <t>6.场地价格与周边对比如何？包含哪些设备和配套？拿到最低报价</t>
  </si>
  <si>
    <t>场地报价为180000元，最低价为15000元，整体打包（冷餐+酒水+5个服务员）</t>
  </si>
  <si>
    <t>预定档期</t>
  </si>
  <si>
    <t>7.提前一个月预定，交5000押金，签署场地合同</t>
  </si>
  <si>
    <t>搭建时间另算，需提前申请</t>
  </si>
  <si>
    <t>活动报批</t>
  </si>
  <si>
    <t>8.是否可以配合主办方进行公安/消防等材料申报？是否收费？报批周期大概多少？</t>
  </si>
  <si>
    <t>可以代为办理相关手续，费用按实际费用结算（约为8000元）</t>
  </si>
  <si>
    <t>场地配置</t>
  </si>
  <si>
    <t>场外区域</t>
  </si>
  <si>
    <t>1.是否可以摆放及活动搭建制作物料</t>
  </si>
  <si>
    <t>可以摆放</t>
  </si>
  <si>
    <t>2.是否配备遮阳物料，防止观众入场被晒</t>
  </si>
  <si>
    <t>无</t>
  </si>
  <si>
    <t>不合格</t>
  </si>
  <si>
    <t>3.是否有备用电源，足够支持多久</t>
  </si>
  <si>
    <t>有备用电源，足够支持活动结束</t>
  </si>
  <si>
    <t>4.是否有汽车下客区（还是必须在停车场）</t>
  </si>
  <si>
    <t>入口可以直接停车</t>
  </si>
  <si>
    <t>活动入口</t>
  </si>
  <si>
    <t>1.场地入口结构是否适合签到，摆放宣传物料及悬挂条幅</t>
  </si>
  <si>
    <t>可以搭建签到处，条幅需要申请，可以悬挂</t>
  </si>
  <si>
    <t>2.入口数量及位置，客梯位置及数量</t>
  </si>
  <si>
    <t>3个入口，客厅6个，主厅旁边</t>
  </si>
  <si>
    <t>活动签到</t>
  </si>
  <si>
    <t>1.嘉宾签到台位置，数量</t>
  </si>
  <si>
    <t>入口出，开放两个签到口</t>
  </si>
  <si>
    <t>2.是否可以摆放背板及材质</t>
  </si>
  <si>
    <t>可以摆放，需要按场地方划定位置</t>
  </si>
  <si>
    <t>3.距离场地前台及衣帽间，电梯，卫生间，餐厅，会场的距离</t>
  </si>
  <si>
    <t>见平面图</t>
  </si>
  <si>
    <t>活动用餐</t>
  </si>
  <si>
    <t>1.餐厅位置是否便利</t>
  </si>
  <si>
    <t>楼下一层，位置非常便利</t>
  </si>
  <si>
    <t>2.餐厅营业时间，是否可以延长</t>
  </si>
  <si>
    <t>营业时间：8：00—21:00，不可以延长</t>
  </si>
  <si>
    <t>3.餐厅最多容纳多少人同时用餐</t>
  </si>
  <si>
    <t>250人用餐（只支持自助）</t>
  </si>
  <si>
    <t>4.是否可以提供独立区域服务本次活动</t>
  </si>
  <si>
    <t>可以，但需要额外付费，约为5000元场地费</t>
  </si>
  <si>
    <t>5.餐厅菜系、费用、是否提供自助餐</t>
  </si>
  <si>
    <t>提供，以自助餐为主，人均250/人</t>
  </si>
  <si>
    <t>6.是否可以自带酒水 是否增收开瓶费</t>
  </si>
  <si>
    <t>不可以</t>
  </si>
  <si>
    <t>7.是否可以开活动餐饮发票</t>
  </si>
  <si>
    <t>可以开增值税专票</t>
  </si>
  <si>
    <t>会场设备</t>
  </si>
  <si>
    <t>1.主会场位置，入口数量，尺寸 长宽灯下高，是否有柱子</t>
  </si>
  <si>
    <t>2.主会场是否有吊点、吊点数量及单根承重</t>
  </si>
  <si>
    <t>3.是否有投影幕及音响设备，如果是LED，要了解尺寸及分辨率</t>
  </si>
  <si>
    <t>见设备清单</t>
  </si>
  <si>
    <t>4.投影幕布尺寸，投影机流明</t>
  </si>
  <si>
    <t>5.音响数量，类型，位置，麦克风数量</t>
  </si>
  <si>
    <t>6.讲台样式及尺寸，地台样式，尺寸及数量</t>
  </si>
  <si>
    <t>9.灯光开关位置，是否可以分开控制</t>
  </si>
  <si>
    <t>10.安全出口位置及数量，员工通道入口及上菜口</t>
  </si>
  <si>
    <t>12.同一档期是否有其他公司预定，是否有友商的活动</t>
  </si>
  <si>
    <t>没有其他公司预定</t>
  </si>
  <si>
    <t>13.WIFI速度及强度，是否可免费提供独享带宽</t>
  </si>
  <si>
    <t>14.场租包含的具体会议物品，如鲜花，纸笔水等</t>
  </si>
  <si>
    <t>见物料清单，价格另算</t>
  </si>
  <si>
    <t>15.空调温度变化控制的时长，开关位置</t>
  </si>
  <si>
    <t>16.距离其他会场的位置及路线</t>
  </si>
  <si>
    <t>17.加班费如何收取，卫生费、电费及杂类费用如何收取</t>
  </si>
  <si>
    <t>服务费含在打包价格中，不单独算</t>
  </si>
  <si>
    <t>19.是否有户外LED屏及灯箱可以提供宣传</t>
  </si>
  <si>
    <t>有5个led支持宣传，价格免费</t>
  </si>
  <si>
    <t>20.证件管理，安保措施，门票管理（出入证办理流程告知）</t>
  </si>
  <si>
    <t>支持配合验票</t>
  </si>
  <si>
    <t>21.转播机位及预留区域，控制台位置</t>
  </si>
  <si>
    <t>22.是否可以搭建合影架子或者特殊拍摄</t>
  </si>
  <si>
    <t>可以，主舞台合影位置足够</t>
  </si>
  <si>
    <t>化妆间</t>
  </si>
  <si>
    <t>1.化妆间楼层+数量</t>
  </si>
  <si>
    <t>在二层，总共15个化妆间，最多容纳55人同时化妆</t>
  </si>
  <si>
    <t>2.是否有衣架，镜子，卫生间，灯光情况，插座</t>
  </si>
  <si>
    <t>包含在内</t>
  </si>
  <si>
    <t>嘉宾休息室</t>
  </si>
  <si>
    <t>1.嘉宾室楼层+数量</t>
  </si>
  <si>
    <t>二层左侧，容纳10人以内</t>
  </si>
  <si>
    <t>2.沙发，灯光，卫生间，茶几，插座</t>
  </si>
  <si>
    <t>杂物间物料</t>
  </si>
  <si>
    <t>1.杂物间是否能用
2.桌椅，插座，钥匙是否可以提供</t>
  </si>
  <si>
    <t>物料间暂时不提供支持</t>
  </si>
  <si>
    <t>卸货通道</t>
  </si>
  <si>
    <t>1.卸货通道距离主会场的距离及线路</t>
  </si>
  <si>
    <t>2.货车是否能直接开到卸货平台</t>
  </si>
  <si>
    <t>可以</t>
  </si>
  <si>
    <t>3.超宽超长的特殊物品是否可以顺利进入</t>
  </si>
  <si>
    <t>4.施工人员证件办理需求</t>
  </si>
  <si>
    <t>场地方负责</t>
  </si>
  <si>
    <t>5.进场手续及押金数量，收取返还方式</t>
  </si>
  <si>
    <t>押金5000元，活动当天返还，详细内容见搭建合同</t>
  </si>
  <si>
    <t>场地货梯</t>
  </si>
  <si>
    <t>1.货梯数量、2.货梯容积、3.货梯门的尺寸 、4.超宽超长的特殊物品是否可以顺利进入</t>
  </si>
  <si>
    <t>场地电箱</t>
  </si>
  <si>
    <t>1.电箱数量、2.电箱电量、3.电箱接口、4.电箱距离会场距离、5.场地接电特殊要求</t>
  </si>
  <si>
    <t>卸货停车场</t>
  </si>
  <si>
    <t>1.卸货停车场位置2.办理卸货车辆手续需知3.卸货时间要求</t>
  </si>
  <si>
    <t>一层停车场，手续由安保部报批，卸货时间为晚上21:00之后</t>
  </si>
  <si>
    <t>周边配套</t>
  </si>
  <si>
    <t>图文打印</t>
  </si>
  <si>
    <t>1.图文打印距离场地位置距离   2.营业时间 3.价格  4.制作时间  5.是否有发票</t>
  </si>
  <si>
    <t>100米距离2家打印店，营业时间：9:00-21:00，支持发票</t>
  </si>
  <si>
    <t>超市及商场</t>
  </si>
  <si>
    <t>1.超市及商场位置，距离场地路程  2.营业时间</t>
  </si>
  <si>
    <t>300米距离1家商业超市，营业时间：9:00-22:00，支持发票</t>
  </si>
  <si>
    <t>鲜花店</t>
  </si>
  <si>
    <t>1.鲜花店距离场地位置距离  2.营业时间  3.价格  4.制作时间  5.是否帮送  6.是否有发票</t>
  </si>
  <si>
    <t>照片冲印店</t>
  </si>
  <si>
    <t>1.照片冲印店距离场地位置距离  2.营业时间  3.价格  4.制作时间 5.是否帮忙装相框 6.是否有发票</t>
  </si>
  <si>
    <t>300米距离1家重新店，营业时间：9:00-21:00，支持发票</t>
  </si>
  <si>
    <t>医院</t>
  </si>
  <si>
    <t>1.医院位置，距离场地路程  2.是否可提供救护车及医生驻场</t>
  </si>
  <si>
    <t>500米距离1家三甲医院，营业时间：7:00-18:00，救护车3分钟赶到</t>
  </si>
  <si>
    <t>派出所</t>
  </si>
  <si>
    <t>1.派出所位置，距离场地路程  2.提前报备</t>
  </si>
  <si>
    <t>400米距离1家派出所</t>
  </si>
  <si>
    <t>NO:6活动搭建工程现场验收清单（通用版）</t>
  </si>
  <si>
    <t>搭建负责人（联系方式）：小文老师（12343456767）                           活动时间：2019年10月1日                          活动地点： 深圳希尔顿酒店                   供应商（联系方式）：小文师傅（12345678213）</t>
  </si>
  <si>
    <t>1.活动舞台安全验收</t>
  </si>
  <si>
    <t>验收结果</t>
  </si>
  <si>
    <t>活动舞台结构搭建是否稳固？一定要反复确认</t>
  </si>
  <si>
    <t>舞台搭建稳固，无安全问题</t>
  </si>
  <si>
    <t>舞台台阶是否与舞台固定在一起？以免踩翻发生安全事故</t>
  </si>
  <si>
    <t>固定牢靠</t>
  </si>
  <si>
    <t>活动主舞台地板是否容易打滑？地面是否出现不平坦的地方？</t>
  </si>
  <si>
    <t>已做防滑处理，主舞台平滑</t>
  </si>
  <si>
    <t>舞台的台阶两侧是否有扶手？高度和间隔多少？</t>
  </si>
  <si>
    <t>两侧以搭建临时扶手，高度90cm，无安全问题</t>
  </si>
  <si>
    <t>场地二层结构扶手是否足够牢固？高度和间隔多少？</t>
  </si>
  <si>
    <t>二层扶手为钢制结构，高度80cm，无安全问题</t>
  </si>
  <si>
    <t>看台四周是否有围栏保护？高度多少？</t>
  </si>
  <si>
    <t>观众看台周边无扶手，较为危险，建议考虑人为搭建</t>
  </si>
  <si>
    <t>后台区是否有弱照明，以免发生演职人员跌倒事故。</t>
  </si>
  <si>
    <t>有弱照明区</t>
  </si>
  <si>
    <t>是否设置了安全应急灯和安全出口标识？</t>
  </si>
  <si>
    <t>已经设置了安全应急灯和安全出口标识</t>
  </si>
  <si>
    <t>场地消防设备是否都在合格期限内？</t>
  </si>
  <si>
    <t>部分设备已经过期，建议重新采购，否则报批环节不通过</t>
  </si>
  <si>
    <t>是否有专人负责舞台及结构安全、电力安全、消防安全巡检工作？</t>
  </si>
  <si>
    <t>有专人负责舞台及结构安全、电力安全、消防安全巡检工作</t>
  </si>
  <si>
    <t>是否存在其他的明显的安全隐患？</t>
  </si>
  <si>
    <t>暂无发现风险</t>
  </si>
  <si>
    <t>2.活动品牌物料宣传验收</t>
  </si>
  <si>
    <t>不符合活动调性的场地原有的设施或墙面，是否做了遮挡？</t>
  </si>
  <si>
    <t>已做遮挡</t>
  </si>
  <si>
    <t>场地方的logo是否需要遮挡？</t>
  </si>
  <si>
    <t>需要，已做遮挡</t>
  </si>
  <si>
    <t>以往活动中遗留的无关制作物是否需要移除？</t>
  </si>
  <si>
    <t>已移除</t>
  </si>
  <si>
    <t>己方制作物的龙骨基础结构是否在来宾的可视范围内，是否有必要遮挡？</t>
  </si>
  <si>
    <t>AV设备的支撑结构是否需要遮挡？</t>
  </si>
  <si>
    <t>企业立体logo是否横平竖直？</t>
  </si>
  <si>
    <t>位置没有问题</t>
  </si>
  <si>
    <t>平面喷印logo是否有虚化现象？</t>
  </si>
  <si>
    <t>无虚化现象</t>
  </si>
  <si>
    <t>发光logo，发光面是否均匀？</t>
  </si>
  <si>
    <t>均匀没问题</t>
  </si>
  <si>
    <t>涉及物物料中的文字内容是否有错别字？</t>
  </si>
  <si>
    <t>海报上有一个错别字，设计已经返工</t>
  </si>
  <si>
    <t>屏幕画面是否足够清晰？是否有虚化现象？</t>
  </si>
  <si>
    <t>清晰无虚化</t>
  </si>
  <si>
    <t>屏幕画面颜色是否会偏色严重？</t>
  </si>
  <si>
    <t>无偏色</t>
  </si>
  <si>
    <t>所有宣传物料摆放位置是否正确？</t>
  </si>
  <si>
    <t>已经全部按要求摆放</t>
  </si>
  <si>
    <t>所有对外露出的品牌物料是否已经全部包装结束？</t>
  </si>
  <si>
    <t>平整，无鼓包现象</t>
  </si>
  <si>
    <t>矿泉水及相关物料道具的logo是否全部撕掉？</t>
  </si>
  <si>
    <t>全部处理完毕，无任何其它品牌信息</t>
  </si>
  <si>
    <t>所有涉及活动的会务资料是否全部摆放？</t>
  </si>
  <si>
    <t>会务资料已全部摆放结束</t>
  </si>
  <si>
    <t>3.活动工程质量验收</t>
  </si>
  <si>
    <t>活动红地毯是否平整？是否有异物？</t>
  </si>
  <si>
    <t>平整无异物</t>
  </si>
  <si>
    <t>各种不同材质的墙面是否平整？</t>
  </si>
  <si>
    <t>渗光灯带是否平直？是否刺眼？</t>
  </si>
  <si>
    <t>平直不刺眼</t>
  </si>
  <si>
    <t>喷漆制作物是否有橘皮现象？</t>
  </si>
  <si>
    <t>无橘皮现象</t>
  </si>
  <si>
    <t>道具上下舞台是否顺畅？是否会托底？</t>
  </si>
  <si>
    <t>顺畅无托底</t>
  </si>
  <si>
    <t>所有材质（包括地面，墙面）是否存在较大色差？</t>
  </si>
  <si>
    <t>无色差</t>
  </si>
  <si>
    <t>舞台和看台是否居中搭建，是否有偏台现象？</t>
  </si>
  <si>
    <t>无偏台</t>
  </si>
  <si>
    <t>道具的摆放是否经过拉线找直？</t>
  </si>
  <si>
    <t>已拉直</t>
  </si>
  <si>
    <t>相关道具是否干净、整洁、牢固？</t>
  </si>
  <si>
    <t>已打扫</t>
  </si>
  <si>
    <t>舞台机械设备（比如升降舞台、旋转舞台、开合屏幕）运行是否足够顺畅？噪音是否可以接受？</t>
  </si>
  <si>
    <t>噪音有点大，可能会影响活动，建议降噪</t>
  </si>
  <si>
    <t>4.活动合理化/舒适性验收</t>
  </si>
  <si>
    <t>座椅间隔尺寸多少？坐着是否舒服？</t>
  </si>
  <si>
    <t>已体验，没问题</t>
  </si>
  <si>
    <t>演讲台的高度和老板的身高是否匹配？</t>
  </si>
  <si>
    <t>已经准备好调节话筒</t>
  </si>
  <si>
    <t>首排嘉宾观看大屏幕的视角是否舒适?</t>
  </si>
  <si>
    <t>没有问题</t>
  </si>
  <si>
    <t>看台上所有的座椅位置是否都能够无遮挡的看到舞台？</t>
  </si>
  <si>
    <t>除了两侧位置10个位置看不到，其他位置全部无遮挡</t>
  </si>
  <si>
    <t>舞台区域各种线缆是否都已经隐藏在舞台下面？</t>
  </si>
  <si>
    <t>已经隐藏在舞台下面，不影响舞台美观度</t>
  </si>
  <si>
    <t>制作物摆放的位置是否合理？是否有更优化的方案？</t>
  </si>
  <si>
    <t>按甲方需求摆放，随时可调整</t>
  </si>
  <si>
    <t>空调制冷制热效果是否充足？室内温度是否舒适？</t>
  </si>
  <si>
    <t>中央空调，恒温26度，舒适度很好</t>
  </si>
  <si>
    <t>临时搭建的封闭空间（尤其是VIP室）是否有异味？</t>
  </si>
  <si>
    <t>已检查，无异味，适合重要嘉宾洽谈</t>
  </si>
  <si>
    <t>如果室外需要客人排队参与活动项目，是否需要设置遮阳棚或防雨棚？</t>
  </si>
  <si>
    <t>已经准备好遮阳棚或防雨棚，随时可以搭建</t>
  </si>
  <si>
    <t>备注：如果发现品牌物料有误必须要调整，以免在传播的过程中造成更大的伤害；而如果是对供应商工程质量不满意，而现场又没有足够的时间去调整相关内容，那只能是两权相害取其轻，先把活动做完，下次更换更加靠谱的供应商</t>
  </si>
  <si>
    <t>NO:7物料采购+设计推进表（通用版）</t>
  </si>
  <si>
    <t>活动时间：2019年10月1日</t>
  </si>
  <si>
    <t>采购负责人：小文老师</t>
  </si>
  <si>
    <t>设计负责人：小文老师</t>
  </si>
  <si>
    <t>供应商负责人及电话：小文老师（12344566567）</t>
  </si>
  <si>
    <t>工作计划开始时间</t>
  </si>
  <si>
    <t>执行要点</t>
  </si>
  <si>
    <t>物料明细</t>
  </si>
  <si>
    <t>注意细项</t>
  </si>
  <si>
    <t>开始</t>
  </si>
  <si>
    <t>完成</t>
  </si>
  <si>
    <t>备注（注意区分三种不同类型物料）</t>
  </si>
  <si>
    <t>活动背板</t>
  </si>
  <si>
    <t>必须植入品牌方logo</t>
  </si>
  <si>
    <t>验收</t>
  </si>
  <si>
    <t>印刷清单（实物）</t>
  </si>
  <si>
    <t>易拉宝</t>
  </si>
  <si>
    <t>门口整版海报</t>
  </si>
  <si>
    <t>会议材料</t>
  </si>
  <si>
    <t>调整</t>
  </si>
  <si>
    <t>活动流程单</t>
  </si>
  <si>
    <t>桌签椅签</t>
  </si>
  <si>
    <t>签到表</t>
  </si>
  <si>
    <t>条幅</t>
  </si>
  <si>
    <t>胸贴</t>
  </si>
  <si>
    <t>指示牌</t>
  </si>
  <si>
    <t>重新设计</t>
  </si>
  <si>
    <t>活动主视觉设计</t>
  </si>
  <si>
    <t>包含大屏尺寸、侧屏尺寸、背板尺寸</t>
  </si>
  <si>
    <t>创意清单（非实物）</t>
  </si>
  <si>
    <t>活动海报设计</t>
  </si>
  <si>
    <t>海报x3（不同创意）</t>
  </si>
  <si>
    <t>活动邀请函设计</t>
  </si>
  <si>
    <t>电子邀请函+纸质版设计</t>
  </si>
  <si>
    <t>活动开场视频</t>
  </si>
  <si>
    <t>视频特效10s</t>
  </si>
  <si>
    <t>活动过度篇章素材</t>
  </si>
  <si>
    <t>嘉宾演讲ppt</t>
  </si>
  <si>
    <t>美化页面</t>
  </si>
  <si>
    <t>指示牌设计</t>
  </si>
  <si>
    <t>活动吉祥物设计</t>
  </si>
  <si>
    <t>设计三版不同风格</t>
  </si>
  <si>
    <t>封面设计</t>
  </si>
  <si>
    <t>手册排版设计</t>
  </si>
  <si>
    <t>方案包装设计</t>
  </si>
  <si>
    <t>微信图文封面设计</t>
  </si>
  <si>
    <t>展区互动装置设计</t>
  </si>
  <si>
    <t>道具清单（实物制作）</t>
  </si>
  <si>
    <t>虚拟吉祥物设计</t>
  </si>
  <si>
    <t>启动球设计</t>
  </si>
  <si>
    <t>签到设置</t>
  </si>
  <si>
    <t>现场特效设计</t>
  </si>
  <si>
    <t>礼品外包装设计</t>
  </si>
  <si>
    <t>其它道具设计</t>
  </si>
  <si>
    <t>活动物料采购清单</t>
  </si>
  <si>
    <t>物料采购明细</t>
  </si>
  <si>
    <t>采购渠道</t>
  </si>
  <si>
    <t>规格/ 尺寸</t>
  </si>
  <si>
    <t>价格</t>
  </si>
  <si>
    <t>快递费</t>
  </si>
  <si>
    <t>当天发货</t>
  </si>
  <si>
    <t>物料链接地址</t>
  </si>
  <si>
    <t>物料评价</t>
  </si>
  <si>
    <t>税点</t>
  </si>
  <si>
    <t>购买价格</t>
  </si>
  <si>
    <t>应付价格</t>
  </si>
  <si>
    <t>NO:8活动物料设计尺寸表（通用版）</t>
  </si>
  <si>
    <t>活动名称：xx大型主题活动</t>
  </si>
  <si>
    <t>客户名称：xxx有限公司（甲方）</t>
  </si>
  <si>
    <t>下单部门：项目部</t>
  </si>
  <si>
    <t>供应商及电话：小文老师（12344566567）</t>
  </si>
  <si>
    <t>设计师：小文老师</t>
  </si>
  <si>
    <t>设计任务</t>
  </si>
  <si>
    <t>背景资料</t>
  </si>
  <si>
    <t>设计要求</t>
  </si>
  <si>
    <t>受众人群</t>
  </si>
  <si>
    <t>初稿提交时间</t>
  </si>
  <si>
    <t xml:space="preserve">主视觉设计 /品牌标志 /VI视觉设计/延展设计/ □ ppt包装设计/画册样本/海报/吉祥物动漫设计/H5页面设计名片设计 /其它       </t>
  </si>
  <si>
    <t>为什么要进行此次项目创作？相关背景、目的、用途各是什么？尺寸、材质？有哪些相关资料？</t>
  </si>
  <si>
    <t>调性、色彩、图案等具体要求,无想法可委托设计师设计</t>
  </si>
  <si>
    <t>用户画像描述（年龄、职业、特点）</t>
  </si>
  <si>
    <t>（设计物料明细）</t>
  </si>
  <si>
    <t>（简要说明）</t>
  </si>
  <si>
    <t>以80后90后为主的年轻人群</t>
  </si>
  <si>
    <t>2019年10月1日下班之前</t>
  </si>
  <si>
    <t>区域</t>
  </si>
  <si>
    <t>物料内容</t>
  </si>
  <si>
    <t>物料名称/备注</t>
  </si>
  <si>
    <t>尺寸（mm）</t>
  </si>
  <si>
    <t>设计师确认</t>
  </si>
  <si>
    <t>外场物料</t>
  </si>
  <si>
    <t>VIP停车场指示</t>
  </si>
  <si>
    <t xml:space="preserve">VIP停车区 </t>
  </si>
  <si>
    <t>背板+木质写真</t>
  </si>
  <si>
    <t>1200mmWx2000mmHx100mmD</t>
  </si>
  <si>
    <t>提前设计</t>
  </si>
  <si>
    <t>已确认无误</t>
  </si>
  <si>
    <t>停车场</t>
  </si>
  <si>
    <t xml:space="preserve">停车场 </t>
  </si>
  <si>
    <t>VIP室指示</t>
  </si>
  <si>
    <t xml:space="preserve">VIP室入口 </t>
  </si>
  <si>
    <t>1200mmWx2000mmHx101mmD</t>
  </si>
  <si>
    <t>内场入口指示牌</t>
  </si>
  <si>
    <t xml:space="preserve">内场入口 </t>
  </si>
  <si>
    <t>二层南门入口指示牌</t>
  </si>
  <si>
    <t xml:space="preserve">二层南门入口  </t>
  </si>
  <si>
    <t>合影墙</t>
  </si>
  <si>
    <t>前门</t>
  </si>
  <si>
    <t>座位分区说明</t>
  </si>
  <si>
    <t>北侧</t>
  </si>
  <si>
    <t>桁架宝丽布</t>
  </si>
  <si>
    <t>2000mmx2500mmH</t>
  </si>
  <si>
    <t>内场物料</t>
  </si>
  <si>
    <t>区域标示</t>
  </si>
  <si>
    <t>A3铜版纸</t>
  </si>
  <si>
    <t>横版A3</t>
  </si>
  <si>
    <t xml:space="preserve">已确认无误 </t>
  </si>
  <si>
    <t>工作间</t>
  </si>
  <si>
    <t>VIP室</t>
  </si>
  <si>
    <t>会场入口指示牌</t>
  </si>
  <si>
    <t>会场入口 ，15个向右，5个向左</t>
  </si>
  <si>
    <t>A4彩打</t>
  </si>
  <si>
    <t>横版A4</t>
  </si>
  <si>
    <t>内场座位指示水牌
A、B、C、D四区</t>
  </si>
  <si>
    <t>A、B、C、D四区</t>
  </si>
  <si>
    <t>喷漆L钢板底座指示牌</t>
  </si>
  <si>
    <t>组</t>
  </si>
  <si>
    <t>297mmWx210mmH</t>
  </si>
  <si>
    <t>VIP座位号贴纸</t>
  </si>
  <si>
    <t>名字，AA提供</t>
  </si>
  <si>
    <t>即时贴</t>
  </si>
  <si>
    <t>内场座位号贴纸</t>
  </si>
  <si>
    <t>座位号范围</t>
  </si>
  <si>
    <t>120mmWx80mmH</t>
  </si>
  <si>
    <t>流程物料</t>
  </si>
  <si>
    <t>主KV</t>
  </si>
  <si>
    <t>大屏</t>
  </si>
  <si>
    <t>像素点：2496*1040</t>
  </si>
  <si>
    <t>辅屏KV（4:3）</t>
  </si>
  <si>
    <t>像素点531*708</t>
  </si>
  <si>
    <t>底图（颁奖串场PPT）</t>
  </si>
  <si>
    <t>底图（抽奖PPT）</t>
  </si>
  <si>
    <t>3张/文字待定</t>
  </si>
  <si>
    <t>stick贴（抽奖）</t>
  </si>
  <si>
    <t>KV里的皇冠</t>
  </si>
  <si>
    <t>50mmD</t>
  </si>
  <si>
    <t>麦克风贴(主会)</t>
  </si>
  <si>
    <t>话筒</t>
  </si>
  <si>
    <t>AA   LOGO</t>
  </si>
  <si>
    <t>250g铜版纸</t>
  </si>
  <si>
    <t>150mmWx100mmH</t>
  </si>
  <si>
    <t>停车证</t>
  </si>
  <si>
    <t>停车证（大巴车）</t>
  </si>
  <si>
    <t>300g铜版纸</t>
  </si>
  <si>
    <t>A3（8k）420mm×297mm；</t>
  </si>
  <si>
    <t xml:space="preserve">背面附地图（大巴车证加号码） </t>
  </si>
  <si>
    <t>停车证(VIP)</t>
  </si>
  <si>
    <t>A5（32k）210mm× 148mm</t>
  </si>
  <si>
    <t xml:space="preserve">背面附地图（加联系人） </t>
  </si>
  <si>
    <t>节目流程单</t>
  </si>
  <si>
    <t>Agenda(带设计)</t>
  </si>
  <si>
    <t>A4</t>
  </si>
  <si>
    <t>节目评分表格</t>
  </si>
  <si>
    <t>胸卡套</t>
  </si>
  <si>
    <t xml:space="preserve"> 无</t>
  </si>
  <si>
    <t>黑色绳</t>
  </si>
  <si>
    <t>看台证、内场证</t>
  </si>
  <si>
    <t>蓝色绳</t>
  </si>
  <si>
    <t>演员证、安保证</t>
  </si>
  <si>
    <t>红色绳</t>
  </si>
  <si>
    <t>全通证</t>
  </si>
  <si>
    <t>90mmWx125mmH</t>
  </si>
  <si>
    <t>150g铜版纸</t>
  </si>
  <si>
    <t>内场证</t>
  </si>
  <si>
    <t>座位号A区1排1号-A区1排20号，抽奖号码</t>
  </si>
  <si>
    <t>演员证</t>
  </si>
  <si>
    <t>抽奖号码？</t>
  </si>
  <si>
    <t>看台证</t>
  </si>
  <si>
    <t>座位号？抽奖号码？</t>
  </si>
  <si>
    <t>安保证</t>
  </si>
  <si>
    <t>胸卡背面</t>
  </si>
  <si>
    <t>LOGO</t>
  </si>
  <si>
    <t>兼职（stick 贴）</t>
  </si>
  <si>
    <t>黑底LOGO</t>
  </si>
  <si>
    <t>800mmD</t>
  </si>
  <si>
    <t>内场门票</t>
  </si>
  <si>
    <t>票务公司定制</t>
  </si>
  <si>
    <t>外场门票</t>
  </si>
  <si>
    <t>抽奖物料</t>
  </si>
  <si>
    <t>KT板+实物</t>
  </si>
  <si>
    <t>600mmWx400mmH</t>
  </si>
  <si>
    <t>KT板</t>
  </si>
  <si>
    <t>组合</t>
  </si>
  <si>
    <t>待确认</t>
  </si>
  <si>
    <t>5000元</t>
  </si>
  <si>
    <t>？</t>
  </si>
  <si>
    <t>领奖处标示</t>
  </si>
  <si>
    <t>KT 板</t>
  </si>
  <si>
    <t>A3竖版</t>
  </si>
  <si>
    <t>完稿版面校对</t>
  </si>
  <si>
    <t>完稿文字校对</t>
  </si>
  <si>
    <t>完稿色彩校对</t>
  </si>
  <si>
    <t xml:space="preserve">最终印刷稿是否为定稿文件  </t>
  </si>
  <si>
    <t>已确认</t>
  </si>
  <si>
    <t>活动标题是否一致</t>
  </si>
  <si>
    <t>是否需要设计师协助进行印刷/喷绘样稿色彩质量校对</t>
  </si>
  <si>
    <t xml:space="preserve">输出文件是否转换为印刷格式  </t>
  </si>
  <si>
    <t>正文信息是否正确</t>
  </si>
  <si>
    <t xml:space="preserve">特殊工艺是否明确标出  </t>
  </si>
  <si>
    <t>页面设定是否和文件尺寸相符</t>
  </si>
  <si>
    <t>字体、字号</t>
  </si>
  <si>
    <t>印刷后设计师需协助对成品进行验收检查，如发现问题及时沟通</t>
  </si>
  <si>
    <t>页面是否加上主办方logo</t>
  </si>
  <si>
    <t>段落、行列间距</t>
  </si>
  <si>
    <t xml:space="preserve">画面图片清晰度  </t>
  </si>
  <si>
    <t>整体版面能否一目了然</t>
  </si>
  <si>
    <t>是否有错别字</t>
  </si>
  <si>
    <t>未确认</t>
  </si>
  <si>
    <t xml:space="preserve">画面分辨率是否符合印刷要求  </t>
  </si>
  <si>
    <t>页眉页码是否标上页数+日期</t>
  </si>
  <si>
    <t>多字漏字多音字</t>
  </si>
  <si>
    <t xml:space="preserve">完稿放大到印刷尺寸最大化检查有无缺漏现像  </t>
  </si>
  <si>
    <t>字体清晰度</t>
  </si>
  <si>
    <t xml:space="preserve">印刷文件是否按规范标注名称、尺寸  </t>
  </si>
  <si>
    <t xml:space="preserve">否有走位、字体重叠等 </t>
  </si>
  <si>
    <t>文件命名是否标准</t>
  </si>
  <si>
    <t>（按自己需求添减）</t>
  </si>
  <si>
    <t>第二轮修改原因</t>
  </si>
  <si>
    <t>修改截稿日</t>
  </si>
  <si>
    <t>修改内容</t>
  </si>
  <si>
    <t>1.本工作单由执行负责人确定客户方直接联系人后，设计部负责填写工作单与服务需求，经授权后设计师可与客户进行设计层面的直接沟通后完成相关设计产出，进行相关设计服务；</t>
  </si>
  <si>
    <t>2.本工作单作为项目初使用，后续延展物料设计经执行部填写“工作内容明细单”后交由主创设计师，交稿后如有陆续修改意见或补充内容，请再填写附件“设计修改（补充）单”，设计完稿由项目执行部门进行签收，并推进制作。</t>
  </si>
  <si>
    <t>3.工作单要求工作任务明确，相关资料齐全，客户需求清晰，工作进度将严格按照签收日期推进，不具备以上基本需求的，将不能保证工作质量，甚至无法接单。</t>
  </si>
  <si>
    <t>NO:9活动人员现场联系表（通用版）</t>
  </si>
  <si>
    <t>活动时间：2019年10月1日               活动地点：深圳希尔顿酒店                      活动总负责人：小文老师（123456789）</t>
  </si>
  <si>
    <t>注：如遇紧急情况找不到人影响活动进度，请与总负责人xxx直接联系沟通</t>
  </si>
  <si>
    <t>负责环节</t>
  </si>
  <si>
    <t>负责内容</t>
  </si>
  <si>
    <t>乙方执行负责人</t>
  </si>
  <si>
    <t>相关配合负责人（含甲方及第三方工作人员）</t>
  </si>
  <si>
    <t>电话 Tel</t>
  </si>
  <si>
    <t>邮箱</t>
  </si>
  <si>
    <t>相关人员</t>
  </si>
  <si>
    <t>活动全程把控</t>
  </si>
  <si>
    <t>活动总负责人</t>
  </si>
  <si>
    <t>4545445@qq.com</t>
  </si>
  <si>
    <t>团队2人</t>
  </si>
  <si>
    <t>小文老师（甲方总负责）</t>
  </si>
  <si>
    <t>活动第一负责人</t>
  </si>
  <si>
    <t>活动调度</t>
  </si>
  <si>
    <t>活动总调度</t>
  </si>
  <si>
    <t>小文导演</t>
  </si>
  <si>
    <t>团队3人</t>
  </si>
  <si>
    <t>活动流程调度</t>
  </si>
  <si>
    <t>活动安保</t>
  </si>
  <si>
    <t>安全保卫</t>
  </si>
  <si>
    <t>（按实际情况填写）</t>
  </si>
  <si>
    <t>活动票务</t>
  </si>
  <si>
    <t>门票销售</t>
  </si>
  <si>
    <t>物料统筹</t>
  </si>
  <si>
    <t>负责活动所有物料和道具</t>
  </si>
  <si>
    <t>所有物料设计和修改</t>
  </si>
  <si>
    <t>财务管理</t>
  </si>
  <si>
    <t>负责所有费用结算</t>
  </si>
  <si>
    <t>演讲环节</t>
  </si>
  <si>
    <t>所有文案内容把控</t>
  </si>
  <si>
    <t>活动搭建/AV</t>
  </si>
  <si>
    <t>搭建AV管理</t>
  </si>
  <si>
    <t>主会场</t>
  </si>
  <si>
    <t>主会总控</t>
  </si>
  <si>
    <t>彩排导演</t>
  </si>
  <si>
    <t>演讲嘉宾对接</t>
  </si>
  <si>
    <t>主持人对接</t>
  </si>
  <si>
    <t>上台口</t>
  </si>
  <si>
    <t>下台口</t>
  </si>
  <si>
    <t>控台</t>
  </si>
  <si>
    <t>物料桌卡椅背贴摆放</t>
  </si>
  <si>
    <t>展区</t>
  </si>
  <si>
    <t>签到处</t>
  </si>
  <si>
    <t>展区展商沟通</t>
  </si>
  <si>
    <t>展品管理</t>
  </si>
  <si>
    <t>展区讲解</t>
  </si>
  <si>
    <t>嘉宾室</t>
  </si>
  <si>
    <t>第三方人员</t>
  </si>
  <si>
    <t>化妆师培训/现场对接</t>
  </si>
  <si>
    <t>礼仪培训/礼仪彩排/现场礼仪管理</t>
  </si>
  <si>
    <t>兼职/速记/摄影摄像</t>
  </si>
  <si>
    <t>酒店场地</t>
  </si>
  <si>
    <t>酒店沟通协调</t>
  </si>
  <si>
    <t>公安消防报批</t>
  </si>
  <si>
    <t>媒体</t>
  </si>
  <si>
    <t>活动媒体对接</t>
  </si>
  <si>
    <t>后勤管理</t>
  </si>
  <si>
    <t>物料/午餐</t>
  </si>
  <si>
    <t>活动现场</t>
  </si>
  <si>
    <t>活动控台</t>
  </si>
  <si>
    <t>台口</t>
  </si>
  <si>
    <t>活动节目</t>
  </si>
  <si>
    <t>伴手礼管理</t>
  </si>
  <si>
    <t>NO:10活动分工及现场执行表（通用版）</t>
  </si>
  <si>
    <t>2019/11/1（大活动预计留出五天搭建时间）</t>
  </si>
  <si>
    <t>活动时间：   2019年x月x日               活动地点： 深圳希尔顿酒店                     执行时长：3小时                     执行负责人：小文老师            物料统筹： 小文老师           场地统筹：小文老师</t>
  </si>
  <si>
    <t>10号</t>
  </si>
  <si>
    <t>11号</t>
  </si>
  <si>
    <t>12号</t>
  </si>
  <si>
    <t>13号</t>
  </si>
  <si>
    <t>14号</t>
  </si>
  <si>
    <t>工作部门</t>
  </si>
  <si>
    <t>工作时间</t>
  </si>
  <si>
    <t>工作内容</t>
  </si>
  <si>
    <t>第三方负责人</t>
  </si>
  <si>
    <t>乙方人员（执行工作）</t>
  </si>
  <si>
    <t>甲方客户（协助监督）</t>
  </si>
  <si>
    <t>供应商（搭建+技术）</t>
  </si>
  <si>
    <t>场地方（设备+服务）</t>
  </si>
  <si>
    <t>周一</t>
  </si>
  <si>
    <t>周二</t>
  </si>
  <si>
    <t>周三</t>
  </si>
  <si>
    <t>周四</t>
  </si>
  <si>
    <t>周五</t>
  </si>
  <si>
    <t>活动倒计时2天（可以预留更多时间）</t>
  </si>
  <si>
    <t>搭建组</t>
  </si>
  <si>
    <t>00:00-00:00</t>
  </si>
  <si>
    <t>活动舞美搭建（进场）</t>
  </si>
  <si>
    <t>1.舞美、大屏、灯光、音响的搭建；</t>
  </si>
  <si>
    <t>2.灯光、音响、大屏等技术调试；</t>
  </si>
  <si>
    <t>3.摄像、导播、喊红包等设备进场调试；</t>
  </si>
  <si>
    <t xml:space="preserve">4.直播线路的对接与调试 </t>
  </si>
  <si>
    <t>场外搭建（物料准备）</t>
  </si>
  <si>
    <t>1.所有物料的统筹；</t>
  </si>
  <si>
    <t>2.签到背板、座位图背板、展示区的搭建；</t>
  </si>
  <si>
    <t>3.领导席椅子的摆放；</t>
  </si>
  <si>
    <t>4.观众席椅签的制作及粘贴（有调整的后期再调）；</t>
  </si>
  <si>
    <t>5.饭店内水牌的摆放；</t>
  </si>
  <si>
    <t>6.停车场指示牌、地贴的摆放；</t>
  </si>
  <si>
    <t>7.赞助商及产品的对接。</t>
  </si>
  <si>
    <t>活动倒计时1天</t>
  </si>
  <si>
    <t>物料组</t>
  </si>
  <si>
    <t>1.活动通宵搭建中</t>
  </si>
  <si>
    <t>2.美工进场搭建</t>
  </si>
  <si>
    <t>3.所有工作人员到位、兼职到位</t>
  </si>
  <si>
    <t>4.网络布置及测试</t>
  </si>
  <si>
    <t>5.兼职礼品分装，装入手提袋</t>
  </si>
  <si>
    <t>6.会场内搭建收尾工作</t>
  </si>
  <si>
    <t>7.AV设备调试，灯光调试（注意公共区域成品保护、大型实物展示设备）</t>
  </si>
  <si>
    <t>8.家具布置（先布置体验区桌子椅子、再布置观众区及签到处等）</t>
  </si>
  <si>
    <t>9.签到处／拍照区／入口出展板搭建制作"</t>
  </si>
  <si>
    <t>10.视频文件导入控制台，PPT整理</t>
  </si>
  <si>
    <t>11.网络直播设备测试、信号测试</t>
  </si>
  <si>
    <t>12.摄像导播设备到场，安装调试</t>
  </si>
  <si>
    <t>13.活动技术彩排</t>
  </si>
  <si>
    <t>14.主持人流程联排</t>
  </si>
  <si>
    <t>15.会场整理工作</t>
  </si>
  <si>
    <t>活动开始现场执行</t>
  </si>
  <si>
    <t>倒计时活动推进（以5天为例）</t>
  </si>
  <si>
    <t>活动接待组</t>
  </si>
  <si>
    <t>停车管理</t>
  </si>
  <si>
    <t>1.现场来宾有：重要嘉宾、代理公司/广告客户、普通嘉宾、媒体；</t>
  </si>
  <si>
    <t>注意区别嘉宾身份信息</t>
  </si>
  <si>
    <t>2.活动停车区域有：停车位40个，周边停车位20个；共60个。</t>
  </si>
  <si>
    <t>确保车位数量充足</t>
  </si>
  <si>
    <t>3.进行停车位规划，初步规划重要嘉宾停车区域</t>
  </si>
  <si>
    <t>标识重要嘉宾车位，避免停车停错耽误时间</t>
  </si>
  <si>
    <t>4.每人负责一个区域，提前熟悉停车区域，跟该区域管理员打好招呼；</t>
  </si>
  <si>
    <t>专人负责，防止粉丝蹲点拍照合影，确保入场万无一失</t>
  </si>
  <si>
    <t>5.车证上有相对应的停车区域，请在车场入口处检查车证与停车区域是否一致，如一致，请引领</t>
  </si>
  <si>
    <t>一车一牌，防止闲杂人员入场</t>
  </si>
  <si>
    <t>6.重要嘉宾需协助开车门，下车请引领至活动嘉宾休息室，并对讲通知嘉宾接待组；</t>
  </si>
  <si>
    <t>接待组要时刻关注嘉宾到场信息，及时做好引领</t>
  </si>
  <si>
    <t>08:00-17:00</t>
  </si>
  <si>
    <t>7.其余来宾只需要引领至入口处即可；</t>
  </si>
  <si>
    <t>接待组做好座位引领，防止进错会场</t>
  </si>
  <si>
    <t>座位统筹</t>
  </si>
  <si>
    <t>1.重要嘉宾、的椅签是姓名，普通嘉宾和媒体的椅签是范围，客户的椅签是公司名；</t>
  </si>
  <si>
    <t>注意不要放错位置</t>
  </si>
  <si>
    <t>2.配合甲方进行座位规划；</t>
  </si>
  <si>
    <t>按照甲方需求进行位置统筹即可</t>
  </si>
  <si>
    <t>3.负责所有颁奖环节的嘉宾引导、组织和催场；</t>
  </si>
  <si>
    <t>和礼仪做好对接</t>
  </si>
  <si>
    <t>4.及时制作相关材料</t>
  </si>
  <si>
    <t>1）座位分布导览图（只有分布范围，进行喷绘制作）；
2）具体座位图（有具体领导姓名和代理公司划分，打印，给到嘉宾接待组）；</t>
  </si>
  <si>
    <t>5.现场与甲方随时沟通来宾座位的临时调整，并及时在对讲机告知各个接待组；</t>
  </si>
  <si>
    <t>一定要告知接待组，防止信息不对称，坐错位置</t>
  </si>
  <si>
    <t>6.如有调整，立即联系组长修改椅签并替换；</t>
  </si>
  <si>
    <t>及时沟通</t>
  </si>
  <si>
    <t>7.负责上午观众席饮用水摆放。</t>
  </si>
  <si>
    <t>确保数量足够，如不够及时采购，开好发票</t>
  </si>
  <si>
    <t>重要嘉宾接待</t>
  </si>
  <si>
    <t>1.重要嘉宾不需要签到；</t>
  </si>
  <si>
    <t>直接引领接待室</t>
  </si>
  <si>
    <t>2.将出席领导名单交给主持人管理组（及时加在串词中并告诉主持人）</t>
  </si>
  <si>
    <t>及时加在串词中并告诉主持人</t>
  </si>
  <si>
    <t>3.跟停车管理组对讲联系，负责引领至贵宾间休息；</t>
  </si>
  <si>
    <t>提前熟悉领导贵宾间分配</t>
  </si>
  <si>
    <t>4.确认实际到场名单，如需调整或增加椅签及时告知xxx；</t>
  </si>
  <si>
    <t>做好确认工作后保持物料分配准确</t>
  </si>
  <si>
    <t>5.协调安排礼仪人员岗位并提醒引领工作注意事项；</t>
  </si>
  <si>
    <t>做好提醒工作</t>
  </si>
  <si>
    <t>6.xxx、xxx负责贵宾间茶水等服务；</t>
  </si>
  <si>
    <t>通知酒店方进行服务</t>
  </si>
  <si>
    <t>7.经领导同意，协调拍照组抓拍领导到场、贵宾间及场内领导照片；</t>
  </si>
  <si>
    <t>一定要提前与领导打招呼，可否拍照</t>
  </si>
  <si>
    <t>8.对讲沟通台领导和重要嘉宾进场时间，引领领导按椅签就坐；</t>
  </si>
  <si>
    <t>控制时间和位置，提醒摄影师抓怕</t>
  </si>
  <si>
    <t>9.活动开始后切勿专注于看节目，要时刻关注领导席</t>
  </si>
  <si>
    <t>有领导离座，要马上跟随领导，抢在领带前面开门指引，协助甲方送领导</t>
  </si>
  <si>
    <t>10.需要提前到场熟悉领导座位。</t>
  </si>
  <si>
    <t>接待组直接进行引领</t>
  </si>
  <si>
    <t>1.与甲方共同负责代理公司的客户和普通嘉宾签到；</t>
  </si>
  <si>
    <t>防止闲杂人员混入会场</t>
  </si>
  <si>
    <t>2.以代理公司为单位，提前分好入场券（含普通嘉宾）；</t>
  </si>
  <si>
    <t>协助签到</t>
  </si>
  <si>
    <t>3.代理公司带着广告客户到签到处签到，并领取入场券；</t>
  </si>
  <si>
    <t>协助发放入场券</t>
  </si>
  <si>
    <t>4.协助甲方发放入场券，并做好登记；</t>
  </si>
  <si>
    <t>做好登记</t>
  </si>
  <si>
    <t>5.引领代理公司、广告客户和普通嘉宾至所属座位区域；</t>
  </si>
  <si>
    <t>6.来宾全部入场后，将实际到场的广告客户名单变更情况提供给抽奖组（不含普通嘉宾）</t>
  </si>
  <si>
    <t>务必确保到场客户名单准确</t>
  </si>
  <si>
    <t>7.如有座位变更，及时告知Xxx。</t>
  </si>
  <si>
    <t>一定及时告知</t>
  </si>
  <si>
    <t>媒体签到</t>
  </si>
  <si>
    <t>1.准备新闻稿、媒体名单、媒体费等；</t>
  </si>
  <si>
    <t>注意涉及机密材料不要泄密，通稿审核后再给媒体</t>
  </si>
  <si>
    <t>2.央视、地方媒体现场预热、提前报道；</t>
  </si>
  <si>
    <t>媒介部做好接待工作</t>
  </si>
  <si>
    <t>3.接待相关媒体，签到后发放工作证，引导至媒体区；</t>
  </si>
  <si>
    <t>提醒媒体区不要随意走动，接电话去侧门外面</t>
  </si>
  <si>
    <t>4.协助记者现场采访；</t>
  </si>
  <si>
    <t>提前录视频小样，特别是大咖</t>
  </si>
  <si>
    <t>5.活动结束后回收工作证。</t>
  </si>
  <si>
    <t>做好数量盘点</t>
  </si>
  <si>
    <t>舞台统筹组</t>
  </si>
  <si>
    <t>活动导演组</t>
  </si>
  <si>
    <t>1.把控活动整体流程和节奏；</t>
  </si>
  <si>
    <t>做好记录问题的工作</t>
  </si>
  <si>
    <t>2.统筹舞台组各部口之间的配合；</t>
  </si>
  <si>
    <t>各部门人一定要全部到齐</t>
  </si>
  <si>
    <t>3.指导时间导播组把控现场时间；</t>
  </si>
  <si>
    <t>时间导播注意倒计时时间，及时举牌提醒嘉宾</t>
  </si>
  <si>
    <t>4.指导导播摄像团队完成现场网络视频直播及录像；</t>
  </si>
  <si>
    <t>舞台监督</t>
  </si>
  <si>
    <t>1.制定舞台技术流程单（已做好，根据现场状况随时修改）；</t>
  </si>
  <si>
    <t>所有部门人手一份</t>
  </si>
  <si>
    <t>2.统筹管理音频、视频、图片、PPT及道具等与舞台相关的所有环节；</t>
  </si>
  <si>
    <t>确定所有文件格式无误</t>
  </si>
  <si>
    <t>3.按照流程推进各个环节；</t>
  </si>
  <si>
    <t>4.统筹管理所有演出人员、演讲嘉宾的催场、上下场及站位；</t>
  </si>
  <si>
    <t>提醒主持人不要超时</t>
  </si>
  <si>
    <t>5.与时间编导组及时沟通，与主持人组对接流程。</t>
  </si>
  <si>
    <t>严格按流程走，不要自我发挥太多</t>
  </si>
  <si>
    <t>主持人管理</t>
  </si>
  <si>
    <t>1.通知总主持人对词、彩排和到场时间；</t>
  </si>
  <si>
    <t>提前三天确定时间，主持人一定要到现场</t>
  </si>
  <si>
    <t>2.提前给总主持人发串词；</t>
  </si>
  <si>
    <t>提前三天发给主持人熟悉，最新版第一时间发</t>
  </si>
  <si>
    <t>3.提前要总主持人服装照片，并给领导和导演审定；</t>
  </si>
  <si>
    <t>确定2种不同风格的供导演选择</t>
  </si>
  <si>
    <t>4.彩排代走位，告知主持人相关注意事项；</t>
  </si>
  <si>
    <t>尽量让主持人过来，同时确定代彩排的同事人选</t>
  </si>
  <si>
    <t>5.根据彩排进行修改和调整主持人串词，并制作手卡；</t>
  </si>
  <si>
    <t>手卡注意不要遮挡品牌方信息</t>
  </si>
  <si>
    <t>6.协调x日主持人化妆、换装、用餐等事宜；</t>
  </si>
  <si>
    <t>做好服务工作</t>
  </si>
  <si>
    <t>7.做好活动彩排工作、设置临时办公区</t>
  </si>
  <si>
    <t>临时上网、打印、手卡等</t>
  </si>
  <si>
    <t>8.与领导接待组及时沟通到场领导名单，与主持人对接；</t>
  </si>
  <si>
    <t>名单有变化第一时间通知主持人调整</t>
  </si>
  <si>
    <t>9.主持人上下场提醒。</t>
  </si>
  <si>
    <t>做好提醒工作，主持人不要离开你的视线</t>
  </si>
  <si>
    <t>演讲嘉宾管理</t>
  </si>
  <si>
    <t>1.通知演讲嘉宾x日彩排时间和x日到场时间；</t>
  </si>
  <si>
    <t>提前三天通知时间，确保到场</t>
  </si>
  <si>
    <t>2.提前跟演讲嘉宾沟通演讲用PPT、配套音视频素材及演讲稿；</t>
  </si>
  <si>
    <t>确定道具和内容无误</t>
  </si>
  <si>
    <t>3.提前跟演讲嘉宾沟通服装要求；</t>
  </si>
  <si>
    <t>4.彩排代走位，告知演讲嘉宾相关注意事项；</t>
  </si>
  <si>
    <t>尽量让嘉宾过来，同时确定代彩排的同事人选</t>
  </si>
  <si>
    <t>5.根据彩排修改和调整大屏幕PPT、演讲稿等；</t>
  </si>
  <si>
    <t>及时让设计师调整尺寸</t>
  </si>
  <si>
    <t>6.协调x日化妆、换装、用餐等事宜；</t>
  </si>
  <si>
    <t>7.安排随行人员座位及用餐等事宜；</t>
  </si>
  <si>
    <t>视情况看是否需独立用餐</t>
  </si>
  <si>
    <t>8.带演讲嘉宾找财务结算费用。</t>
  </si>
  <si>
    <t>财务统一结算</t>
  </si>
  <si>
    <t>节目演员管理</t>
  </si>
  <si>
    <t>1.通知演员x日彩排时间和x日到场时间；</t>
  </si>
  <si>
    <t>2.提前要演员服装照片给导演和领导审定；</t>
  </si>
  <si>
    <t>3.根据话剧导演意见，进一步优化和修改话剧剧本；</t>
  </si>
  <si>
    <t>修改第一时间反馈回来</t>
  </si>
  <si>
    <t>4.组织和调度礼仪的颁奖流程；</t>
  </si>
  <si>
    <t>与礼仪对接好流程</t>
  </si>
  <si>
    <t>5.彩排代走位，告知演员相关注意事项；</t>
  </si>
  <si>
    <t>尽量让演员过来，同时确定代彩排的同事人选</t>
  </si>
  <si>
    <t>7.环节上下场提醒；</t>
  </si>
  <si>
    <t>做好提醒工作，演员不要离开你的视线</t>
  </si>
  <si>
    <t>8.表演结束后带所有演员去财务结算费用。</t>
  </si>
  <si>
    <t>道具管理</t>
  </si>
  <si>
    <t>1.主持人手持和嘉宾头戴分配管理；</t>
  </si>
  <si>
    <t>标好主持人和嘉宾话筒，不要拿混了</t>
  </si>
  <si>
    <t>2.话筒立杆分配管理；</t>
  </si>
  <si>
    <t>注意每个嘉宾身高问题</t>
  </si>
  <si>
    <t>3.各环节道具物料管理</t>
  </si>
  <si>
    <t>道具组统一协调</t>
  </si>
  <si>
    <t>时间导播</t>
  </si>
  <si>
    <t>1.全场时间记录；</t>
  </si>
  <si>
    <t>做好时间记录工作</t>
  </si>
  <si>
    <t>2.按照导演要求，重点把控环节时间</t>
  </si>
  <si>
    <t>随时反馈</t>
  </si>
  <si>
    <t>3.准备倒计时牌，及时提醒时间。</t>
  </si>
  <si>
    <t>不断重复提醒，避免超时</t>
  </si>
  <si>
    <t>化妆间管理</t>
  </si>
  <si>
    <t>1.提前统计化妆的人数，制定化妆间分配方案，并将化妆名单贴在化妆间门上；</t>
  </si>
  <si>
    <t>做好统筹，不要占用多余化妆间</t>
  </si>
  <si>
    <t>2.对接化妆师，按照化妆分配方案引导至各自化妆间；</t>
  </si>
  <si>
    <t>化妆师注意时间，不要超时</t>
  </si>
  <si>
    <t>3.协助舞台监督盯人催场。</t>
  </si>
  <si>
    <t>盯着演员上场时间</t>
  </si>
  <si>
    <t>技术统筹组</t>
  </si>
  <si>
    <t>音频统筹</t>
  </si>
  <si>
    <t>1.协助和提示音响师，按照流程播放音频、环节音乐、垫乐等；</t>
  </si>
  <si>
    <t>背景音乐需要导演的建议，千万不能太low</t>
  </si>
  <si>
    <t xml:space="preserve">2.公司苹果本PVP1台：播放上场乐、垫乐、抽奖音乐、氛围音乐； </t>
  </si>
  <si>
    <t>做好设备备份</t>
  </si>
  <si>
    <t>3、键盘手PC笔记本1台、合成器、效果器；</t>
  </si>
  <si>
    <t xml:space="preserve">4、输出给主扩、返送两组立体声信号； </t>
  </si>
  <si>
    <t>5、所有无线话筒、有线话筒接入。</t>
  </si>
  <si>
    <t>视频统筹</t>
  </si>
  <si>
    <t>1、PVP供应商苹果本2台：播放主视觉、VCR、MV、VJ；</t>
  </si>
  <si>
    <t>2、PPT公司PC笔记本2台：播放；</t>
  </si>
  <si>
    <t>3、统筹主屏、提示器、侧屏、底屏的具体人员分工。</t>
  </si>
  <si>
    <t>按流程单执行即可</t>
  </si>
  <si>
    <t>导播统筹</t>
  </si>
  <si>
    <t>1、调度现场3位摄像并将切换信号录制进入硬盘录像机；</t>
  </si>
  <si>
    <t>2、录机监看；</t>
  </si>
  <si>
    <t>3、将现场信号转给xxx；</t>
  </si>
  <si>
    <t>4、活动结束后提交全程记录视频文件。</t>
  </si>
  <si>
    <t>灯光统筹</t>
  </si>
  <si>
    <t>1、舞美灯光控制；2、追光2支。</t>
  </si>
  <si>
    <t>后勤保障组</t>
  </si>
  <si>
    <t>1.协助安保人员开展安全保卫工作；</t>
  </si>
  <si>
    <t>提前与安保协调好重点位置</t>
  </si>
  <si>
    <t>2.主要值勤区域：签到处、贵宾间、舞台口、观众席、入场口；</t>
  </si>
  <si>
    <t>安排好人数</t>
  </si>
  <si>
    <t>3.协助安保检查入场凭证：工作证、入场券、邀请函；</t>
  </si>
  <si>
    <t>做好协助工作，结束后统一去主会场</t>
  </si>
  <si>
    <t>4.管理现场秩序，提醒大声喧哗和随意走动的来宾，遇到寻衅滋事者，果断处置，保证演出顺利进行；</t>
  </si>
  <si>
    <t>按照预案执行即可</t>
  </si>
  <si>
    <t xml:space="preserve">5.负责重点嘉宾司机的休息安排，停车管理组对接，引领司机在大厅休息。 </t>
  </si>
  <si>
    <t>提醒司机活动结束时间</t>
  </si>
  <si>
    <t>财务</t>
  </si>
  <si>
    <t>1.现场支出结算；</t>
  </si>
  <si>
    <t>统一到财务部结算</t>
  </si>
  <si>
    <t>2.饭票发放，结算找财务xx对接；</t>
  </si>
  <si>
    <t>3.负责现场相关费用结算，包括演讲嘉宾、化妆师、摄影师、节目演员、各媒体等，均采用现金结算。</t>
  </si>
  <si>
    <t>运输</t>
  </si>
  <si>
    <t>1.活动物料运输；</t>
  </si>
  <si>
    <t>进行前后盘点入库</t>
  </si>
  <si>
    <t>2.对讲机提前充电及现场发放和回收；</t>
  </si>
  <si>
    <t>注意数量</t>
  </si>
  <si>
    <t>3.协助定工作餐和分发餐饮。</t>
  </si>
  <si>
    <t>注意在指定地区用餐</t>
  </si>
  <si>
    <t>撤场</t>
  </si>
  <si>
    <t xml:space="preserve">1.提前办理出门条，并分发给各协力公司现场代表（搭建、AV灯光、我方）
</t>
  </si>
  <si>
    <t>2.协调不同供应商车辆到达现场时间，使现场物料及器材尽快、有序搬出</t>
  </si>
  <si>
    <t>3.还可再次利用的物料原则上都应统一带回公司</t>
  </si>
  <si>
    <t>4.现场运营备品根据备品清单逐一清点，统一带回公司</t>
  </si>
  <si>
    <t>5.撤场先后顺序原则上按照客户物品先撤出、然后我方运营物品撤出，最后外协公司物品及器材撤出</t>
  </si>
  <si>
    <t>6.现场还应有专人于物品及人员撤离完毕后与场地方办理场地交还事宜</t>
  </si>
  <si>
    <t>其它</t>
  </si>
  <si>
    <t>1.所有工作人员，请于x日上午务必统一穿着灰色套装工装，佩戴工作证上岗；
2.女同志要穿黑色船鞋，透明黑丝袜，长头发的要把头发梳起来，戴耳钉；</t>
  </si>
  <si>
    <t>接待组的女同志，务必于x日11点之前自行完成上妆</t>
  </si>
  <si>
    <t>注意：场地方协助流程</t>
  </si>
  <si>
    <t>位置</t>
  </si>
  <si>
    <t>协助时间</t>
  </si>
  <si>
    <t>场地协助内容</t>
  </si>
  <si>
    <t>场地协助人</t>
  </si>
  <si>
    <t>内容</t>
  </si>
  <si>
    <t>提供车位数量、最佳位置</t>
  </si>
  <si>
    <t>确认车位数量</t>
  </si>
  <si>
    <t>确认</t>
  </si>
  <si>
    <t>工作人员指引路线</t>
  </si>
  <si>
    <t>路线指引</t>
  </si>
  <si>
    <t>序厅</t>
  </si>
  <si>
    <t>提供电源、开放运货通道</t>
  </si>
  <si>
    <t>签到、展示区搭建</t>
  </si>
  <si>
    <t>提供托盘签到、补充伴手礼</t>
  </si>
  <si>
    <t>活动签到&amp;发放伴手礼</t>
  </si>
  <si>
    <t>VIP电梯、各扶梯、卫生间开放</t>
  </si>
  <si>
    <t>序厅各区域检查</t>
  </si>
  <si>
    <t>提供电源、开放运货通道
摆台、摆放纸、笔、水</t>
  </si>
  <si>
    <t>主会场搭建</t>
  </si>
  <si>
    <t>地面清洁、细节检查</t>
  </si>
  <si>
    <t>彩排</t>
  </si>
  <si>
    <t>室内温度控制、及时补充饮用水</t>
  </si>
  <si>
    <t>活动开始</t>
  </si>
  <si>
    <t>化妆间开放、提供电源</t>
  </si>
  <si>
    <t>化妆间搭建</t>
  </si>
  <si>
    <t>化妆间开放、补充饮用水、
保持室内整洁、温度适宜</t>
  </si>
  <si>
    <t>指引嘉宾化妆</t>
  </si>
  <si>
    <t>衣帽间
&amp;更衣室</t>
  </si>
  <si>
    <t>衣帽间&amp;更衣室开放，衣帽间保持整洁
更衣室提前开放空调</t>
  </si>
  <si>
    <t>指引嘉宾寄存衣物</t>
  </si>
  <si>
    <t>道具间
&amp;物料间</t>
  </si>
  <si>
    <t>开放道具间&amp;物料间，存放道具及伴手礼</t>
  </si>
  <si>
    <t>道具到达会场</t>
  </si>
  <si>
    <t>按节目顺序摆放道具，道具提前准备</t>
  </si>
  <si>
    <t>用餐</t>
  </si>
  <si>
    <t>上午彩排结束后，为工作人员提供工作餐</t>
  </si>
  <si>
    <t>午餐</t>
  </si>
  <si>
    <t>提前摆放餐具、上冷餐</t>
  </si>
  <si>
    <t>晚宴</t>
  </si>
  <si>
    <t>活动结束，工作人员指引嘉宾就餐</t>
  </si>
  <si>
    <t>陆续上餐、及时补充酒水、纸巾、替换餐具</t>
  </si>
  <si>
    <t>服务</t>
  </si>
  <si>
    <t>提供桌花、热水、插线板</t>
  </si>
  <si>
    <t>其他服务</t>
  </si>
  <si>
    <t>NO:11活动嘉宾行程安排表（含住宿、接机等）</t>
  </si>
  <si>
    <t>说明：本表格主要用于详细记录参加活动的重要嘉宾的抵达行程、活动参与、返程安排等信息，具体包括航班、车次、出发时间、到达时间、活动任务内容、接送负责人等等，便于接待员做好全程的接待与服务工作。</t>
  </si>
  <si>
    <t>活动名称：xxx大型主题活动                        活动时间：     2019年10月1日-5日                                   活动地点： 深圳希尔顿酒店                               嘉宾总人数：500人</t>
  </si>
  <si>
    <t>职务</t>
  </si>
  <si>
    <t>手机</t>
  </si>
  <si>
    <t>抵达行程</t>
  </si>
  <si>
    <t>活动安排</t>
  </si>
  <si>
    <t>返程安排</t>
  </si>
  <si>
    <t>备注（特别要求）</t>
  </si>
  <si>
    <t>航班/车次</t>
  </si>
  <si>
    <t>出发城市</t>
  </si>
  <si>
    <t>航站楼号</t>
  </si>
  <si>
    <t>出发时间</t>
  </si>
  <si>
    <t>到达时间</t>
  </si>
  <si>
    <t>入住酒店</t>
  </si>
  <si>
    <t>房间号</t>
  </si>
  <si>
    <t>接待负责人</t>
  </si>
  <si>
    <t>参加活动环节</t>
  </si>
  <si>
    <t>活动任务</t>
  </si>
  <si>
    <t>具体时间</t>
  </si>
  <si>
    <t>具体场所</t>
  </si>
  <si>
    <t>返回目的城市</t>
  </si>
  <si>
    <t>返回时间</t>
  </si>
  <si>
    <t>接送负责人</t>
  </si>
  <si>
    <t>小许老师</t>
  </si>
  <si>
    <t>大智科技</t>
  </si>
  <si>
    <t>董事长</t>
  </si>
  <si>
    <t>afaf@qq.com</t>
  </si>
  <si>
    <t>东方航空MU5294</t>
  </si>
  <si>
    <t>北京</t>
  </si>
  <si>
    <t>首都国际机场T2</t>
  </si>
  <si>
    <t>10月1日上午08：00</t>
  </si>
  <si>
    <t>10月1日午12：00</t>
  </si>
  <si>
    <t>希尔顿</t>
  </si>
  <si>
    <t>文秘书</t>
  </si>
  <si>
    <t>活动致辞环节</t>
  </si>
  <si>
    <t>演讲</t>
  </si>
  <si>
    <t>16:00-16:05</t>
  </si>
  <si>
    <t>深圳宝安机场T2</t>
  </si>
  <si>
    <t>深圳</t>
  </si>
  <si>
    <t>回民（餐饮准备）</t>
  </si>
  <si>
    <t>NO:12活动重要嘉宾管理表（通用版）</t>
  </si>
  <si>
    <t xml:space="preserve">活动总负责人: 小文老师（1234545677） </t>
  </si>
  <si>
    <t>接待组组长：小文老师</t>
  </si>
  <si>
    <t xml:space="preserve">活动时间： 2019年10月1日 </t>
  </si>
  <si>
    <t xml:space="preserve">  活动地点：深圳希尔顿酒店</t>
  </si>
  <si>
    <t>进场时间：上午08:00</t>
  </si>
  <si>
    <t>日期</t>
  </si>
  <si>
    <t>时间</t>
  </si>
  <si>
    <t>具体内容</t>
  </si>
  <si>
    <t>物料</t>
  </si>
  <si>
    <t>确认阶段</t>
  </si>
  <si>
    <t>活动内容</t>
  </si>
  <si>
    <t>是否需要帮忙准备活动内容（演讲稿、美化PPT）</t>
  </si>
  <si>
    <t>确认话术</t>
  </si>
  <si>
    <t>生活禁忌</t>
  </si>
  <si>
    <t>是否禁用食品、必备药品</t>
  </si>
  <si>
    <t>办公用品</t>
  </si>
  <si>
    <t>是否需要提供笔记本电脑等办公用品</t>
  </si>
  <si>
    <t>行程人员</t>
  </si>
  <si>
    <t>是否有团队或亲属随行（希望住宿安排）</t>
  </si>
  <si>
    <t>住宿服务</t>
  </si>
  <si>
    <t>住宿要求（无烟楼层、宽带、交通位置）</t>
  </si>
  <si>
    <t>专车服务</t>
  </si>
  <si>
    <t>是否需要专车和私导服务</t>
  </si>
  <si>
    <t>代理高铁机票</t>
  </si>
  <si>
    <t>是否需要代办返程高铁或机票</t>
  </si>
  <si>
    <t>接机接站</t>
  </si>
  <si>
    <t>是否需要提前接机接站</t>
  </si>
  <si>
    <t>准备阶段</t>
  </si>
  <si>
    <t>倒计时一周</t>
  </si>
  <si>
    <t>确认领导是否能参加活动</t>
  </si>
  <si>
    <t>落实到场时间</t>
  </si>
  <si>
    <t>倒计时一天</t>
  </si>
  <si>
    <t>接机提前安排车</t>
  </si>
  <si>
    <t>活动当天</t>
  </si>
  <si>
    <t>现场确认</t>
  </si>
  <si>
    <t>不来确认替代人员</t>
  </si>
  <si>
    <t>第一天</t>
  </si>
  <si>
    <t>行程规划</t>
  </si>
  <si>
    <t>提前与司机沟通活动路线，避免走错路</t>
  </si>
  <si>
    <t>提前发送活动具体位置（标记好）</t>
  </si>
  <si>
    <t>位置越详细越好</t>
  </si>
  <si>
    <t>按照重要嘉宾车位规划，安排专人停车，引导嘉宾进场</t>
  </si>
  <si>
    <t>VIP停车位指示牌</t>
  </si>
  <si>
    <t>提前发送电子版给司机</t>
  </si>
  <si>
    <t>嘉宾住宿</t>
  </si>
  <si>
    <t>酒店房间提前预定，将酒店位置和房间号提前发给嘉宾</t>
  </si>
  <si>
    <t>位置通知话术</t>
  </si>
  <si>
    <t>自助晚餐</t>
  </si>
  <si>
    <t>发送餐厅位置和营业时间，提示明天活动时间和流程</t>
  </si>
  <si>
    <t>会餐通知话术</t>
  </si>
  <si>
    <t>询问是否有忌口或者有其它要求</t>
  </si>
  <si>
    <t>早餐管理</t>
  </si>
  <si>
    <t>礼仪引导早餐区+协助取餐+正确入座</t>
  </si>
  <si>
    <t>建立隔档，方便嘉宾私密交流</t>
  </si>
  <si>
    <t>提前和场地方沟通，不要打扰</t>
  </si>
  <si>
    <t>第二天</t>
  </si>
  <si>
    <t>VIP室管理</t>
  </si>
  <si>
    <t>1、礼仪引导嘉宾到VIP室，提前准备茶水点心等
2、接待组介绍活动嘉宾，安排摄影师拍照和合影
3、与嘉宾确认座位、活动流程、活动内容等
4、活动开始前整理仪容+礼仪催场提醒
5、礼仪引领嘉宾进入到主会场和嘉宾座位</t>
  </si>
  <si>
    <t xml:space="preserve">1、茶点（酒店预备）
2、确认座位、活动流程、活动内容
3、安排摄影摄像
4、礼仪催场协调
5、茶点（酒店预备）
</t>
  </si>
  <si>
    <t>在此期间防止外部人员打扰</t>
  </si>
  <si>
    <t>主会场管理</t>
  </si>
  <si>
    <t xml:space="preserve">1、礼仪引导VIP座位（其中有一名翻译）
2、礼仪催场（上台致辞）
3、礼仪上下台引领 
4、礼仪茶歇引领
</t>
  </si>
  <si>
    <t xml:space="preserve">1、翻译座位
2、礼仪引领
</t>
  </si>
  <si>
    <t>按照礼仪培训单执行即可</t>
  </si>
  <si>
    <t>午餐管理</t>
  </si>
  <si>
    <t>1、确定座位位置，安排自助餐比较好</t>
  </si>
  <si>
    <t>礼仪引领</t>
  </si>
  <si>
    <t>活动晚宴</t>
  </si>
  <si>
    <t>1、引导至主桌相关座位
2、致辞前催场（致辞PPT需要在投在大屏幕）
3、活动劳务结算确认
4、送领导离场</t>
  </si>
  <si>
    <t xml:space="preserve">1、财务结算
2、礼仪引领
</t>
  </si>
  <si>
    <t>提醒财务部结算费用</t>
  </si>
  <si>
    <t>NO:13活动嘉宾座位表（通用版）</t>
  </si>
  <si>
    <t>活动负责人（联系电话）： 小文老师                  活动总人数： 500人                   活动时间：2019年10月1日                        活动地点：深圳希尔顿酒店</t>
  </si>
  <si>
    <t>技术区</t>
  </si>
  <si>
    <t>舞台区</t>
  </si>
  <si>
    <t>后台区</t>
  </si>
  <si>
    <t>媒体席</t>
  </si>
  <si>
    <t>通道</t>
  </si>
  <si>
    <t>嘉宾席</t>
  </si>
  <si>
    <t>等候区</t>
  </si>
  <si>
    <t>客户席</t>
  </si>
  <si>
    <t>观众席</t>
  </si>
  <si>
    <t>机位</t>
  </si>
  <si>
    <t>入口</t>
  </si>
  <si>
    <t>后方（控场区）</t>
  </si>
  <si>
    <t>NO:14活动现场签到表（通用版）</t>
  </si>
  <si>
    <t>活动邀约负责人：小文老师</t>
  </si>
  <si>
    <t>活动总负责人：小文老师</t>
  </si>
  <si>
    <t>注意事项：</t>
  </si>
  <si>
    <t>活动地点：深圳希尔顿酒店</t>
  </si>
  <si>
    <t>报名人数：500</t>
  </si>
  <si>
    <t>1.重要邀约嘉宾需发邀请函正式邀请，务必确定是否到场，不用参与电子签到，接待组直接引领嘉宾室即可</t>
  </si>
  <si>
    <t>实到人数：350</t>
  </si>
  <si>
    <t>2.本文档涉及嘉宾信息，为活动保密文件，工作人员除必要联系之外，请勿对外公开，违者必究</t>
  </si>
  <si>
    <t>公司</t>
  </si>
  <si>
    <t>邀约负责人</t>
  </si>
  <si>
    <t>嘉宾签到</t>
  </si>
  <si>
    <t>董事长兼任总经理</t>
  </si>
  <si>
    <t>小文老师（秘书）</t>
  </si>
  <si>
    <t>（嘉宾签名）</t>
  </si>
  <si>
    <t>NO:15活动礼仪培训表（通用版）</t>
  </si>
  <si>
    <t>活动时间：2019年10月1日                  活动负责人：小文老师                 活动地点：深圳希尔顿酒店                  礼仪人数：7人                         集合时间地点：2019年10月1日上午07：00希尔顿大门口</t>
  </si>
  <si>
    <t>注意事项：确定礼仪服装，提前熟悉场地（包括用餐区、酒店区、主会、分会、熟悉重要嘉宾室环境及卫生间和主会场入径）,分别进行培训</t>
  </si>
  <si>
    <t>总人数</t>
  </si>
  <si>
    <t>工作时间点</t>
  </si>
  <si>
    <t>礼仪工作流程对接</t>
  </si>
  <si>
    <t>礼仪7人</t>
  </si>
  <si>
    <t>工作人数</t>
  </si>
  <si>
    <t>活动前期</t>
  </si>
  <si>
    <t>活动餐厅区</t>
  </si>
  <si>
    <t>就餐引导</t>
  </si>
  <si>
    <t>早餐见面会，引导嘉宾就餐</t>
  </si>
  <si>
    <t>1人</t>
  </si>
  <si>
    <t>嘉宾接待室</t>
  </si>
  <si>
    <t>会场引导</t>
  </si>
  <si>
    <t>1.提前熟悉重要嘉宾接待室环境及卫生间和主会场入口，站在两侧迎宾
2.重要嘉宾接待工作，活动开始引导重要嘉宾至主会场</t>
  </si>
  <si>
    <t>2人</t>
  </si>
  <si>
    <t>活动会场</t>
  </si>
  <si>
    <t>主会场舞台两侧</t>
  </si>
  <si>
    <t>嘉宾就座\上下台引导</t>
  </si>
  <si>
    <t>1.负责引导重要嘉宾嘉宾就坐(一定要引导到座位上，避免坐错位置)
2.引导嘉宾到座位区后，微笑示意请嘉宾入座，行点头礼后离开迎接下一位嘉宾
3.提前准备，负责引导演讲嘉宾上台
4.当引导演讲嘉宾上台时,应当让客人走前面,礼仪单臂前伸走在侧面或后面
5.提前准备，负责引导嘉宾下台
6.走在嘉宾身前，手势提醒嘉宾注意台阶
7.负责引领嘉宾回到原来座位席
8.负责引领嘉宾回到嘉宾室或午餐区</t>
  </si>
  <si>
    <t>4人</t>
  </si>
  <si>
    <t>主舞台</t>
  </si>
  <si>
    <t>颁奖引导</t>
  </si>
  <si>
    <t>1引领至主舞台，手捧奖杯和证书，配合嘉宾颁奖，注意不要挡住嘉宾和获奖者镜头</t>
  </si>
  <si>
    <t>5人</t>
  </si>
  <si>
    <t>晚宴会场</t>
  </si>
  <si>
    <t>致辞引导</t>
  </si>
  <si>
    <t>1.负责引导领导上台，领导在前面,礼仪单臂前伸走在侧面或后面</t>
  </si>
  <si>
    <t>随时</t>
  </si>
  <si>
    <t>2.配合主持人，随时递送麦克风（备用的）</t>
  </si>
  <si>
    <t>敬酒引导</t>
  </si>
  <si>
    <t>1.负责领导致辞敬酒环节,走到舞台上,站在领导侧边,将托盘上的红酒递给领导，并及时添加红酒</t>
  </si>
  <si>
    <t>抽奖引导</t>
  </si>
  <si>
    <t>1.配合主持人，负责抽取幸运奖品
2.当主持人宣布到了抽奖环节的时候，请礼仪微笑拿着放好奖票的奖箱上台，站在主持人身旁
3.当主持人颁布奖品,并请出奖品时,礼仪托举或捧着奖品上台,走至主持人侧边或发奖人身侧边</t>
  </si>
  <si>
    <t>NO:16活动摄影师培训表（通用版）</t>
  </si>
  <si>
    <t>活动摄影师：小文老师+xx老师</t>
  </si>
  <si>
    <t>拍摄时间：2019年10月1日上午08:00—下午18:00</t>
  </si>
  <si>
    <t>活动地点：希尔顿酒店</t>
  </si>
  <si>
    <t>摄影照片关键流程提醒：</t>
  </si>
  <si>
    <t>流程解说</t>
  </si>
  <si>
    <t>1.提前给摄影师按流程单讲解关键流程，重点提示关键拍照环节和镜头，要求每个环节必须有3-5张高质量照片，不要求数量，一定要求质量；</t>
  </si>
  <si>
    <t>重点照片</t>
  </si>
  <si>
    <t>2.活动全景照片+每个环节亮点照片+重要人物特写照片+签到照片+舞台空镜照片；</t>
  </si>
  <si>
    <t>精彩抓拍</t>
  </si>
  <si>
    <t>3.签到/观众席提问互动抓拍，观众认真观看特写抓拍；</t>
  </si>
  <si>
    <t>主持人照片</t>
  </si>
  <si>
    <t>4.活动主持人及重要演员和嘉宾特写照片；</t>
  </si>
  <si>
    <t>领导照片</t>
  </si>
  <si>
    <t>5.协调领导接待组，抓拍领导照片，包括VIP室、领导入场、落座、握手等，并确保照片效果及质量，此照片极其重要；</t>
  </si>
  <si>
    <t>金句抓拍</t>
  </si>
  <si>
    <t>6.嘉宾金句抓拍（要求人+屏幕文字），后期处理要形成二次传播；</t>
  </si>
  <si>
    <t>照片拷贝</t>
  </si>
  <si>
    <t>7.现场对接媒介部随时拷照片，发推文和新闻稿用；</t>
  </si>
  <si>
    <t>工作场景</t>
  </si>
  <si>
    <t>8.拍摄一些公司员工认真工作的场景照，后期做活动简介使用；</t>
  </si>
  <si>
    <t>活动合影</t>
  </si>
  <si>
    <t>9.活动结束拍摄领导合影和工作人员合影。</t>
  </si>
  <si>
    <t>地点</t>
  </si>
  <si>
    <t>拍摄要求（照片数量酌情、要清晰、表达出场景、标红部分很重要）</t>
  </si>
  <si>
    <t>活动主会场</t>
  </si>
  <si>
    <t xml:space="preserve">活动会场布置     </t>
  </si>
  <si>
    <t>（近景／远景)，必须 带方案名称和LOGO：3-5张</t>
  </si>
  <si>
    <t>会场空境</t>
  </si>
  <si>
    <t>活动签到台：3-5张</t>
  </si>
  <si>
    <t>活动舞台搭建：3-5张</t>
  </si>
  <si>
    <t>舞台反拍观众席：3-5张</t>
  </si>
  <si>
    <t>活动会场门口</t>
  </si>
  <si>
    <t>嘉宾+观众进场签到</t>
  </si>
  <si>
    <t>观众签到特写镜头+中远景：3-5张</t>
  </si>
  <si>
    <t>活动入场口</t>
  </si>
  <si>
    <t>嘉宾领导入场照片</t>
  </si>
  <si>
    <t>嘉宾特写+中远景(带背景板画面)：3-5张</t>
  </si>
  <si>
    <t>活动嘉宾席</t>
  </si>
  <si>
    <t>嘉宾交流</t>
  </si>
  <si>
    <t>VIP与工作人员交流特写(带展区背景板画面)：3-5张</t>
  </si>
  <si>
    <t>VIP交流</t>
  </si>
  <si>
    <t>VIP交流/VIP入场：3-5张</t>
  </si>
  <si>
    <t>活动正式开场</t>
  </si>
  <si>
    <t>舞台&amp;观众席：3-5张</t>
  </si>
  <si>
    <t>主持人开场</t>
  </si>
  <si>
    <t>主持人特写+全景：3-5张</t>
  </si>
  <si>
    <t>领导致辞</t>
  </si>
  <si>
    <t>嘉宾特写 （半身+全身）：3-5张</t>
  </si>
  <si>
    <t>领导集体启动仪式</t>
  </si>
  <si>
    <t>舞台背景／近景／远景：5-10张</t>
  </si>
  <si>
    <t>台上台下互动环节</t>
  </si>
  <si>
    <t>观众提问等，观众远景和特写：3-5张</t>
  </si>
  <si>
    <t>中场休息</t>
  </si>
  <si>
    <t>抓怕交流</t>
  </si>
  <si>
    <t>抓怕领导与领导交流照片：3-5张</t>
  </si>
  <si>
    <t>活动分会场</t>
  </si>
  <si>
    <t>分论坛讨论</t>
  </si>
  <si>
    <t>嘉宾发表演讲+金句环节：3-5张</t>
  </si>
  <si>
    <t>活动晚宴会场</t>
  </si>
  <si>
    <t>活动晚宴会场装置</t>
  </si>
  <si>
    <t>舞台背景／近景／远景) 各种指示系统+装饰：3-5张</t>
  </si>
  <si>
    <t>重要嘉宾入场</t>
  </si>
  <si>
    <t>来宾入场，交流，握手等：3-5张</t>
  </si>
  <si>
    <t>晚宴开场节目</t>
  </si>
  <si>
    <t>光影画(舞台背景／近景／远景)：3-5张</t>
  </si>
  <si>
    <t>重要领导致辞</t>
  </si>
  <si>
    <t>舞台背景／近景／远景)：3-5张</t>
  </si>
  <si>
    <t>主桌领导敬酒</t>
  </si>
  <si>
    <t>抓拍交流寒暄微笑镜头 ：3-5张</t>
  </si>
  <si>
    <t>晚宴特色节目</t>
  </si>
  <si>
    <t>相声(舞台背景／近景／远景)：3-5张</t>
  </si>
  <si>
    <t>伴餐节目</t>
  </si>
  <si>
    <t>节目特写：3-5张</t>
  </si>
  <si>
    <t>颁奖环节+大合影照片</t>
  </si>
  <si>
    <t>获奖嘉宾特写：3-5张，活动人群合影:3-6张，工作人员合影3-6张</t>
  </si>
  <si>
    <t>按自己要求填写</t>
  </si>
  <si>
    <t>NO:17活动设备清单（通用版）</t>
  </si>
  <si>
    <t>供应商（联系方式） :                                  活动负责人（联系方式）：                                             紧急故障联系方式：</t>
  </si>
  <si>
    <t xml:space="preserve">       设备清单EQUIPMENTS LIST</t>
  </si>
  <si>
    <t xml:space="preserve">备注 </t>
  </si>
  <si>
    <t>视频部分</t>
  </si>
  <si>
    <t>P3 LED大屏幕 L:24*H:4.5m</t>
  </si>
  <si>
    <t>平米</t>
  </si>
  <si>
    <t>确认无误，可以使用</t>
  </si>
  <si>
    <t>DVI光纤传输器</t>
  </si>
  <si>
    <t>Dell 21.5"液晶监视器</t>
  </si>
  <si>
    <t>Barco MatrixPro 8*8 DVI矩阵 EXTRON</t>
  </si>
  <si>
    <t>Barco EC-200&amp;E-2 Compact event Controller 巴可4K屏幕切换系统</t>
  </si>
  <si>
    <t>Barco Image Pro-II HD-SDI 图形转换器</t>
  </si>
  <si>
    <t>Dataton Watchout 视频编辑播放系统</t>
  </si>
  <si>
    <t>提词屏，60寸液晶电视</t>
  </si>
  <si>
    <t>Apple Macbook Pro电脑</t>
  </si>
  <si>
    <t>T系列笔记本电脑</t>
  </si>
  <si>
    <t>CUE LIGHT &amp; Master Station 远距离翻页器</t>
  </si>
  <si>
    <t>视频线材
Video Cable&amp;Accessory</t>
  </si>
  <si>
    <t>批</t>
  </si>
  <si>
    <t>音频部分</t>
  </si>
  <si>
    <t>L-acoustics Kara High power linearray speaker 线阵列全频音响</t>
  </si>
  <si>
    <t>L-acoustics SB18 woofer speaker 线阵列超低音响</t>
  </si>
  <si>
    <t>L-acoustics MTD-115 中置补声音响</t>
  </si>
  <si>
    <t>L-acoustics MTD-115 stage monitor speaker 返送音响</t>
  </si>
  <si>
    <t>L-acoustics LA48A high power Digital amplifier 功率放大器</t>
  </si>
  <si>
    <t>XTA DP series conetour Processor 数字处理器</t>
  </si>
  <si>
    <t xml:space="preserve">YAMAHA LS9 Digital Audio mixer 32ch Console 调音台                                                                                                       </t>
  </si>
  <si>
    <t>AUDIO-TECHNICA ES917a Gooseneck Microphone 讲台麦克风</t>
  </si>
  <si>
    <t>SHURE UR4D/U2 SM58 Wireless Mic 无线手持麦克风</t>
  </si>
  <si>
    <t>SHURE U-R4D/UR2 KSM9/SL Wireless Mic 头戴麦克风</t>
  </si>
  <si>
    <t>SHURE UA845-SWB-C Antenna Distribution System 无线放大系统</t>
  </si>
  <si>
    <t>音乐播放电脑+声卡  MADI MGB/MGO</t>
  </si>
  <si>
    <t xml:space="preserve">音响线材                                                                                                                                 </t>
  </si>
  <si>
    <t>灯光部分</t>
  </si>
  <si>
    <t>FINE Art spot osram HTI 1500E PERF 切片电脑灯</t>
  </si>
  <si>
    <t>FINE Art spot osram HTI 1500E 图案电脑</t>
  </si>
  <si>
    <t>ACME RGBW CZ-600 LED Moving Head Light 摇头LED灯</t>
  </si>
  <si>
    <t>Terbly PT-320Beam Philips Platinum 15R 光束电脑灯</t>
  </si>
  <si>
    <t>GRAND MA II Lighting Console 调光台</t>
  </si>
  <si>
    <t>NPU/NSP Amplifier system 调光台放大及处理器</t>
  </si>
  <si>
    <t>FOLLW SOPT HTI 4K 追光灯</t>
  </si>
  <si>
    <t>TURSS架</t>
  </si>
  <si>
    <t>1T ELECTRIC WINDLASS 电动葫芦</t>
  </si>
  <si>
    <t>追光灯架</t>
  </si>
  <si>
    <t>配电柜</t>
  </si>
  <si>
    <t>灯光线材</t>
  </si>
  <si>
    <t>分会场</t>
  </si>
  <si>
    <t>P3 LED大屏幕 L:7*H:4m</t>
  </si>
  <si>
    <t>MAGNIMAGE MIG-630 VIDEO SWICHER 切换器</t>
  </si>
  <si>
    <t xml:space="preserve">MEYERSOUND  UPA-1P  全频音箱                                                                              </t>
  </si>
  <si>
    <t>只</t>
  </si>
  <si>
    <t>MEYER SOUND USW-1P  低音音箱</t>
  </si>
  <si>
    <t xml:space="preserve">MEYERSOUND  UPA-1P  返听音箱 </t>
  </si>
  <si>
    <t>音箱处理器   XTA DP448</t>
  </si>
  <si>
    <t xml:space="preserve">16路调音台   YAMAHA TF5 32CH                                                                                                              </t>
  </si>
  <si>
    <t>点歌机</t>
  </si>
  <si>
    <t>FINE Art wash osram HTI 1500E 染色电脑灯</t>
  </si>
  <si>
    <t>调光台 AVOLITE PEARL 2004  CONTROLLER</t>
  </si>
  <si>
    <t xml:space="preserve">TURSS架 </t>
  </si>
  <si>
    <t>手拉葫芦</t>
  </si>
  <si>
    <t>自带</t>
  </si>
  <si>
    <t>9日主会：2个翻页笔+5台备用电脑+2个logo灯片+3台打印机+WiFi+对讲机30个</t>
  </si>
  <si>
    <t>8日分会：1个翻页笔+5台备用电脑+2个logo灯片+3台打印机+WiFi+对讲机30个</t>
  </si>
  <si>
    <t>NO:18活动嘉宾彩排表（通用版）</t>
  </si>
  <si>
    <t>提醒：所有流程彩排三遍以上，让相关负责人对这个活动的流程非常熟悉，如搭建方、主持人、控台方、兼职负责人、礼仪负责人等环节的参与者，要让对方知道自己负责的环节大概的时间节点，以及有问题找谁。</t>
  </si>
  <si>
    <t>彩排负责人：      xxx                        彩排时间：     xxx                                      彩排时长：      12小时                                    彩排地点：深圳希尔顿酒店</t>
  </si>
  <si>
    <t>Time</t>
  </si>
  <si>
    <t>嘉宾A</t>
  </si>
  <si>
    <t>嘉宾B</t>
  </si>
  <si>
    <t>嘉宾C</t>
  </si>
  <si>
    <t>嘉宾D</t>
  </si>
  <si>
    <t>嘉宾E</t>
  </si>
  <si>
    <t>嘉宾F</t>
  </si>
  <si>
    <t>嘉宾H</t>
  </si>
  <si>
    <t>嘉宾K</t>
  </si>
  <si>
    <t>嘉宾L</t>
  </si>
  <si>
    <t>嘉宾M</t>
  </si>
  <si>
    <t>第一次技术彩排+灯光+音响+大屏</t>
  </si>
  <si>
    <t>00:00-00:00
嘉宾A、嘉宾B、嘉宾C</t>
  </si>
  <si>
    <t>00:00-00:00
嘉宾D &amp; 嘉宾E</t>
  </si>
  <si>
    <t>00:00-00:00
嘉宾F</t>
  </si>
  <si>
    <t>00:00-00:00
- 嘉宾H</t>
  </si>
  <si>
    <t>00:00-00:00
- 嘉宾E</t>
  </si>
  <si>
    <t>00:00-00:00
- 嘉宾k</t>
  </si>
  <si>
    <t>00:00-00:00
- 嘉宾l</t>
  </si>
  <si>
    <t>00:00-00:00
- 嘉宾m</t>
  </si>
  <si>
    <r>
      <rPr>
        <sz val="12"/>
        <color theme="1"/>
        <rFont val="微软雅黑"/>
        <charset val="134"/>
      </rPr>
      <t xml:space="preserve">第二次全程联排
</t>
    </r>
    <r>
      <rPr>
        <sz val="10"/>
        <color theme="1"/>
        <rFont val="微软雅黑"/>
        <charset val="134"/>
      </rPr>
      <t>（导演总控，台上演职人员与台下技术、后勤、保障部门联合进行彩排，所有配备演出对讲系统的人员，彩排期间佩带对讲机，并使用标准演出语言)</t>
    </r>
  </si>
  <si>
    <t>全场休息时间</t>
  </si>
  <si>
    <r>
      <rPr>
        <sz val="12"/>
        <color theme="1"/>
        <rFont val="微软雅黑"/>
        <charset val="134"/>
      </rPr>
      <t xml:space="preserve">全场联合彩排，模拟直播流程，中间不停
</t>
    </r>
    <r>
      <rPr>
        <sz val="10"/>
        <color theme="1"/>
        <rFont val="微软雅黑"/>
        <charset val="134"/>
      </rPr>
      <t>全体演职人员以正式演出为标准进最终行彩排，特殊人群可进行代彩排（如致辞领导），最终嘉宾名单要与主持人最终核对</t>
    </r>
  </si>
  <si>
    <t>次日：活动正式开始</t>
  </si>
  <si>
    <t>彩排注意事项：</t>
  </si>
  <si>
    <t>熟悉场地：位置大致在哪里？知道上台口从哪上，然后需要要站在哪个地方，定位点、拍照点在哪里？是手持麦克还是头戴？</t>
  </si>
  <si>
    <t>提示器的位置与倒计时：告知有提示器，然后防止嘉宾回头看屏幕，并告诉在哪个地方，明天会有一个志愿者举牌子，提示倒计时，注意信号提示。</t>
  </si>
  <si>
    <t>上场通知：一般采用原则是上一个候一个，通知一个，可以就近在控台的位置，安排沙发，让嘉宾提前候场，提前配置好头戴，并告知一些注意事项，并加油鼓气等。</t>
  </si>
  <si>
    <t>NO:19活动现场危机紧急处理表（通用版）</t>
  </si>
  <si>
    <t>活动时间：2019年10月1日               活动地点：  深圳希尔顿酒店                 活动负责人：小文老师               紧急电话：123654789        安保电话：123654</t>
  </si>
  <si>
    <t>活动现场危机目录+引发原因+处理办法+预防措施</t>
  </si>
  <si>
    <t>1.有人干扰活动现场该如何处理？</t>
  </si>
  <si>
    <t>引发原因</t>
  </si>
  <si>
    <t>1.工作人员查到职业”会虫“在免费拿取礼品或内部资料？
2.有些活动是闭门会，不对外公开，发现偷偷录像或拍摄？
3.邀请大咖明星，会有很多粉丝尾随（甚至包括工作人员），如要求签名合影等，扰乱会场秩序
4.现场大声喧哗+接打手机+交谈声过大
5.故意闹事（竞争对手，对场上嘉宾不满，观点不和情绪激动）</t>
  </si>
  <si>
    <t>处理办法</t>
  </si>
  <si>
    <t>1.确认身份+收回活动资料+给予警告，并将相关人员请出会场
2.活动前和主持串词告知规则，如发现需当面删除资料
3.重要嘉宾或明星要单独设立VIP包间供重要嘉宾休息，不许外部人员打扰
4.安排工作人员在会场四周围坐，维护现场秩序，发现此类问题第一时间前往提醒
5.由安保人员直接请出会场，交给公安机关依法处理</t>
  </si>
  <si>
    <t>预防措施</t>
  </si>
  <si>
    <t>1.禁止与活动不相关的人员趁机进入会场
2.活动报幕，建议参会人员手机静音或关机，做好提醒工作
3.将媒体等频繁走动的人员安排到走道或大门位置，以免影响周边观众</t>
  </si>
  <si>
    <t>2.活动重要领导缺席该怎么办？</t>
  </si>
  <si>
    <t>1.延误+迟到
2.临时有急事无法参加
3.安排替代人员参加</t>
  </si>
  <si>
    <t>1.延误：主持人按延误时间将领导名单往后移，安插到其它环节
2.不参加有替代人员：立刻熟悉替代人员信息，名字+职务+是否发言
3.如无替代人员：可将领导介绍信息直接忽略，或以活动祝贺等形式简单带过
4.策划人员应立刻修改串词稿和主持人手卡
5.时刻和接待组保持沟通，确定领导的行程和时间，随时调整嘉宾出场次序</t>
  </si>
  <si>
    <t xml:space="preserve">1.第一轮：活动前三天和领导确认时间
2.第二轮：活动开始1小时前需确认领导是否到场
3.第三轮：活动开始10分钟需确认领导是否准备就绪
</t>
  </si>
  <si>
    <t>3.活动现场被演员放鸽子怎么办？</t>
  </si>
  <si>
    <t xml:space="preserve">1.非人力因素：生病、延误等
2.单方面毁约：没有合理理由
</t>
  </si>
  <si>
    <t xml:space="preserve">1.第一时间通知主持人：主持人按延误时间将演员或节目往后移，做好调整工作
2.单人表演类型节目：及时取消节目，延长其它节目时间、或增加互动时间，活动总时间尽量不要缩短
3.双人或多人类型节目：同上或是否可忽略该演员
4.群体配合类型节目：缺演员表演是否受影响？是否能进行增员或减员表演？是否可以改变表演形式？是否可有替代人员？
</t>
  </si>
  <si>
    <t>1.类似案例：该演员是否有过黑历史，业内口碑如何？
2.沟通情况：电话不接，微信不回，爱玩失踪的需重点考虑
3.活动彩排：如每次彩排都不来需要重点考虑
4.替代选择：心里没数的话可以找替代演员</t>
  </si>
  <si>
    <t>4.现场有人身体不适该如何处理？</t>
  </si>
  <si>
    <t xml:space="preserve">1.人力因素：身体本身原因造成，如心脏病，哮喘
2.非人力因素：由外力造成，如刮风下雨等
</t>
  </si>
  <si>
    <t xml:space="preserve">1.专业医疗团队：紧急救援，并视伤势的轻重，让医生判断是否有必要拨打120送当地医疗机构
2.救护路线设计：抵达周边医院路线+时间，最快时间抵达医院
3.医疗费用支付：因其是在活动现场受伤的，故活动的主办方都有相应的法律责任，所以对待伤者应尽量以安抚为主，并应支付一定的医疗费用
</t>
  </si>
  <si>
    <t>1.一般应急药品（外伤），如消毒、绷带、创可贴、止痛药等
2.购买相关医疗保险
3.活动前健康告知
4.食物+饮料等食品安全把关
5.工作人员医疗常识普及，关键时刻协助专业医生</t>
  </si>
  <si>
    <t>5.如何防止闲杂人员潜入活动会场？</t>
  </si>
  <si>
    <t xml:space="preserve">1.以参加各种活动谋生，骗吃骗喝骗为职业的人的现象。会虫拿着假名片，穿梭于各个会场，并享受免费大餐，攒礼品。有的会虫还顺手牵羊，窃得便携式电脑、手机等贵重物品
</t>
  </si>
  <si>
    <t>1.签到表不仅要写媒体名称，一定标注清楚媒体的具体姓名
2.如果前期有嘉宾领导携带工作人员，需要提前告知主办方
3.签到区不要留下空挡期，协调好签到工作人员的吃饭休息时间
4.发现疑似会虫，请对方报上所属媒体、姓名和出示名片
5.工作人员需要一一查验，核准之后才可放行，不要觉得麻烦</t>
  </si>
  <si>
    <t>如何识别</t>
  </si>
  <si>
    <t>1.会虫通常出没于有丰厚奖品或餐饮的大型活动
2.到场后不马上签到，而是外围观望，或到签到台前，不主动报家门而是查看签到表，随便记住一个名字
3.会咨询什么奖品，对活动资料或礼品的关注度远远高过活动本身
4.不肯出示名片，或出示的名片明显有复印效果
5.一般会虫都是在签到高峰期下手的，工作人员手忙脚乱，没有心思去一一详细辨认
6.称自己是活动现场某嘉宾领导的助理或朋友，企图蒙混过关</t>
  </si>
  <si>
    <t>6.活动现场遇到技术故障该怎么办？</t>
  </si>
  <si>
    <t xml:space="preserve">1.现场突然断电：
原因1：现场观众或工作人员不小心踩踏导致电力中断
原因2：活动现场用电负荷过高，导致供电系统中断
2.话筒没有声音
原因：话筒是否电池电量不够？是否损坏？音响师傅是否忘记开话筒？
3.PPT或视频卡住
原因1：连接设备的电脑卡主了，原因2：大屏幕卡主了，原因3：翻页笔出现问题，没电or坏了
</t>
  </si>
  <si>
    <t>1.现场突然断电：
解决1：立刻排查修复，用最快的速度解决了供电问题，将电线连接口等重要设备放置隐蔽地段或用东西隔离，避免碰触
解决2：提前计算最大用电负荷，确保现场电源负荷足够，并准备好备用供电车
解决3：主持人需要立即控场，说明缘由，确认恢复电力的时点，让现场安静下来，留在原地，等待电力恢复，如果是晚上，立即组织人员打开应急灯，如果电力无法短时间恢复，就要组织好现场，让大家有秩序的退场。
2.话筒没有声音
解决1：立即换上新电池或新话筒，音控师在故障期间播放混响，避免现场出现冷场情况，主持人话筒专用专检，避免意外，给坏话筒贴上标签，本场不再使用。
场景1：如果主持人有搭档，小声暗示，相互配合，让话筒有声音的主持人讲
场景2：立刻缩减串词内容，点头或以手势直接引出节目或者嘉宾，下场马上提醒，立刻换话筒
场景3：趣味解释，如：看来话筒也有点累了，走到舞台边上迅速换上话筒
3.PPT或视频卡住
解决1：立马换上备用电脑，所有和连接设备的电脑都需要同时打开两台备用
解决2：如果修复时间过久，主持人可临时安排几分钟的休息或互动时间；或往后跳到不需要屏幕的环节
解决3：备份一支+同事同步手动操作</t>
  </si>
  <si>
    <t xml:space="preserve">1.多次技术彩排，排除各类问题
2.安全识别，在各个危险或重要区域，如电源、滑湿地带等，作好危险标示
</t>
  </si>
  <si>
    <t>7.如果活动现场位置没有坐满怎么办？</t>
  </si>
  <si>
    <t xml:space="preserve">1.前期报名工作出现问题，人数完全没有报够，人数够了但到场率低
2.现场位置没有提前规划，导致大家随意乱座
3.活动没有吸引力，中途离场的人数较多
</t>
  </si>
  <si>
    <t>1.前排位置一定不能留空，否则拍摄视觉效果差，后期无法剪辑，重要位置缺席也会影响活动形象
2.前期引流：做好观众引导工作，优先往前排引流
3.后期调整：引导后排观众往前坐，或者将后排观众席位撤销
4.临时补救：工作人员替代观众坐到前排位置或安排演员等其他人员入座</t>
  </si>
  <si>
    <t xml:space="preserve">1.初期筛选：精准邀请和筛选需求刚需性观众，到场率会大大提高
2.活动付费：一定额度门票，观众花了钱到场率会大比例提高
3.奖品福利：设置特色活动奖品，吸引观众参加活动
4.节目表演：明星嘉宾节目助阵是提高到场率的不二法宝
</t>
  </si>
  <si>
    <t>8.户外活动遇到气候突变该怎么办？</t>
  </si>
  <si>
    <t xml:space="preserve">1.天气突变
下雨：雨水容易让现场电线漏电
刮风：导致舞台上的灯架塌落
雷电：雷电声音过大会导致现场无法正常进行
</t>
  </si>
  <si>
    <t xml:space="preserve">1.下雨：提前将雨衣发放到观众手中，视下雨量大小而定，如雨太大可提前结束活动，对音响、灯光、电视录制设备等进行防雨处理，入场出场地方做好防滑处理，关键口增加防滑垫，安全标记，在各个危险区域，如电源、滑湿地带等，作好危险标示
2.刮风：供应商对灯光架进行加固
3.雷电：暂停休息或提前结束，一般雷电之后都会下雨
</t>
  </si>
  <si>
    <t>1.定期更新天气预报
判断是否大概率刮风下雨（合理范围之内）：购买雨具物料备用，一次性雨衣为佳，做好防滑措施
不可控的天气因素，必须延期或取消活动</t>
  </si>
  <si>
    <t>NO:20活动媒体投放统计表（通用版）</t>
  </si>
  <si>
    <t>2019/3/15-4/15</t>
  </si>
  <si>
    <t xml:space="preserve">活动负责人:xxx             </t>
  </si>
  <si>
    <t>传播周期: 2019年3月15日-4月15日（按自己时间协调即可）</t>
  </si>
  <si>
    <t>传播预算:250000元-330000元（表中数据仅为标识，无参考意义）</t>
  </si>
  <si>
    <t>传统媒体</t>
  </si>
  <si>
    <t>形式</t>
  </si>
  <si>
    <t>链接</t>
  </si>
  <si>
    <t>发布时间</t>
  </si>
  <si>
    <t>效果统计（PV/UV）</t>
  </si>
  <si>
    <t>转化率</t>
  </si>
  <si>
    <t>投放费用</t>
  </si>
  <si>
    <t>媒体评估</t>
  </si>
  <si>
    <t>投放周期</t>
  </si>
  <si>
    <t>央视</t>
  </si>
  <si>
    <t>采访/黄金时段</t>
  </si>
  <si>
    <t>https://study.163.com</t>
  </si>
  <si>
    <t>2019.3月15日-15:00—4月15日-18:00</t>
  </si>
  <si>
    <t>23450w+</t>
  </si>
  <si>
    <t>百分之三十</t>
  </si>
  <si>
    <t>50000元-60000元</t>
  </si>
  <si>
    <t>优质（建议加大力度继续投放）</t>
  </si>
  <si>
    <t>xx电视台</t>
  </si>
  <si>
    <t>23145w+</t>
  </si>
  <si>
    <t>百分之二十</t>
  </si>
  <si>
    <t>26000元-30000元</t>
  </si>
  <si>
    <t>良好（建议继续投放）</t>
  </si>
  <si>
    <t>xx电台</t>
  </si>
  <si>
    <t>音频/黄金时段</t>
  </si>
  <si>
    <t>23451w+</t>
  </si>
  <si>
    <t>百分之十二</t>
  </si>
  <si>
    <t>40000元-60000元</t>
  </si>
  <si>
    <t>差评（到期立刻停止投放）</t>
  </si>
  <si>
    <t>省级纸媒</t>
  </si>
  <si>
    <t>报纸全版/移动端</t>
  </si>
  <si>
    <t>30000元-45000元</t>
  </si>
  <si>
    <t>极差（立刻停止投放，后期不在考虑）</t>
  </si>
  <si>
    <t>市级纸媒</t>
  </si>
  <si>
    <t>报纸/移动端</t>
  </si>
  <si>
    <t>百分之十八</t>
  </si>
  <si>
    <t>20000元-34000元</t>
  </si>
  <si>
    <t>区域纸媒</t>
  </si>
  <si>
    <t>15678w+</t>
  </si>
  <si>
    <t>25000元-40000元</t>
  </si>
  <si>
    <t>门户网站</t>
  </si>
  <si>
    <t>线上图文</t>
  </si>
  <si>
    <t>官方网站</t>
  </si>
  <si>
    <t>垂直网站</t>
  </si>
  <si>
    <t>社区博客论坛</t>
  </si>
  <si>
    <t>帖子</t>
  </si>
  <si>
    <t>22000元-39000元</t>
  </si>
  <si>
    <t>官网/专题页</t>
  </si>
  <si>
    <t>10000元-23000元</t>
  </si>
  <si>
    <t>合作媒体</t>
  </si>
  <si>
    <t>34567w+</t>
  </si>
  <si>
    <t>评估：</t>
  </si>
  <si>
    <t>自媒体</t>
  </si>
  <si>
    <t>曝光数据</t>
  </si>
  <si>
    <t>抖音</t>
  </si>
  <si>
    <t>短视频</t>
  </si>
  <si>
    <t>快手</t>
  </si>
  <si>
    <t>微信公众号</t>
  </si>
  <si>
    <t>新浪微博</t>
  </si>
  <si>
    <t>图文</t>
  </si>
  <si>
    <t>KOL</t>
  </si>
  <si>
    <t>音视频</t>
  </si>
  <si>
    <t>小红书</t>
  </si>
  <si>
    <t>朋友圈广告</t>
  </si>
  <si>
    <t>图文、视频</t>
  </si>
  <si>
    <t>社群</t>
  </si>
  <si>
    <t>直播</t>
  </si>
  <si>
    <t>贴吧</t>
  </si>
  <si>
    <t>信息流媒体</t>
  </si>
  <si>
    <t>今日头条</t>
  </si>
  <si>
    <t>网易</t>
  </si>
  <si>
    <t>腾讯新闻</t>
  </si>
  <si>
    <t>凤凰网</t>
  </si>
  <si>
    <t>报纸</t>
  </si>
  <si>
    <t>移动媒体</t>
  </si>
  <si>
    <t>电梯、大屏</t>
  </si>
  <si>
    <t>地铁、公交</t>
  </si>
  <si>
    <t>投放整体评估</t>
  </si>
  <si>
    <t>评估1</t>
  </si>
  <si>
    <t>调整1</t>
  </si>
  <si>
    <t>评估2</t>
  </si>
  <si>
    <t>调整2</t>
  </si>
  <si>
    <t>评估3</t>
  </si>
  <si>
    <t>调整3</t>
  </si>
  <si>
    <t>NO:21活动意见反馈表（通用版）</t>
  </si>
  <si>
    <t>活动主题：xxx大型主题活动</t>
  </si>
  <si>
    <t>项目名称</t>
  </si>
  <si>
    <t>满意</t>
  </si>
  <si>
    <t>良好</t>
  </si>
  <si>
    <t>一般</t>
  </si>
  <si>
    <t>不满意</t>
  </si>
  <si>
    <t>活动反馈详细说明</t>
  </si>
  <si>
    <t>供应商</t>
  </si>
  <si>
    <t>活动屏幕、音响、灯光</t>
  </si>
  <si>
    <t>屏幕、音响、灯光未出现失误，但音响有点噪音，灯光偏弱</t>
  </si>
  <si>
    <t>活动整体搭建</t>
  </si>
  <si>
    <t>搭建速度很快，效率较高，整体质量不错</t>
  </si>
  <si>
    <t>活动场地选址</t>
  </si>
  <si>
    <t>场地地理位置很好，但是座位之间间隔太小，有点拥挤，同时音响有点噪音</t>
  </si>
  <si>
    <t>礼品物流太慢，质量也很差，与预期效果差距太多，以后注意</t>
  </si>
  <si>
    <t>活动物料设计</t>
  </si>
  <si>
    <t>物料设计基本按时完成，客户看了之后很满意</t>
  </si>
  <si>
    <t>活动主持人</t>
  </si>
  <si>
    <t>整体感觉还行，但主持人缺乏应急经验，导致嘉宾上场较早，比较尴尬</t>
  </si>
  <si>
    <t>活动礼仪</t>
  </si>
  <si>
    <t>礼仪很专业，引领的很到位，没有出现任何问题</t>
  </si>
  <si>
    <t>活动摄影师</t>
  </si>
  <si>
    <t>摄影师按照培训要求全部完成任务，及时拿到照片进行发布</t>
  </si>
  <si>
    <t>活动邀请嘉宾+明星演员</t>
  </si>
  <si>
    <t>嘉宾整体表现还不错，但是出现迟到现象，而且无法联系到本人</t>
  </si>
  <si>
    <t>活动整体方案</t>
  </si>
  <si>
    <t>客户对活动方案比较满意，特别是 在活动亮点的设计和包装</t>
  </si>
  <si>
    <t>活动预期目标</t>
  </si>
  <si>
    <t>在规模和现场基本达到甚至超出客户的预期目标</t>
  </si>
  <si>
    <t>活动传播效果</t>
  </si>
  <si>
    <t>由于媒体投放渠道没有及时落实，导致传播时出现延误</t>
  </si>
  <si>
    <t>活动现场效果</t>
  </si>
  <si>
    <t>现场氛围塑造的很好，互动区参与人数非常多，评价度很高</t>
  </si>
  <si>
    <t>活动成本控制</t>
  </si>
  <si>
    <t>超出客户的预算，但也在合理范围之内</t>
  </si>
  <si>
    <t>活动整体回报</t>
  </si>
  <si>
    <t>整体回报还是有部分瑕疵，传播和成本需要进行优化</t>
  </si>
  <si>
    <t>乙方</t>
  </si>
  <si>
    <t>方案整体问题不到，但是策略部分逻辑有些问题，传播渠道不精准</t>
  </si>
  <si>
    <t>活动氛围包装</t>
  </si>
  <si>
    <t>现场氛围超出预期效果（提前安排了现场导演，节目穿插很好，节奏带的非常自然）</t>
  </si>
  <si>
    <t>活动成本+利润</t>
  </si>
  <si>
    <t>成本没有控制到最优，只能让出一部分利润</t>
  </si>
  <si>
    <t>活动现场秩序</t>
  </si>
  <si>
    <t>现在秩序良好，没有出现意外情况</t>
  </si>
  <si>
    <t>甲方评价</t>
  </si>
  <si>
    <t>甲方评价比较中肯，总体是肯定我们这次活动，但部分地方还需调整</t>
  </si>
  <si>
    <t>供应商评价</t>
  </si>
  <si>
    <t>对团队的专业性给予了肯定</t>
  </si>
  <si>
    <t>自我评价</t>
  </si>
  <si>
    <t>本次活动虽然筹备很久，但是依旧出现不少问题，需要反思</t>
  </si>
  <si>
    <t>其他建议</t>
  </si>
  <si>
    <t>建议1：</t>
  </si>
  <si>
    <t>建议2：</t>
  </si>
  <si>
    <t>建议3：</t>
  </si>
  <si>
    <t>建议4：</t>
  </si>
  <si>
    <t>团队复盘</t>
  </si>
  <si>
    <t>本次活动最大优点：</t>
  </si>
  <si>
    <t>本次活动最大缺点：</t>
  </si>
  <si>
    <t>策划团队自我评价：</t>
  </si>
  <si>
    <t>执行团队自我评价：</t>
  </si>
  <si>
    <t>NO22-活动费用计划与实际对比分析表（通用版）</t>
  </si>
  <si>
    <r>
      <rPr>
        <sz val="12"/>
        <color theme="1"/>
        <rFont val="微软雅黑"/>
        <charset val="134"/>
      </rPr>
      <t>说明：此图表主要用于对比分析活动费用计划与实际支出情况，具体包括各项费用计划与实际差异情况、各项费用占比情况。此图标适合各类活动。（所列费用项目仅供参考，</t>
    </r>
    <r>
      <rPr>
        <sz val="12"/>
        <color rgb="FF000000"/>
        <rFont val="微软雅黑"/>
        <charset val="134"/>
      </rPr>
      <t>表格中含自动计算公式，颜色标注部分无需录入数据）</t>
    </r>
  </si>
  <si>
    <t>计划与实际</t>
  </si>
  <si>
    <t>场地租金</t>
  </si>
  <si>
    <t>宴会/用餐</t>
  </si>
  <si>
    <t>现场设计及布置</t>
  </si>
  <si>
    <t>会议资料及用品</t>
  </si>
  <si>
    <t>设备器材租赁</t>
  </si>
  <si>
    <t>会议礼品</t>
  </si>
  <si>
    <t>影视录音速记翻译</t>
  </si>
  <si>
    <t>会议用食品、点心</t>
  </si>
  <si>
    <t>嘉宾费用</t>
  </si>
  <si>
    <t>媒体费用</t>
  </si>
  <si>
    <t>住宿费用</t>
  </si>
  <si>
    <t>交通费用</t>
  </si>
  <si>
    <t>办公费用</t>
  </si>
  <si>
    <t>其它成本</t>
  </si>
  <si>
    <t>合计               （万元）</t>
  </si>
  <si>
    <t>计划</t>
  </si>
  <si>
    <t>占比</t>
  </si>
  <si>
    <t>实际</t>
  </si>
  <si>
    <t>差异率</t>
  </si>
  <si>
    <t>排序</t>
  </si>
</sst>
</file>

<file path=xl/styles.xml><?xml version="1.0" encoding="utf-8"?>
<styleSheet xmlns="http://schemas.openxmlformats.org/spreadsheetml/2006/main">
  <numFmts count="30">
    <numFmt numFmtId="176" formatCode="[$-F800]dddd\,\ mmmm\ dd\,\ yyyy"/>
    <numFmt numFmtId="177" formatCode="_(&quot;$&quot;* #,##0.00_);_(&quot;$&quot;* \(#,##0.00\);_(&quot;$&quot;* &quot;-&quot;??_);_(@_)"/>
    <numFmt numFmtId="44" formatCode="_ &quot;￥&quot;* #,##0.00_ ;_ &quot;￥&quot;* \-#,##0.00_ ;_ &quot;￥&quot;* &quot;-&quot;??_ ;_ @_ "/>
    <numFmt numFmtId="42" formatCode="_ &quot;￥&quot;* #,##0_ ;_ &quot;￥&quot;* \-#,##0_ ;_ &quot;￥&quot;* &quot;-&quot;_ ;_ @_ "/>
    <numFmt numFmtId="41" formatCode="_ * #,##0_ ;_ * \-#,##0_ ;_ * &quot;-&quot;_ ;_ @_ "/>
    <numFmt numFmtId="43" formatCode="_ * #,##0.00_ ;_ * \-#,##0.00_ ;_ * &quot;-&quot;??_ ;_ @_ "/>
    <numFmt numFmtId="178" formatCode="[$-409]d/mmm;@"/>
    <numFmt numFmtId="179" formatCode="[$￥-804]#,##0;[$￥-804]\-#,##0"/>
    <numFmt numFmtId="180" formatCode="&quot;US$&quot;#,##0_);[Red]\(&quot;US$&quot;#,##0\)"/>
    <numFmt numFmtId="181" formatCode="_ * #,##0_ ;_ * &quot;₩&quot;\-#,##0_ ;_ * &quot;-&quot;_ ;_ @_ "/>
    <numFmt numFmtId="182" formatCode="#,##0;[Red]\(#,##0\)"/>
    <numFmt numFmtId="183" formatCode="_(&quot;$&quot;* #,##0_);_(&quot;$&quot;* \(#,##0\);_(&quot;$&quot;* &quot;-&quot;_);_(@_)"/>
    <numFmt numFmtId="184" formatCode="0_);[Red]\(0\)"/>
    <numFmt numFmtId="185" formatCode="0.00_)"/>
    <numFmt numFmtId="186" formatCode="_(&quot;RM&quot;* #,##0.00_);_(&quot;RM&quot;* \(#,##0.00\);_(&quot;RM&quot;* &quot;-&quot;??_);_(@_)"/>
    <numFmt numFmtId="187" formatCode="_ * #,##0.00_ ;_ * &quot;₩&quot;\-#,##0.00_ ;_ * &quot;-&quot;??_ ;_ @_ "/>
    <numFmt numFmtId="188" formatCode="m&quot;月&quot;d&quot;日&quot;;@"/>
    <numFmt numFmtId="189" formatCode="_(* #,##0_);_(* \(#,##0\);_(* &quot;-&quot;_);_(@_)"/>
    <numFmt numFmtId="190" formatCode="_-* #,##0.00_-;\-* #,##0.00_-;_-* &quot;-&quot;??_-;_-@_-"/>
    <numFmt numFmtId="191" formatCode="_-* #,##0_-;\-* #,##0_-;_-* &quot;-&quot;_-;_-@_-"/>
    <numFmt numFmtId="192" formatCode="_(* #,##0.00_);_(* \(#,##0.00\);_(* &quot;-&quot;??_);_(@_)"/>
    <numFmt numFmtId="193" formatCode="#,##0\ &quot;DM&quot;;\-#,##0\ &quot;DM&quot;"/>
    <numFmt numFmtId="194" formatCode="_ &quot;₩&quot;* #,##0.00_ ;_ &quot;₩&quot;* &quot;₩&quot;\-#,##0.00_ ;_ &quot;₩&quot;* &quot;-&quot;??_ ;_ @_ "/>
    <numFmt numFmtId="195" formatCode="_ &quot;₩&quot;* #,##0_ ;_ &quot;₩&quot;* &quot;₩&quot;\-#,##0_ ;_ &quot;₩&quot;* &quot;-&quot;_ ;_ @_ "/>
    <numFmt numFmtId="196" formatCode="aaa"/>
    <numFmt numFmtId="197" formatCode="\¥\ #,##0;[Red]\-\¥\ #,##0"/>
    <numFmt numFmtId="198" formatCode="00"/>
    <numFmt numFmtId="7" formatCode="&quot;￥&quot;#,##0.00;&quot;￥&quot;\-#,##0.00"/>
    <numFmt numFmtId="199" formatCode="\¥#,##0_);[Red]\(\¥#,##0\)"/>
    <numFmt numFmtId="200" formatCode="0.00_ "/>
  </numFmts>
  <fonts count="150">
    <font>
      <sz val="12"/>
      <name val="宋体"/>
      <charset val="134"/>
    </font>
    <font>
      <sz val="11"/>
      <color theme="1"/>
      <name val="宋体"/>
      <charset val="134"/>
      <scheme val="minor"/>
    </font>
    <font>
      <b/>
      <sz val="20"/>
      <name val="微软雅黑"/>
      <charset val="134"/>
    </font>
    <font>
      <sz val="12"/>
      <color theme="1"/>
      <name val="微软雅黑"/>
      <charset val="134"/>
    </font>
    <font>
      <sz val="10"/>
      <color theme="1"/>
      <name val="微软雅黑"/>
      <charset val="134"/>
    </font>
    <font>
      <b/>
      <sz val="10"/>
      <color theme="1"/>
      <name val="宋体"/>
      <charset val="134"/>
      <scheme val="minor"/>
    </font>
    <font>
      <sz val="10"/>
      <color theme="1"/>
      <name val="宋体"/>
      <charset val="134"/>
      <scheme val="minor"/>
    </font>
    <font>
      <sz val="9"/>
      <color theme="1"/>
      <name val="宋体"/>
      <charset val="134"/>
      <scheme val="minor"/>
    </font>
    <font>
      <sz val="10"/>
      <color theme="0"/>
      <name val="宋体"/>
      <charset val="134"/>
      <scheme val="minor"/>
    </font>
    <font>
      <sz val="9"/>
      <name val="宋体"/>
      <charset val="134"/>
    </font>
    <font>
      <b/>
      <sz val="20"/>
      <color theme="1"/>
      <name val="微软雅黑"/>
      <charset val="134"/>
    </font>
    <font>
      <sz val="14"/>
      <name val="微软雅黑"/>
      <charset val="134"/>
    </font>
    <font>
      <b/>
      <sz val="12"/>
      <name val="微软雅黑"/>
      <charset val="134"/>
    </font>
    <font>
      <sz val="12"/>
      <name val="微软雅黑"/>
      <charset val="134"/>
    </font>
    <font>
      <sz val="12"/>
      <color theme="1"/>
      <name val="宋体"/>
      <charset val="134"/>
    </font>
    <font>
      <b/>
      <sz val="12"/>
      <color theme="1"/>
      <name val="微软雅黑"/>
      <charset val="134"/>
    </font>
    <font>
      <b/>
      <sz val="12"/>
      <color indexed="8"/>
      <name val="微软雅黑"/>
      <charset val="134"/>
    </font>
    <font>
      <sz val="12"/>
      <color rgb="FFFF0000"/>
      <name val="微软雅黑"/>
      <charset val="134"/>
    </font>
    <font>
      <sz val="12"/>
      <color rgb="FF00B0F0"/>
      <name val="微软雅黑"/>
      <charset val="134"/>
    </font>
    <font>
      <sz val="12"/>
      <color indexed="40"/>
      <name val="微软雅黑"/>
      <charset val="134"/>
    </font>
    <font>
      <sz val="12"/>
      <color rgb="FF92D050"/>
      <name val="微软雅黑"/>
      <charset val="134"/>
    </font>
    <font>
      <sz val="16"/>
      <color theme="1"/>
      <name val="微软雅黑"/>
      <charset val="134"/>
    </font>
    <font>
      <b/>
      <sz val="16"/>
      <color theme="1"/>
      <name val="微软雅黑"/>
      <charset val="134"/>
    </font>
    <font>
      <b/>
      <sz val="14"/>
      <color theme="1"/>
      <name val="微软雅黑"/>
      <charset val="134"/>
    </font>
    <font>
      <sz val="12"/>
      <color theme="1"/>
      <name val="Calibri"/>
      <charset val="134"/>
    </font>
    <font>
      <sz val="11"/>
      <name val="微软雅黑"/>
      <charset val="134"/>
    </font>
    <font>
      <b/>
      <sz val="10"/>
      <name val="微软雅黑"/>
      <charset val="134"/>
    </font>
    <font>
      <b/>
      <sz val="10"/>
      <color theme="1"/>
      <name val="微软雅黑"/>
      <charset val="134"/>
    </font>
    <font>
      <b/>
      <sz val="10"/>
      <color indexed="8"/>
      <name val="微软雅黑"/>
      <charset val="134"/>
    </font>
    <font>
      <sz val="10"/>
      <name val="微软雅黑"/>
      <charset val="134"/>
    </font>
    <font>
      <sz val="10"/>
      <color indexed="8"/>
      <name val="微软雅黑"/>
      <charset val="134"/>
    </font>
    <font>
      <sz val="10"/>
      <name val="宋体"/>
      <charset val="134"/>
    </font>
    <font>
      <sz val="11"/>
      <name val="Geneva"/>
      <charset val="134"/>
    </font>
    <font>
      <sz val="9"/>
      <name val="Geneva"/>
      <charset val="134"/>
    </font>
    <font>
      <b/>
      <sz val="14"/>
      <name val="微软雅黑"/>
      <charset val="134"/>
    </font>
    <font>
      <sz val="9"/>
      <name val="微软雅黑"/>
      <charset val="134"/>
    </font>
    <font>
      <b/>
      <sz val="11"/>
      <color theme="1"/>
      <name val="微软雅黑"/>
      <charset val="134"/>
    </font>
    <font>
      <sz val="10"/>
      <color rgb="FFFF0000"/>
      <name val="微软雅黑"/>
      <charset val="134"/>
    </font>
    <font>
      <b/>
      <sz val="9"/>
      <name val="Geneva"/>
      <charset val="134"/>
    </font>
    <font>
      <b/>
      <sz val="11"/>
      <name val="Geneva"/>
      <charset val="134"/>
    </font>
    <font>
      <sz val="24"/>
      <name val="微软雅黑"/>
      <charset val="134"/>
    </font>
    <font>
      <sz val="22"/>
      <name val="微软雅黑"/>
      <charset val="134"/>
    </font>
    <font>
      <b/>
      <sz val="20"/>
      <color theme="1" tint="0.0499893185216834"/>
      <name val="微软雅黑"/>
      <charset val="134"/>
    </font>
    <font>
      <sz val="11"/>
      <color theme="1"/>
      <name val="微软雅黑"/>
      <charset val="134"/>
    </font>
    <font>
      <sz val="14"/>
      <color theme="1"/>
      <name val="微软雅黑"/>
      <charset val="134"/>
    </font>
    <font>
      <b/>
      <sz val="14"/>
      <color theme="0"/>
      <name val="微软雅黑"/>
      <charset val="134"/>
    </font>
    <font>
      <b/>
      <sz val="16"/>
      <color theme="0"/>
      <name val="微软雅黑"/>
      <charset val="134"/>
    </font>
    <font>
      <b/>
      <sz val="12"/>
      <color theme="0"/>
      <name val="微软雅黑"/>
      <charset val="134"/>
    </font>
    <font>
      <sz val="12"/>
      <color theme="0"/>
      <name val="微软雅黑"/>
      <charset val="134"/>
    </font>
    <font>
      <b/>
      <sz val="16"/>
      <name val="微软雅黑"/>
      <charset val="134"/>
    </font>
    <font>
      <b/>
      <sz val="12"/>
      <color rgb="FF000000"/>
      <name val="微软雅黑"/>
      <charset val="134"/>
    </font>
    <font>
      <sz val="16"/>
      <name val="微软雅黑"/>
      <charset val="134"/>
    </font>
    <font>
      <sz val="12"/>
      <name val="Geneva"/>
      <charset val="134"/>
    </font>
    <font>
      <sz val="9"/>
      <color indexed="9"/>
      <name val="Microsoft YaHei"/>
      <charset val="134"/>
    </font>
    <font>
      <sz val="9"/>
      <name val="Microsoft YaHei"/>
      <charset val="134"/>
    </font>
    <font>
      <sz val="9"/>
      <color theme="1"/>
      <name val="Microsoft YaHei"/>
      <charset val="134"/>
    </font>
    <font>
      <b/>
      <sz val="16"/>
      <color rgb="FF000000"/>
      <name val="微软雅黑"/>
      <charset val="134"/>
    </font>
    <font>
      <sz val="16"/>
      <color rgb="FF000000"/>
      <name val="微软雅黑"/>
      <charset val="134"/>
    </font>
    <font>
      <sz val="12"/>
      <color indexed="0"/>
      <name val="微软雅黑"/>
      <charset val="134"/>
    </font>
    <font>
      <b/>
      <sz val="12"/>
      <color rgb="FFFF0000"/>
      <name val="微软雅黑"/>
      <charset val="134"/>
    </font>
    <font>
      <sz val="12"/>
      <color indexed="8"/>
      <name val="微软雅黑"/>
      <charset val="134"/>
    </font>
    <font>
      <b/>
      <sz val="11"/>
      <name val="微软雅黑"/>
      <charset val="134"/>
    </font>
    <font>
      <sz val="20"/>
      <name val="宋体"/>
      <charset val="134"/>
    </font>
    <font>
      <sz val="14"/>
      <name val="宋体"/>
      <charset val="134"/>
    </font>
    <font>
      <b/>
      <sz val="12"/>
      <name val="宋体"/>
      <charset val="134"/>
    </font>
    <font>
      <sz val="12"/>
      <color rgb="FFD66612"/>
      <name val="微软雅黑"/>
      <charset val="134"/>
    </font>
    <font>
      <sz val="12"/>
      <color rgb="FF000000"/>
      <name val="微软雅黑"/>
      <charset val="134"/>
    </font>
    <font>
      <sz val="12"/>
      <color theme="9" tint="-0.249977111117893"/>
      <name val="微软雅黑"/>
      <charset val="134"/>
    </font>
    <font>
      <sz val="20"/>
      <name val="微软雅黑"/>
      <charset val="134"/>
    </font>
    <font>
      <sz val="12"/>
      <color theme="9" tint="0.799920651875362"/>
      <name val="微软雅黑"/>
      <charset val="134"/>
    </font>
    <font>
      <sz val="18"/>
      <color indexed="8"/>
      <name val="微软雅黑"/>
      <charset val="134"/>
    </font>
    <font>
      <sz val="14"/>
      <color indexed="8"/>
      <name val="微软雅黑"/>
      <charset val="134"/>
    </font>
    <font>
      <sz val="14"/>
      <color rgb="FFFFFF00"/>
      <name val="微软雅黑"/>
      <charset val="134"/>
    </font>
    <font>
      <b/>
      <sz val="14"/>
      <color indexed="9"/>
      <name val="微软雅黑"/>
      <charset val="134"/>
    </font>
    <font>
      <sz val="14"/>
      <color rgb="FF000000"/>
      <name val="微软雅黑"/>
      <charset val="134"/>
    </font>
    <font>
      <sz val="14"/>
      <color indexed="9"/>
      <name val="微软雅黑"/>
      <charset val="134"/>
    </font>
    <font>
      <sz val="14"/>
      <color rgb="FFFF0000"/>
      <name val="微软雅黑"/>
      <charset val="134"/>
    </font>
    <font>
      <sz val="11"/>
      <name val="돋움"/>
      <charset val="129"/>
    </font>
    <font>
      <u/>
      <sz val="11"/>
      <color indexed="12"/>
      <name val="μ¸¿o"/>
      <charset val="129"/>
    </font>
    <font>
      <sz val="11"/>
      <color theme="1"/>
      <name val="宋体"/>
      <charset val="0"/>
      <scheme val="minor"/>
    </font>
    <font>
      <sz val="11"/>
      <color theme="1"/>
      <name val="宋体"/>
      <charset val="134"/>
      <scheme val="minor"/>
    </font>
    <font>
      <sz val="12"/>
      <name val="바탕체"/>
      <charset val="129"/>
    </font>
    <font>
      <sz val="11"/>
      <color theme="0"/>
      <name val="宋体"/>
      <charset val="0"/>
      <scheme val="minor"/>
    </font>
    <font>
      <sz val="12"/>
      <name val="Times New Roman"/>
      <charset val="134"/>
    </font>
    <font>
      <u/>
      <sz val="10.2"/>
      <color indexed="12"/>
      <name val="宋体"/>
      <charset val="134"/>
    </font>
    <font>
      <b/>
      <sz val="11"/>
      <color rgb="FFFFFFFF"/>
      <name val="宋体"/>
      <charset val="0"/>
      <scheme val="minor"/>
    </font>
    <font>
      <b/>
      <sz val="11"/>
      <color rgb="FF3F3F3F"/>
      <name val="宋体"/>
      <charset val="0"/>
      <scheme val="minor"/>
    </font>
    <font>
      <sz val="10"/>
      <name val="Arial"/>
      <charset val="134"/>
    </font>
    <font>
      <sz val="11"/>
      <color rgb="FF3F3F76"/>
      <name val="宋体"/>
      <charset val="0"/>
      <scheme val="minor"/>
    </font>
    <font>
      <sz val="12"/>
      <name val="돋움"/>
      <charset val="129"/>
    </font>
    <font>
      <sz val="12"/>
      <name val="宋体"/>
      <charset val="134"/>
    </font>
    <font>
      <sz val="11"/>
      <color rgb="FF9C0006"/>
      <name val="宋体"/>
      <charset val="0"/>
      <scheme val="minor"/>
    </font>
    <font>
      <u/>
      <sz val="11"/>
      <color rgb="FF0000FF"/>
      <name val="宋体"/>
      <charset val="0"/>
      <scheme val="minor"/>
    </font>
    <font>
      <b/>
      <sz val="11"/>
      <color theme="3"/>
      <name val="宋体"/>
      <charset val="134"/>
      <scheme val="minor"/>
    </font>
    <font>
      <u/>
      <sz val="11"/>
      <color rgb="FF800080"/>
      <name val="宋体"/>
      <charset val="0"/>
      <scheme val="minor"/>
    </font>
    <font>
      <sz val="10"/>
      <name val="Geneva"/>
      <charset val="134"/>
    </font>
    <font>
      <sz val="11"/>
      <color indexed="62"/>
      <name val="Calibri"/>
      <charset val="134"/>
    </font>
    <font>
      <b/>
      <sz val="13"/>
      <color theme="3"/>
      <name val="宋体"/>
      <charset val="134"/>
      <scheme val="minor"/>
    </font>
    <font>
      <sz val="11"/>
      <color indexed="8"/>
      <name val="Calibri"/>
      <charset val="134"/>
    </font>
    <font>
      <b/>
      <sz val="11"/>
      <color rgb="FFFA7D00"/>
      <name val="宋体"/>
      <charset val="0"/>
      <scheme val="minor"/>
    </font>
    <font>
      <sz val="11"/>
      <color rgb="FFFF0000"/>
      <name val="宋体"/>
      <charset val="0"/>
      <scheme val="minor"/>
    </font>
    <font>
      <b/>
      <sz val="11"/>
      <color indexed="56"/>
      <name val="Calibri"/>
      <charset val="134"/>
    </font>
    <font>
      <b/>
      <sz val="18"/>
      <color theme="3"/>
      <name val="宋体"/>
      <charset val="134"/>
      <scheme val="minor"/>
    </font>
    <font>
      <i/>
      <sz val="11"/>
      <color rgb="FF7F7F7F"/>
      <name val="宋体"/>
      <charset val="0"/>
      <scheme val="minor"/>
    </font>
    <font>
      <b/>
      <sz val="15"/>
      <color theme="3"/>
      <name val="宋体"/>
      <charset val="134"/>
      <scheme val="minor"/>
    </font>
    <font>
      <b/>
      <sz val="11"/>
      <color indexed="9"/>
      <name val="Calibri"/>
      <charset val="134"/>
    </font>
    <font>
      <sz val="11"/>
      <color rgb="FF006100"/>
      <name val="宋体"/>
      <charset val="0"/>
      <scheme val="minor"/>
    </font>
    <font>
      <sz val="11"/>
      <color rgb="FFFA7D00"/>
      <name val="宋体"/>
      <charset val="0"/>
      <scheme val="minor"/>
    </font>
    <font>
      <b/>
      <sz val="11"/>
      <color theme="1"/>
      <name val="宋体"/>
      <charset val="0"/>
      <scheme val="minor"/>
    </font>
    <font>
      <sz val="10"/>
      <name val="MS Sans Serif"/>
      <charset val="134"/>
    </font>
    <font>
      <sz val="11"/>
      <color rgb="FF9C6500"/>
      <name val="宋体"/>
      <charset val="0"/>
      <scheme val="minor"/>
    </font>
    <font>
      <sz val="12"/>
      <name val="官帕眉"/>
      <charset val="129"/>
    </font>
    <font>
      <u/>
      <sz val="11"/>
      <color indexed="12"/>
      <name val="宋体"/>
      <charset val="134"/>
    </font>
    <font>
      <sz val="11"/>
      <color indexed="9"/>
      <name val="Calibri"/>
      <charset val="134"/>
    </font>
    <font>
      <u/>
      <sz val="11"/>
      <color indexed="30"/>
      <name val="Calibri"/>
      <charset val="134"/>
    </font>
    <font>
      <b/>
      <sz val="11"/>
      <name val="Helv"/>
      <charset val="134"/>
    </font>
    <font>
      <sz val="11"/>
      <name val="굴림체"/>
      <charset val="129"/>
    </font>
    <font>
      <b/>
      <sz val="12"/>
      <name val="Helv"/>
      <charset val="134"/>
    </font>
    <font>
      <sz val="11"/>
      <color indexed="17"/>
      <name val="Calibri"/>
      <charset val="134"/>
    </font>
    <font>
      <u/>
      <sz val="12"/>
      <color indexed="36"/>
      <name val="宋体"/>
      <charset val="134"/>
    </font>
    <font>
      <u/>
      <sz val="12"/>
      <color indexed="12"/>
      <name val="宋体"/>
      <charset val="134"/>
    </font>
    <font>
      <sz val="8"/>
      <name val="Arial"/>
      <charset val="134"/>
    </font>
    <font>
      <sz val="11"/>
      <color rgb="FF9C0006"/>
      <name val="宋体"/>
      <charset val="134"/>
      <scheme val="minor"/>
    </font>
    <font>
      <sz val="11"/>
      <color indexed="8"/>
      <name val="宋体"/>
      <charset val="134"/>
    </font>
    <font>
      <b/>
      <i/>
      <sz val="16"/>
      <name val="Helv"/>
      <charset val="134"/>
    </font>
    <font>
      <sz val="11"/>
      <color indexed="52"/>
      <name val="Calibri"/>
      <charset val="134"/>
    </font>
    <font>
      <b/>
      <sz val="11"/>
      <color indexed="8"/>
      <name val="Calibri"/>
      <charset val="134"/>
    </font>
    <font>
      <b/>
      <sz val="10"/>
      <name val="Helv"/>
      <charset val="134"/>
    </font>
    <font>
      <sz val="11"/>
      <color indexed="10"/>
      <name val="Calibri"/>
      <charset val="134"/>
    </font>
    <font>
      <b/>
      <sz val="13"/>
      <color theme="1" tint="0.249946592608417"/>
      <name val="宋体"/>
      <charset val="134"/>
      <scheme val="major"/>
    </font>
    <font>
      <sz val="12"/>
      <color theme="1"/>
      <name val="宋体"/>
      <charset val="134"/>
      <scheme val="minor"/>
    </font>
    <font>
      <sz val="11"/>
      <color indexed="60"/>
      <name val="Calibri"/>
      <charset val="134"/>
    </font>
    <font>
      <sz val="11"/>
      <color indexed="20"/>
      <name val="Calibri"/>
      <charset val="134"/>
    </font>
    <font>
      <b/>
      <sz val="11"/>
      <color indexed="52"/>
      <name val="Calibri"/>
      <charset val="134"/>
    </font>
    <font>
      <u/>
      <sz val="11"/>
      <color indexed="36"/>
      <name val="μ¸¿o"/>
      <charset val="129"/>
    </font>
    <font>
      <i/>
      <sz val="11"/>
      <color indexed="23"/>
      <name val="Calibri"/>
      <charset val="134"/>
    </font>
    <font>
      <b/>
      <sz val="12"/>
      <name val="Arial"/>
      <charset val="134"/>
    </font>
    <font>
      <b/>
      <sz val="15"/>
      <color indexed="56"/>
      <name val="Calibri"/>
      <charset val="134"/>
    </font>
    <font>
      <b/>
      <sz val="13"/>
      <color indexed="56"/>
      <name val="Calibri"/>
      <charset val="134"/>
    </font>
    <font>
      <sz val="10"/>
      <color indexed="8"/>
      <name val="Arial"/>
      <charset val="134"/>
    </font>
    <font>
      <sz val="11"/>
      <name val="Arial"/>
      <charset val="134"/>
    </font>
    <font>
      <b/>
      <sz val="11"/>
      <color indexed="63"/>
      <name val="Calibri"/>
      <charset val="134"/>
    </font>
    <font>
      <b/>
      <sz val="18"/>
      <color indexed="56"/>
      <name val="Cambria"/>
      <charset val="134"/>
    </font>
    <font>
      <sz val="12"/>
      <name val="新細明體"/>
      <charset val="136"/>
    </font>
    <font>
      <u/>
      <sz val="11"/>
      <color theme="10"/>
      <name val="宋体"/>
      <charset val="134"/>
    </font>
    <font>
      <sz val="11"/>
      <color rgb="FF006100"/>
      <name val="宋体"/>
      <charset val="134"/>
      <scheme val="minor"/>
    </font>
    <font>
      <sz val="11"/>
      <name val="蹈框"/>
      <charset val="129"/>
    </font>
    <font>
      <sz val="10"/>
      <name val="Helv"/>
      <charset val="134"/>
    </font>
    <font>
      <b/>
      <sz val="9"/>
      <name val="宋体"/>
      <charset val="134"/>
    </font>
    <font>
      <sz val="9"/>
      <name val="宋体"/>
      <charset val="134"/>
    </font>
  </fonts>
  <fills count="109">
    <fill>
      <patternFill patternType="none"/>
    </fill>
    <fill>
      <patternFill patternType="gray125"/>
    </fill>
    <fill>
      <patternFill patternType="solid">
        <fgColor theme="0"/>
        <bgColor indexed="64"/>
      </patternFill>
    </fill>
    <fill>
      <patternFill patternType="solid">
        <fgColor theme="5" tint="0.399914548173467"/>
        <bgColor indexed="64"/>
      </patternFill>
    </fill>
    <fill>
      <patternFill patternType="solid">
        <fgColor theme="5" tint="0.799920651875362"/>
        <bgColor indexed="64"/>
      </patternFill>
    </fill>
    <fill>
      <patternFill patternType="solid">
        <fgColor theme="9" tint="0.599963377788629"/>
        <bgColor indexed="64"/>
      </patternFill>
    </fill>
    <fill>
      <patternFill patternType="solid">
        <fgColor theme="2"/>
        <bgColor indexed="64"/>
      </patternFill>
    </fill>
    <fill>
      <patternFill patternType="solid">
        <fgColor theme="1" tint="0.499984740745262"/>
        <bgColor indexed="64"/>
      </patternFill>
    </fill>
    <fill>
      <patternFill patternType="solid">
        <fgColor theme="6" tint="0.799829096346934"/>
        <bgColor indexed="64"/>
      </patternFill>
    </fill>
    <fill>
      <patternFill patternType="solid">
        <fgColor theme="8" tint="0.799829096346934"/>
        <bgColor indexed="64"/>
      </patternFill>
    </fill>
    <fill>
      <patternFill patternType="solid">
        <fgColor theme="5" tint="0.599993896298105"/>
        <bgColor indexed="64"/>
      </patternFill>
    </fill>
    <fill>
      <patternFill patternType="solid">
        <fgColor theme="6" tint="0.399914548173467"/>
        <bgColor indexed="64"/>
      </patternFill>
    </fill>
    <fill>
      <patternFill patternType="solid">
        <fgColor theme="7" tint="0.399884029663991"/>
        <bgColor indexed="64"/>
      </patternFill>
    </fill>
    <fill>
      <patternFill patternType="solid">
        <fgColor rgb="FFFF0000"/>
        <bgColor indexed="64"/>
      </patternFill>
    </fill>
    <fill>
      <patternFill patternType="solid">
        <fgColor theme="7" tint="0.399914548173467"/>
        <bgColor indexed="64"/>
      </patternFill>
    </fill>
    <fill>
      <patternFill patternType="solid">
        <fgColor theme="3" tint="0.599993896298105"/>
        <bgColor indexed="64"/>
      </patternFill>
    </fill>
    <fill>
      <patternFill patternType="solid">
        <fgColor theme="9" tint="0.799920651875362"/>
        <bgColor indexed="64"/>
      </patternFill>
    </fill>
    <fill>
      <patternFill patternType="solid">
        <fgColor theme="7" tint="0.599993896298105"/>
        <bgColor indexed="64"/>
      </patternFill>
    </fill>
    <fill>
      <patternFill patternType="solid">
        <fgColor theme="9" tint="0.399914548173467"/>
        <bgColor indexed="64"/>
      </patternFill>
    </fill>
    <fill>
      <patternFill patternType="solid">
        <fgColor theme="9" tint="0.799798577837458"/>
        <bgColor indexed="64"/>
      </patternFill>
    </fill>
    <fill>
      <patternFill patternType="solid">
        <fgColor rgb="FFFFFF00"/>
        <bgColor indexed="64"/>
      </patternFill>
    </fill>
    <fill>
      <patternFill patternType="solid">
        <fgColor theme="2" tint="-0.249977111117893"/>
        <bgColor indexed="64"/>
      </patternFill>
    </fill>
    <fill>
      <patternFill patternType="solid">
        <fgColor theme="6" tint="0.799920651875362"/>
        <bgColor indexed="64"/>
      </patternFill>
    </fill>
    <fill>
      <patternFill patternType="solid">
        <fgColor theme="4" tint="0.599993896298105"/>
        <bgColor indexed="64"/>
      </patternFill>
    </fill>
    <fill>
      <patternFill patternType="solid">
        <fgColor theme="9" tint="0.599993896298105"/>
        <bgColor indexed="64"/>
      </patternFill>
    </fill>
    <fill>
      <patternFill patternType="solid">
        <fgColor theme="6" tint="0.599993896298105"/>
        <bgColor indexed="64"/>
      </patternFill>
    </fill>
    <fill>
      <patternFill patternType="solid">
        <fgColor theme="7" tint="0.399822992645039"/>
        <bgColor indexed="64"/>
      </patternFill>
    </fill>
    <fill>
      <patternFill patternType="solid">
        <fgColor theme="7" tint="0.799829096346934"/>
        <bgColor indexed="64"/>
      </patternFill>
    </fill>
    <fill>
      <patternFill patternType="solid">
        <fgColor theme="8" tint="0.599993896298105"/>
        <bgColor indexed="64"/>
      </patternFill>
    </fill>
    <fill>
      <patternFill patternType="solid">
        <fgColor theme="7" tint="0.799920651875362"/>
        <bgColor indexed="64"/>
      </patternFill>
    </fill>
    <fill>
      <patternFill patternType="solid">
        <fgColor theme="9" tint="0.399822992645039"/>
        <bgColor indexed="64"/>
      </patternFill>
    </fill>
    <fill>
      <patternFill patternType="solid">
        <fgColor indexed="9"/>
        <bgColor indexed="64"/>
      </patternFill>
    </fill>
    <fill>
      <patternFill patternType="solid">
        <fgColor indexed="65"/>
        <bgColor theme="0"/>
      </patternFill>
    </fill>
    <fill>
      <patternFill patternType="solid">
        <fgColor theme="5" tint="0.799920651875362"/>
        <bgColor theme="0"/>
      </patternFill>
    </fill>
    <fill>
      <patternFill patternType="solid">
        <fgColor theme="3" tint="0.799829096346934"/>
        <bgColor indexed="64"/>
      </patternFill>
    </fill>
    <fill>
      <patternFill patternType="solid">
        <fgColor theme="4" tint="0.799829096346934"/>
        <bgColor indexed="64"/>
      </patternFill>
    </fill>
    <fill>
      <patternFill patternType="solid">
        <fgColor theme="5" tint="0.399822992645039"/>
        <bgColor indexed="64"/>
      </patternFill>
    </fill>
    <fill>
      <patternFill patternType="solid">
        <fgColor theme="0" tint="-0.0499893185216834"/>
        <bgColor indexed="64"/>
      </patternFill>
    </fill>
    <fill>
      <patternFill patternType="solid">
        <fgColor theme="5" tint="0.799951170384838"/>
        <bgColor indexed="64"/>
      </patternFill>
    </fill>
    <fill>
      <patternFill patternType="solid">
        <fgColor theme="3" tint="0.399822992645039"/>
        <bgColor indexed="64"/>
      </patternFill>
    </fill>
    <fill>
      <patternFill patternType="solid">
        <fgColor theme="5" tint="-0.249977111117893"/>
        <bgColor indexed="64"/>
      </patternFill>
    </fill>
    <fill>
      <patternFill patternType="solid">
        <fgColor theme="7" tint="-0.249977111117893"/>
        <bgColor indexed="64"/>
      </patternFill>
    </fill>
    <fill>
      <patternFill patternType="solid">
        <fgColor theme="0" tint="-0.149845881527146"/>
        <bgColor indexed="64"/>
      </patternFill>
    </fill>
    <fill>
      <patternFill patternType="solid">
        <fgColor theme="8" tint="-0.249977111117893"/>
        <bgColor indexed="64"/>
      </patternFill>
    </fill>
    <fill>
      <patternFill patternType="solid">
        <fgColor theme="9" tint="-0.249977111117893"/>
        <bgColor indexed="64"/>
      </patternFill>
    </fill>
    <fill>
      <patternFill patternType="solid">
        <fgColor theme="1" tint="0.249977111117893"/>
        <bgColor indexed="64"/>
      </patternFill>
    </fill>
    <fill>
      <patternFill patternType="solid">
        <fgColor theme="9" tint="0.799829096346934"/>
        <bgColor indexed="64"/>
      </patternFill>
    </fill>
    <fill>
      <patternFill patternType="solid">
        <fgColor theme="8" tint="0.799920651875362"/>
        <bgColor indexed="64"/>
      </patternFill>
    </fill>
    <fill>
      <patternFill patternType="solid">
        <fgColor theme="5" tint="0.399945066682943"/>
        <bgColor indexed="64"/>
      </patternFill>
    </fill>
    <fill>
      <patternFill patternType="solid">
        <fgColor rgb="FFFFC000"/>
        <bgColor indexed="64"/>
      </patternFill>
    </fill>
    <fill>
      <patternFill patternType="solid">
        <fgColor theme="5" tint="0.799920651875362"/>
        <bgColor rgb="FF000000"/>
      </patternFill>
    </fill>
    <fill>
      <patternFill patternType="solid">
        <fgColor theme="4" tint="0.599993896298105"/>
        <bgColor rgb="FF000000"/>
      </patternFill>
    </fill>
    <fill>
      <patternFill patternType="solid">
        <fgColor theme="6" tint="0.599993896298105"/>
        <bgColor rgb="FF000000"/>
      </patternFill>
    </fill>
    <fill>
      <patternFill patternType="solid">
        <fgColor theme="0" tint="-0.149784844508194"/>
        <bgColor indexed="64"/>
      </patternFill>
    </fill>
    <fill>
      <patternFill patternType="solid">
        <fgColor theme="5" tint="0.599993896298105"/>
        <bgColor indexed="64"/>
      </patternFill>
    </fill>
    <fill>
      <patternFill patternType="solid">
        <fgColor theme="6" tint="0.399975585192419"/>
        <bgColor indexed="64"/>
      </patternFill>
    </fill>
    <fill>
      <patternFill patternType="solid">
        <fgColor theme="6" tint="0.799981688894314"/>
        <bgColor indexed="64"/>
      </patternFill>
    </fill>
    <fill>
      <patternFill patternType="solid">
        <fgColor rgb="FFA5A5A5"/>
        <bgColor indexed="64"/>
      </patternFill>
    </fill>
    <fill>
      <patternFill patternType="solid">
        <fgColor rgb="FFF2F2F2"/>
        <bgColor indexed="64"/>
      </patternFill>
    </fill>
    <fill>
      <patternFill patternType="solid">
        <fgColor rgb="FFFFCC99"/>
        <bgColor indexed="64"/>
      </patternFill>
    </fill>
    <fill>
      <patternFill patternType="solid">
        <fgColor theme="6" tint="0.599993896298105"/>
        <bgColor indexed="64"/>
      </patternFill>
    </fill>
    <fill>
      <patternFill patternType="solid">
        <fgColor theme="4" tint="0.599993896298105"/>
        <bgColor indexed="64"/>
      </patternFill>
    </fill>
    <fill>
      <patternFill patternType="solid">
        <fgColor theme="4" tint="0.799981688894314"/>
        <bgColor indexed="64"/>
      </patternFill>
    </fill>
    <fill>
      <patternFill patternType="solid">
        <fgColor rgb="FFFFC7CE"/>
        <bgColor indexed="64"/>
      </patternFill>
    </fill>
    <fill>
      <patternFill patternType="solid">
        <fgColor rgb="FFFFFFCC"/>
        <bgColor indexed="64"/>
      </patternFill>
    </fill>
    <fill>
      <patternFill patternType="solid">
        <fgColor theme="5" tint="0.799981688894314"/>
        <bgColor indexed="64"/>
      </patternFill>
    </fill>
    <fill>
      <patternFill patternType="solid">
        <fgColor indexed="47"/>
        <bgColor indexed="64"/>
      </patternFill>
    </fill>
    <fill>
      <patternFill patternType="solid">
        <fgColor theme="5" tint="0.399975585192419"/>
        <bgColor indexed="64"/>
      </patternFill>
    </fill>
    <fill>
      <patternFill patternType="solid">
        <fgColor indexed="46"/>
        <bgColor indexed="64"/>
      </patternFill>
    </fill>
    <fill>
      <patternFill patternType="solid">
        <fgColor theme="4"/>
        <bgColor indexed="64"/>
      </patternFill>
    </fill>
    <fill>
      <patternFill patternType="solid">
        <fgColor theme="5"/>
        <bgColor indexed="64"/>
      </patternFill>
    </fill>
    <fill>
      <patternFill patternType="solid">
        <fgColor theme="9"/>
        <bgColor indexed="64"/>
      </patternFill>
    </fill>
    <fill>
      <patternFill patternType="solid">
        <fgColor indexed="55"/>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theme="9" tint="0.799981688894314"/>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indexed="36"/>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indexed="30"/>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indexed="29"/>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indexed="42"/>
        <bgColor indexed="64"/>
      </patternFill>
    </fill>
    <fill>
      <patternFill patternType="solid">
        <fgColor indexed="31"/>
        <bgColor indexed="64"/>
      </patternFill>
    </fill>
    <fill>
      <patternFill patternType="solid">
        <fgColor rgb="FFFFC7CE"/>
        <bgColor indexed="64"/>
      </patternFill>
    </fill>
    <fill>
      <patternFill patternType="solid">
        <fgColor indexed="45"/>
        <bgColor indexed="64"/>
      </patternFill>
    </fill>
    <fill>
      <patternFill patternType="solid">
        <fgColor indexed="27"/>
        <bgColor indexed="64"/>
      </patternFill>
    </fill>
    <fill>
      <patternFill patternType="solid">
        <fgColor indexed="44"/>
        <bgColor indexed="64"/>
      </patternFill>
    </fill>
    <fill>
      <patternFill patternType="solid">
        <fgColor indexed="11"/>
        <bgColor indexed="64"/>
      </patternFill>
    </fill>
    <fill>
      <patternFill patternType="solid">
        <fgColor indexed="51"/>
        <bgColor indexed="64"/>
      </patternFill>
    </fill>
    <fill>
      <patternFill patternType="solid">
        <fgColor indexed="49"/>
        <bgColor indexed="64"/>
      </patternFill>
    </fill>
    <fill>
      <patternFill patternType="solid">
        <fgColor indexed="52"/>
        <bgColor indexed="64"/>
      </patternFill>
    </fill>
    <fill>
      <patternFill patternType="solid">
        <fgColor indexed="57"/>
        <bgColor indexed="64"/>
      </patternFill>
    </fill>
    <fill>
      <patternFill patternType="solid">
        <fgColor indexed="26"/>
        <bgColor indexed="64"/>
      </patternFill>
    </fill>
    <fill>
      <patternFill patternType="solid">
        <fgColor indexed="62"/>
        <bgColor indexed="64"/>
      </patternFill>
    </fill>
    <fill>
      <patternFill patternType="solid">
        <fgColor indexed="10"/>
        <bgColor indexed="64"/>
      </patternFill>
    </fill>
    <fill>
      <patternFill patternType="solid">
        <fgColor indexed="53"/>
        <bgColor indexed="64"/>
      </patternFill>
    </fill>
    <fill>
      <patternFill patternType="solid">
        <fgColor indexed="43"/>
        <bgColor indexed="64"/>
      </patternFill>
    </fill>
    <fill>
      <patternFill patternType="solid">
        <fgColor indexed="22"/>
        <bgColor indexed="64"/>
      </patternFill>
    </fill>
    <fill>
      <patternFill patternType="solid">
        <fgColor rgb="FFC6EFCE"/>
        <bgColor indexed="64"/>
      </patternFill>
    </fill>
  </fills>
  <borders count="67">
    <border>
      <left/>
      <right/>
      <top/>
      <bottom/>
      <diagonal/>
    </border>
    <border>
      <left style="thin">
        <color auto="1"/>
      </left>
      <right style="thin">
        <color auto="1"/>
      </right>
      <top style="thin">
        <color auto="1"/>
      </top>
      <bottom style="thin">
        <color auto="1"/>
      </bottom>
      <diagonal/>
    </border>
    <border diagonalUp="1">
      <left style="thin">
        <color auto="1"/>
      </left>
      <right style="thin">
        <color auto="1"/>
      </right>
      <top style="thin">
        <color auto="1"/>
      </top>
      <bottom style="thin">
        <color auto="1"/>
      </bottom>
      <diagonal style="thin">
        <color auto="1"/>
      </diagonal>
    </border>
    <border>
      <left style="medium">
        <color auto="1"/>
      </left>
      <right/>
      <top/>
      <bottom style="thin">
        <color auto="1"/>
      </bottom>
      <diagonal/>
    </border>
    <border>
      <left/>
      <right style="thin">
        <color auto="1"/>
      </right>
      <top/>
      <bottom style="thin">
        <color auto="1"/>
      </bottom>
      <diagonal/>
    </border>
    <border>
      <left style="thin">
        <color auto="1"/>
      </left>
      <right/>
      <top/>
      <bottom style="thin">
        <color auto="1"/>
      </bottom>
      <diagonal/>
    </border>
    <border>
      <left/>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bottom/>
      <diagonal/>
    </border>
    <border>
      <left style="medium">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diagonal/>
    </border>
    <border>
      <left style="thin">
        <color auto="1"/>
      </left>
      <right style="thin">
        <color auto="1"/>
      </right>
      <top/>
      <bottom style="thin">
        <color auto="1"/>
      </bottom>
      <diagonal/>
    </border>
    <border>
      <left style="thin">
        <color auto="1"/>
      </left>
      <right style="thin">
        <color auto="1"/>
      </right>
      <top/>
      <bottom/>
      <diagonal/>
    </border>
    <border>
      <left style="medium">
        <color theme="1" tint="0.149845881527146"/>
      </left>
      <right style="thin">
        <color theme="0" tint="-0.349986266670736"/>
      </right>
      <top/>
      <bottom style="thin">
        <color theme="0" tint="-0.349986266670736"/>
      </bottom>
      <diagonal/>
    </border>
    <border>
      <left style="thin">
        <color theme="0" tint="-0.349986266670736"/>
      </left>
      <right style="thin">
        <color theme="0" tint="-0.349986266670736"/>
      </right>
      <top/>
      <bottom style="thin">
        <color theme="0" tint="-0.349986266670736"/>
      </bottom>
      <diagonal/>
    </border>
    <border>
      <left style="thin">
        <color theme="0" tint="-0.349986266670736"/>
      </left>
      <right/>
      <top/>
      <bottom style="thin">
        <color theme="0" tint="-0.349986266670736"/>
      </bottom>
      <diagonal/>
    </border>
    <border>
      <left/>
      <right/>
      <top/>
      <bottom style="thin">
        <color theme="0" tint="-0.349986266670736"/>
      </bottom>
      <diagonal/>
    </border>
    <border>
      <left style="medium">
        <color theme="1" tint="0.149845881527146"/>
      </left>
      <right style="thin">
        <color theme="0" tint="-0.349986266670736"/>
      </right>
      <top style="thin">
        <color theme="0" tint="-0.349986266670736"/>
      </top>
      <bottom style="thin">
        <color theme="0" tint="-0.349986266670736"/>
      </bottom>
      <diagonal/>
    </border>
    <border>
      <left style="thin">
        <color theme="0" tint="-0.349986266670736"/>
      </left>
      <right style="thin">
        <color theme="0" tint="-0.349986266670736"/>
      </right>
      <top style="thin">
        <color theme="0" tint="-0.349986266670736"/>
      </top>
      <bottom style="thin">
        <color theme="0" tint="-0.349986266670736"/>
      </bottom>
      <diagonal/>
    </border>
    <border>
      <left style="medium">
        <color theme="1" tint="0.149845881527146"/>
      </left>
      <right style="thin">
        <color theme="0" tint="-0.349986266670736"/>
      </right>
      <top style="thin">
        <color theme="0" tint="-0.349986266670736"/>
      </top>
      <bottom style="medium">
        <color theme="1" tint="0.149845881527146"/>
      </bottom>
      <diagonal/>
    </border>
    <border>
      <left style="thin">
        <color theme="0" tint="-0.349986266670736"/>
      </left>
      <right style="thin">
        <color theme="0" tint="-0.349986266670736"/>
      </right>
      <top style="thin">
        <color theme="0" tint="-0.349986266670736"/>
      </top>
      <bottom style="medium">
        <color theme="1" tint="0.149845881527146"/>
      </bottom>
      <diagonal/>
    </border>
    <border>
      <left/>
      <right style="thin">
        <color theme="0" tint="-0.349986266670736"/>
      </right>
      <top/>
      <bottom style="thin">
        <color theme="0" tint="-0.349986266670736"/>
      </bottom>
      <diagonal/>
    </border>
    <border>
      <left style="thin">
        <color theme="0" tint="-0.349986266670736"/>
      </left>
      <right style="medium">
        <color theme="1" tint="0.149845881527146"/>
      </right>
      <top/>
      <bottom/>
      <diagonal/>
    </border>
    <border>
      <left style="thin">
        <color theme="0" tint="-0.349986266670736"/>
      </left>
      <right style="medium">
        <color theme="1" tint="0.149845881527146"/>
      </right>
      <top/>
      <bottom style="thin">
        <color theme="0" tint="-0.349986266670736"/>
      </bottom>
      <diagonal/>
    </border>
    <border>
      <left style="thin">
        <color theme="0" tint="-0.349986266670736"/>
      </left>
      <right style="medium">
        <color theme="1" tint="0.149845881527146"/>
      </right>
      <top style="thin">
        <color theme="0" tint="-0.349986266670736"/>
      </top>
      <bottom style="thin">
        <color theme="0" tint="-0.349986266670736"/>
      </bottom>
      <diagonal/>
    </border>
    <border>
      <left style="thin">
        <color theme="0" tint="-0.349986266670736"/>
      </left>
      <right style="medium">
        <color theme="1" tint="0.149845881527146"/>
      </right>
      <top style="thin">
        <color theme="0" tint="-0.349986266670736"/>
      </top>
      <bottom style="medium">
        <color theme="1" tint="0.149845881527146"/>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diagonal/>
    </border>
    <border>
      <left style="medium">
        <color auto="1"/>
      </left>
      <right style="thin">
        <color auto="1"/>
      </right>
      <top/>
      <bottom style="medium">
        <color auto="1"/>
      </bottom>
      <diagonal/>
    </border>
    <border>
      <left style="thin">
        <color auto="1"/>
      </left>
      <right/>
      <top style="thin">
        <color auto="1"/>
      </top>
      <bottom style="medium">
        <color auto="1"/>
      </bottom>
      <diagonal/>
    </border>
    <border>
      <left/>
      <right/>
      <top style="medium">
        <color auto="1"/>
      </top>
      <bottom/>
      <diagonal/>
    </border>
    <border>
      <left/>
      <right style="thin">
        <color auto="1"/>
      </right>
      <top style="medium">
        <color auto="1"/>
      </top>
      <bottom/>
      <diagonal/>
    </border>
    <border>
      <left style="thin">
        <color auto="1"/>
      </left>
      <right/>
      <top style="medium">
        <color auto="1"/>
      </top>
      <bottom style="thin">
        <color auto="1"/>
      </bottom>
      <diagonal/>
    </border>
    <border>
      <left/>
      <right/>
      <top style="medium">
        <color auto="1"/>
      </top>
      <bottom style="thin">
        <color auto="1"/>
      </bottom>
      <diagonal/>
    </border>
    <border>
      <left style="thin">
        <color auto="1"/>
      </left>
      <right/>
      <top style="medium">
        <color auto="1"/>
      </top>
      <bottom/>
      <diagonal/>
    </border>
    <border>
      <left/>
      <right style="medium">
        <color auto="1"/>
      </right>
      <top style="medium">
        <color auto="1"/>
      </top>
      <bottom/>
      <diagonal/>
    </border>
    <border>
      <left style="double">
        <color rgb="FF3F3F3F"/>
      </left>
      <right style="double">
        <color rgb="FF3F3F3F"/>
      </right>
      <top style="double">
        <color rgb="FF3F3F3F"/>
      </top>
      <bottom style="double">
        <color rgb="FF3F3F3F"/>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
      <left/>
      <right/>
      <top/>
      <bottom style="medium">
        <color theme="4" tint="0.499984740745262"/>
      </bottom>
      <diagonal/>
    </border>
    <border>
      <left style="thin">
        <color rgb="FFB2B2B2"/>
      </left>
      <right style="thin">
        <color rgb="FFB2B2B2"/>
      </right>
      <top style="thin">
        <color rgb="FFB2B2B2"/>
      </top>
      <bottom style="thin">
        <color rgb="FFB2B2B2"/>
      </bottom>
      <diagonal/>
    </border>
    <border>
      <left style="thin">
        <color indexed="23"/>
      </left>
      <right style="thin">
        <color indexed="23"/>
      </right>
      <top style="thin">
        <color indexed="23"/>
      </top>
      <bottom style="thin">
        <color indexed="23"/>
      </bottom>
      <diagonal/>
    </border>
    <border>
      <left/>
      <right/>
      <top/>
      <bottom style="medium">
        <color theme="4"/>
      </bottom>
      <diagonal/>
    </border>
    <border>
      <left/>
      <right/>
      <top/>
      <bottom style="medium">
        <color indexed="30"/>
      </bottom>
      <diagonal/>
    </border>
    <border>
      <left style="double">
        <color indexed="63"/>
      </left>
      <right style="double">
        <color indexed="63"/>
      </right>
      <top style="double">
        <color indexed="63"/>
      </top>
      <bottom style="double">
        <color indexed="63"/>
      </bottom>
      <diagonal/>
    </border>
    <border>
      <left/>
      <right/>
      <top/>
      <bottom style="double">
        <color rgb="FFFF8001"/>
      </bottom>
      <diagonal/>
    </border>
    <border>
      <left/>
      <right/>
      <top style="thin">
        <color theme="4"/>
      </top>
      <bottom style="double">
        <color theme="4"/>
      </bottom>
      <diagonal/>
    </border>
    <border>
      <left/>
      <right/>
      <top/>
      <bottom style="medium">
        <color auto="1"/>
      </bottom>
      <diagonal/>
    </border>
    <border>
      <left/>
      <right/>
      <top/>
      <bottom style="double">
        <color indexed="52"/>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right/>
      <top style="medium">
        <color auto="1"/>
      </top>
      <bottom style="medium">
        <color auto="1"/>
      </bottom>
      <diagonal/>
    </border>
    <border>
      <left/>
      <right/>
      <top/>
      <bottom style="thick">
        <color indexed="62"/>
      </bottom>
      <diagonal/>
    </border>
    <border>
      <left/>
      <right/>
      <top/>
      <bottom style="thick">
        <color indexed="22"/>
      </bottom>
      <diagonal/>
    </border>
    <border>
      <left style="thin">
        <color indexed="63"/>
      </left>
      <right style="thin">
        <color indexed="63"/>
      </right>
      <top style="thin">
        <color indexed="63"/>
      </top>
      <bottom style="thin">
        <color indexed="63"/>
      </bottom>
      <diagonal/>
    </border>
  </borders>
  <cellStyleXfs count="245">
    <xf numFmtId="176" fontId="0" fillId="0" borderId="0"/>
    <xf numFmtId="0" fontId="83" fillId="0" borderId="0" applyNumberFormat="0"/>
    <xf numFmtId="42" fontId="80" fillId="0" borderId="0" applyFont="0" applyFill="0" applyBorder="0" applyAlignment="0" applyProtection="0">
      <alignment vertical="center"/>
    </xf>
    <xf numFmtId="0" fontId="79" fillId="56" borderId="0" applyNumberFormat="0" applyBorder="0" applyAlignment="0" applyProtection="0">
      <alignment vertical="center"/>
    </xf>
    <xf numFmtId="0" fontId="88" fillId="59" borderId="50" applyNumberFormat="0" applyAlignment="0" applyProtection="0">
      <alignment vertical="center"/>
    </xf>
    <xf numFmtId="0" fontId="90" fillId="0" borderId="0">
      <alignment vertical="center"/>
    </xf>
    <xf numFmtId="44" fontId="80" fillId="0" borderId="0" applyFont="0" applyFill="0" applyBorder="0" applyAlignment="0" applyProtection="0">
      <alignment vertical="center"/>
    </xf>
    <xf numFmtId="41" fontId="80" fillId="0" borderId="0" applyFont="0" applyFill="0" applyBorder="0" applyAlignment="0" applyProtection="0">
      <alignment vertical="center"/>
    </xf>
    <xf numFmtId="0" fontId="79" fillId="60" borderId="0" applyNumberFormat="0" applyBorder="0" applyAlignment="0" applyProtection="0">
      <alignment vertical="center"/>
    </xf>
    <xf numFmtId="0" fontId="91" fillId="63" borderId="0" applyNumberFormat="0" applyBorder="0" applyAlignment="0" applyProtection="0">
      <alignment vertical="center"/>
    </xf>
    <xf numFmtId="43" fontId="80" fillId="0" borderId="0" applyFont="0" applyFill="0" applyBorder="0" applyAlignment="0" applyProtection="0">
      <alignment vertical="center"/>
    </xf>
    <xf numFmtId="178" fontId="83" fillId="0" borderId="0"/>
    <xf numFmtId="0" fontId="82" fillId="55" borderId="0" applyNumberFormat="0" applyBorder="0" applyAlignment="0" applyProtection="0">
      <alignment vertical="center"/>
    </xf>
    <xf numFmtId="0" fontId="92" fillId="0" borderId="0" applyNumberFormat="0" applyFill="0" applyBorder="0" applyAlignment="0" applyProtection="0">
      <alignment vertical="center"/>
    </xf>
    <xf numFmtId="9" fontId="80" fillId="0" borderId="0" applyFont="0" applyFill="0" applyBorder="0" applyAlignment="0" applyProtection="0">
      <alignment vertical="center"/>
    </xf>
    <xf numFmtId="0" fontId="94" fillId="0" borderId="0" applyNumberFormat="0" applyFill="0" applyBorder="0" applyAlignment="0" applyProtection="0">
      <alignment vertical="center"/>
    </xf>
    <xf numFmtId="0" fontId="1" fillId="0" borderId="0">
      <alignment vertical="center"/>
    </xf>
    <xf numFmtId="0" fontId="80" fillId="64" borderId="52" applyNumberFormat="0" applyFont="0" applyAlignment="0" applyProtection="0">
      <alignment vertical="center"/>
    </xf>
    <xf numFmtId="0" fontId="82" fillId="67" borderId="0" applyNumberFormat="0" applyBorder="0" applyAlignment="0" applyProtection="0">
      <alignment vertical="center"/>
    </xf>
    <xf numFmtId="178" fontId="87" fillId="0" borderId="0" applyProtection="0"/>
    <xf numFmtId="0" fontId="93" fillId="0" borderId="0" applyNumberFormat="0" applyFill="0" applyBorder="0" applyAlignment="0" applyProtection="0">
      <alignment vertical="center"/>
    </xf>
    <xf numFmtId="0" fontId="77" fillId="0" borderId="0"/>
    <xf numFmtId="0" fontId="100" fillId="0" borderId="0" applyNumberFormat="0" applyFill="0" applyBorder="0" applyAlignment="0" applyProtection="0">
      <alignment vertical="center"/>
    </xf>
    <xf numFmtId="176" fontId="95" fillId="0" borderId="0"/>
    <xf numFmtId="179" fontId="90" fillId="0" borderId="0"/>
    <xf numFmtId="0" fontId="102" fillId="0" borderId="0" applyNumberFormat="0" applyFill="0" applyBorder="0" applyAlignment="0" applyProtection="0">
      <alignment vertical="center"/>
    </xf>
    <xf numFmtId="176" fontId="90" fillId="0" borderId="0"/>
    <xf numFmtId="0" fontId="103" fillId="0" borderId="0" applyNumberFormat="0" applyFill="0" applyBorder="0" applyAlignment="0" applyProtection="0">
      <alignment vertical="center"/>
    </xf>
    <xf numFmtId="178" fontId="83" fillId="0" borderId="0"/>
    <xf numFmtId="178" fontId="33" fillId="0" borderId="0"/>
    <xf numFmtId="0" fontId="81" fillId="0" borderId="0"/>
    <xf numFmtId="0" fontId="104" fillId="0" borderId="54" applyNumberFormat="0" applyFill="0" applyAlignment="0" applyProtection="0">
      <alignment vertical="center"/>
    </xf>
    <xf numFmtId="176" fontId="83" fillId="0" borderId="0"/>
    <xf numFmtId="0" fontId="97" fillId="0" borderId="54" applyNumberFormat="0" applyFill="0" applyAlignment="0" applyProtection="0">
      <alignment vertical="center"/>
    </xf>
    <xf numFmtId="0" fontId="82" fillId="73" borderId="0" applyNumberFormat="0" applyBorder="0" applyAlignment="0" applyProtection="0">
      <alignment vertical="center"/>
    </xf>
    <xf numFmtId="0" fontId="77" fillId="0" borderId="0"/>
    <xf numFmtId="0" fontId="93" fillId="0" borderId="51" applyNumberFormat="0" applyFill="0" applyAlignment="0" applyProtection="0">
      <alignment vertical="center"/>
    </xf>
    <xf numFmtId="0" fontId="82" fillId="74" borderId="0" applyNumberFormat="0" applyBorder="0" applyAlignment="0" applyProtection="0">
      <alignment vertical="center"/>
    </xf>
    <xf numFmtId="0" fontId="86" fillId="58" borderId="49" applyNumberFormat="0" applyAlignment="0" applyProtection="0">
      <alignment vertical="center"/>
    </xf>
    <xf numFmtId="176" fontId="95" fillId="0" borderId="0"/>
    <xf numFmtId="178" fontId="96" fillId="66" borderId="53" applyNumberFormat="0" applyAlignment="0" applyProtection="0">
      <alignment vertical="center"/>
    </xf>
    <xf numFmtId="0" fontId="99" fillId="58" borderId="50" applyNumberFormat="0" applyAlignment="0" applyProtection="0">
      <alignment vertical="center"/>
    </xf>
    <xf numFmtId="0" fontId="85" fillId="57" borderId="48" applyNumberFormat="0" applyAlignment="0" applyProtection="0">
      <alignment vertical="center"/>
    </xf>
    <xf numFmtId="0" fontId="79" fillId="75" borderId="0" applyNumberFormat="0" applyBorder="0" applyAlignment="0" applyProtection="0">
      <alignment vertical="center"/>
    </xf>
    <xf numFmtId="0" fontId="82" fillId="70" borderId="0" applyNumberFormat="0" applyBorder="0" applyAlignment="0" applyProtection="0">
      <alignment vertical="center"/>
    </xf>
    <xf numFmtId="0" fontId="107" fillId="0" borderId="57" applyNumberFormat="0" applyFill="0" applyAlignment="0" applyProtection="0">
      <alignment vertical="center"/>
    </xf>
    <xf numFmtId="178" fontId="87" fillId="0" borderId="0"/>
    <xf numFmtId="0" fontId="108" fillId="0" borderId="58" applyNumberFormat="0" applyFill="0" applyAlignment="0" applyProtection="0">
      <alignment vertical="center"/>
    </xf>
    <xf numFmtId="40" fontId="109" fillId="0" borderId="0" applyFont="0" applyFill="0" applyBorder="0" applyAlignment="0" applyProtection="0"/>
    <xf numFmtId="177" fontId="87" fillId="0" borderId="0" applyFont="0" applyFill="0" applyBorder="0" applyAlignment="0" applyProtection="0"/>
    <xf numFmtId="0" fontId="106" fillId="76" borderId="0" applyNumberFormat="0" applyBorder="0" applyAlignment="0" applyProtection="0">
      <alignment vertical="center"/>
    </xf>
    <xf numFmtId="178" fontId="101" fillId="0" borderId="55" applyNumberFormat="0" applyFill="0" applyAlignment="0" applyProtection="0">
      <alignment vertical="center"/>
    </xf>
    <xf numFmtId="0" fontId="77" fillId="0" borderId="0"/>
    <xf numFmtId="0" fontId="110" fillId="77" borderId="0" applyNumberFormat="0" applyBorder="0" applyAlignment="0" applyProtection="0">
      <alignment vertical="center"/>
    </xf>
    <xf numFmtId="0" fontId="79" fillId="78" borderId="0" applyNumberFormat="0" applyBorder="0" applyAlignment="0" applyProtection="0">
      <alignment vertical="center"/>
    </xf>
    <xf numFmtId="181" fontId="111" fillId="0" borderId="0" applyFont="0" applyFill="0" applyBorder="0" applyAlignment="0" applyProtection="0"/>
    <xf numFmtId="0" fontId="82" fillId="69" borderId="0" applyNumberFormat="0" applyBorder="0" applyAlignment="0" applyProtection="0">
      <alignment vertical="center"/>
    </xf>
    <xf numFmtId="0" fontId="81" fillId="0" borderId="0"/>
    <xf numFmtId="0" fontId="77" fillId="0" borderId="0"/>
    <xf numFmtId="0" fontId="79" fillId="62" borderId="0" applyNumberFormat="0" applyBorder="0" applyAlignment="0" applyProtection="0">
      <alignment vertical="center"/>
    </xf>
    <xf numFmtId="0" fontId="79" fillId="61" borderId="0" applyNumberFormat="0" applyBorder="0" applyAlignment="0" applyProtection="0">
      <alignment vertical="center"/>
    </xf>
    <xf numFmtId="0" fontId="79" fillId="65" borderId="0" applyNumberFormat="0" applyBorder="0" applyAlignment="0" applyProtection="0">
      <alignment vertical="center"/>
    </xf>
    <xf numFmtId="0" fontId="79" fillId="54" borderId="0" applyNumberFormat="0" applyBorder="0" applyAlignment="0" applyProtection="0">
      <alignment vertical="center"/>
    </xf>
    <xf numFmtId="178" fontId="87" fillId="0" borderId="0"/>
    <xf numFmtId="176" fontId="112" fillId="0" borderId="0" applyNumberFormat="0" applyFill="0" applyBorder="0" applyAlignment="0" applyProtection="0">
      <alignment vertical="top"/>
      <protection locked="0"/>
    </xf>
    <xf numFmtId="0" fontId="82" fillId="80" borderId="0" applyNumberFormat="0" applyBorder="0" applyAlignment="0" applyProtection="0">
      <alignment vertical="center"/>
    </xf>
    <xf numFmtId="176" fontId="114" fillId="0" borderId="0" applyNumberFormat="0" applyFill="0" applyBorder="0" applyAlignment="0" applyProtection="0">
      <alignment vertical="center"/>
    </xf>
    <xf numFmtId="0" fontId="82" fillId="81" borderId="0" applyNumberFormat="0" applyBorder="0" applyAlignment="0" applyProtection="0">
      <alignment vertical="center"/>
    </xf>
    <xf numFmtId="182" fontId="116" fillId="0" borderId="0" applyFont="0" applyFill="0" applyBorder="0" applyAlignment="0" applyProtection="0"/>
    <xf numFmtId="0" fontId="79" fillId="82" borderId="0" applyNumberFormat="0" applyBorder="0" applyAlignment="0" applyProtection="0">
      <alignment vertical="center"/>
    </xf>
    <xf numFmtId="178" fontId="113" fillId="83" borderId="0" applyNumberFormat="0" applyBorder="0" applyAlignment="0" applyProtection="0">
      <alignment vertical="center"/>
    </xf>
    <xf numFmtId="41" fontId="87" fillId="0" borderId="0" applyFont="0" applyFill="0" applyBorder="0" applyAlignment="0" applyProtection="0"/>
    <xf numFmtId="0" fontId="79" fillId="84" borderId="0" applyNumberFormat="0" applyBorder="0" applyAlignment="0" applyProtection="0">
      <alignment vertical="center"/>
    </xf>
    <xf numFmtId="0" fontId="82" fillId="85" borderId="0" applyNumberFormat="0" applyBorder="0" applyAlignment="0" applyProtection="0">
      <alignment vertical="center"/>
    </xf>
    <xf numFmtId="0" fontId="79" fillId="86" borderId="0" applyNumberFormat="0" applyBorder="0" applyAlignment="0" applyProtection="0">
      <alignment vertical="center"/>
    </xf>
    <xf numFmtId="178" fontId="83" fillId="0" borderId="0"/>
    <xf numFmtId="177" fontId="83" fillId="0" borderId="0" applyFont="0" applyFill="0" applyBorder="0" applyAlignment="0" applyProtection="0"/>
    <xf numFmtId="178" fontId="95" fillId="0" borderId="0"/>
    <xf numFmtId="0" fontId="82" fillId="87" borderId="0" applyNumberFormat="0" applyBorder="0" applyAlignment="0" applyProtection="0">
      <alignment vertical="center"/>
    </xf>
    <xf numFmtId="0" fontId="82" fillId="71" borderId="0" applyNumberFormat="0" applyBorder="0" applyAlignment="0" applyProtection="0">
      <alignment vertical="center"/>
    </xf>
    <xf numFmtId="0" fontId="79" fillId="89" borderId="0" applyNumberFormat="0" applyBorder="0" applyAlignment="0" applyProtection="0">
      <alignment vertical="center"/>
    </xf>
    <xf numFmtId="0" fontId="82" fillId="90" borderId="0" applyNumberFormat="0" applyBorder="0" applyAlignment="0" applyProtection="0">
      <alignment vertical="center"/>
    </xf>
    <xf numFmtId="183" fontId="87" fillId="0" borderId="0" applyFont="0" applyFill="0" applyBorder="0" applyAlignment="0" applyProtection="0"/>
    <xf numFmtId="43" fontId="87" fillId="0" borderId="0" applyFont="0" applyFill="0" applyBorder="0" applyAlignment="0" applyProtection="0"/>
    <xf numFmtId="178" fontId="87" fillId="0" borderId="0"/>
    <xf numFmtId="178" fontId="83" fillId="0" borderId="0"/>
    <xf numFmtId="178" fontId="95" fillId="0" borderId="0"/>
    <xf numFmtId="178" fontId="90" fillId="0" borderId="0"/>
    <xf numFmtId="178" fontId="118" fillId="91" borderId="0" applyNumberFormat="0" applyBorder="0" applyAlignment="0" applyProtection="0">
      <alignment vertical="center"/>
    </xf>
    <xf numFmtId="178" fontId="119" fillId="0" borderId="0"/>
    <xf numFmtId="176" fontId="90" fillId="0" borderId="0"/>
    <xf numFmtId="38" fontId="121" fillId="31" borderId="0" applyNumberFormat="0" applyBorder="0" applyAlignment="0" applyProtection="0"/>
    <xf numFmtId="178" fontId="83" fillId="0" borderId="0"/>
    <xf numFmtId="0" fontId="83" fillId="0" borderId="0"/>
    <xf numFmtId="0" fontId="89" fillId="0" borderId="0"/>
    <xf numFmtId="178" fontId="98" fillId="92" borderId="0" applyNumberFormat="0" applyBorder="0" applyAlignment="0" applyProtection="0">
      <alignment vertical="center"/>
    </xf>
    <xf numFmtId="178" fontId="98" fillId="94" borderId="0" applyNumberFormat="0" applyBorder="0" applyAlignment="0" applyProtection="0">
      <alignment vertical="center"/>
    </xf>
    <xf numFmtId="178" fontId="98" fillId="91" borderId="0" applyNumberFormat="0" applyBorder="0" applyAlignment="0" applyProtection="0">
      <alignment vertical="center"/>
    </xf>
    <xf numFmtId="178" fontId="98" fillId="68" borderId="0" applyNumberFormat="0" applyBorder="0" applyAlignment="0" applyProtection="0">
      <alignment vertical="center"/>
    </xf>
    <xf numFmtId="176" fontId="1" fillId="0" borderId="0">
      <alignment vertical="center"/>
    </xf>
    <xf numFmtId="176" fontId="123" fillId="68" borderId="0" applyNumberFormat="0" applyBorder="0" applyAlignment="0" applyProtection="0">
      <alignment vertical="center"/>
    </xf>
    <xf numFmtId="178" fontId="98" fillId="95" borderId="0" applyNumberFormat="0" applyBorder="0" applyAlignment="0" applyProtection="0">
      <alignment vertical="center"/>
    </xf>
    <xf numFmtId="178" fontId="98" fillId="66" borderId="0" applyNumberFormat="0" applyBorder="0" applyAlignment="0" applyProtection="0">
      <alignment vertical="center"/>
    </xf>
    <xf numFmtId="178" fontId="98" fillId="96" borderId="0" applyNumberFormat="0" applyBorder="0" applyAlignment="0" applyProtection="0">
      <alignment vertical="center"/>
    </xf>
    <xf numFmtId="178" fontId="98" fillId="88" borderId="0" applyNumberFormat="0" applyBorder="0" applyAlignment="0" applyProtection="0">
      <alignment vertical="center"/>
    </xf>
    <xf numFmtId="178" fontId="98" fillId="97" borderId="0" applyNumberFormat="0" applyBorder="0" applyAlignment="0" applyProtection="0">
      <alignment vertical="center"/>
    </xf>
    <xf numFmtId="185" fontId="124" fillId="0" borderId="0"/>
    <xf numFmtId="178" fontId="98" fillId="68" borderId="0" applyNumberFormat="0" applyBorder="0" applyAlignment="0" applyProtection="0">
      <alignment vertical="center"/>
    </xf>
    <xf numFmtId="178" fontId="98" fillId="96" borderId="0" applyNumberFormat="0" applyBorder="0" applyAlignment="0" applyProtection="0">
      <alignment vertical="center"/>
    </xf>
    <xf numFmtId="178" fontId="98" fillId="98" borderId="0" applyNumberFormat="0" applyBorder="0" applyAlignment="0" applyProtection="0">
      <alignment vertical="center"/>
    </xf>
    <xf numFmtId="176" fontId="90" fillId="0" borderId="0"/>
    <xf numFmtId="178" fontId="113" fillId="88" borderId="0" applyNumberFormat="0" applyBorder="0" applyAlignment="0" applyProtection="0">
      <alignment vertical="center"/>
    </xf>
    <xf numFmtId="178" fontId="1" fillId="0" borderId="0">
      <alignment vertical="center"/>
    </xf>
    <xf numFmtId="178" fontId="113" fillId="97" borderId="0" applyNumberFormat="0" applyBorder="0" applyAlignment="0" applyProtection="0">
      <alignment vertical="center"/>
    </xf>
    <xf numFmtId="0" fontId="1" fillId="0" borderId="0">
      <alignment vertical="center"/>
    </xf>
    <xf numFmtId="178" fontId="113" fillId="79" borderId="0" applyNumberFormat="0" applyBorder="0" applyAlignment="0" applyProtection="0">
      <alignment vertical="center"/>
    </xf>
    <xf numFmtId="176" fontId="83" fillId="0" borderId="0"/>
    <xf numFmtId="178" fontId="113" fillId="99" borderId="0" applyNumberFormat="0" applyBorder="0" applyAlignment="0" applyProtection="0">
      <alignment vertical="center"/>
    </xf>
    <xf numFmtId="178" fontId="113" fillId="100" borderId="0" applyNumberFormat="0" applyBorder="0" applyAlignment="0" applyProtection="0">
      <alignment vertical="center"/>
    </xf>
    <xf numFmtId="178" fontId="1" fillId="0" borderId="0">
      <alignment vertical="center"/>
    </xf>
    <xf numFmtId="0" fontId="77" fillId="0" borderId="0"/>
    <xf numFmtId="0" fontId="77" fillId="0" borderId="0"/>
    <xf numFmtId="178" fontId="113" fillId="101" borderId="0" applyNumberFormat="0" applyBorder="0" applyAlignment="0" applyProtection="0">
      <alignment vertical="center"/>
    </xf>
    <xf numFmtId="0" fontId="77" fillId="0" borderId="0"/>
    <xf numFmtId="0" fontId="77" fillId="0" borderId="0"/>
    <xf numFmtId="178" fontId="113" fillId="79" borderId="0" applyNumberFormat="0" applyBorder="0" applyAlignment="0" applyProtection="0">
      <alignment vertical="center"/>
    </xf>
    <xf numFmtId="0" fontId="77" fillId="0" borderId="0"/>
    <xf numFmtId="0" fontId="77" fillId="0" borderId="0"/>
    <xf numFmtId="0" fontId="77" fillId="0" borderId="0"/>
    <xf numFmtId="0" fontId="77" fillId="0" borderId="0"/>
    <xf numFmtId="176" fontId="90" fillId="0" borderId="0"/>
    <xf numFmtId="0" fontId="77" fillId="0" borderId="0"/>
    <xf numFmtId="0" fontId="77" fillId="0" borderId="0"/>
    <xf numFmtId="0" fontId="77" fillId="0" borderId="0" applyFont="0" applyFill="0" applyBorder="0" applyAlignment="0" applyProtection="0"/>
    <xf numFmtId="0" fontId="77" fillId="0" borderId="0"/>
    <xf numFmtId="0" fontId="77" fillId="0" borderId="0"/>
    <xf numFmtId="0" fontId="77" fillId="0" borderId="0"/>
    <xf numFmtId="0" fontId="77" fillId="0" borderId="0"/>
    <xf numFmtId="0" fontId="129" fillId="0" borderId="0" applyFill="0" applyBorder="0" applyProtection="0">
      <alignment horizontal="left"/>
    </xf>
    <xf numFmtId="0" fontId="77" fillId="0" borderId="0"/>
    <xf numFmtId="0" fontId="77" fillId="0" borderId="0"/>
    <xf numFmtId="0" fontId="77" fillId="0" borderId="0"/>
    <xf numFmtId="0" fontId="77" fillId="0" borderId="0"/>
    <xf numFmtId="0" fontId="77" fillId="0" borderId="0"/>
    <xf numFmtId="0" fontId="77" fillId="0" borderId="0"/>
    <xf numFmtId="178" fontId="113" fillId="103" borderId="0" applyNumberFormat="0" applyBorder="0" applyAlignment="0" applyProtection="0">
      <alignment vertical="center"/>
    </xf>
    <xf numFmtId="178" fontId="113" fillId="104" borderId="0" applyNumberFormat="0" applyBorder="0" applyAlignment="0" applyProtection="0">
      <alignment vertical="center"/>
    </xf>
    <xf numFmtId="178" fontId="113" fillId="99" borderId="0" applyNumberFormat="0" applyBorder="0" applyAlignment="0" applyProtection="0">
      <alignment vertical="center"/>
    </xf>
    <xf numFmtId="178" fontId="113" fillId="105" borderId="0" applyNumberFormat="0" applyBorder="0" applyAlignment="0" applyProtection="0">
      <alignment vertical="center"/>
    </xf>
    <xf numFmtId="183" fontId="83" fillId="0" borderId="0" applyFont="0" applyFill="0" applyBorder="0" applyAlignment="0" applyProtection="0"/>
    <xf numFmtId="189" fontId="83" fillId="0" borderId="0" applyFont="0" applyFill="0" applyBorder="0" applyAlignment="0" applyProtection="0"/>
    <xf numFmtId="192" fontId="83" fillId="0" borderId="0" applyFont="0" applyFill="0" applyBorder="0" applyAlignment="0" applyProtection="0"/>
    <xf numFmtId="178" fontId="132" fillId="94" borderId="0" applyNumberFormat="0" applyBorder="0" applyAlignment="0" applyProtection="0">
      <alignment vertical="center"/>
    </xf>
    <xf numFmtId="0" fontId="83" fillId="0" borderId="0"/>
    <xf numFmtId="178" fontId="133" fillId="107" borderId="53" applyNumberFormat="0" applyAlignment="0" applyProtection="0">
      <alignment vertical="center"/>
    </xf>
    <xf numFmtId="0" fontId="127" fillId="0" borderId="0"/>
    <xf numFmtId="0" fontId="33" fillId="0" borderId="0"/>
    <xf numFmtId="178" fontId="1" fillId="0" borderId="0">
      <alignment vertical="center"/>
    </xf>
    <xf numFmtId="0" fontId="134" fillId="0" borderId="0" applyNumberFormat="0" applyFill="0" applyBorder="0" applyAlignment="0" applyProtection="0">
      <alignment vertical="top"/>
      <protection locked="0"/>
    </xf>
    <xf numFmtId="178" fontId="105" fillId="72" borderId="56" applyNumberFormat="0" applyAlignment="0" applyProtection="0">
      <alignment vertical="center"/>
    </xf>
    <xf numFmtId="0" fontId="78" fillId="0" borderId="0" applyNumberFormat="0" applyFill="0" applyBorder="0" applyAlignment="0" applyProtection="0">
      <alignment vertical="top"/>
      <protection locked="0"/>
    </xf>
    <xf numFmtId="43" fontId="90" fillId="0" borderId="0" applyFont="0" applyFill="0" applyBorder="0" applyAlignment="0" applyProtection="0"/>
    <xf numFmtId="176" fontId="83" fillId="0" borderId="0"/>
    <xf numFmtId="178" fontId="135" fillId="0" borderId="0" applyNumberFormat="0" applyFill="0" applyBorder="0" applyAlignment="0" applyProtection="0">
      <alignment vertical="center"/>
    </xf>
    <xf numFmtId="0" fontId="117" fillId="0" borderId="0">
      <alignment horizontal="left"/>
    </xf>
    <xf numFmtId="0" fontId="136" fillId="0" borderId="63" applyNumberFormat="0" applyAlignment="0" applyProtection="0">
      <alignment horizontal="left" vertical="center"/>
    </xf>
    <xf numFmtId="0" fontId="111" fillId="0" borderId="0"/>
    <xf numFmtId="0" fontId="136" fillId="0" borderId="14">
      <alignment horizontal="left" vertical="center"/>
    </xf>
    <xf numFmtId="178" fontId="137" fillId="0" borderId="64" applyNumberFormat="0" applyFill="0" applyAlignment="0" applyProtection="0">
      <alignment vertical="center"/>
    </xf>
    <xf numFmtId="178" fontId="138" fillId="0" borderId="65" applyNumberFormat="0" applyFill="0" applyAlignment="0" applyProtection="0">
      <alignment vertical="center"/>
    </xf>
    <xf numFmtId="178" fontId="101" fillId="0" borderId="0" applyNumberFormat="0" applyFill="0" applyBorder="0" applyAlignment="0" applyProtection="0">
      <alignment vertical="center"/>
    </xf>
    <xf numFmtId="176" fontId="95" fillId="0" borderId="0"/>
    <xf numFmtId="178" fontId="139" fillId="0" borderId="0" applyNumberFormat="0" applyFill="0" applyBorder="0" applyAlignment="0" applyProtection="0">
      <alignment vertical="top"/>
      <protection locked="0"/>
    </xf>
    <xf numFmtId="10" fontId="121" fillId="31" borderId="1" applyNumberFormat="0" applyBorder="0" applyAlignment="0" applyProtection="0"/>
    <xf numFmtId="178" fontId="125" fillId="0" borderId="60" applyNumberFormat="0" applyFill="0" applyAlignment="0" applyProtection="0">
      <alignment vertical="center"/>
    </xf>
    <xf numFmtId="38" fontId="109" fillId="0" borderId="0" applyFont="0" applyFill="0" applyBorder="0" applyAlignment="0" applyProtection="0"/>
    <xf numFmtId="0" fontId="115" fillId="0" borderId="59"/>
    <xf numFmtId="186" fontId="77" fillId="0" borderId="0" applyFont="0" applyFill="0" applyBorder="0" applyAlignment="0" applyProtection="0"/>
    <xf numFmtId="180" fontId="77" fillId="0" borderId="0" applyFont="0" applyFill="0" applyBorder="0" applyAlignment="0" applyProtection="0"/>
    <xf numFmtId="178" fontId="131" fillId="106" borderId="0" applyNumberFormat="0" applyBorder="0" applyAlignment="0" applyProtection="0">
      <alignment vertical="center"/>
    </xf>
    <xf numFmtId="176" fontId="123" fillId="0" borderId="0">
      <alignment vertical="center"/>
    </xf>
    <xf numFmtId="176" fontId="1" fillId="0" borderId="0">
      <alignment vertical="center"/>
    </xf>
    <xf numFmtId="176" fontId="1" fillId="0" borderId="0"/>
    <xf numFmtId="178" fontId="140" fillId="0" borderId="0"/>
    <xf numFmtId="178" fontId="90" fillId="102" borderId="62" applyNumberFormat="0" applyFont="0" applyAlignment="0" applyProtection="0">
      <alignment vertical="center"/>
    </xf>
    <xf numFmtId="178" fontId="141" fillId="107" borderId="66" applyNumberFormat="0" applyAlignment="0" applyProtection="0">
      <alignment vertical="center"/>
    </xf>
    <xf numFmtId="10" fontId="87" fillId="0" borderId="0" applyFont="0" applyFill="0" applyBorder="0" applyAlignment="0" applyProtection="0"/>
    <xf numFmtId="193" fontId="77" fillId="0" borderId="0">
      <alignment horizontal="center"/>
    </xf>
    <xf numFmtId="0" fontId="115" fillId="0" borderId="0"/>
    <xf numFmtId="176" fontId="83" fillId="0" borderId="0"/>
    <xf numFmtId="178" fontId="142" fillId="0" borderId="0" applyNumberFormat="0" applyFill="0" applyBorder="0" applyAlignment="0" applyProtection="0">
      <alignment vertical="center"/>
    </xf>
    <xf numFmtId="178" fontId="126" fillId="0" borderId="61" applyNumberFormat="0" applyFill="0" applyAlignment="0" applyProtection="0">
      <alignment vertical="center"/>
    </xf>
    <xf numFmtId="178" fontId="128" fillId="0" borderId="0" applyNumberFormat="0" applyFill="0" applyBorder="0" applyAlignment="0" applyProtection="0">
      <alignment vertical="center"/>
    </xf>
    <xf numFmtId="0" fontId="77" fillId="0" borderId="0"/>
    <xf numFmtId="176" fontId="122" fillId="93" borderId="0" applyNumberFormat="0" applyBorder="0" applyAlignment="0" applyProtection="0">
      <alignment vertical="center"/>
    </xf>
    <xf numFmtId="176" fontId="1" fillId="0" borderId="0"/>
    <xf numFmtId="178" fontId="90" fillId="0" borderId="0"/>
    <xf numFmtId="178" fontId="90" fillId="0" borderId="0"/>
    <xf numFmtId="178" fontId="90" fillId="0" borderId="0"/>
    <xf numFmtId="178" fontId="90" fillId="0" borderId="0"/>
    <xf numFmtId="178" fontId="1" fillId="0" borderId="0">
      <alignment vertical="center"/>
    </xf>
    <xf numFmtId="0" fontId="1" fillId="0" borderId="0">
      <alignment vertical="center"/>
    </xf>
    <xf numFmtId="0" fontId="33" fillId="0" borderId="0"/>
    <xf numFmtId="178" fontId="1" fillId="0" borderId="0"/>
    <xf numFmtId="0" fontId="33" fillId="0" borderId="0"/>
    <xf numFmtId="178" fontId="90" fillId="0" borderId="0">
      <alignment vertical="center"/>
    </xf>
    <xf numFmtId="0" fontId="1" fillId="0" borderId="0"/>
    <xf numFmtId="0" fontId="33" fillId="0" borderId="0"/>
    <xf numFmtId="0" fontId="143" fillId="0" borderId="0"/>
    <xf numFmtId="0" fontId="33" fillId="0" borderId="0"/>
    <xf numFmtId="176" fontId="90" fillId="0" borderId="0"/>
    <xf numFmtId="178" fontId="90" fillId="0" borderId="0" applyProtection="0"/>
    <xf numFmtId="194" fontId="111" fillId="0" borderId="0" applyFont="0" applyFill="0" applyBorder="0" applyAlignment="0" applyProtection="0"/>
    <xf numFmtId="179" fontId="83" fillId="0" borderId="0"/>
    <xf numFmtId="188" fontId="90" fillId="0" borderId="0" applyNumberFormat="0" applyBorder="0" applyAlignment="0" applyProtection="0">
      <alignment vertical="center"/>
    </xf>
    <xf numFmtId="179" fontId="83" fillId="0" borderId="0"/>
    <xf numFmtId="0" fontId="89" fillId="0" borderId="0"/>
    <xf numFmtId="0" fontId="130" fillId="0" borderId="0"/>
    <xf numFmtId="176" fontId="83" fillId="0" borderId="0"/>
    <xf numFmtId="178" fontId="90" fillId="0" borderId="0"/>
    <xf numFmtId="0" fontId="1" fillId="0" borderId="0"/>
    <xf numFmtId="178" fontId="1" fillId="0" borderId="0">
      <alignment vertical="center"/>
    </xf>
    <xf numFmtId="178" fontId="90" fillId="0" borderId="0"/>
    <xf numFmtId="0" fontId="1" fillId="0" borderId="0"/>
    <xf numFmtId="178" fontId="90" fillId="0" borderId="0"/>
    <xf numFmtId="176" fontId="87" fillId="0" borderId="0"/>
    <xf numFmtId="0" fontId="90" fillId="0" borderId="0"/>
    <xf numFmtId="0" fontId="9" fillId="0" borderId="0">
      <alignment vertical="center"/>
    </xf>
    <xf numFmtId="0" fontId="144" fillId="0" borderId="0" applyNumberFormat="0" applyFill="0" applyBorder="0" applyAlignment="0" applyProtection="0">
      <alignment vertical="top"/>
      <protection locked="0"/>
    </xf>
    <xf numFmtId="176" fontId="145" fillId="108" borderId="0" applyNumberFormat="0" applyBorder="0" applyAlignment="0" applyProtection="0">
      <alignment vertical="center"/>
    </xf>
    <xf numFmtId="178" fontId="120" fillId="0" borderId="0" applyNumberFormat="0" applyFill="0" applyBorder="0" applyAlignment="0" applyProtection="0">
      <alignment vertical="top"/>
      <protection locked="0"/>
    </xf>
    <xf numFmtId="178" fontId="120" fillId="0" borderId="0" applyNumberFormat="0" applyFill="0" applyBorder="0" applyAlignment="0" applyProtection="0">
      <alignment vertical="top"/>
      <protection locked="0"/>
    </xf>
    <xf numFmtId="178" fontId="84" fillId="0" borderId="0" applyNumberFormat="0" applyFill="0" applyBorder="0" applyAlignment="0" applyProtection="0">
      <alignment vertical="top"/>
      <protection locked="0"/>
    </xf>
    <xf numFmtId="176" fontId="90" fillId="0" borderId="0">
      <alignment vertical="center"/>
    </xf>
    <xf numFmtId="178" fontId="120" fillId="0" borderId="0" applyNumberFormat="0" applyFill="0" applyBorder="0" applyAlignment="0" applyProtection="0">
      <alignment vertical="top"/>
      <protection locked="0"/>
    </xf>
    <xf numFmtId="187" fontId="111" fillId="0" borderId="0" applyFont="0" applyFill="0" applyBorder="0" applyAlignment="0" applyProtection="0"/>
    <xf numFmtId="195" fontId="111" fillId="0" borderId="0" applyFont="0" applyFill="0" applyBorder="0" applyAlignment="0" applyProtection="0"/>
    <xf numFmtId="0" fontId="90" fillId="0" borderId="0"/>
    <xf numFmtId="191" fontId="146" fillId="0" borderId="0" applyFont="0" applyFill="0" applyBorder="0" applyAlignment="0" applyProtection="0"/>
    <xf numFmtId="190" fontId="146" fillId="0" borderId="0" applyFont="0" applyFill="0" applyBorder="0" applyAlignment="0" applyProtection="0"/>
    <xf numFmtId="178" fontId="147" fillId="0" borderId="0"/>
    <xf numFmtId="0" fontId="147" fillId="0" borderId="0"/>
    <xf numFmtId="0" fontId="77" fillId="0" borderId="0" applyFont="0" applyFill="0" applyBorder="0" applyAlignment="0" applyProtection="0"/>
    <xf numFmtId="0" fontId="81" fillId="0" borderId="0" applyFont="0" applyFill="0" applyBorder="0" applyAlignment="0" applyProtection="0"/>
    <xf numFmtId="0" fontId="77" fillId="0" borderId="0"/>
  </cellStyleXfs>
  <cellXfs count="979">
    <xf numFmtId="176" fontId="0" fillId="0" borderId="0" xfId="0" applyAlignment="1">
      <alignment vertical="center"/>
    </xf>
    <xf numFmtId="0" fontId="1" fillId="0" borderId="0" xfId="0" applyNumberFormat="1" applyFont="1" applyFill="1" applyBorder="1" applyAlignment="1">
      <alignment vertical="center" wrapText="1"/>
    </xf>
    <xf numFmtId="0" fontId="1" fillId="2" borderId="0" xfId="0" applyNumberFormat="1" applyFont="1" applyFill="1" applyBorder="1" applyAlignment="1">
      <alignment vertical="center"/>
    </xf>
    <xf numFmtId="0" fontId="1" fillId="0" borderId="0" xfId="0" applyNumberFormat="1" applyFont="1" applyFill="1" applyBorder="1" applyAlignment="1">
      <alignment vertical="center"/>
    </xf>
    <xf numFmtId="0" fontId="2" fillId="3" borderId="1" xfId="0" applyNumberFormat="1" applyFont="1" applyFill="1" applyBorder="1" applyAlignment="1">
      <alignment horizontal="center" vertical="center"/>
    </xf>
    <xf numFmtId="0" fontId="3" fillId="4" borderId="1" xfId="0" applyNumberFormat="1" applyFont="1" applyFill="1" applyBorder="1" applyAlignment="1">
      <alignment horizontal="left" vertical="center" wrapText="1"/>
    </xf>
    <xf numFmtId="0" fontId="4" fillId="2" borderId="1" xfId="0" applyNumberFormat="1" applyFont="1" applyFill="1" applyBorder="1" applyAlignment="1">
      <alignment horizontal="left" vertical="center" wrapText="1"/>
    </xf>
    <xf numFmtId="0" fontId="5" fillId="5" borderId="1" xfId="0" applyNumberFormat="1" applyFont="1" applyFill="1" applyBorder="1" applyAlignment="1">
      <alignment horizontal="center" vertical="center" wrapText="1"/>
    </xf>
    <xf numFmtId="0" fontId="6" fillId="2" borderId="1" xfId="0" applyNumberFormat="1" applyFont="1" applyFill="1" applyBorder="1" applyAlignment="1">
      <alignment horizontal="center" vertical="center" wrapText="1"/>
    </xf>
    <xf numFmtId="0" fontId="7" fillId="2" borderId="1" xfId="0" applyNumberFormat="1" applyFont="1" applyFill="1" applyBorder="1" applyAlignment="1">
      <alignment horizontal="center" vertical="center"/>
    </xf>
    <xf numFmtId="10" fontId="6" fillId="6" borderId="1" xfId="0" applyNumberFormat="1" applyFont="1" applyFill="1" applyBorder="1" applyAlignment="1">
      <alignment horizontal="center" vertical="center" wrapText="1"/>
    </xf>
    <xf numFmtId="10" fontId="8" fillId="7" borderId="1" xfId="0" applyNumberFormat="1" applyFont="1" applyFill="1" applyBorder="1" applyAlignment="1">
      <alignment horizontal="center" vertical="center" wrapText="1"/>
    </xf>
    <xf numFmtId="0" fontId="6" fillId="8" borderId="1" xfId="0" applyNumberFormat="1" applyFont="1" applyFill="1" applyBorder="1" applyAlignment="1">
      <alignment horizontal="center" vertical="center"/>
    </xf>
    <xf numFmtId="0" fontId="1" fillId="0" borderId="1" xfId="0" applyNumberFormat="1" applyFont="1" applyFill="1" applyBorder="1" applyAlignment="1">
      <alignment vertical="center"/>
    </xf>
    <xf numFmtId="0" fontId="7" fillId="9" borderId="1" xfId="0" applyNumberFormat="1" applyFont="1" applyFill="1" applyBorder="1" applyAlignment="1">
      <alignment horizontal="center" vertical="center"/>
    </xf>
    <xf numFmtId="0" fontId="6" fillId="8" borderId="2" xfId="0" applyNumberFormat="1" applyFont="1" applyFill="1" applyBorder="1" applyAlignment="1">
      <alignment horizontal="center" vertical="center"/>
    </xf>
    <xf numFmtId="0" fontId="9" fillId="0" borderId="0" xfId="0" applyNumberFormat="1" applyFont="1" applyFill="1" applyBorder="1" applyAlignment="1" applyProtection="1">
      <alignment horizontal="center" vertical="center" wrapText="1"/>
    </xf>
    <xf numFmtId="0" fontId="9" fillId="0" borderId="0" xfId="0" applyNumberFormat="1" applyFont="1" applyFill="1" applyBorder="1" applyAlignment="1" applyProtection="1">
      <alignment vertical="center" wrapText="1"/>
    </xf>
    <xf numFmtId="0" fontId="10" fillId="3" borderId="1" xfId="0" applyNumberFormat="1" applyFont="1" applyFill="1" applyBorder="1" applyAlignment="1">
      <alignment horizontal="center" vertical="center"/>
    </xf>
    <xf numFmtId="0" fontId="0" fillId="0" borderId="0" xfId="0" applyNumberFormat="1" applyFill="1" applyAlignment="1"/>
    <xf numFmtId="0" fontId="11" fillId="10" borderId="3" xfId="0" applyNumberFormat="1" applyFont="1" applyFill="1" applyBorder="1" applyAlignment="1">
      <alignment horizontal="left"/>
    </xf>
    <xf numFmtId="0" fontId="11" fillId="10" borderId="4" xfId="0" applyNumberFormat="1" applyFont="1" applyFill="1" applyBorder="1" applyAlignment="1">
      <alignment horizontal="left"/>
    </xf>
    <xf numFmtId="0" fontId="11" fillId="10" borderId="5" xfId="0" applyNumberFormat="1" applyFont="1" applyFill="1" applyBorder="1" applyAlignment="1">
      <alignment horizontal="left"/>
    </xf>
    <xf numFmtId="0" fontId="11" fillId="10" borderId="6" xfId="0" applyNumberFormat="1" applyFont="1" applyFill="1" applyBorder="1" applyAlignment="1">
      <alignment horizontal="left"/>
    </xf>
    <xf numFmtId="0" fontId="11" fillId="10" borderId="7" xfId="0" applyNumberFormat="1" applyFont="1" applyFill="1" applyBorder="1" applyAlignment="1"/>
    <xf numFmtId="0" fontId="12" fillId="4" borderId="8" xfId="0" applyNumberFormat="1" applyFont="1" applyFill="1" applyBorder="1" applyAlignment="1">
      <alignment horizontal="center"/>
    </xf>
    <xf numFmtId="0" fontId="12" fillId="4" borderId="1" xfId="0" applyNumberFormat="1" applyFont="1" applyFill="1" applyBorder="1" applyAlignment="1">
      <alignment horizontal="center"/>
    </xf>
    <xf numFmtId="0" fontId="12" fillId="3" borderId="1" xfId="0" applyNumberFormat="1" applyFont="1" applyFill="1" applyBorder="1" applyAlignment="1">
      <alignment horizontal="center"/>
    </xf>
    <xf numFmtId="0" fontId="12" fillId="11" borderId="1" xfId="0" applyNumberFormat="1" applyFont="1" applyFill="1" applyBorder="1" applyAlignment="1">
      <alignment horizontal="center"/>
    </xf>
    <xf numFmtId="0" fontId="12" fillId="12" borderId="1" xfId="0" applyNumberFormat="1" applyFont="1" applyFill="1" applyBorder="1" applyAlignment="1">
      <alignment horizontal="center"/>
    </xf>
    <xf numFmtId="0" fontId="12" fillId="13" borderId="1" xfId="0" applyNumberFormat="1" applyFont="1" applyFill="1" applyBorder="1" applyAlignment="1">
      <alignment horizontal="center"/>
    </xf>
    <xf numFmtId="0" fontId="12" fillId="4" borderId="9" xfId="0" applyNumberFormat="1" applyFont="1" applyFill="1" applyBorder="1" applyAlignment="1">
      <alignment horizontal="center"/>
    </xf>
    <xf numFmtId="0" fontId="13" fillId="4" borderId="10" xfId="0" applyNumberFormat="1" applyFont="1" applyFill="1" applyBorder="1" applyAlignment="1">
      <alignment horizontal="center" vertical="center"/>
    </xf>
    <xf numFmtId="0" fontId="13" fillId="4" borderId="1" xfId="0" applyNumberFormat="1" applyFont="1" applyFill="1" applyBorder="1" applyAlignment="1">
      <alignment horizontal="center"/>
    </xf>
    <xf numFmtId="0" fontId="13" fillId="11" borderId="1" xfId="0" applyNumberFormat="1" applyFont="1" applyFill="1" applyBorder="1" applyAlignment="1">
      <alignment horizontal="center"/>
    </xf>
    <xf numFmtId="0" fontId="13" fillId="4" borderId="9" xfId="0" applyNumberFormat="1" applyFont="1" applyFill="1" applyBorder="1" applyAlignment="1">
      <alignment horizontal="left"/>
    </xf>
    <xf numFmtId="0" fontId="13" fillId="4" borderId="11" xfId="0" applyNumberFormat="1" applyFont="1" applyFill="1" applyBorder="1" applyAlignment="1">
      <alignment horizontal="center" vertical="center"/>
    </xf>
    <xf numFmtId="0" fontId="13" fillId="3" borderId="1" xfId="0" applyNumberFormat="1" applyFont="1" applyFill="1" applyBorder="1" applyAlignment="1">
      <alignment horizontal="center"/>
    </xf>
    <xf numFmtId="0" fontId="13" fillId="13" borderId="1" xfId="0" applyNumberFormat="1" applyFont="1" applyFill="1" applyBorder="1" applyAlignment="1">
      <alignment horizontal="center"/>
    </xf>
    <xf numFmtId="0" fontId="13" fillId="4" borderId="12" xfId="0" applyNumberFormat="1" applyFont="1" applyFill="1" applyBorder="1" applyAlignment="1">
      <alignment horizontal="center" vertical="center"/>
    </xf>
    <xf numFmtId="0" fontId="13" fillId="14" borderId="1" xfId="0" applyNumberFormat="1" applyFont="1" applyFill="1" applyBorder="1" applyAlignment="1">
      <alignment horizontal="center"/>
    </xf>
    <xf numFmtId="0" fontId="13" fillId="10" borderId="1" xfId="0" applyNumberFormat="1" applyFont="1" applyFill="1" applyBorder="1" applyAlignment="1">
      <alignment horizontal="center" vertical="center" wrapText="1"/>
    </xf>
    <xf numFmtId="0" fontId="13" fillId="10" borderId="1" xfId="0" applyNumberFormat="1" applyFont="1" applyFill="1" applyBorder="1" applyAlignment="1"/>
    <xf numFmtId="0" fontId="12" fillId="10" borderId="13" xfId="0" applyNumberFormat="1" applyFont="1" applyFill="1" applyBorder="1" applyAlignment="1">
      <alignment horizontal="center"/>
    </xf>
    <xf numFmtId="0" fontId="12" fillId="10" borderId="14" xfId="0" applyNumberFormat="1" applyFont="1" applyFill="1" applyBorder="1" applyAlignment="1">
      <alignment horizontal="center"/>
    </xf>
    <xf numFmtId="0" fontId="12" fillId="10" borderId="15" xfId="0" applyNumberFormat="1" applyFont="1" applyFill="1" applyBorder="1" applyAlignment="1">
      <alignment horizontal="center"/>
    </xf>
    <xf numFmtId="0" fontId="13" fillId="10" borderId="16" xfId="0" applyNumberFormat="1" applyFont="1" applyFill="1" applyBorder="1" applyAlignment="1">
      <alignment horizontal="center" vertical="center" wrapText="1"/>
    </xf>
    <xf numFmtId="0" fontId="13" fillId="10" borderId="16" xfId="0" applyNumberFormat="1" applyFont="1" applyFill="1" applyBorder="1" applyAlignment="1"/>
    <xf numFmtId="0" fontId="12" fillId="10" borderId="17" xfId="0" applyNumberFormat="1" applyFont="1" applyFill="1" applyBorder="1" applyAlignment="1">
      <alignment horizontal="center"/>
    </xf>
    <xf numFmtId="0" fontId="12" fillId="10" borderId="18" xfId="0" applyNumberFormat="1" applyFont="1" applyFill="1" applyBorder="1" applyAlignment="1">
      <alignment horizontal="center"/>
    </xf>
    <xf numFmtId="0" fontId="12" fillId="10" borderId="19" xfId="0" applyNumberFormat="1" applyFont="1" applyFill="1" applyBorder="1" applyAlignment="1">
      <alignment horizontal="center"/>
    </xf>
    <xf numFmtId="0" fontId="13" fillId="4" borderId="20" xfId="0" applyNumberFormat="1" applyFont="1" applyFill="1" applyBorder="1" applyAlignment="1">
      <alignment horizontal="center" vertical="center"/>
    </xf>
    <xf numFmtId="0" fontId="13" fillId="4" borderId="13" xfId="0" applyNumberFormat="1" applyFont="1" applyFill="1" applyBorder="1" applyAlignment="1">
      <alignment horizontal="center"/>
    </xf>
    <xf numFmtId="0" fontId="13" fillId="4" borderId="14" xfId="0" applyNumberFormat="1" applyFont="1" applyFill="1" applyBorder="1" applyAlignment="1">
      <alignment horizontal="center"/>
    </xf>
    <xf numFmtId="0" fontId="13" fillId="4" borderId="14" xfId="0" applyNumberFormat="1" applyFont="1" applyFill="1" applyBorder="1" applyAlignment="1">
      <alignment horizontal="left"/>
    </xf>
    <xf numFmtId="0" fontId="13" fillId="4" borderId="4" xfId="0" applyNumberFormat="1" applyFont="1" applyFill="1" applyBorder="1" applyAlignment="1">
      <alignment horizontal="center" vertical="center"/>
    </xf>
    <xf numFmtId="176" fontId="14" fillId="0" borderId="0" xfId="0" applyFont="1" applyAlignment="1">
      <alignment vertical="center"/>
    </xf>
    <xf numFmtId="176" fontId="0" fillId="2" borderId="0" xfId="0" applyFill="1" applyAlignment="1">
      <alignment vertical="center"/>
    </xf>
    <xf numFmtId="178" fontId="2" fillId="3" borderId="0" xfId="29" applyFont="1" applyFill="1" applyAlignment="1">
      <alignment horizontal="center"/>
    </xf>
    <xf numFmtId="178" fontId="13" fillId="10" borderId="1" xfId="29" applyFont="1" applyFill="1" applyBorder="1" applyAlignment="1">
      <alignment horizontal="left"/>
    </xf>
    <xf numFmtId="176" fontId="15" fillId="15" borderId="1" xfId="0" applyFont="1" applyFill="1" applyBorder="1" applyAlignment="1">
      <alignment horizontal="center" vertical="center"/>
    </xf>
    <xf numFmtId="176" fontId="15" fillId="0" borderId="0" xfId="0" applyFont="1" applyAlignment="1">
      <alignment vertical="center"/>
    </xf>
    <xf numFmtId="176" fontId="13" fillId="16" borderId="1" xfId="0" applyFont="1" applyFill="1" applyBorder="1" applyAlignment="1">
      <alignment vertical="center"/>
    </xf>
    <xf numFmtId="176" fontId="13" fillId="16" borderId="0" xfId="0" applyFont="1" applyFill="1" applyAlignment="1">
      <alignment vertical="center"/>
    </xf>
    <xf numFmtId="176" fontId="3" fillId="0" borderId="0" xfId="0" applyFont="1" applyAlignment="1">
      <alignment vertical="center"/>
    </xf>
    <xf numFmtId="176" fontId="13" fillId="10" borderId="1" xfId="0" applyFont="1" applyFill="1" applyBorder="1" applyAlignment="1">
      <alignment vertical="center"/>
    </xf>
    <xf numFmtId="176" fontId="13" fillId="10" borderId="0" xfId="0" applyFont="1" applyFill="1" applyAlignment="1">
      <alignment vertical="center"/>
    </xf>
    <xf numFmtId="176" fontId="13" fillId="17" borderId="1" xfId="0" applyFont="1" applyFill="1" applyBorder="1" applyAlignment="1">
      <alignment vertical="center"/>
    </xf>
    <xf numFmtId="176" fontId="13" fillId="17" borderId="0" xfId="0" applyFont="1" applyFill="1" applyAlignment="1">
      <alignment vertical="center"/>
    </xf>
    <xf numFmtId="176" fontId="13" fillId="17" borderId="13" xfId="0" applyFont="1" applyFill="1" applyBorder="1" applyAlignment="1">
      <alignment horizontal="center" vertical="center"/>
    </xf>
    <xf numFmtId="176" fontId="13" fillId="17" borderId="14" xfId="0" applyFont="1" applyFill="1" applyBorder="1" applyAlignment="1">
      <alignment horizontal="center" vertical="center"/>
    </xf>
    <xf numFmtId="176" fontId="13" fillId="17" borderId="15" xfId="0" applyFont="1" applyFill="1" applyBorder="1" applyAlignment="1">
      <alignment horizontal="center" vertical="center"/>
    </xf>
    <xf numFmtId="176" fontId="0" fillId="0" borderId="0" xfId="0" applyFont="1" applyAlignment="1">
      <alignment vertical="center"/>
    </xf>
    <xf numFmtId="176" fontId="0" fillId="10" borderId="0" xfId="0" applyFont="1" applyFill="1" applyAlignment="1">
      <alignment vertical="center"/>
    </xf>
    <xf numFmtId="176" fontId="13" fillId="10" borderId="17" xfId="0" applyFont="1" applyFill="1" applyBorder="1" applyAlignment="1">
      <alignment horizontal="center" vertical="center"/>
    </xf>
    <xf numFmtId="176" fontId="13" fillId="10" borderId="18" xfId="0" applyFont="1" applyFill="1" applyBorder="1" applyAlignment="1">
      <alignment horizontal="center" vertical="center"/>
    </xf>
    <xf numFmtId="176" fontId="13" fillId="10" borderId="19" xfId="0" applyFont="1" applyFill="1" applyBorder="1" applyAlignment="1">
      <alignment horizontal="center" vertical="center"/>
    </xf>
    <xf numFmtId="176" fontId="13" fillId="10" borderId="16" xfId="0" applyFont="1" applyFill="1" applyBorder="1" applyAlignment="1">
      <alignment vertical="center"/>
    </xf>
    <xf numFmtId="176" fontId="0" fillId="18" borderId="1" xfId="0" applyFont="1" applyFill="1" applyBorder="1" applyAlignment="1">
      <alignment horizontal="center" vertical="center"/>
    </xf>
    <xf numFmtId="176" fontId="0" fillId="18" borderId="1" xfId="0" applyFont="1" applyFill="1" applyBorder="1" applyAlignment="1">
      <alignment vertical="center"/>
    </xf>
    <xf numFmtId="57" fontId="12" fillId="3" borderId="1" xfId="0" applyNumberFormat="1" applyFont="1" applyFill="1" applyBorder="1" applyAlignment="1">
      <alignment horizontal="center" vertical="center"/>
    </xf>
    <xf numFmtId="0" fontId="16" fillId="10" borderId="1" xfId="0" applyNumberFormat="1" applyFont="1" applyFill="1" applyBorder="1" applyAlignment="1">
      <alignment horizontal="distributed" vertical="center"/>
    </xf>
    <xf numFmtId="196" fontId="16" fillId="10" borderId="1" xfId="0" applyNumberFormat="1" applyFont="1" applyFill="1" applyBorder="1" applyAlignment="1">
      <alignment horizontal="distributed" vertical="center"/>
    </xf>
    <xf numFmtId="0" fontId="15" fillId="15" borderId="13" xfId="0" applyNumberFormat="1" applyFont="1" applyFill="1" applyBorder="1" applyAlignment="1">
      <alignment horizontal="center" vertical="center"/>
    </xf>
    <xf numFmtId="0" fontId="15" fillId="15" borderId="14" xfId="0" applyNumberFormat="1" applyFont="1" applyFill="1" applyBorder="1" applyAlignment="1">
      <alignment horizontal="center" vertical="center"/>
    </xf>
    <xf numFmtId="0" fontId="13" fillId="16" borderId="1" xfId="0" applyNumberFormat="1" applyFont="1" applyFill="1" applyBorder="1" applyAlignment="1">
      <alignment horizontal="distributed" vertical="center"/>
    </xf>
    <xf numFmtId="0" fontId="13" fillId="19" borderId="1" xfId="0" applyNumberFormat="1" applyFont="1" applyFill="1" applyBorder="1" applyAlignment="1">
      <alignment horizontal="distributed" vertical="center"/>
    </xf>
    <xf numFmtId="0" fontId="17" fillId="19" borderId="1" xfId="0" applyNumberFormat="1" applyFont="1" applyFill="1" applyBorder="1" applyAlignment="1">
      <alignment horizontal="distributed" vertical="center"/>
    </xf>
    <xf numFmtId="0" fontId="17" fillId="13" borderId="1" xfId="0" applyNumberFormat="1" applyFont="1" applyFill="1" applyBorder="1" applyAlignment="1">
      <alignment horizontal="distributed" vertical="center"/>
    </xf>
    <xf numFmtId="0" fontId="18" fillId="13" borderId="1" xfId="0" applyNumberFormat="1" applyFont="1" applyFill="1" applyBorder="1" applyAlignment="1">
      <alignment horizontal="distributed" vertical="center"/>
    </xf>
    <xf numFmtId="176" fontId="13" fillId="13" borderId="1" xfId="0" applyFont="1" applyFill="1" applyBorder="1" applyAlignment="1">
      <alignment vertical="center"/>
    </xf>
    <xf numFmtId="0" fontId="13" fillId="10" borderId="1" xfId="0" applyNumberFormat="1" applyFont="1" applyFill="1" applyBorder="1" applyAlignment="1">
      <alignment horizontal="distributed" vertical="center"/>
    </xf>
    <xf numFmtId="0" fontId="13" fillId="13" borderId="1" xfId="0" applyNumberFormat="1" applyFont="1" applyFill="1" applyBorder="1" applyAlignment="1">
      <alignment horizontal="distributed" vertical="center"/>
    </xf>
    <xf numFmtId="0" fontId="13" fillId="17" borderId="1" xfId="0" applyNumberFormat="1" applyFont="1" applyFill="1" applyBorder="1" applyAlignment="1">
      <alignment horizontal="center" vertical="center"/>
    </xf>
    <xf numFmtId="0" fontId="13" fillId="17" borderId="1" xfId="0" applyNumberFormat="1" applyFont="1" applyFill="1" applyBorder="1" applyAlignment="1">
      <alignment horizontal="distributed" vertical="center"/>
    </xf>
    <xf numFmtId="0" fontId="13" fillId="10" borderId="1" xfId="0" applyNumberFormat="1" applyFont="1" applyFill="1" applyBorder="1" applyAlignment="1">
      <alignment horizontal="center" vertical="center"/>
    </xf>
    <xf numFmtId="176" fontId="0" fillId="10" borderId="16" xfId="0" applyFill="1" applyBorder="1" applyAlignment="1">
      <alignment vertical="center"/>
    </xf>
    <xf numFmtId="176" fontId="0" fillId="18" borderId="1" xfId="0" applyFill="1" applyBorder="1" applyAlignment="1">
      <alignment vertical="center"/>
    </xf>
    <xf numFmtId="0" fontId="19" fillId="19" borderId="1" xfId="0" applyNumberFormat="1" applyFont="1" applyFill="1" applyBorder="1" applyAlignment="1">
      <alignment horizontal="distributed" vertical="center"/>
    </xf>
    <xf numFmtId="0" fontId="20" fillId="20" borderId="1" xfId="0" applyNumberFormat="1" applyFont="1" applyFill="1" applyBorder="1" applyAlignment="1">
      <alignment horizontal="distributed" vertical="center"/>
    </xf>
    <xf numFmtId="0" fontId="13" fillId="20" borderId="1" xfId="0" applyNumberFormat="1" applyFont="1" applyFill="1" applyBorder="1" applyAlignment="1">
      <alignment horizontal="distributed" vertical="center"/>
    </xf>
    <xf numFmtId="0" fontId="13" fillId="20" borderId="1" xfId="0" applyNumberFormat="1" applyFont="1" applyFill="1" applyBorder="1" applyAlignment="1">
      <alignment horizontal="center" vertical="center"/>
    </xf>
    <xf numFmtId="0" fontId="13" fillId="13" borderId="1" xfId="0" applyNumberFormat="1" applyFont="1" applyFill="1" applyBorder="1" applyAlignment="1">
      <alignment horizontal="center" vertical="center"/>
    </xf>
    <xf numFmtId="0" fontId="13" fillId="21" borderId="1" xfId="0" applyNumberFormat="1" applyFont="1" applyFill="1" applyBorder="1" applyAlignment="1">
      <alignment horizontal="center" vertical="center"/>
    </xf>
    <xf numFmtId="176" fontId="0" fillId="10" borderId="1" xfId="0" applyFill="1" applyBorder="1" applyAlignment="1">
      <alignment vertical="center"/>
    </xf>
    <xf numFmtId="0" fontId="13" fillId="21" borderId="13" xfId="0" applyNumberFormat="1" applyFont="1" applyFill="1" applyBorder="1" applyAlignment="1">
      <alignment horizontal="center" vertical="center"/>
    </xf>
    <xf numFmtId="0" fontId="15" fillId="15" borderId="15" xfId="0" applyNumberFormat="1" applyFont="1" applyFill="1" applyBorder="1" applyAlignment="1">
      <alignment horizontal="center" vertical="center"/>
    </xf>
    <xf numFmtId="196" fontId="19" fillId="19" borderId="1" xfId="0" applyNumberFormat="1" applyFont="1" applyFill="1" applyBorder="1" applyAlignment="1">
      <alignment horizontal="distributed" vertical="center"/>
    </xf>
    <xf numFmtId="196" fontId="13" fillId="19" borderId="1" xfId="0" applyNumberFormat="1" applyFont="1" applyFill="1" applyBorder="1" applyAlignment="1">
      <alignment horizontal="distributed" vertical="center"/>
    </xf>
    <xf numFmtId="196" fontId="13" fillId="20" borderId="1" xfId="0" applyNumberFormat="1" applyFont="1" applyFill="1" applyBorder="1" applyAlignment="1">
      <alignment horizontal="distributed" vertical="center"/>
    </xf>
    <xf numFmtId="0" fontId="13" fillId="17" borderId="1" xfId="0" applyNumberFormat="1" applyFont="1" applyFill="1" applyBorder="1" applyAlignment="1">
      <alignment vertical="center"/>
    </xf>
    <xf numFmtId="0" fontId="13" fillId="10" borderId="1" xfId="0" applyNumberFormat="1" applyFont="1" applyFill="1" applyBorder="1" applyAlignment="1">
      <alignment vertical="center"/>
    </xf>
    <xf numFmtId="0" fontId="10" fillId="3" borderId="1" xfId="0" applyNumberFormat="1" applyFont="1" applyFill="1" applyBorder="1" applyAlignment="1" applyProtection="1">
      <alignment horizontal="center"/>
      <protection locked="0"/>
    </xf>
    <xf numFmtId="0" fontId="21" fillId="10" borderId="13" xfId="0" applyNumberFormat="1" applyFont="1" applyFill="1" applyBorder="1" applyAlignment="1" applyProtection="1">
      <alignment horizontal="left"/>
      <protection locked="0"/>
    </xf>
    <xf numFmtId="0" fontId="21" fillId="10" borderId="14" xfId="0" applyNumberFormat="1" applyFont="1" applyFill="1" applyBorder="1" applyAlignment="1" applyProtection="1">
      <alignment horizontal="left"/>
      <protection locked="0"/>
    </xf>
    <xf numFmtId="0" fontId="21" fillId="10" borderId="15" xfId="0" applyNumberFormat="1" applyFont="1" applyFill="1" applyBorder="1" applyAlignment="1" applyProtection="1">
      <alignment horizontal="left"/>
      <protection locked="0"/>
    </xf>
    <xf numFmtId="0" fontId="22" fillId="4" borderId="13" xfId="0" applyNumberFormat="1" applyFont="1" applyFill="1" applyBorder="1" applyAlignment="1" applyProtection="1">
      <alignment horizontal="center" vertical="center" wrapText="1"/>
      <protection locked="0"/>
    </xf>
    <xf numFmtId="0" fontId="23" fillId="4" borderId="14" xfId="0" applyNumberFormat="1" applyFont="1" applyFill="1" applyBorder="1" applyAlignment="1" applyProtection="1">
      <alignment horizontal="center" vertical="center" wrapText="1"/>
      <protection locked="0"/>
    </xf>
    <xf numFmtId="0" fontId="3" fillId="17" borderId="8" xfId="0" applyNumberFormat="1" applyFont="1" applyFill="1" applyBorder="1" applyAlignment="1" applyProtection="1">
      <alignment horizontal="center" vertical="center"/>
      <protection locked="0"/>
    </xf>
    <xf numFmtId="0" fontId="3" fillId="3" borderId="1" xfId="0" applyNumberFormat="1" applyFont="1" applyFill="1" applyBorder="1" applyAlignment="1" applyProtection="1">
      <alignment horizontal="center" vertical="center"/>
      <protection locked="0"/>
    </xf>
    <xf numFmtId="0" fontId="3" fillId="4" borderId="13" xfId="0" applyNumberFormat="1" applyFont="1" applyFill="1" applyBorder="1" applyAlignment="1" applyProtection="1">
      <alignment horizontal="left" vertical="top" wrapText="1"/>
      <protection locked="0"/>
    </xf>
    <xf numFmtId="0" fontId="3" fillId="10" borderId="1" xfId="0" applyNumberFormat="1" applyFont="1" applyFill="1" applyBorder="1" applyAlignment="1" applyProtection="1">
      <alignment horizontal="center" vertical="center"/>
      <protection locked="0"/>
    </xf>
    <xf numFmtId="0" fontId="3" fillId="22" borderId="1" xfId="0" applyNumberFormat="1" applyFont="1" applyFill="1" applyBorder="1" applyAlignment="1" applyProtection="1">
      <alignment horizontal="center" vertical="center"/>
      <protection locked="0"/>
    </xf>
    <xf numFmtId="0" fontId="3" fillId="23" borderId="8" xfId="0" applyNumberFormat="1" applyFont="1" applyFill="1" applyBorder="1" applyAlignment="1">
      <alignment horizontal="center" vertical="center"/>
    </xf>
    <xf numFmtId="0" fontId="3" fillId="4" borderId="13" xfId="0" applyNumberFormat="1" applyFont="1" applyFill="1" applyBorder="1" applyAlignment="1">
      <alignment horizontal="left" vertical="top" wrapText="1"/>
    </xf>
    <xf numFmtId="0" fontId="3" fillId="17" borderId="8" xfId="0" applyNumberFormat="1" applyFont="1" applyFill="1" applyBorder="1" applyAlignment="1">
      <alignment horizontal="center" vertical="center"/>
    </xf>
    <xf numFmtId="0" fontId="3" fillId="24" borderId="8" xfId="0" applyNumberFormat="1" applyFont="1" applyFill="1" applyBorder="1" applyAlignment="1">
      <alignment horizontal="center" vertical="center"/>
    </xf>
    <xf numFmtId="0" fontId="3" fillId="25" borderId="8" xfId="0" applyNumberFormat="1" applyFont="1" applyFill="1" applyBorder="1" applyAlignment="1">
      <alignment horizontal="center" vertical="center"/>
    </xf>
    <xf numFmtId="0" fontId="3" fillId="26" borderId="8" xfId="0" applyNumberFormat="1" applyFont="1" applyFill="1" applyBorder="1" applyAlignment="1">
      <alignment horizontal="center" vertical="center"/>
    </xf>
    <xf numFmtId="0" fontId="3" fillId="9" borderId="8" xfId="0" applyNumberFormat="1" applyFont="1" applyFill="1" applyBorder="1" applyAlignment="1">
      <alignment horizontal="center" vertical="center"/>
    </xf>
    <xf numFmtId="0" fontId="3" fillId="27" borderId="8" xfId="0" applyNumberFormat="1" applyFont="1" applyFill="1" applyBorder="1" applyAlignment="1">
      <alignment horizontal="center" vertical="center"/>
    </xf>
    <xf numFmtId="176" fontId="24" fillId="0" borderId="0" xfId="0" applyFont="1" applyAlignment="1">
      <alignment vertical="center"/>
    </xf>
    <xf numFmtId="178" fontId="2" fillId="3" borderId="13" xfId="29" applyFont="1" applyFill="1" applyBorder="1" applyAlignment="1">
      <alignment horizontal="center" vertical="center"/>
    </xf>
    <xf numFmtId="178" fontId="2" fillId="3" borderId="14" xfId="29" applyFont="1" applyFill="1" applyBorder="1" applyAlignment="1">
      <alignment horizontal="center" vertical="center"/>
    </xf>
    <xf numFmtId="178" fontId="25" fillId="4" borderId="13" xfId="29" applyFont="1" applyFill="1" applyBorder="1" applyAlignment="1">
      <alignment horizontal="left" vertical="center"/>
    </xf>
    <xf numFmtId="178" fontId="25" fillId="4" borderId="14" xfId="29" applyFont="1" applyFill="1" applyBorder="1" applyAlignment="1">
      <alignment horizontal="left" vertical="center"/>
    </xf>
    <xf numFmtId="178" fontId="13" fillId="10" borderId="13" xfId="29" applyFont="1" applyFill="1" applyBorder="1" applyAlignment="1">
      <alignment horizontal="left" vertical="center"/>
    </xf>
    <xf numFmtId="178" fontId="13" fillId="10" borderId="14" xfId="29" applyFont="1" applyFill="1" applyBorder="1" applyAlignment="1">
      <alignment horizontal="left" vertical="center"/>
    </xf>
    <xf numFmtId="176" fontId="3" fillId="3" borderId="1" xfId="0" applyFont="1" applyFill="1" applyBorder="1" applyAlignment="1">
      <alignment horizontal="center" vertical="center"/>
    </xf>
    <xf numFmtId="176" fontId="15" fillId="3" borderId="1" xfId="0" applyFont="1" applyFill="1" applyBorder="1" applyAlignment="1">
      <alignment horizontal="center" vertical="center"/>
    </xf>
    <xf numFmtId="20" fontId="4" fillId="10" borderId="1" xfId="0" applyNumberFormat="1" applyFont="1" applyFill="1" applyBorder="1" applyAlignment="1">
      <alignment horizontal="center" vertical="center"/>
    </xf>
    <xf numFmtId="176" fontId="15" fillId="10" borderId="13" xfId="0" applyFont="1" applyFill="1" applyBorder="1" applyAlignment="1">
      <alignment horizontal="center" vertical="center"/>
    </xf>
    <xf numFmtId="176" fontId="15" fillId="10" borderId="14" xfId="0" applyFont="1" applyFill="1" applyBorder="1" applyAlignment="1">
      <alignment horizontal="center" vertical="center"/>
    </xf>
    <xf numFmtId="20" fontId="4" fillId="3" borderId="1" xfId="0" applyNumberFormat="1" applyFont="1" applyFill="1" applyBorder="1" applyAlignment="1">
      <alignment horizontal="center" vertical="center"/>
    </xf>
    <xf numFmtId="176" fontId="3" fillId="28" borderId="17" xfId="0" applyFont="1" applyFill="1" applyBorder="1" applyAlignment="1">
      <alignment horizontal="center" vertical="center" wrapText="1"/>
    </xf>
    <xf numFmtId="176" fontId="3" fillId="28" borderId="18" xfId="0" applyFont="1" applyFill="1" applyBorder="1" applyAlignment="1">
      <alignment horizontal="center" vertical="center" wrapText="1"/>
    </xf>
    <xf numFmtId="176" fontId="3" fillId="28" borderId="19" xfId="0" applyFont="1" applyFill="1" applyBorder="1" applyAlignment="1">
      <alignment horizontal="center" vertical="center" wrapText="1"/>
    </xf>
    <xf numFmtId="176" fontId="3" fillId="0" borderId="1" xfId="0" applyFont="1" applyBorder="1" applyAlignment="1">
      <alignment horizontal="center" vertical="center"/>
    </xf>
    <xf numFmtId="176" fontId="3" fillId="28" borderId="21" xfId="0" applyFont="1" applyFill="1" applyBorder="1" applyAlignment="1">
      <alignment horizontal="center" vertical="center" wrapText="1"/>
    </xf>
    <xf numFmtId="176" fontId="3" fillId="28" borderId="0" xfId="0" applyFont="1" applyFill="1" applyBorder="1" applyAlignment="1">
      <alignment horizontal="center" vertical="center" wrapText="1"/>
    </xf>
    <xf numFmtId="176" fontId="3" fillId="28" borderId="20" xfId="0" applyFont="1" applyFill="1" applyBorder="1" applyAlignment="1">
      <alignment horizontal="center" vertical="center" wrapText="1"/>
    </xf>
    <xf numFmtId="176" fontId="3" fillId="28" borderId="5" xfId="0" applyFont="1" applyFill="1" applyBorder="1" applyAlignment="1">
      <alignment horizontal="center" vertical="center" wrapText="1"/>
    </xf>
    <xf numFmtId="176" fontId="3" fillId="28" borderId="6" xfId="0" applyFont="1" applyFill="1" applyBorder="1" applyAlignment="1">
      <alignment horizontal="center" vertical="center" wrapText="1"/>
    </xf>
    <xf numFmtId="176" fontId="3" fillId="28" borderId="4" xfId="0" applyFont="1" applyFill="1" applyBorder="1" applyAlignment="1">
      <alignment horizontal="center" vertical="center" wrapText="1"/>
    </xf>
    <xf numFmtId="176" fontId="3" fillId="25" borderId="17" xfId="0" applyFont="1" applyFill="1" applyBorder="1" applyAlignment="1">
      <alignment horizontal="center" vertical="center" wrapText="1"/>
    </xf>
    <xf numFmtId="176" fontId="3" fillId="25" borderId="19" xfId="0" applyFont="1" applyFill="1" applyBorder="1" applyAlignment="1">
      <alignment horizontal="center" vertical="center" wrapText="1"/>
    </xf>
    <xf numFmtId="176" fontId="3" fillId="25" borderId="5" xfId="0" applyFont="1" applyFill="1" applyBorder="1" applyAlignment="1">
      <alignment horizontal="center" vertical="center" wrapText="1"/>
    </xf>
    <xf numFmtId="176" fontId="3" fillId="25" borderId="4" xfId="0" applyFont="1" applyFill="1" applyBorder="1" applyAlignment="1">
      <alignment horizontal="center" vertical="center" wrapText="1"/>
    </xf>
    <xf numFmtId="176" fontId="3" fillId="17" borderId="16" xfId="0" applyFont="1" applyFill="1" applyBorder="1" applyAlignment="1">
      <alignment horizontal="center" vertical="center" wrapText="1"/>
    </xf>
    <xf numFmtId="176" fontId="3" fillId="17" borderId="22" xfId="0" applyFont="1" applyFill="1" applyBorder="1" applyAlignment="1">
      <alignment horizontal="center" vertical="center" wrapText="1"/>
    </xf>
    <xf numFmtId="176" fontId="3" fillId="4" borderId="16" xfId="0" applyFont="1" applyFill="1" applyBorder="1" applyAlignment="1">
      <alignment horizontal="center" vertical="center" wrapText="1"/>
    </xf>
    <xf numFmtId="176" fontId="3" fillId="4" borderId="22" xfId="0" applyFont="1" applyFill="1" applyBorder="1" applyAlignment="1">
      <alignment horizontal="center" vertical="center"/>
    </xf>
    <xf numFmtId="176" fontId="3" fillId="10" borderId="17" xfId="0" applyFont="1" applyFill="1" applyBorder="1" applyAlignment="1">
      <alignment horizontal="center" vertical="center" wrapText="1"/>
    </xf>
    <xf numFmtId="176" fontId="3" fillId="10" borderId="18" xfId="0" applyFont="1" applyFill="1" applyBorder="1" applyAlignment="1">
      <alignment horizontal="center" vertical="center"/>
    </xf>
    <xf numFmtId="176" fontId="3" fillId="10" borderId="5" xfId="0" applyFont="1" applyFill="1" applyBorder="1" applyAlignment="1">
      <alignment horizontal="center" vertical="center"/>
    </xf>
    <xf numFmtId="176" fontId="3" fillId="10" borderId="6" xfId="0" applyFont="1" applyFill="1" applyBorder="1" applyAlignment="1">
      <alignment horizontal="center" vertical="center"/>
    </xf>
    <xf numFmtId="176" fontId="3" fillId="4" borderId="17" xfId="0" applyFont="1" applyFill="1" applyBorder="1" applyAlignment="1">
      <alignment horizontal="center" vertical="center"/>
    </xf>
    <xf numFmtId="176" fontId="3" fillId="4" borderId="18" xfId="0" applyFont="1" applyFill="1" applyBorder="1" applyAlignment="1">
      <alignment horizontal="center" vertical="center"/>
    </xf>
    <xf numFmtId="176" fontId="3" fillId="4" borderId="5" xfId="0" applyFont="1" applyFill="1" applyBorder="1" applyAlignment="1">
      <alignment horizontal="center" vertical="center"/>
    </xf>
    <xf numFmtId="176" fontId="3" fillId="4" borderId="6" xfId="0" applyFont="1" applyFill="1" applyBorder="1" applyAlignment="1">
      <alignment horizontal="center" vertical="center"/>
    </xf>
    <xf numFmtId="176" fontId="3" fillId="4" borderId="17" xfId="0" applyFont="1" applyFill="1" applyBorder="1" applyAlignment="1">
      <alignment horizontal="center" vertical="center" wrapText="1"/>
    </xf>
    <xf numFmtId="176" fontId="17" fillId="4" borderId="18" xfId="0" applyFont="1" applyFill="1" applyBorder="1" applyAlignment="1">
      <alignment horizontal="center" vertical="center"/>
    </xf>
    <xf numFmtId="176" fontId="17" fillId="4" borderId="5" xfId="0" applyFont="1" applyFill="1" applyBorder="1" applyAlignment="1">
      <alignment horizontal="center" vertical="center"/>
    </xf>
    <xf numFmtId="176" fontId="17" fillId="4" borderId="6" xfId="0" applyFont="1" applyFill="1" applyBorder="1" applyAlignment="1">
      <alignment horizontal="center" vertical="center"/>
    </xf>
    <xf numFmtId="176" fontId="3" fillId="11" borderId="5" xfId="0" applyFont="1" applyFill="1" applyBorder="1" applyAlignment="1">
      <alignment horizontal="center" vertical="center"/>
    </xf>
    <xf numFmtId="176" fontId="17" fillId="11" borderId="6" xfId="0" applyFont="1" applyFill="1" applyBorder="1" applyAlignment="1">
      <alignment horizontal="center" vertical="center"/>
    </xf>
    <xf numFmtId="176" fontId="4" fillId="3" borderId="17" xfId="0" applyFont="1" applyFill="1" applyBorder="1" applyAlignment="1">
      <alignment horizontal="left" vertical="center"/>
    </xf>
    <xf numFmtId="176" fontId="4" fillId="3" borderId="18" xfId="0" applyFont="1" applyFill="1" applyBorder="1" applyAlignment="1">
      <alignment horizontal="left" vertical="center"/>
    </xf>
    <xf numFmtId="176" fontId="4" fillId="4" borderId="17" xfId="0" applyFont="1" applyFill="1" applyBorder="1" applyAlignment="1">
      <alignment horizontal="left" vertical="center"/>
    </xf>
    <xf numFmtId="176" fontId="4" fillId="4" borderId="18" xfId="0" applyFont="1" applyFill="1" applyBorder="1" applyAlignment="1">
      <alignment horizontal="left" vertical="center"/>
    </xf>
    <xf numFmtId="178" fontId="2" fillId="3" borderId="15" xfId="29" applyFont="1" applyFill="1" applyBorder="1" applyAlignment="1">
      <alignment horizontal="center" vertical="center"/>
    </xf>
    <xf numFmtId="178" fontId="25" fillId="4" borderId="15" xfId="29" applyFont="1" applyFill="1" applyBorder="1" applyAlignment="1">
      <alignment horizontal="left" vertical="center"/>
    </xf>
    <xf numFmtId="178" fontId="13" fillId="10" borderId="15" xfId="29" applyFont="1" applyFill="1" applyBorder="1" applyAlignment="1">
      <alignment horizontal="left" vertical="center"/>
    </xf>
    <xf numFmtId="176" fontId="15" fillId="10" borderId="15" xfId="0" applyFont="1" applyFill="1" applyBorder="1" applyAlignment="1">
      <alignment horizontal="center" vertical="center"/>
    </xf>
    <xf numFmtId="176" fontId="3" fillId="2" borderId="16" xfId="0" applyFont="1" applyFill="1" applyBorder="1" applyAlignment="1">
      <alignment horizontal="center" vertical="center" wrapText="1"/>
    </xf>
    <xf numFmtId="176" fontId="3" fillId="2" borderId="22" xfId="0" applyFont="1" applyFill="1" applyBorder="1" applyAlignment="1">
      <alignment horizontal="center" vertical="center"/>
    </xf>
    <xf numFmtId="176" fontId="3" fillId="29" borderId="16" xfId="0" applyFont="1" applyFill="1" applyBorder="1" applyAlignment="1">
      <alignment horizontal="center" vertical="center" wrapText="1"/>
    </xf>
    <xf numFmtId="176" fontId="3" fillId="0" borderId="16" xfId="0" applyFont="1" applyFill="1" applyBorder="1" applyAlignment="1">
      <alignment horizontal="center" vertical="center" wrapText="1"/>
    </xf>
    <xf numFmtId="176" fontId="3" fillId="29" borderId="22" xfId="0" applyFont="1" applyFill="1" applyBorder="1" applyAlignment="1">
      <alignment horizontal="center" vertical="center"/>
    </xf>
    <xf numFmtId="176" fontId="3" fillId="0" borderId="22" xfId="0" applyFont="1" applyFill="1" applyBorder="1" applyAlignment="1">
      <alignment horizontal="center" vertical="center"/>
    </xf>
    <xf numFmtId="176" fontId="3" fillId="17" borderId="22" xfId="0" applyFont="1" applyFill="1" applyBorder="1" applyAlignment="1">
      <alignment horizontal="center" vertical="center"/>
    </xf>
    <xf numFmtId="176" fontId="3" fillId="3" borderId="16" xfId="0" applyFont="1" applyFill="1" applyBorder="1" applyAlignment="1">
      <alignment horizontal="center" vertical="center" wrapText="1"/>
    </xf>
    <xf numFmtId="176" fontId="3" fillId="30" borderId="16" xfId="0" applyFont="1" applyFill="1" applyBorder="1" applyAlignment="1">
      <alignment horizontal="center" vertical="center" wrapText="1"/>
    </xf>
    <xf numFmtId="176" fontId="3" fillId="3" borderId="22" xfId="0" applyFont="1" applyFill="1" applyBorder="1" applyAlignment="1">
      <alignment horizontal="center" vertical="center"/>
    </xf>
    <xf numFmtId="176" fontId="3" fillId="30" borderId="22" xfId="0" applyFont="1" applyFill="1" applyBorder="1" applyAlignment="1">
      <alignment horizontal="center" vertical="center"/>
    </xf>
    <xf numFmtId="176" fontId="3" fillId="10" borderId="19" xfId="0" applyFont="1" applyFill="1" applyBorder="1" applyAlignment="1">
      <alignment horizontal="center" vertical="center"/>
    </xf>
    <xf numFmtId="176" fontId="3" fillId="10" borderId="4" xfId="0" applyFont="1" applyFill="1" applyBorder="1" applyAlignment="1">
      <alignment horizontal="center" vertical="center"/>
    </xf>
    <xf numFmtId="176" fontId="3" fillId="4" borderId="19" xfId="0" applyFont="1" applyFill="1" applyBorder="1" applyAlignment="1">
      <alignment horizontal="center" vertical="center"/>
    </xf>
    <xf numFmtId="176" fontId="3" fillId="4" borderId="4" xfId="0" applyFont="1" applyFill="1" applyBorder="1" applyAlignment="1">
      <alignment horizontal="center" vertical="center"/>
    </xf>
    <xf numFmtId="176" fontId="17" fillId="4" borderId="19" xfId="0" applyFont="1" applyFill="1" applyBorder="1" applyAlignment="1">
      <alignment horizontal="center" vertical="center"/>
    </xf>
    <xf numFmtId="176" fontId="17" fillId="4" borderId="4" xfId="0" applyFont="1" applyFill="1" applyBorder="1" applyAlignment="1">
      <alignment horizontal="center" vertical="center"/>
    </xf>
    <xf numFmtId="176" fontId="17" fillId="11" borderId="4" xfId="0" applyFont="1" applyFill="1" applyBorder="1" applyAlignment="1">
      <alignment horizontal="center" vertical="center"/>
    </xf>
    <xf numFmtId="176" fontId="13" fillId="31" borderId="0" xfId="0" applyFont="1" applyFill="1" applyAlignment="1">
      <alignment vertical="center"/>
    </xf>
    <xf numFmtId="176" fontId="13" fillId="0" borderId="0" xfId="0" applyFont="1" applyFill="1" applyAlignment="1">
      <alignment vertical="center"/>
    </xf>
    <xf numFmtId="176" fontId="17" fillId="31" borderId="0" xfId="0" applyFont="1" applyFill="1" applyAlignment="1">
      <alignment vertical="center"/>
    </xf>
    <xf numFmtId="176" fontId="0" fillId="0" borderId="0" xfId="0" applyBorder="1" applyAlignment="1">
      <alignment vertical="center"/>
    </xf>
    <xf numFmtId="176" fontId="2" fillId="3" borderId="1" xfId="99" applyFont="1" applyFill="1" applyBorder="1" applyAlignment="1">
      <alignment horizontal="center" vertical="center"/>
    </xf>
    <xf numFmtId="176" fontId="26" fillId="10" borderId="1" xfId="99" applyNumberFormat="1" applyFont="1" applyFill="1" applyBorder="1" applyAlignment="1">
      <alignment horizontal="left" vertical="center"/>
    </xf>
    <xf numFmtId="176" fontId="27" fillId="4" borderId="1" xfId="0" applyFont="1" applyFill="1" applyBorder="1" applyAlignment="1">
      <alignment horizontal="center" vertical="center" wrapText="1"/>
    </xf>
    <xf numFmtId="4" fontId="27" fillId="4" borderId="1" xfId="0" applyNumberFormat="1" applyFont="1" applyFill="1" applyBorder="1" applyAlignment="1">
      <alignment horizontal="center" vertical="center" wrapText="1"/>
    </xf>
    <xf numFmtId="40" fontId="27" fillId="4" borderId="1" xfId="0" applyNumberFormat="1" applyFont="1" applyFill="1" applyBorder="1" applyAlignment="1">
      <alignment horizontal="center" vertical="center" wrapText="1"/>
    </xf>
    <xf numFmtId="176" fontId="12" fillId="31" borderId="0" xfId="0" applyFont="1" applyFill="1" applyBorder="1" applyAlignment="1">
      <alignment vertical="center"/>
    </xf>
    <xf numFmtId="176" fontId="28" fillId="3" borderId="1" xfId="0" applyFont="1" applyFill="1" applyBorder="1" applyAlignment="1">
      <alignment horizontal="center" vertical="center" textRotation="255"/>
    </xf>
    <xf numFmtId="176" fontId="28" fillId="3" borderId="1" xfId="0" applyFont="1" applyFill="1" applyBorder="1" applyAlignment="1">
      <alignment horizontal="center" vertical="center"/>
    </xf>
    <xf numFmtId="176" fontId="13" fillId="31" borderId="0" xfId="0" applyFont="1" applyFill="1" applyBorder="1" applyAlignment="1">
      <alignment vertical="center"/>
    </xf>
    <xf numFmtId="176" fontId="4" fillId="4" borderId="1" xfId="0" applyFont="1" applyFill="1" applyBorder="1" applyAlignment="1">
      <alignment horizontal="left" vertical="center"/>
    </xf>
    <xf numFmtId="0" fontId="4" fillId="4" borderId="1" xfId="0" applyNumberFormat="1" applyFont="1" applyFill="1" applyBorder="1" applyAlignment="1">
      <alignment horizontal="center" vertical="center"/>
    </xf>
    <xf numFmtId="176" fontId="4" fillId="4" borderId="1" xfId="0" applyFont="1" applyFill="1" applyBorder="1" applyAlignment="1">
      <alignment horizontal="center" vertical="center"/>
    </xf>
    <xf numFmtId="4" fontId="4" fillId="4" borderId="1" xfId="0" applyNumberFormat="1" applyFont="1" applyFill="1" applyBorder="1" applyAlignment="1">
      <alignment vertical="center"/>
    </xf>
    <xf numFmtId="176" fontId="13" fillId="0" borderId="0" xfId="0" applyFont="1" applyFill="1" applyBorder="1" applyAlignment="1">
      <alignment vertical="center"/>
    </xf>
    <xf numFmtId="0" fontId="4" fillId="4" borderId="1" xfId="0" applyNumberFormat="1" applyFont="1" applyFill="1" applyBorder="1" applyAlignment="1">
      <alignment horizontal="center" vertical="center" wrapText="1"/>
    </xf>
    <xf numFmtId="176" fontId="13" fillId="32" borderId="0" xfId="0" applyFont="1" applyFill="1" applyBorder="1" applyAlignment="1">
      <alignment horizontal="left" vertical="top" wrapText="1"/>
    </xf>
    <xf numFmtId="176" fontId="17" fillId="31" borderId="0" xfId="0" applyFont="1" applyFill="1" applyBorder="1" applyAlignment="1">
      <alignment vertical="center"/>
    </xf>
    <xf numFmtId="176" fontId="4" fillId="4" borderId="13" xfId="0" applyFont="1" applyFill="1" applyBorder="1" applyAlignment="1">
      <alignment horizontal="left" vertical="center"/>
    </xf>
    <xf numFmtId="176" fontId="4" fillId="4" borderId="15" xfId="0" applyFont="1" applyFill="1" applyBorder="1" applyAlignment="1">
      <alignment horizontal="left" vertical="center"/>
    </xf>
    <xf numFmtId="176" fontId="4" fillId="4" borderId="1" xfId="0" applyFont="1" applyFill="1" applyBorder="1" applyAlignment="1">
      <alignment horizontal="left" vertical="top" wrapText="1"/>
    </xf>
    <xf numFmtId="176" fontId="27" fillId="3" borderId="1" xfId="0" applyFont="1" applyFill="1" applyBorder="1" applyAlignment="1">
      <alignment horizontal="center" vertical="center"/>
    </xf>
    <xf numFmtId="176" fontId="4" fillId="4" borderId="1" xfId="0" applyFont="1" applyFill="1" applyBorder="1" applyAlignment="1">
      <alignment horizontal="left" vertical="center" wrapText="1"/>
    </xf>
    <xf numFmtId="176" fontId="4" fillId="4" borderId="13" xfId="0" applyFont="1" applyFill="1" applyBorder="1" applyAlignment="1">
      <alignment horizontal="left" vertical="center" wrapText="1"/>
    </xf>
    <xf numFmtId="176" fontId="4" fillId="4" borderId="15" xfId="0" applyFont="1" applyFill="1" applyBorder="1" applyAlignment="1">
      <alignment horizontal="left" vertical="center" wrapText="1"/>
    </xf>
    <xf numFmtId="176" fontId="4" fillId="33" borderId="13" xfId="0" applyFont="1" applyFill="1" applyBorder="1" applyAlignment="1">
      <alignment horizontal="left" vertical="center" wrapText="1"/>
    </xf>
    <xf numFmtId="176" fontId="4" fillId="33" borderId="15" xfId="0" applyFont="1" applyFill="1" applyBorder="1" applyAlignment="1">
      <alignment horizontal="left" vertical="center" wrapText="1"/>
    </xf>
    <xf numFmtId="0" fontId="4" fillId="33" borderId="1" xfId="0" applyNumberFormat="1" applyFont="1" applyFill="1" applyBorder="1" applyAlignment="1">
      <alignment horizontal="center" vertical="center" wrapText="1"/>
    </xf>
    <xf numFmtId="176" fontId="4" fillId="33" borderId="1" xfId="0" applyFont="1" applyFill="1" applyBorder="1" applyAlignment="1">
      <alignment horizontal="left" vertical="center" wrapText="1"/>
    </xf>
    <xf numFmtId="176" fontId="4" fillId="33" borderId="13" xfId="0" applyFont="1" applyFill="1" applyBorder="1" applyAlignment="1">
      <alignment vertical="center" wrapText="1"/>
    </xf>
    <xf numFmtId="176" fontId="4" fillId="33" borderId="15" xfId="0" applyFont="1" applyFill="1" applyBorder="1" applyAlignment="1">
      <alignment vertical="center" wrapText="1"/>
    </xf>
    <xf numFmtId="176" fontId="27" fillId="3" borderId="13" xfId="0" applyFont="1" applyFill="1" applyBorder="1" applyAlignment="1">
      <alignment horizontal="center" vertical="center"/>
    </xf>
    <xf numFmtId="176" fontId="27" fillId="3" borderId="14" xfId="0" applyFont="1" applyFill="1" applyBorder="1" applyAlignment="1">
      <alignment horizontal="center" vertical="center"/>
    </xf>
    <xf numFmtId="176" fontId="27" fillId="3" borderId="15" xfId="0" applyFont="1" applyFill="1" applyBorder="1" applyAlignment="1">
      <alignment horizontal="center" vertical="center"/>
    </xf>
    <xf numFmtId="176" fontId="29" fillId="4" borderId="13" xfId="0" applyFont="1" applyFill="1" applyBorder="1" applyAlignment="1">
      <alignment horizontal="left" vertical="center" wrapText="1"/>
    </xf>
    <xf numFmtId="176" fontId="29" fillId="4" borderId="15" xfId="0" applyFont="1" applyFill="1" applyBorder="1" applyAlignment="1">
      <alignment horizontal="left" vertical="center" wrapText="1"/>
    </xf>
    <xf numFmtId="0" fontId="29" fillId="4" borderId="1" xfId="0" applyNumberFormat="1" applyFont="1" applyFill="1" applyBorder="1" applyAlignment="1">
      <alignment horizontal="center" vertical="center" wrapText="1"/>
    </xf>
    <xf numFmtId="176" fontId="29" fillId="4" borderId="13" xfId="0" applyFont="1" applyFill="1" applyBorder="1" applyAlignment="1">
      <alignment horizontal="left" vertical="center"/>
    </xf>
    <xf numFmtId="176" fontId="29" fillId="4" borderId="15" xfId="0" applyFont="1" applyFill="1" applyBorder="1" applyAlignment="1">
      <alignment horizontal="left" vertical="center"/>
    </xf>
    <xf numFmtId="176" fontId="30" fillId="3" borderId="13" xfId="0" applyFont="1" applyFill="1" applyBorder="1" applyAlignment="1">
      <alignment horizontal="center" vertical="center"/>
    </xf>
    <xf numFmtId="176" fontId="30" fillId="3" borderId="14" xfId="0" applyFont="1" applyFill="1" applyBorder="1" applyAlignment="1">
      <alignment horizontal="center" vertical="center"/>
    </xf>
    <xf numFmtId="176" fontId="30" fillId="3" borderId="15" xfId="0" applyFont="1" applyFill="1" applyBorder="1" applyAlignment="1">
      <alignment horizontal="center" vertical="center"/>
    </xf>
    <xf numFmtId="4" fontId="29" fillId="4" borderId="1" xfId="0" applyNumberFormat="1" applyFont="1" applyFill="1" applyBorder="1" applyAlignment="1">
      <alignment vertical="center"/>
    </xf>
    <xf numFmtId="176" fontId="28" fillId="3" borderId="13" xfId="0" applyFont="1" applyFill="1" applyBorder="1" applyAlignment="1">
      <alignment horizontal="center" vertical="center"/>
    </xf>
    <xf numFmtId="176" fontId="28" fillId="3" borderId="14" xfId="0" applyFont="1" applyFill="1" applyBorder="1" applyAlignment="1">
      <alignment horizontal="center" vertical="center"/>
    </xf>
    <xf numFmtId="176" fontId="29" fillId="33" borderId="13" xfId="0" applyFont="1" applyFill="1" applyBorder="1" applyAlignment="1">
      <alignment horizontal="left" vertical="center" wrapText="1"/>
    </xf>
    <xf numFmtId="176" fontId="29" fillId="33" borderId="15" xfId="0" applyFont="1" applyFill="1" applyBorder="1" applyAlignment="1">
      <alignment horizontal="left" vertical="center" wrapText="1"/>
    </xf>
    <xf numFmtId="0" fontId="29" fillId="33" borderId="1" xfId="0" applyNumberFormat="1" applyFont="1" applyFill="1" applyBorder="1" applyAlignment="1">
      <alignment horizontal="center" vertical="center" wrapText="1"/>
    </xf>
    <xf numFmtId="4" fontId="30" fillId="4" borderId="1" xfId="0" applyNumberFormat="1" applyFont="1" applyFill="1" applyBorder="1" applyAlignment="1">
      <alignment vertical="center"/>
    </xf>
    <xf numFmtId="176" fontId="29" fillId="33" borderId="1" xfId="0" applyFont="1" applyFill="1" applyBorder="1" applyAlignment="1">
      <alignment horizontal="left" vertical="center" wrapText="1"/>
    </xf>
    <xf numFmtId="176" fontId="16" fillId="3" borderId="1" xfId="0" applyFont="1" applyFill="1" applyBorder="1" applyAlignment="1">
      <alignment horizontal="center" vertical="center" textRotation="255"/>
    </xf>
    <xf numFmtId="176" fontId="13" fillId="4" borderId="13" xfId="0" applyFont="1" applyFill="1" applyBorder="1" applyAlignment="1">
      <alignment horizontal="left" vertical="center" wrapText="1"/>
    </xf>
    <xf numFmtId="176" fontId="13" fillId="4" borderId="14" xfId="0" applyFont="1" applyFill="1" applyBorder="1" applyAlignment="1">
      <alignment horizontal="left" vertical="center" wrapText="1"/>
    </xf>
    <xf numFmtId="176" fontId="13" fillId="4" borderId="15" xfId="0" applyFont="1" applyFill="1" applyBorder="1" applyAlignment="1">
      <alignment horizontal="left" vertical="center" wrapText="1"/>
    </xf>
    <xf numFmtId="176" fontId="0" fillId="0" borderId="0" xfId="0" applyFont="1" applyBorder="1" applyAlignment="1">
      <alignment vertical="center"/>
    </xf>
    <xf numFmtId="176" fontId="31" fillId="0" borderId="0" xfId="0" applyFont="1" applyAlignment="1">
      <alignment horizontal="left" vertical="center"/>
    </xf>
    <xf numFmtId="178" fontId="32" fillId="0" borderId="0" xfId="29" applyFont="1"/>
    <xf numFmtId="178" fontId="33" fillId="0" borderId="0" xfId="29"/>
    <xf numFmtId="178" fontId="34" fillId="3" borderId="1" xfId="29" applyFont="1" applyFill="1" applyBorder="1" applyAlignment="1">
      <alignment horizontal="center"/>
    </xf>
    <xf numFmtId="178" fontId="26" fillId="3" borderId="13" xfId="29" applyFont="1" applyFill="1" applyBorder="1" applyAlignment="1">
      <alignment horizontal="left"/>
    </xf>
    <xf numFmtId="178" fontId="26" fillId="3" borderId="15" xfId="29" applyFont="1" applyFill="1" applyBorder="1" applyAlignment="1">
      <alignment horizontal="left"/>
    </xf>
    <xf numFmtId="178" fontId="26" fillId="3" borderId="14" xfId="29" applyFont="1" applyFill="1" applyBorder="1" applyAlignment="1">
      <alignment horizontal="left"/>
    </xf>
    <xf numFmtId="178" fontId="26" fillId="3" borderId="1" xfId="29" applyFont="1" applyFill="1" applyBorder="1" applyAlignment="1">
      <alignment horizontal="left"/>
    </xf>
    <xf numFmtId="178" fontId="26" fillId="4" borderId="13" xfId="29" applyFont="1" applyFill="1" applyBorder="1" applyAlignment="1">
      <alignment horizontal="left"/>
    </xf>
    <xf numFmtId="178" fontId="26" fillId="4" borderId="14" xfId="29" applyFont="1" applyFill="1" applyBorder="1" applyAlignment="1">
      <alignment horizontal="left"/>
    </xf>
    <xf numFmtId="178" fontId="26" fillId="4" borderId="15" xfId="29" applyFont="1" applyFill="1" applyBorder="1" applyAlignment="1">
      <alignment horizontal="left"/>
    </xf>
    <xf numFmtId="178" fontId="35" fillId="4" borderId="1" xfId="29" applyFont="1" applyFill="1" applyBorder="1" applyAlignment="1">
      <alignment horizontal="center" vertical="center"/>
    </xf>
    <xf numFmtId="178" fontId="35" fillId="4" borderId="13" xfId="29" applyFont="1" applyFill="1" applyBorder="1" applyAlignment="1">
      <alignment horizontal="left"/>
    </xf>
    <xf numFmtId="178" fontId="35" fillId="4" borderId="14" xfId="29" applyFont="1" applyFill="1" applyBorder="1" applyAlignment="1">
      <alignment horizontal="left"/>
    </xf>
    <xf numFmtId="178" fontId="35" fillId="4" borderId="15" xfId="29" applyFont="1" applyFill="1" applyBorder="1" applyAlignment="1">
      <alignment horizontal="left"/>
    </xf>
    <xf numFmtId="178" fontId="36" fillId="3" borderId="8" xfId="211" applyNumberFormat="1" applyFont="1" applyFill="1" applyBorder="1" applyAlignment="1">
      <alignment horizontal="center" vertical="center" wrapText="1"/>
    </xf>
    <xf numFmtId="178" fontId="36" fillId="3" borderId="1" xfId="211" applyNumberFormat="1" applyFont="1" applyFill="1" applyBorder="1" applyAlignment="1">
      <alignment horizontal="center" vertical="center" wrapText="1"/>
    </xf>
    <xf numFmtId="178" fontId="36" fillId="3" borderId="9" xfId="211" applyNumberFormat="1" applyFont="1" applyFill="1" applyBorder="1" applyAlignment="1">
      <alignment horizontal="center" vertical="center" wrapText="1"/>
    </xf>
    <xf numFmtId="20" fontId="30" fillId="4" borderId="1" xfId="222" applyNumberFormat="1" applyFont="1" applyFill="1" applyBorder="1" applyAlignment="1">
      <alignment horizontal="center" vertical="center" wrapText="1"/>
    </xf>
    <xf numFmtId="178" fontId="29" fillId="4" borderId="1" xfId="19" applyNumberFormat="1" applyFont="1" applyFill="1" applyBorder="1" applyAlignment="1">
      <alignment horizontal="center" vertical="center"/>
    </xf>
    <xf numFmtId="178" fontId="29" fillId="4" borderId="1" xfId="222" applyNumberFormat="1" applyFont="1" applyFill="1" applyBorder="1" applyAlignment="1">
      <alignment horizontal="left" vertical="center" wrapText="1"/>
    </xf>
    <xf numFmtId="178" fontId="30" fillId="4" borderId="1" xfId="222" applyNumberFormat="1" applyFont="1" applyFill="1" applyBorder="1" applyAlignment="1">
      <alignment horizontal="left" vertical="center" wrapText="1"/>
    </xf>
    <xf numFmtId="178" fontId="30" fillId="4" borderId="1" xfId="222" applyNumberFormat="1" applyFont="1" applyFill="1" applyBorder="1" applyAlignment="1">
      <alignment vertical="center" wrapText="1"/>
    </xf>
    <xf numFmtId="178" fontId="29" fillId="4" borderId="1" xfId="19" applyNumberFormat="1" applyFont="1" applyFill="1" applyBorder="1" applyAlignment="1">
      <alignment horizontal="center" vertical="center" wrapText="1"/>
    </xf>
    <xf numFmtId="178" fontId="37" fillId="4" borderId="1" xfId="222" applyNumberFormat="1" applyFont="1" applyFill="1" applyBorder="1" applyAlignment="1">
      <alignment vertical="center" wrapText="1"/>
    </xf>
    <xf numFmtId="178" fontId="29" fillId="4" borderId="1" xfId="19" applyNumberFormat="1" applyFont="1" applyFill="1" applyBorder="1" applyAlignment="1">
      <alignment horizontal="left" vertical="center"/>
    </xf>
    <xf numFmtId="20" fontId="30" fillId="4" borderId="1" xfId="222" applyNumberFormat="1" applyFont="1" applyFill="1" applyBorder="1" applyAlignment="1">
      <alignment horizontal="center" vertical="center"/>
    </xf>
    <xf numFmtId="178" fontId="29" fillId="4" borderId="13" xfId="222" applyNumberFormat="1" applyFont="1" applyFill="1" applyBorder="1" applyAlignment="1">
      <alignment vertical="center" wrapText="1"/>
    </xf>
    <xf numFmtId="178" fontId="29" fillId="4" borderId="15" xfId="222" applyNumberFormat="1" applyFont="1" applyFill="1" applyBorder="1" applyAlignment="1">
      <alignment vertical="center" wrapText="1"/>
    </xf>
    <xf numFmtId="178" fontId="37" fillId="4" borderId="1" xfId="222" applyNumberFormat="1" applyFont="1" applyFill="1" applyBorder="1" applyAlignment="1">
      <alignment horizontal="left" vertical="center" wrapText="1"/>
    </xf>
    <xf numFmtId="178" fontId="33" fillId="34" borderId="0" xfId="29" applyFill="1"/>
    <xf numFmtId="178" fontId="33" fillId="35" borderId="0" xfId="29" applyFill="1"/>
    <xf numFmtId="178" fontId="38" fillId="0" borderId="0" xfId="29" applyFont="1" applyAlignment="1">
      <alignment horizontal="center"/>
    </xf>
    <xf numFmtId="178" fontId="33" fillId="0" borderId="0" xfId="29" applyAlignment="1">
      <alignment horizontal="center" vertical="center"/>
    </xf>
    <xf numFmtId="178" fontId="33" fillId="0" borderId="0" xfId="29" applyAlignment="1">
      <alignment horizontal="center"/>
    </xf>
    <xf numFmtId="178" fontId="2" fillId="3" borderId="1" xfId="29" applyFont="1" applyFill="1" applyBorder="1" applyAlignment="1">
      <alignment horizontal="center"/>
    </xf>
    <xf numFmtId="178" fontId="33" fillId="0" borderId="0" xfId="29" applyAlignment="1"/>
    <xf numFmtId="178" fontId="33" fillId="34" borderId="0" xfId="29" applyFill="1" applyAlignment="1"/>
    <xf numFmtId="178" fontId="33" fillId="0" borderId="0" xfId="29" applyFill="1"/>
    <xf numFmtId="178" fontId="13" fillId="4" borderId="1" xfId="29" applyFont="1" applyFill="1" applyBorder="1" applyAlignment="1">
      <alignment horizontal="left" vertical="center" wrapText="1"/>
    </xf>
    <xf numFmtId="178" fontId="15" fillId="4" borderId="1" xfId="29" applyFont="1" applyFill="1" applyBorder="1" applyAlignment="1">
      <alignment horizontal="center" vertical="center"/>
    </xf>
    <xf numFmtId="178" fontId="33" fillId="35" borderId="0" xfId="29" applyFill="1" applyAlignment="1"/>
    <xf numFmtId="178" fontId="12" fillId="10" borderId="1" xfId="29" applyFont="1" applyFill="1" applyBorder="1" applyAlignment="1">
      <alignment horizontal="center" vertical="center" wrapText="1"/>
    </xf>
    <xf numFmtId="178" fontId="13" fillId="10" borderId="1" xfId="29" applyFont="1" applyFill="1" applyBorder="1" applyAlignment="1">
      <alignment horizontal="center" vertical="center" wrapText="1"/>
    </xf>
    <xf numFmtId="20" fontId="13" fillId="10" borderId="1" xfId="29" applyNumberFormat="1" applyFont="1" applyFill="1" applyBorder="1" applyAlignment="1">
      <alignment horizontal="center" vertical="center" wrapText="1"/>
    </xf>
    <xf numFmtId="178" fontId="15" fillId="3" borderId="1" xfId="29" applyFont="1" applyFill="1" applyBorder="1" applyAlignment="1">
      <alignment horizontal="center" vertical="center"/>
    </xf>
    <xf numFmtId="178" fontId="15" fillId="3" borderId="1" xfId="29" applyFont="1" applyFill="1" applyBorder="1" applyAlignment="1">
      <alignment vertical="center"/>
    </xf>
    <xf numFmtId="178" fontId="13" fillId="4" borderId="1" xfId="29" applyFont="1" applyFill="1" applyBorder="1" applyAlignment="1">
      <alignment horizontal="center" vertical="center" wrapText="1"/>
    </xf>
    <xf numFmtId="178" fontId="13" fillId="4" borderId="1" xfId="29" applyFont="1" applyFill="1" applyBorder="1" applyAlignment="1">
      <alignment horizontal="center" vertical="center"/>
    </xf>
    <xf numFmtId="178" fontId="13" fillId="4" borderId="1" xfId="29" applyFont="1" applyFill="1" applyBorder="1" applyAlignment="1">
      <alignment horizontal="left" vertical="center"/>
    </xf>
    <xf numFmtId="20" fontId="13" fillId="4" borderId="1" xfId="29" applyNumberFormat="1" applyFont="1" applyFill="1" applyBorder="1" applyAlignment="1">
      <alignment horizontal="center" vertical="center" wrapText="1"/>
    </xf>
    <xf numFmtId="178" fontId="13" fillId="4" borderId="1" xfId="29" applyFont="1" applyFill="1" applyBorder="1" applyAlignment="1">
      <alignment horizontal="left" vertical="top" wrapText="1"/>
    </xf>
    <xf numFmtId="20" fontId="13" fillId="4" borderId="16" xfId="29" applyNumberFormat="1" applyFont="1" applyFill="1" applyBorder="1" applyAlignment="1">
      <alignment horizontal="center" vertical="center" wrapText="1"/>
    </xf>
    <xf numFmtId="20" fontId="13" fillId="4" borderId="22" xfId="29" applyNumberFormat="1" applyFont="1" applyFill="1" applyBorder="1" applyAlignment="1">
      <alignment horizontal="center" vertical="center" wrapText="1"/>
    </xf>
    <xf numFmtId="178" fontId="39" fillId="0" borderId="0" xfId="29" applyFont="1" applyAlignment="1">
      <alignment horizontal="center"/>
    </xf>
    <xf numFmtId="178" fontId="32" fillId="0" borderId="0" xfId="29" applyFont="1" applyAlignment="1">
      <alignment horizontal="center" vertical="center"/>
    </xf>
    <xf numFmtId="178" fontId="32" fillId="0" borderId="0" xfId="29" applyFont="1" applyAlignment="1">
      <alignment horizontal="center"/>
    </xf>
    <xf numFmtId="0" fontId="0" fillId="0" borderId="0" xfId="0" applyNumberFormat="1" applyFill="1" applyBorder="1" applyAlignment="1">
      <alignment vertical="center"/>
    </xf>
    <xf numFmtId="0" fontId="4" fillId="10" borderId="13" xfId="0" applyNumberFormat="1" applyFont="1" applyFill="1" applyBorder="1" applyAlignment="1">
      <alignment horizontal="left" vertical="center"/>
    </xf>
    <xf numFmtId="0" fontId="4" fillId="10" borderId="14" xfId="0" applyNumberFormat="1" applyFont="1" applyFill="1" applyBorder="1" applyAlignment="1">
      <alignment horizontal="left" vertical="center"/>
    </xf>
    <xf numFmtId="0" fontId="4" fillId="10" borderId="15" xfId="0" applyNumberFormat="1" applyFont="1" applyFill="1" applyBorder="1" applyAlignment="1">
      <alignment horizontal="left" vertical="center"/>
    </xf>
    <xf numFmtId="0" fontId="4" fillId="4" borderId="13" xfId="0" applyNumberFormat="1" applyFont="1" applyFill="1" applyBorder="1" applyAlignment="1">
      <alignment horizontal="left" vertical="center"/>
    </xf>
    <xf numFmtId="0" fontId="4" fillId="4" borderId="14" xfId="0" applyNumberFormat="1" applyFont="1" applyFill="1" applyBorder="1" applyAlignment="1">
      <alignment horizontal="left" vertical="center"/>
    </xf>
    <xf numFmtId="0" fontId="4" fillId="4" borderId="15" xfId="0" applyNumberFormat="1" applyFont="1" applyFill="1" applyBorder="1" applyAlignment="1">
      <alignment horizontal="left" vertical="center"/>
    </xf>
    <xf numFmtId="0" fontId="4" fillId="4" borderId="1" xfId="0" applyNumberFormat="1" applyFont="1" applyFill="1" applyBorder="1" applyAlignment="1">
      <alignment horizontal="left" vertical="center"/>
    </xf>
    <xf numFmtId="0" fontId="4" fillId="4" borderId="13" xfId="0" applyNumberFormat="1" applyFont="1" applyFill="1" applyBorder="1" applyAlignment="1">
      <alignment horizontal="left" vertical="center" wrapText="1"/>
    </xf>
    <xf numFmtId="0" fontId="27" fillId="3" borderId="1" xfId="0" applyNumberFormat="1" applyFont="1" applyFill="1" applyBorder="1" applyAlignment="1">
      <alignment horizontal="center" vertical="center"/>
    </xf>
    <xf numFmtId="176" fontId="14" fillId="4" borderId="1" xfId="0" applyFont="1" applyFill="1" applyBorder="1" applyAlignment="1">
      <alignment vertical="center"/>
    </xf>
    <xf numFmtId="176" fontId="2" fillId="3" borderId="0" xfId="0" applyFont="1" applyFill="1" applyAlignment="1">
      <alignment horizontal="center" vertical="center"/>
    </xf>
    <xf numFmtId="0" fontId="11" fillId="10" borderId="1" xfId="0" applyNumberFormat="1" applyFont="1" applyFill="1" applyBorder="1" applyAlignment="1">
      <alignment vertical="center"/>
    </xf>
    <xf numFmtId="0" fontId="11" fillId="10" borderId="1" xfId="0" applyNumberFormat="1" applyFont="1" applyFill="1" applyBorder="1" applyAlignment="1">
      <alignment horizontal="left" vertical="center"/>
    </xf>
    <xf numFmtId="0" fontId="12" fillId="36" borderId="1" xfId="0" applyNumberFormat="1" applyFont="1" applyFill="1" applyBorder="1" applyAlignment="1">
      <alignment horizontal="center" vertical="center"/>
    </xf>
    <xf numFmtId="0" fontId="40" fillId="17" borderId="13" xfId="0" applyNumberFormat="1" applyFont="1" applyFill="1" applyBorder="1" applyAlignment="1">
      <alignment horizontal="center" vertical="center"/>
    </xf>
    <xf numFmtId="0" fontId="40" fillId="17" borderId="14" xfId="0" applyNumberFormat="1" applyFont="1" applyFill="1" applyBorder="1" applyAlignment="1">
      <alignment horizontal="center" vertical="center"/>
    </xf>
    <xf numFmtId="0" fontId="13" fillId="25" borderId="1" xfId="0" applyNumberFormat="1" applyFont="1" applyFill="1" applyBorder="1" applyAlignment="1">
      <alignment horizontal="center" vertical="center"/>
    </xf>
    <xf numFmtId="0" fontId="13" fillId="24" borderId="16" xfId="0" applyNumberFormat="1" applyFont="1" applyFill="1" applyBorder="1" applyAlignment="1">
      <alignment horizontal="center" vertical="center"/>
    </xf>
    <xf numFmtId="0" fontId="13" fillId="29" borderId="1" xfId="0" applyNumberFormat="1" applyFont="1" applyFill="1" applyBorder="1" applyAlignment="1">
      <alignment horizontal="center" vertical="center"/>
    </xf>
    <xf numFmtId="0" fontId="13" fillId="24" borderId="23" xfId="0" applyNumberFormat="1" applyFont="1" applyFill="1" applyBorder="1" applyAlignment="1">
      <alignment horizontal="center" vertical="center"/>
    </xf>
    <xf numFmtId="0" fontId="13" fillId="11" borderId="1" xfId="0" applyNumberFormat="1" applyFont="1" applyFill="1" applyBorder="1" applyAlignment="1">
      <alignment horizontal="center" vertical="center"/>
    </xf>
    <xf numFmtId="0" fontId="13" fillId="4" borderId="1" xfId="0" applyNumberFormat="1" applyFont="1" applyFill="1" applyBorder="1" applyAlignment="1">
      <alignment horizontal="center" vertical="center"/>
    </xf>
    <xf numFmtId="0" fontId="13" fillId="24" borderId="22" xfId="0" applyNumberFormat="1" applyFont="1" applyFill="1" applyBorder="1" applyAlignment="1">
      <alignment horizontal="center" vertical="center"/>
    </xf>
    <xf numFmtId="0" fontId="13" fillId="22" borderId="13" xfId="0" applyNumberFormat="1" applyFont="1" applyFill="1" applyBorder="1" applyAlignment="1">
      <alignment horizontal="center" vertical="center"/>
    </xf>
    <xf numFmtId="0" fontId="13" fillId="22" borderId="14" xfId="0" applyNumberFormat="1" applyFont="1" applyFill="1" applyBorder="1" applyAlignment="1">
      <alignment horizontal="center" vertical="center"/>
    </xf>
    <xf numFmtId="0" fontId="0" fillId="0" borderId="13" xfId="0" applyNumberFormat="1" applyFill="1" applyBorder="1" applyAlignment="1">
      <alignment horizontal="center" vertical="center"/>
    </xf>
    <xf numFmtId="0" fontId="0" fillId="0" borderId="14" xfId="0" applyNumberFormat="1" applyFill="1" applyBorder="1" applyAlignment="1">
      <alignment horizontal="center" vertical="center"/>
    </xf>
    <xf numFmtId="0" fontId="0" fillId="0" borderId="15" xfId="0" applyNumberFormat="1" applyFill="1" applyBorder="1" applyAlignment="1">
      <alignment horizontal="center" vertical="center"/>
    </xf>
    <xf numFmtId="0" fontId="41" fillId="37" borderId="1" xfId="0" applyNumberFormat="1" applyFont="1" applyFill="1" applyBorder="1" applyAlignment="1">
      <alignment horizontal="center" vertical="center"/>
    </xf>
    <xf numFmtId="0" fontId="40" fillId="17" borderId="15" xfId="0" applyNumberFormat="1" applyFont="1" applyFill="1" applyBorder="1" applyAlignment="1">
      <alignment horizontal="center" vertical="center"/>
    </xf>
    <xf numFmtId="0" fontId="13" fillId="10" borderId="13" xfId="0" applyNumberFormat="1" applyFont="1" applyFill="1" applyBorder="1" applyAlignment="1">
      <alignment horizontal="center" vertical="center"/>
    </xf>
    <xf numFmtId="0" fontId="13" fillId="10" borderId="15" xfId="0" applyNumberFormat="1" applyFont="1" applyFill="1" applyBorder="1" applyAlignment="1">
      <alignment horizontal="center" vertical="center"/>
    </xf>
    <xf numFmtId="0" fontId="13" fillId="36" borderId="1" xfId="0" applyNumberFormat="1" applyFont="1" applyFill="1" applyBorder="1" applyAlignment="1">
      <alignment horizontal="center" vertical="center"/>
    </xf>
    <xf numFmtId="0" fontId="13" fillId="18" borderId="1" xfId="0" applyNumberFormat="1" applyFont="1" applyFill="1" applyBorder="1" applyAlignment="1">
      <alignment horizontal="center" vertical="center"/>
    </xf>
    <xf numFmtId="0" fontId="13" fillId="22" borderId="15" xfId="0" applyNumberFormat="1" applyFont="1" applyFill="1" applyBorder="1" applyAlignment="1">
      <alignment horizontal="center" vertical="center"/>
    </xf>
    <xf numFmtId="0" fontId="1" fillId="0" borderId="0" xfId="206"/>
    <xf numFmtId="178" fontId="10" fillId="3" borderId="1" xfId="203" applyFont="1" applyFill="1" applyBorder="1" applyAlignment="1">
      <alignment horizontal="center"/>
    </xf>
    <xf numFmtId="178" fontId="15" fillId="3" borderId="13" xfId="203" applyFont="1" applyFill="1" applyBorder="1" applyAlignment="1">
      <alignment horizontal="left"/>
    </xf>
    <xf numFmtId="178" fontId="15" fillId="3" borderId="14" xfId="203" applyFont="1" applyFill="1" applyBorder="1" applyAlignment="1">
      <alignment horizontal="left"/>
    </xf>
    <xf numFmtId="178" fontId="15" fillId="3" borderId="15" xfId="203" applyFont="1" applyFill="1" applyBorder="1" applyAlignment="1">
      <alignment horizontal="left"/>
    </xf>
    <xf numFmtId="178" fontId="15" fillId="3" borderId="1" xfId="203" applyFont="1" applyFill="1" applyBorder="1" applyAlignment="1"/>
    <xf numFmtId="178" fontId="12" fillId="10" borderId="1" xfId="203" applyFont="1" applyFill="1" applyBorder="1" applyAlignment="1">
      <alignment horizontal="center" vertical="center"/>
    </xf>
    <xf numFmtId="178" fontId="13" fillId="38" borderId="16" xfId="203" applyFont="1" applyFill="1" applyBorder="1" applyAlignment="1">
      <alignment horizontal="center" vertical="center"/>
    </xf>
    <xf numFmtId="178" fontId="13" fillId="38" borderId="16" xfId="203" applyFont="1" applyFill="1" applyBorder="1" applyAlignment="1">
      <alignment horizontal="left" vertical="center"/>
    </xf>
    <xf numFmtId="178" fontId="13" fillId="38" borderId="1" xfId="203" applyFont="1" applyFill="1" applyBorder="1" applyAlignment="1">
      <alignment horizontal="left" vertical="center"/>
    </xf>
    <xf numFmtId="178" fontId="13" fillId="4" borderId="1" xfId="203" applyFont="1" applyFill="1" applyBorder="1" applyAlignment="1">
      <alignment horizontal="left" vertical="center"/>
    </xf>
    <xf numFmtId="178" fontId="12" fillId="38" borderId="1" xfId="203" applyFont="1" applyFill="1" applyBorder="1" applyAlignment="1">
      <alignment horizontal="center" vertical="center"/>
    </xf>
    <xf numFmtId="178" fontId="13" fillId="38" borderId="23" xfId="203" applyFont="1" applyFill="1" applyBorder="1" applyAlignment="1">
      <alignment horizontal="center" vertical="center"/>
    </xf>
    <xf numFmtId="178" fontId="13" fillId="38" borderId="1" xfId="203" applyFont="1" applyFill="1" applyBorder="1" applyAlignment="1">
      <alignment horizontal="left" vertical="center" wrapText="1"/>
    </xf>
    <xf numFmtId="178" fontId="13" fillId="4" borderId="16" xfId="203" applyFont="1" applyFill="1" applyBorder="1" applyAlignment="1">
      <alignment horizontal="center" vertical="center"/>
    </xf>
    <xf numFmtId="178" fontId="13" fillId="4" borderId="1" xfId="203" applyFont="1" applyFill="1" applyBorder="1" applyAlignment="1">
      <alignment horizontal="center" vertical="center"/>
    </xf>
    <xf numFmtId="178" fontId="13" fillId="4" borderId="23" xfId="203" applyFont="1" applyFill="1" applyBorder="1" applyAlignment="1">
      <alignment horizontal="center" vertical="center"/>
    </xf>
    <xf numFmtId="178" fontId="13" fillId="4" borderId="1" xfId="203" applyFont="1" applyFill="1" applyBorder="1" applyAlignment="1">
      <alignment horizontal="left" vertical="center" wrapText="1"/>
    </xf>
    <xf numFmtId="178" fontId="3" fillId="4" borderId="16" xfId="203" applyFont="1" applyFill="1" applyBorder="1" applyAlignment="1">
      <alignment horizontal="center" vertical="center"/>
    </xf>
    <xf numFmtId="178" fontId="3" fillId="4" borderId="1" xfId="203" applyFont="1" applyFill="1" applyBorder="1" applyAlignment="1">
      <alignment horizontal="center" vertical="center"/>
    </xf>
    <xf numFmtId="178" fontId="3" fillId="4" borderId="1" xfId="203" applyFont="1" applyFill="1" applyBorder="1" applyAlignment="1">
      <alignment horizontal="left" vertical="center" wrapText="1"/>
    </xf>
    <xf numFmtId="178" fontId="3" fillId="4" borderId="23" xfId="203" applyFont="1" applyFill="1" applyBorder="1" applyAlignment="1">
      <alignment horizontal="center" vertical="center"/>
    </xf>
    <xf numFmtId="178" fontId="3" fillId="4" borderId="22" xfId="203" applyFont="1" applyFill="1" applyBorder="1" applyAlignment="1">
      <alignment horizontal="center" vertical="center"/>
    </xf>
    <xf numFmtId="178" fontId="3" fillId="4" borderId="1" xfId="203" applyFont="1" applyFill="1" applyBorder="1" applyAlignment="1">
      <alignment horizontal="left" vertical="center"/>
    </xf>
    <xf numFmtId="178" fontId="3" fillId="4" borderId="1" xfId="203" applyFont="1" applyFill="1" applyBorder="1" applyAlignment="1">
      <alignment horizontal="center" vertical="center" wrapText="1"/>
    </xf>
    <xf numFmtId="178" fontId="3" fillId="4" borderId="16" xfId="203" applyFont="1" applyFill="1" applyBorder="1" applyAlignment="1">
      <alignment horizontal="center" vertical="top"/>
    </xf>
    <xf numFmtId="178" fontId="3" fillId="4" borderId="22" xfId="203" applyFont="1" applyFill="1" applyBorder="1" applyAlignment="1">
      <alignment horizontal="center" vertical="center" wrapText="1"/>
    </xf>
    <xf numFmtId="178" fontId="3" fillId="4" borderId="22" xfId="203" applyFont="1" applyFill="1" applyBorder="1" applyAlignment="1">
      <alignment horizontal="left" vertical="center" wrapText="1"/>
    </xf>
    <xf numFmtId="178" fontId="3" fillId="4" borderId="1" xfId="203" applyFont="1" applyFill="1" applyBorder="1" applyAlignment="1">
      <alignment horizontal="left" vertical="top" wrapText="1"/>
    </xf>
    <xf numFmtId="0" fontId="13" fillId="39" borderId="0" xfId="0" applyNumberFormat="1" applyFont="1" applyFill="1" applyAlignment="1"/>
    <xf numFmtId="0" fontId="13" fillId="15" borderId="0" xfId="0" applyNumberFormat="1" applyFont="1" applyFill="1" applyAlignment="1"/>
    <xf numFmtId="0" fontId="21" fillId="35" borderId="0" xfId="0" applyNumberFormat="1" applyFont="1" applyFill="1" applyAlignment="1">
      <alignment horizontal="left" vertical="center"/>
    </xf>
    <xf numFmtId="0" fontId="12" fillId="0" borderId="0" xfId="0" applyNumberFormat="1" applyFont="1" applyFill="1" applyAlignment="1">
      <alignment horizontal="center" vertical="center"/>
    </xf>
    <xf numFmtId="0" fontId="3" fillId="0" borderId="0" xfId="0" applyNumberFormat="1" applyFont="1" applyFill="1" applyAlignment="1">
      <alignment vertical="center"/>
    </xf>
    <xf numFmtId="0" fontId="13" fillId="0" borderId="0" xfId="0" applyNumberFormat="1" applyFont="1" applyFill="1" applyAlignment="1">
      <alignment vertical="center"/>
    </xf>
    <xf numFmtId="176" fontId="13" fillId="0" borderId="0" xfId="0" applyFont="1" applyAlignment="1">
      <alignment vertical="center"/>
    </xf>
    <xf numFmtId="0" fontId="42" fillId="3" borderId="13" xfId="0" applyNumberFormat="1" applyFont="1" applyFill="1" applyBorder="1" applyAlignment="1">
      <alignment horizontal="center" vertical="center"/>
    </xf>
    <xf numFmtId="0" fontId="42" fillId="3" borderId="14" xfId="0" applyNumberFormat="1" applyFont="1" applyFill="1" applyBorder="1" applyAlignment="1">
      <alignment horizontal="center" vertical="center"/>
    </xf>
    <xf numFmtId="0" fontId="43" fillId="10" borderId="13" xfId="0" applyNumberFormat="1" applyFont="1" applyFill="1" applyBorder="1" applyAlignment="1">
      <alignment horizontal="center" vertical="center" wrapText="1"/>
    </xf>
    <xf numFmtId="0" fontId="43" fillId="10" borderId="14" xfId="0" applyNumberFormat="1" applyFont="1" applyFill="1" applyBorder="1" applyAlignment="1">
      <alignment horizontal="center" vertical="center" wrapText="1"/>
    </xf>
    <xf numFmtId="0" fontId="44" fillId="4" borderId="13" xfId="0" applyNumberFormat="1" applyFont="1" applyFill="1" applyBorder="1" applyAlignment="1">
      <alignment horizontal="left" vertical="center"/>
    </xf>
    <xf numFmtId="0" fontId="44" fillId="4" borderId="14" xfId="0" applyNumberFormat="1" applyFont="1" applyFill="1" applyBorder="1" applyAlignment="1">
      <alignment horizontal="left" vertical="center"/>
    </xf>
    <xf numFmtId="0" fontId="45" fillId="40" borderId="24" xfId="0" applyNumberFormat="1" applyFont="1" applyFill="1" applyBorder="1" applyAlignment="1">
      <alignment horizontal="center" vertical="center"/>
    </xf>
    <xf numFmtId="0" fontId="45" fillId="40" borderId="25" xfId="0" applyNumberFormat="1" applyFont="1" applyFill="1" applyBorder="1" applyAlignment="1">
      <alignment horizontal="center" vertical="center"/>
    </xf>
    <xf numFmtId="0" fontId="46" fillId="41" borderId="26" xfId="0" applyNumberFormat="1" applyFont="1" applyFill="1" applyBorder="1" applyAlignment="1">
      <alignment horizontal="center" vertical="center"/>
    </xf>
    <xf numFmtId="0" fontId="46" fillId="41" borderId="27" xfId="0" applyNumberFormat="1" applyFont="1" applyFill="1" applyBorder="1" applyAlignment="1">
      <alignment horizontal="center" vertical="center"/>
    </xf>
    <xf numFmtId="0" fontId="45" fillId="40" borderId="28" xfId="0" applyNumberFormat="1" applyFont="1" applyFill="1" applyBorder="1" applyAlignment="1">
      <alignment horizontal="center" vertical="center"/>
    </xf>
    <xf numFmtId="0" fontId="45" fillId="40" borderId="29" xfId="0" applyNumberFormat="1" applyFont="1" applyFill="1" applyBorder="1" applyAlignment="1">
      <alignment horizontal="center" vertical="center"/>
    </xf>
    <xf numFmtId="0" fontId="47" fillId="41" borderId="29" xfId="0" applyNumberFormat="1" applyFont="1" applyFill="1" applyBorder="1" applyAlignment="1">
      <alignment horizontal="center" vertical="center" wrapText="1"/>
    </xf>
    <xf numFmtId="0" fontId="3" fillId="0" borderId="28" xfId="0" applyNumberFormat="1" applyFont="1" applyFill="1" applyBorder="1" applyAlignment="1">
      <alignment horizontal="center" vertical="center" wrapText="1"/>
    </xf>
    <xf numFmtId="0" fontId="3" fillId="0" borderId="29" xfId="0" applyNumberFormat="1" applyFont="1" applyFill="1" applyBorder="1" applyAlignment="1">
      <alignment horizontal="center" vertical="center" wrapText="1"/>
    </xf>
    <xf numFmtId="0" fontId="13" fillId="0" borderId="29" xfId="0" applyNumberFormat="1" applyFont="1" applyFill="1" applyBorder="1" applyAlignment="1">
      <alignment horizontal="center" vertical="center"/>
    </xf>
    <xf numFmtId="0" fontId="3" fillId="42" borderId="28" xfId="0" applyNumberFormat="1" applyFont="1" applyFill="1" applyBorder="1" applyAlignment="1">
      <alignment horizontal="center" vertical="center" wrapText="1"/>
    </xf>
    <xf numFmtId="0" fontId="4" fillId="42" borderId="29" xfId="0" applyNumberFormat="1" applyFont="1" applyFill="1" applyBorder="1" applyAlignment="1">
      <alignment horizontal="left" vertical="center" wrapText="1"/>
    </xf>
    <xf numFmtId="0" fontId="3" fillId="0" borderId="29" xfId="0" applyNumberFormat="1" applyFont="1" applyFill="1" applyBorder="1" applyAlignment="1">
      <alignment horizontal="left" vertical="center" wrapText="1"/>
    </xf>
    <xf numFmtId="0" fontId="3" fillId="0" borderId="29" xfId="0" applyNumberFormat="1" applyFont="1" applyFill="1" applyBorder="1" applyAlignment="1">
      <alignment horizontal="justify" vertical="center" wrapText="1"/>
    </xf>
    <xf numFmtId="0" fontId="3" fillId="42" borderId="29" xfId="0" applyNumberFormat="1" applyFont="1" applyFill="1" applyBorder="1" applyAlignment="1">
      <alignment horizontal="left" vertical="center" wrapText="1"/>
    </xf>
    <xf numFmtId="0" fontId="3" fillId="42" borderId="29" xfId="0" applyNumberFormat="1" applyFont="1" applyFill="1" applyBorder="1" applyAlignment="1">
      <alignment horizontal="center" vertical="center" wrapText="1"/>
    </xf>
    <xf numFmtId="0" fontId="3" fillId="42" borderId="29" xfId="0" applyNumberFormat="1" applyFont="1" applyFill="1" applyBorder="1" applyAlignment="1">
      <alignment horizontal="justify" vertical="center" wrapText="1"/>
    </xf>
    <xf numFmtId="0" fontId="3" fillId="42" borderId="29" xfId="0" applyNumberFormat="1" applyFont="1" applyFill="1" applyBorder="1" applyAlignment="1">
      <alignment vertical="center"/>
    </xf>
    <xf numFmtId="0" fontId="3" fillId="0" borderId="30" xfId="0" applyNumberFormat="1" applyFont="1" applyFill="1" applyBorder="1" applyAlignment="1">
      <alignment horizontal="center" vertical="center" wrapText="1"/>
    </xf>
    <xf numFmtId="0" fontId="3" fillId="0" borderId="31" xfId="0" applyNumberFormat="1" applyFont="1" applyFill="1" applyBorder="1" applyAlignment="1">
      <alignment horizontal="left" vertical="center" wrapText="1"/>
    </xf>
    <xf numFmtId="0" fontId="3" fillId="0" borderId="31" xfId="0" applyNumberFormat="1" applyFont="1" applyFill="1" applyBorder="1" applyAlignment="1">
      <alignment horizontal="center" vertical="center" wrapText="1"/>
    </xf>
    <xf numFmtId="0" fontId="3" fillId="0" borderId="31" xfId="0" applyNumberFormat="1" applyFont="1" applyFill="1" applyBorder="1" applyAlignment="1">
      <alignment horizontal="justify" vertical="center" wrapText="1"/>
    </xf>
    <xf numFmtId="0" fontId="13" fillId="0" borderId="31" xfId="0" applyNumberFormat="1" applyFont="1" applyFill="1" applyBorder="1" applyAlignment="1">
      <alignment horizontal="center" vertical="center"/>
    </xf>
    <xf numFmtId="0" fontId="46" fillId="41" borderId="32" xfId="0" applyNumberFormat="1" applyFont="1" applyFill="1" applyBorder="1" applyAlignment="1">
      <alignment horizontal="center" vertical="center"/>
    </xf>
    <xf numFmtId="0" fontId="46" fillId="43" borderId="26" xfId="0" applyNumberFormat="1" applyFont="1" applyFill="1" applyBorder="1" applyAlignment="1">
      <alignment horizontal="center" vertical="center"/>
    </xf>
    <xf numFmtId="0" fontId="46" fillId="43" borderId="27" xfId="0" applyNumberFormat="1" applyFont="1" applyFill="1" applyBorder="1" applyAlignment="1">
      <alignment horizontal="center" vertical="center"/>
    </xf>
    <xf numFmtId="0" fontId="47" fillId="43" borderId="29" xfId="0" applyNumberFormat="1" applyFont="1" applyFill="1" applyBorder="1" applyAlignment="1">
      <alignment horizontal="center" vertical="center" wrapText="1"/>
    </xf>
    <xf numFmtId="0" fontId="3" fillId="0" borderId="29" xfId="0" applyNumberFormat="1" applyFont="1" applyFill="1" applyBorder="1" applyAlignment="1">
      <alignment horizontal="center" vertical="center"/>
    </xf>
    <xf numFmtId="0" fontId="3" fillId="0" borderId="29" xfId="0" applyNumberFormat="1" applyFont="1" applyFill="1" applyBorder="1" applyAlignment="1">
      <alignment vertical="center"/>
    </xf>
    <xf numFmtId="0" fontId="3" fillId="0" borderId="31" xfId="0" applyNumberFormat="1" applyFont="1" applyFill="1" applyBorder="1" applyAlignment="1">
      <alignment vertical="center"/>
    </xf>
    <xf numFmtId="0" fontId="42" fillId="3" borderId="15" xfId="0" applyNumberFormat="1" applyFont="1" applyFill="1" applyBorder="1" applyAlignment="1">
      <alignment horizontal="center" vertical="center"/>
    </xf>
    <xf numFmtId="0" fontId="43" fillId="10" borderId="15" xfId="0" applyNumberFormat="1" applyFont="1" applyFill="1" applyBorder="1" applyAlignment="1">
      <alignment horizontal="center" vertical="center" wrapText="1"/>
    </xf>
    <xf numFmtId="0" fontId="44" fillId="4" borderId="15" xfId="0" applyNumberFormat="1" applyFont="1" applyFill="1" applyBorder="1" applyAlignment="1">
      <alignment horizontal="left" vertical="center"/>
    </xf>
    <xf numFmtId="0" fontId="46" fillId="43" borderId="32" xfId="0" applyNumberFormat="1" applyFont="1" applyFill="1" applyBorder="1" applyAlignment="1">
      <alignment horizontal="center" vertical="center"/>
    </xf>
    <xf numFmtId="0" fontId="46" fillId="44" borderId="26" xfId="0" applyNumberFormat="1" applyFont="1" applyFill="1" applyBorder="1" applyAlignment="1">
      <alignment horizontal="center" vertical="center"/>
    </xf>
    <xf numFmtId="0" fontId="46" fillId="44" borderId="27" xfId="0" applyNumberFormat="1" applyFont="1" applyFill="1" applyBorder="1" applyAlignment="1">
      <alignment horizontal="center" vertical="center"/>
    </xf>
    <xf numFmtId="0" fontId="46" fillId="44" borderId="32" xfId="0" applyNumberFormat="1" applyFont="1" applyFill="1" applyBorder="1" applyAlignment="1">
      <alignment horizontal="center" vertical="center"/>
    </xf>
    <xf numFmtId="0" fontId="47" fillId="45" borderId="33" xfId="0" applyNumberFormat="1" applyFont="1" applyFill="1" applyBorder="1" applyAlignment="1">
      <alignment horizontal="center" vertical="center" wrapText="1"/>
    </xf>
    <xf numFmtId="0" fontId="47" fillId="44" borderId="29" xfId="0" applyNumberFormat="1" applyFont="1" applyFill="1" applyBorder="1" applyAlignment="1">
      <alignment horizontal="center" vertical="center" wrapText="1"/>
    </xf>
    <xf numFmtId="0" fontId="47" fillId="45" borderId="34" xfId="0" applyNumberFormat="1" applyFont="1" applyFill="1" applyBorder="1" applyAlignment="1">
      <alignment horizontal="center" vertical="center" wrapText="1"/>
    </xf>
    <xf numFmtId="20" fontId="13" fillId="0" borderId="29" xfId="0" applyNumberFormat="1" applyFont="1" applyFill="1" applyBorder="1" applyAlignment="1">
      <alignment horizontal="center" vertical="center"/>
    </xf>
    <xf numFmtId="0" fontId="13" fillId="0" borderId="35" xfId="0" applyNumberFormat="1" applyFont="1" applyFill="1" applyBorder="1" applyAlignment="1">
      <alignment horizontal="center" vertical="center"/>
    </xf>
    <xf numFmtId="0" fontId="3" fillId="42" borderId="35" xfId="0" applyNumberFormat="1" applyFont="1" applyFill="1" applyBorder="1" applyAlignment="1">
      <alignment vertical="center"/>
    </xf>
    <xf numFmtId="0" fontId="13" fillId="0" borderId="36" xfId="0" applyNumberFormat="1" applyFont="1" applyFill="1" applyBorder="1" applyAlignment="1">
      <alignment horizontal="center" vertical="center"/>
    </xf>
    <xf numFmtId="0" fontId="13" fillId="0" borderId="0" xfId="0" applyNumberFormat="1" applyFont="1" applyFill="1" applyAlignment="1"/>
    <xf numFmtId="0" fontId="21" fillId="0" borderId="0" xfId="0" applyNumberFormat="1" applyFont="1" applyFill="1" applyAlignment="1">
      <alignment horizontal="left" vertical="center"/>
    </xf>
    <xf numFmtId="0" fontId="47" fillId="0" borderId="0" xfId="0" applyNumberFormat="1" applyFont="1" applyFill="1" applyAlignment="1">
      <alignment horizontal="center" vertical="center"/>
    </xf>
    <xf numFmtId="0" fontId="48" fillId="0" borderId="0" xfId="0" applyNumberFormat="1" applyFont="1" applyFill="1" applyAlignment="1">
      <alignment vertical="center"/>
    </xf>
    <xf numFmtId="0" fontId="33" fillId="0" borderId="0" xfId="207" applyFont="1"/>
    <xf numFmtId="0" fontId="33" fillId="2" borderId="0" xfId="207" applyFill="1"/>
    <xf numFmtId="0" fontId="33" fillId="0" borderId="0" xfId="207"/>
    <xf numFmtId="0" fontId="33" fillId="0" borderId="0" xfId="207" applyFont="1" applyFill="1" applyAlignment="1">
      <alignment horizontal="left"/>
    </xf>
    <xf numFmtId="0" fontId="33" fillId="0" borderId="0" xfId="207" applyFont="1" applyAlignment="1">
      <alignment horizontal="center"/>
    </xf>
    <xf numFmtId="0" fontId="33" fillId="0" borderId="0" xfId="207" applyFont="1" applyFill="1"/>
    <xf numFmtId="0" fontId="49" fillId="3" borderId="1" xfId="93" applyFont="1" applyFill="1" applyBorder="1" applyAlignment="1">
      <alignment horizontal="center" vertical="center"/>
    </xf>
    <xf numFmtId="57" fontId="12" fillId="3" borderId="13" xfId="0" applyNumberFormat="1" applyFont="1" applyFill="1" applyBorder="1" applyAlignment="1">
      <alignment horizontal="center" vertical="center"/>
    </xf>
    <xf numFmtId="0" fontId="50" fillId="10" borderId="1" xfId="223" applyFont="1" applyFill="1" applyBorder="1" applyAlignment="1">
      <alignment horizontal="left" vertical="center"/>
    </xf>
    <xf numFmtId="0" fontId="16" fillId="10" borderId="1" xfId="0" applyNumberFormat="1" applyFont="1" applyFill="1" applyBorder="1" applyAlignment="1">
      <alignment horizontal="center" vertical="center"/>
    </xf>
    <xf numFmtId="0" fontId="15" fillId="4" borderId="1" xfId="241" applyFont="1" applyFill="1" applyBorder="1" applyAlignment="1">
      <alignment horizontal="center" vertical="center" wrapText="1"/>
    </xf>
    <xf numFmtId="196" fontId="16" fillId="10" borderId="1" xfId="0" applyNumberFormat="1" applyFont="1" applyFill="1" applyBorder="1" applyAlignment="1">
      <alignment horizontal="center" vertical="center"/>
    </xf>
    <xf numFmtId="58" fontId="12" fillId="20" borderId="13" xfId="241" applyNumberFormat="1" applyFont="1" applyFill="1" applyBorder="1" applyAlignment="1">
      <alignment horizontal="center" vertical="center" wrapText="1"/>
    </xf>
    <xf numFmtId="58" fontId="12" fillId="20" borderId="14" xfId="241" applyNumberFormat="1" applyFont="1" applyFill="1" applyBorder="1" applyAlignment="1">
      <alignment horizontal="center" vertical="center" wrapText="1"/>
    </xf>
    <xf numFmtId="58" fontId="13" fillId="4" borderId="16" xfId="241" applyNumberFormat="1" applyFont="1" applyFill="1" applyBorder="1" applyAlignment="1">
      <alignment horizontal="center" vertical="center" wrapText="1"/>
    </xf>
    <xf numFmtId="58" fontId="13" fillId="4" borderId="1" xfId="241" applyNumberFormat="1" applyFont="1" applyFill="1" applyBorder="1" applyAlignment="1">
      <alignment horizontal="center" vertical="center" wrapText="1"/>
    </xf>
    <xf numFmtId="58" fontId="13" fillId="4" borderId="1" xfId="241" applyNumberFormat="1" applyFont="1" applyFill="1" applyBorder="1" applyAlignment="1">
      <alignment horizontal="left" vertical="center" wrapText="1"/>
    </xf>
    <xf numFmtId="58" fontId="13" fillId="3" borderId="1" xfId="241" applyNumberFormat="1" applyFont="1" applyFill="1" applyBorder="1" applyAlignment="1">
      <alignment horizontal="center" vertical="center" wrapText="1"/>
    </xf>
    <xf numFmtId="58" fontId="13" fillId="4" borderId="23" xfId="241" applyNumberFormat="1" applyFont="1" applyFill="1" applyBorder="1" applyAlignment="1">
      <alignment horizontal="center" vertical="center" wrapText="1"/>
    </xf>
    <xf numFmtId="58" fontId="13" fillId="4" borderId="22" xfId="241" applyNumberFormat="1" applyFont="1" applyFill="1" applyBorder="1" applyAlignment="1">
      <alignment horizontal="center" vertical="center" wrapText="1"/>
    </xf>
    <xf numFmtId="58" fontId="12" fillId="3" borderId="1" xfId="241" applyNumberFormat="1" applyFont="1" applyFill="1" applyBorder="1" applyAlignment="1">
      <alignment horizontal="center" vertical="center" wrapText="1"/>
    </xf>
    <xf numFmtId="58" fontId="12" fillId="4" borderId="1" xfId="241" applyNumberFormat="1" applyFont="1" applyFill="1" applyBorder="1" applyAlignment="1">
      <alignment horizontal="center" vertical="center" wrapText="1"/>
    </xf>
    <xf numFmtId="58" fontId="12" fillId="20" borderId="15" xfId="241" applyNumberFormat="1" applyFont="1" applyFill="1" applyBorder="1" applyAlignment="1">
      <alignment horizontal="center" vertical="center" wrapText="1"/>
    </xf>
    <xf numFmtId="0" fontId="12" fillId="20" borderId="13" xfId="0" applyNumberFormat="1" applyFont="1" applyFill="1" applyBorder="1" applyAlignment="1">
      <alignment horizontal="center" vertical="center"/>
    </xf>
    <xf numFmtId="20" fontId="13" fillId="4" borderId="16" xfId="241" applyNumberFormat="1" applyFont="1" applyFill="1" applyBorder="1" applyAlignment="1">
      <alignment horizontal="center" vertical="center" wrapText="1"/>
    </xf>
    <xf numFmtId="176" fontId="0" fillId="10" borderId="13" xfId="0" applyFill="1" applyBorder="1" applyAlignment="1">
      <alignment horizontal="left" vertical="center"/>
    </xf>
    <xf numFmtId="20" fontId="13" fillId="4" borderId="23" xfId="241" applyNumberFormat="1" applyFont="1" applyFill="1" applyBorder="1" applyAlignment="1">
      <alignment horizontal="center" vertical="center" wrapText="1"/>
    </xf>
    <xf numFmtId="20" fontId="13" fillId="4" borderId="22" xfId="241" applyNumberFormat="1" applyFont="1" applyFill="1" applyBorder="1" applyAlignment="1">
      <alignment horizontal="center" vertical="center" wrapText="1"/>
    </xf>
    <xf numFmtId="176" fontId="0" fillId="10" borderId="13" xfId="0" applyFill="1" applyBorder="1" applyAlignment="1">
      <alignment horizontal="left" vertical="center" wrapText="1"/>
    </xf>
    <xf numFmtId="57" fontId="12" fillId="3" borderId="14" xfId="0" applyNumberFormat="1" applyFont="1" applyFill="1" applyBorder="1" applyAlignment="1">
      <alignment horizontal="center" vertical="center"/>
    </xf>
    <xf numFmtId="57" fontId="12" fillId="3" borderId="15" xfId="0" applyNumberFormat="1" applyFont="1" applyFill="1" applyBorder="1" applyAlignment="1">
      <alignment horizontal="center" vertical="center"/>
    </xf>
    <xf numFmtId="0" fontId="17" fillId="10" borderId="1" xfId="0" applyNumberFormat="1" applyFont="1" applyFill="1" applyBorder="1" applyAlignment="1">
      <alignment horizontal="distributed" vertical="center"/>
    </xf>
    <xf numFmtId="0" fontId="17" fillId="20" borderId="1" xfId="0" applyNumberFormat="1" applyFont="1" applyFill="1" applyBorder="1" applyAlignment="1">
      <alignment horizontal="distributed" vertical="center"/>
    </xf>
    <xf numFmtId="0" fontId="13" fillId="21" borderId="14" xfId="0" applyNumberFormat="1" applyFont="1" applyFill="1" applyBorder="1" applyAlignment="1">
      <alignment horizontal="center" vertical="center"/>
    </xf>
    <xf numFmtId="0" fontId="13" fillId="21" borderId="15" xfId="0" applyNumberFormat="1" applyFont="1" applyFill="1" applyBorder="1" applyAlignment="1">
      <alignment horizontal="center" vertical="center"/>
    </xf>
    <xf numFmtId="0" fontId="12" fillId="20" borderId="14" xfId="0" applyNumberFormat="1" applyFont="1" applyFill="1" applyBorder="1" applyAlignment="1">
      <alignment horizontal="center" vertical="center"/>
    </xf>
    <xf numFmtId="0" fontId="12" fillId="20" borderId="15" xfId="0" applyNumberFormat="1" applyFont="1" applyFill="1" applyBorder="1" applyAlignment="1">
      <alignment horizontal="center" vertical="center"/>
    </xf>
    <xf numFmtId="176" fontId="0" fillId="10" borderId="14" xfId="0" applyFill="1" applyBorder="1" applyAlignment="1">
      <alignment horizontal="left" vertical="center"/>
    </xf>
    <xf numFmtId="176" fontId="0" fillId="10" borderId="15" xfId="0" applyFill="1" applyBorder="1" applyAlignment="1">
      <alignment horizontal="left" vertical="center"/>
    </xf>
    <xf numFmtId="0" fontId="13" fillId="4" borderId="1" xfId="241" applyFont="1" applyFill="1" applyBorder="1" applyAlignment="1">
      <alignment vertical="center" wrapText="1"/>
    </xf>
    <xf numFmtId="0" fontId="13" fillId="3" borderId="1" xfId="241" applyFont="1" applyFill="1" applyBorder="1" applyAlignment="1">
      <alignment vertical="center" wrapText="1"/>
    </xf>
    <xf numFmtId="0" fontId="13" fillId="4" borderId="1" xfId="241" applyFont="1" applyFill="1" applyBorder="1" applyAlignment="1">
      <alignment horizontal="left" vertical="center" wrapText="1"/>
    </xf>
    <xf numFmtId="0" fontId="13" fillId="4" borderId="1" xfId="241" applyFont="1" applyFill="1" applyBorder="1" applyAlignment="1">
      <alignment horizontal="center" vertical="center" wrapText="1"/>
    </xf>
    <xf numFmtId="20" fontId="13" fillId="4" borderId="1" xfId="241" applyNumberFormat="1" applyFont="1" applyFill="1" applyBorder="1" applyAlignment="1">
      <alignment horizontal="center" vertical="center" wrapText="1"/>
    </xf>
    <xf numFmtId="0" fontId="51" fillId="20" borderId="13" xfId="93" applyFont="1" applyFill="1" applyBorder="1" applyAlignment="1">
      <alignment horizontal="center" vertical="center"/>
    </xf>
    <xf numFmtId="0" fontId="51" fillId="20" borderId="14" xfId="93" applyFont="1" applyFill="1" applyBorder="1" applyAlignment="1">
      <alignment horizontal="center" vertical="center"/>
    </xf>
    <xf numFmtId="0" fontId="13" fillId="14" borderId="1" xfId="24" applyNumberFormat="1" applyFont="1" applyFill="1" applyBorder="1" applyAlignment="1">
      <alignment horizontal="center" vertical="center"/>
    </xf>
    <xf numFmtId="0" fontId="13" fillId="14" borderId="1" xfId="24" applyNumberFormat="1" applyFont="1" applyFill="1" applyBorder="1" applyAlignment="1">
      <alignment horizontal="center" vertical="center" wrapText="1"/>
    </xf>
    <xf numFmtId="0" fontId="13" fillId="3" borderId="1" xfId="24" applyNumberFormat="1" applyFont="1" applyFill="1" applyBorder="1" applyAlignment="1">
      <alignment horizontal="center" vertical="center"/>
    </xf>
    <xf numFmtId="176" fontId="0" fillId="10" borderId="13" xfId="0" applyFill="1" applyBorder="1" applyAlignment="1">
      <alignment horizontal="center" vertical="center"/>
    </xf>
    <xf numFmtId="0" fontId="3" fillId="4" borderId="1" xfId="24" applyNumberFormat="1" applyFont="1" applyFill="1" applyBorder="1" applyAlignment="1">
      <alignment horizontal="center" vertical="center"/>
    </xf>
    <xf numFmtId="0" fontId="3" fillId="4" borderId="1" xfId="24" applyNumberFormat="1" applyFont="1" applyFill="1" applyBorder="1" applyAlignment="1">
      <alignment horizontal="left" vertical="center" wrapText="1"/>
    </xf>
    <xf numFmtId="0" fontId="3" fillId="3" borderId="1" xfId="24" applyNumberFormat="1" applyFont="1" applyFill="1" applyBorder="1" applyAlignment="1">
      <alignment horizontal="center" vertical="center"/>
    </xf>
    <xf numFmtId="0" fontId="3" fillId="4" borderId="1" xfId="24" applyNumberFormat="1" applyFont="1" applyFill="1" applyBorder="1" applyAlignment="1">
      <alignment horizontal="left" vertical="center"/>
    </xf>
    <xf numFmtId="0" fontId="3" fillId="4" borderId="1" xfId="0" applyNumberFormat="1" applyFont="1" applyFill="1" applyBorder="1" applyAlignment="1">
      <alignment horizontal="center" vertical="center"/>
    </xf>
    <xf numFmtId="0" fontId="3" fillId="4" borderId="1" xfId="0" applyNumberFormat="1" applyFont="1" applyFill="1" applyBorder="1" applyAlignment="1">
      <alignment horizontal="left" vertical="center"/>
    </xf>
    <xf numFmtId="0" fontId="3" fillId="4" borderId="1" xfId="0" applyNumberFormat="1" applyFont="1" applyFill="1" applyBorder="1" applyAlignment="1">
      <alignment horizontal="center" vertical="center" wrapText="1"/>
    </xf>
    <xf numFmtId="0" fontId="52" fillId="0" borderId="0" xfId="207" applyFont="1"/>
    <xf numFmtId="0" fontId="52" fillId="0" borderId="0" xfId="207" applyFont="1" applyFill="1" applyAlignment="1">
      <alignment horizontal="left"/>
    </xf>
    <xf numFmtId="0" fontId="52" fillId="0" borderId="0" xfId="207" applyFont="1" applyAlignment="1">
      <alignment horizontal="center"/>
    </xf>
    <xf numFmtId="0" fontId="52" fillId="0" borderId="0" xfId="207" applyFont="1" applyFill="1"/>
    <xf numFmtId="176" fontId="0" fillId="10" borderId="14" xfId="0" applyFill="1" applyBorder="1" applyAlignment="1">
      <alignment horizontal="center" vertical="center"/>
    </xf>
    <xf numFmtId="176" fontId="0" fillId="10" borderId="15" xfId="0" applyFill="1" applyBorder="1" applyAlignment="1">
      <alignment horizontal="center" vertical="center"/>
    </xf>
    <xf numFmtId="176" fontId="53" fillId="0" borderId="0" xfId="225" applyNumberFormat="1" applyFont="1" applyBorder="1" applyAlignment="1">
      <alignment vertical="center"/>
    </xf>
    <xf numFmtId="176" fontId="53" fillId="0" borderId="0" xfId="225" applyNumberFormat="1" applyFont="1" applyFill="1" applyBorder="1" applyAlignment="1">
      <alignment horizontal="center" vertical="center"/>
    </xf>
    <xf numFmtId="176" fontId="54" fillId="0" borderId="0" xfId="225" applyNumberFormat="1" applyFont="1" applyAlignment="1">
      <alignment horizontal="center" vertical="center"/>
    </xf>
    <xf numFmtId="0" fontId="54" fillId="0" borderId="0" xfId="225" applyNumberFormat="1" applyFont="1" applyAlignment="1">
      <alignment horizontal="center" vertical="center"/>
    </xf>
    <xf numFmtId="176" fontId="54" fillId="0" borderId="0" xfId="225" applyNumberFormat="1" applyFont="1" applyAlignment="1">
      <alignment horizontal="left" vertical="center"/>
    </xf>
    <xf numFmtId="176" fontId="53" fillId="0" borderId="0" xfId="225" applyNumberFormat="1" applyFont="1" applyBorder="1" applyAlignment="1">
      <alignment horizontal="center" vertical="center"/>
    </xf>
    <xf numFmtId="176" fontId="55" fillId="0" borderId="0" xfId="225" applyNumberFormat="1" applyFont="1" applyBorder="1" applyAlignment="1">
      <alignment horizontal="center" vertical="center"/>
    </xf>
    <xf numFmtId="176" fontId="2" fillId="3" borderId="0" xfId="99" applyFont="1" applyFill="1" applyBorder="1" applyAlignment="1">
      <alignment vertical="center"/>
    </xf>
    <xf numFmtId="176" fontId="43" fillId="3" borderId="0" xfId="99" applyFont="1" applyFill="1" applyAlignment="1">
      <alignment vertical="center"/>
    </xf>
    <xf numFmtId="176" fontId="10" fillId="3" borderId="0" xfId="99" applyFont="1" applyFill="1" applyAlignment="1">
      <alignment horizontal="center" vertical="center"/>
    </xf>
    <xf numFmtId="0" fontId="56" fillId="10" borderId="13" xfId="223" applyFont="1" applyFill="1" applyBorder="1" applyAlignment="1">
      <alignment horizontal="left" vertical="center"/>
    </xf>
    <xf numFmtId="0" fontId="56" fillId="10" borderId="14" xfId="223" applyFont="1" applyFill="1" applyBorder="1" applyAlignment="1">
      <alignment horizontal="left" vertical="center"/>
    </xf>
    <xf numFmtId="0" fontId="56" fillId="10" borderId="15" xfId="223" applyFont="1" applyFill="1" applyBorder="1" applyAlignment="1">
      <alignment horizontal="left" vertical="center"/>
    </xf>
    <xf numFmtId="0" fontId="57" fillId="10" borderId="13" xfId="223" applyFont="1" applyFill="1" applyBorder="1" applyAlignment="1">
      <alignment horizontal="left" vertical="center"/>
    </xf>
    <xf numFmtId="176" fontId="22" fillId="4" borderId="12" xfId="210" applyNumberFormat="1" applyFont="1" applyFill="1" applyBorder="1" applyAlignment="1">
      <alignment horizontal="center" vertical="center" wrapText="1"/>
    </xf>
    <xf numFmtId="176" fontId="22" fillId="4" borderId="5" xfId="210" applyNumberFormat="1" applyFont="1" applyFill="1" applyBorder="1" applyAlignment="1">
      <alignment horizontal="center" vertical="center" wrapText="1"/>
    </xf>
    <xf numFmtId="0" fontId="22" fillId="4" borderId="12" xfId="210" applyNumberFormat="1" applyFont="1" applyFill="1" applyBorder="1" applyAlignment="1">
      <alignment horizontal="center" vertical="center" wrapText="1"/>
    </xf>
    <xf numFmtId="176" fontId="22" fillId="16" borderId="5" xfId="210" applyNumberFormat="1" applyFont="1" applyFill="1" applyBorder="1" applyAlignment="1">
      <alignment horizontal="center" vertical="center" wrapText="1"/>
    </xf>
    <xf numFmtId="176" fontId="22" fillId="16" borderId="6" xfId="210" applyNumberFormat="1" applyFont="1" applyFill="1" applyBorder="1" applyAlignment="1">
      <alignment horizontal="center" vertical="center" wrapText="1"/>
    </xf>
    <xf numFmtId="176" fontId="22" fillId="16" borderId="4" xfId="210" applyNumberFormat="1" applyFont="1" applyFill="1" applyBorder="1" applyAlignment="1">
      <alignment horizontal="center" vertical="center" wrapText="1"/>
    </xf>
    <xf numFmtId="176" fontId="22" fillId="22" borderId="5" xfId="210" applyNumberFormat="1" applyFont="1" applyFill="1" applyBorder="1" applyAlignment="1">
      <alignment horizontal="center" vertical="center" wrapText="1"/>
    </xf>
    <xf numFmtId="176" fontId="22" fillId="4" borderId="10" xfId="210" applyNumberFormat="1" applyFont="1" applyFill="1" applyBorder="1" applyAlignment="1">
      <alignment horizontal="center" vertical="center" wrapText="1"/>
    </xf>
    <xf numFmtId="176" fontId="22" fillId="4" borderId="17" xfId="210" applyNumberFormat="1" applyFont="1" applyFill="1" applyBorder="1" applyAlignment="1">
      <alignment horizontal="center" vertical="center" wrapText="1"/>
    </xf>
    <xf numFmtId="0" fontId="22" fillId="4" borderId="10" xfId="210" applyNumberFormat="1" applyFont="1" applyFill="1" applyBorder="1" applyAlignment="1">
      <alignment horizontal="center" vertical="center" wrapText="1"/>
    </xf>
    <xf numFmtId="176" fontId="22" fillId="16" borderId="16" xfId="225" applyNumberFormat="1" applyFont="1" applyFill="1" applyBorder="1" applyAlignment="1">
      <alignment horizontal="center" vertical="center"/>
    </xf>
    <xf numFmtId="176" fontId="22" fillId="16" borderId="16" xfId="0" applyFont="1" applyFill="1" applyBorder="1" applyAlignment="1">
      <alignment horizontal="center" vertical="center" wrapText="1"/>
    </xf>
    <xf numFmtId="0" fontId="22" fillId="16" borderId="16" xfId="0" applyNumberFormat="1" applyFont="1" applyFill="1" applyBorder="1" applyAlignment="1">
      <alignment horizontal="center" vertical="center" wrapText="1"/>
    </xf>
    <xf numFmtId="176" fontId="22" fillId="22" borderId="16" xfId="225" applyNumberFormat="1" applyFont="1" applyFill="1" applyBorder="1" applyAlignment="1">
      <alignment horizontal="center" vertical="center"/>
    </xf>
    <xf numFmtId="0" fontId="3" fillId="4" borderId="8" xfId="225" applyNumberFormat="1" applyFont="1" applyFill="1" applyBorder="1" applyAlignment="1">
      <alignment horizontal="center" vertical="center"/>
    </xf>
    <xf numFmtId="176" fontId="21" fillId="4" borderId="1" xfId="225" applyNumberFormat="1" applyFont="1" applyFill="1" applyBorder="1" applyAlignment="1">
      <alignment horizontal="center" vertical="center"/>
    </xf>
    <xf numFmtId="0" fontId="51" fillId="4" borderId="1" xfId="210" applyNumberFormat="1" applyFont="1" applyFill="1" applyBorder="1" applyAlignment="1">
      <alignment horizontal="left" vertical="center" wrapText="1"/>
    </xf>
    <xf numFmtId="176" fontId="21" fillId="16" borderId="1" xfId="225" applyNumberFormat="1" applyFont="1" applyFill="1" applyBorder="1" applyAlignment="1">
      <alignment horizontal="left" vertical="center"/>
    </xf>
    <xf numFmtId="0" fontId="51" fillId="16" borderId="1" xfId="0" applyNumberFormat="1" applyFont="1" applyFill="1" applyBorder="1" applyAlignment="1">
      <alignment horizontal="center" vertical="center" wrapText="1"/>
    </xf>
    <xf numFmtId="176" fontId="21" fillId="22" borderId="1" xfId="225" applyNumberFormat="1" applyFont="1" applyFill="1" applyBorder="1" applyAlignment="1">
      <alignment horizontal="left" vertical="center"/>
    </xf>
    <xf numFmtId="176" fontId="13" fillId="22" borderId="1" xfId="0" applyFont="1" applyFill="1" applyBorder="1" applyAlignment="1">
      <alignment horizontal="left"/>
    </xf>
    <xf numFmtId="176" fontId="3" fillId="22" borderId="1" xfId="225" applyNumberFormat="1" applyFont="1" applyFill="1" applyBorder="1" applyAlignment="1">
      <alignment horizontal="left" vertical="center"/>
    </xf>
    <xf numFmtId="176" fontId="21" fillId="16" borderId="1" xfId="225" applyNumberFormat="1" applyFont="1" applyFill="1" applyBorder="1" applyAlignment="1">
      <alignment horizontal="left" vertical="center" wrapText="1"/>
    </xf>
    <xf numFmtId="0" fontId="51" fillId="4" borderId="1" xfId="225" applyNumberFormat="1" applyFont="1" applyFill="1" applyBorder="1" applyAlignment="1">
      <alignment horizontal="left" vertical="center"/>
    </xf>
    <xf numFmtId="176" fontId="51" fillId="16" borderId="1" xfId="225" applyNumberFormat="1" applyFont="1" applyFill="1" applyBorder="1" applyAlignment="1">
      <alignment horizontal="left" vertical="center"/>
    </xf>
    <xf numFmtId="176" fontId="13" fillId="22" borderId="1" xfId="225" applyNumberFormat="1" applyFont="1" applyFill="1" applyBorder="1" applyAlignment="1">
      <alignment horizontal="left" vertical="center"/>
    </xf>
    <xf numFmtId="176" fontId="21" fillId="4" borderId="16" xfId="225" applyNumberFormat="1" applyFont="1" applyFill="1" applyBorder="1" applyAlignment="1">
      <alignment horizontal="center" vertical="center"/>
    </xf>
    <xf numFmtId="176" fontId="21" fillId="4" borderId="23" xfId="225" applyNumberFormat="1" applyFont="1" applyFill="1" applyBorder="1" applyAlignment="1">
      <alignment horizontal="center" vertical="center"/>
    </xf>
    <xf numFmtId="176" fontId="21" fillId="4" borderId="22" xfId="225" applyNumberFormat="1" applyFont="1" applyFill="1" applyBorder="1" applyAlignment="1">
      <alignment horizontal="center" vertical="center"/>
    </xf>
    <xf numFmtId="176" fontId="51" fillId="4" borderId="1" xfId="225" applyNumberFormat="1" applyFont="1" applyFill="1" applyBorder="1" applyAlignment="1">
      <alignment horizontal="center" vertical="center"/>
    </xf>
    <xf numFmtId="0" fontId="3" fillId="4" borderId="37" xfId="225" applyNumberFormat="1" applyFont="1" applyFill="1" applyBorder="1" applyAlignment="1">
      <alignment horizontal="center" vertical="center"/>
    </xf>
    <xf numFmtId="176" fontId="51" fillId="16" borderId="1" xfId="225" applyNumberFormat="1" applyFont="1" applyFill="1" applyBorder="1" applyAlignment="1">
      <alignment horizontal="center" vertical="center"/>
    </xf>
    <xf numFmtId="176" fontId="51" fillId="4" borderId="1" xfId="225" applyNumberFormat="1" applyFont="1" applyFill="1" applyBorder="1" applyAlignment="1">
      <alignment horizontal="left" vertical="center"/>
    </xf>
    <xf numFmtId="176" fontId="51" fillId="4" borderId="38" xfId="225" applyNumberFormat="1" applyFont="1" applyFill="1" applyBorder="1" applyAlignment="1">
      <alignment horizontal="center" vertical="center"/>
    </xf>
    <xf numFmtId="176" fontId="51" fillId="4" borderId="38" xfId="225" applyNumberFormat="1" applyFont="1" applyFill="1" applyBorder="1" applyAlignment="1">
      <alignment horizontal="left" vertical="center"/>
    </xf>
    <xf numFmtId="176" fontId="51" fillId="16" borderId="38" xfId="225" applyNumberFormat="1" applyFont="1" applyFill="1" applyBorder="1" applyAlignment="1">
      <alignment horizontal="left" vertical="center"/>
    </xf>
    <xf numFmtId="0" fontId="51" fillId="16" borderId="38" xfId="0" applyNumberFormat="1" applyFont="1" applyFill="1" applyBorder="1" applyAlignment="1">
      <alignment horizontal="center" vertical="center" wrapText="1"/>
    </xf>
    <xf numFmtId="176" fontId="21" fillId="16" borderId="38" xfId="225" applyNumberFormat="1" applyFont="1" applyFill="1" applyBorder="1" applyAlignment="1">
      <alignment horizontal="left" vertical="center"/>
    </xf>
    <xf numFmtId="176" fontId="13" fillId="22" borderId="38" xfId="225" applyNumberFormat="1" applyFont="1" applyFill="1" applyBorder="1" applyAlignment="1">
      <alignment horizontal="left" vertical="center"/>
    </xf>
    <xf numFmtId="0" fontId="57" fillId="10" borderId="14" xfId="223" applyFont="1" applyFill="1" applyBorder="1" applyAlignment="1">
      <alignment horizontal="left" vertical="center"/>
    </xf>
    <xf numFmtId="0" fontId="57" fillId="10" borderId="15" xfId="223" applyFont="1" applyFill="1" applyBorder="1" applyAlignment="1">
      <alignment horizontal="left" vertical="center"/>
    </xf>
    <xf numFmtId="0" fontId="57" fillId="10" borderId="1" xfId="223" applyFont="1" applyFill="1" applyBorder="1" applyAlignment="1">
      <alignment vertical="center"/>
    </xf>
    <xf numFmtId="176" fontId="22" fillId="22" borderId="6" xfId="210" applyNumberFormat="1" applyFont="1" applyFill="1" applyBorder="1" applyAlignment="1">
      <alignment horizontal="center" vertical="center" wrapText="1"/>
    </xf>
    <xf numFmtId="176" fontId="22" fillId="22" borderId="4" xfId="210" applyNumberFormat="1" applyFont="1" applyFill="1" applyBorder="1" applyAlignment="1">
      <alignment horizontal="center" vertical="center" wrapText="1"/>
    </xf>
    <xf numFmtId="0" fontId="22" fillId="4" borderId="7" xfId="0" applyNumberFormat="1" applyFont="1" applyFill="1" applyBorder="1" applyAlignment="1">
      <alignment horizontal="center" vertical="center" wrapText="1"/>
    </xf>
    <xf numFmtId="176" fontId="22" fillId="22" borderId="16" xfId="0" applyFont="1" applyFill="1" applyBorder="1" applyAlignment="1">
      <alignment horizontal="center" vertical="center" wrapText="1"/>
    </xf>
    <xf numFmtId="0" fontId="22" fillId="22" borderId="16" xfId="0" applyNumberFormat="1" applyFont="1" applyFill="1" applyBorder="1" applyAlignment="1">
      <alignment horizontal="center" vertical="center" wrapText="1"/>
    </xf>
    <xf numFmtId="0" fontId="22" fillId="4" borderId="39" xfId="0" applyNumberFormat="1" applyFont="1" applyFill="1" applyBorder="1" applyAlignment="1">
      <alignment horizontal="center" vertical="center" wrapText="1"/>
    </xf>
    <xf numFmtId="0" fontId="51" fillId="22" borderId="1" xfId="0" applyNumberFormat="1" applyFont="1" applyFill="1" applyBorder="1" applyAlignment="1">
      <alignment horizontal="center" vertical="center" wrapText="1"/>
    </xf>
    <xf numFmtId="176" fontId="21" fillId="4" borderId="9" xfId="225" applyNumberFormat="1" applyFont="1" applyFill="1" applyBorder="1" applyAlignment="1">
      <alignment horizontal="center" vertical="center"/>
    </xf>
    <xf numFmtId="176" fontId="3" fillId="22" borderId="1" xfId="225" applyNumberFormat="1" applyFont="1" applyFill="1" applyBorder="1" applyAlignment="1">
      <alignment horizontal="center" vertical="center"/>
    </xf>
    <xf numFmtId="176" fontId="3" fillId="22" borderId="1" xfId="225" applyNumberFormat="1" applyFont="1" applyFill="1" applyBorder="1" applyAlignment="1">
      <alignment horizontal="center" vertical="center" wrapText="1"/>
    </xf>
    <xf numFmtId="176" fontId="13" fillId="22" borderId="1" xfId="225" applyNumberFormat="1" applyFont="1" applyFill="1" applyBorder="1" applyAlignment="1">
      <alignment horizontal="left" vertical="center" wrapText="1"/>
    </xf>
    <xf numFmtId="176" fontId="3" fillId="22" borderId="38" xfId="225" applyNumberFormat="1" applyFont="1" applyFill="1" applyBorder="1" applyAlignment="1">
      <alignment horizontal="center" vertical="center"/>
    </xf>
    <xf numFmtId="0" fontId="2" fillId="3" borderId="13" xfId="0" applyNumberFormat="1" applyFont="1" applyFill="1" applyBorder="1" applyAlignment="1">
      <alignment horizontal="center" vertical="center" wrapText="1"/>
    </xf>
    <xf numFmtId="0" fontId="2" fillId="3" borderId="14" xfId="0" applyNumberFormat="1" applyFont="1" applyFill="1" applyBorder="1" applyAlignment="1">
      <alignment horizontal="center" vertical="center" wrapText="1"/>
    </xf>
    <xf numFmtId="0" fontId="12" fillId="4" borderId="13" xfId="0" applyNumberFormat="1" applyFont="1" applyFill="1" applyBorder="1" applyAlignment="1">
      <alignment horizontal="left" vertical="center" wrapText="1"/>
    </xf>
    <xf numFmtId="0" fontId="12" fillId="4" borderId="14" xfId="0" applyNumberFormat="1" applyFont="1" applyFill="1" applyBorder="1" applyAlignment="1">
      <alignment horizontal="left" vertical="center" wrapText="1"/>
    </xf>
    <xf numFmtId="0" fontId="12" fillId="4" borderId="15" xfId="0" applyNumberFormat="1" applyFont="1" applyFill="1" applyBorder="1" applyAlignment="1">
      <alignment horizontal="left" vertical="center" wrapText="1"/>
    </xf>
    <xf numFmtId="0" fontId="12" fillId="3" borderId="13" xfId="0" applyNumberFormat="1" applyFont="1" applyFill="1" applyBorder="1" applyAlignment="1">
      <alignment horizontal="center" vertical="center" wrapText="1"/>
    </xf>
    <xf numFmtId="0" fontId="12" fillId="3" borderId="14" xfId="0" applyNumberFormat="1" applyFont="1" applyFill="1" applyBorder="1" applyAlignment="1">
      <alignment horizontal="center" vertical="center" wrapText="1"/>
    </xf>
    <xf numFmtId="0" fontId="12" fillId="3" borderId="15" xfId="0" applyNumberFormat="1" applyFont="1" applyFill="1" applyBorder="1" applyAlignment="1">
      <alignment horizontal="center" vertical="center" wrapText="1"/>
    </xf>
    <xf numFmtId="0" fontId="26" fillId="4" borderId="13" xfId="0" applyNumberFormat="1" applyFont="1" applyFill="1" applyBorder="1" applyAlignment="1">
      <alignment horizontal="left" vertical="center" wrapText="1"/>
    </xf>
    <xf numFmtId="0" fontId="26" fillId="4" borderId="14" xfId="0" applyNumberFormat="1" applyFont="1" applyFill="1" applyBorder="1" applyAlignment="1">
      <alignment horizontal="left" vertical="center" wrapText="1"/>
    </xf>
    <xf numFmtId="0" fontId="26" fillId="4" borderId="15" xfId="0" applyNumberFormat="1" applyFont="1" applyFill="1" applyBorder="1" applyAlignment="1">
      <alignment horizontal="left" vertical="center" wrapText="1"/>
    </xf>
    <xf numFmtId="0" fontId="26" fillId="4" borderId="13" xfId="0" applyNumberFormat="1" applyFont="1" applyFill="1" applyBorder="1" applyAlignment="1">
      <alignment horizontal="center" vertical="center" wrapText="1"/>
    </xf>
    <xf numFmtId="0" fontId="26" fillId="4" borderId="14" xfId="0" applyNumberFormat="1" applyFont="1" applyFill="1" applyBorder="1" applyAlignment="1">
      <alignment horizontal="center" vertical="center" wrapText="1"/>
    </xf>
    <xf numFmtId="0" fontId="15" fillId="3" borderId="1" xfId="0" applyNumberFormat="1" applyFont="1" applyFill="1" applyBorder="1" applyAlignment="1">
      <alignment horizontal="center" vertical="center" wrapText="1"/>
    </xf>
    <xf numFmtId="0" fontId="15" fillId="3" borderId="1" xfId="0" applyNumberFormat="1" applyFont="1" applyFill="1" applyBorder="1" applyAlignment="1">
      <alignment horizontal="left" vertical="center" wrapText="1"/>
    </xf>
    <xf numFmtId="0" fontId="29" fillId="16" borderId="1" xfId="0" applyNumberFormat="1" applyFont="1" applyFill="1" applyBorder="1" applyAlignment="1">
      <alignment horizontal="center" vertical="center" wrapText="1"/>
    </xf>
    <xf numFmtId="0" fontId="58" fillId="46" borderId="1" xfId="226" applyNumberFormat="1" applyFont="1" applyFill="1" applyBorder="1" applyAlignment="1" applyProtection="1">
      <alignment horizontal="center" vertical="center" wrapText="1"/>
    </xf>
    <xf numFmtId="0" fontId="3" fillId="46" borderId="1" xfId="0" applyNumberFormat="1" applyFont="1" applyFill="1" applyBorder="1" applyAlignment="1">
      <alignment horizontal="left" vertical="center"/>
    </xf>
    <xf numFmtId="0" fontId="3" fillId="46" borderId="1" xfId="0" applyNumberFormat="1" applyFont="1" applyFill="1" applyBorder="1" applyAlignment="1">
      <alignment horizontal="center" vertical="center"/>
    </xf>
    <xf numFmtId="0" fontId="58" fillId="46" borderId="1" xfId="227" applyNumberFormat="1" applyFont="1" applyFill="1" applyBorder="1" applyAlignment="1" applyProtection="1">
      <alignment horizontal="center" vertical="center"/>
    </xf>
    <xf numFmtId="0" fontId="13" fillId="46" borderId="1" xfId="0" applyNumberFormat="1" applyFont="1" applyFill="1" applyBorder="1" applyAlignment="1">
      <alignment horizontal="left" vertical="center" wrapText="1"/>
    </xf>
    <xf numFmtId="0" fontId="29" fillId="24" borderId="1" xfId="0" applyNumberFormat="1" applyFont="1" applyFill="1" applyBorder="1" applyAlignment="1">
      <alignment horizontal="center" vertical="center" wrapText="1"/>
    </xf>
    <xf numFmtId="0" fontId="58" fillId="24" borderId="1" xfId="226" applyNumberFormat="1" applyFont="1" applyFill="1" applyBorder="1" applyAlignment="1" applyProtection="1">
      <alignment horizontal="center" vertical="center" wrapText="1"/>
    </xf>
    <xf numFmtId="0" fontId="3" fillId="24" borderId="1" xfId="0" applyNumberFormat="1" applyFont="1" applyFill="1" applyBorder="1" applyAlignment="1">
      <alignment horizontal="left" vertical="center"/>
    </xf>
    <xf numFmtId="0" fontId="3" fillId="24" borderId="1" xfId="0" applyNumberFormat="1" applyFont="1" applyFill="1" applyBorder="1" applyAlignment="1">
      <alignment horizontal="left" vertical="center" wrapText="1"/>
    </xf>
    <xf numFmtId="0" fontId="3" fillId="24" borderId="1" xfId="0" applyNumberFormat="1" applyFont="1" applyFill="1" applyBorder="1" applyAlignment="1">
      <alignment horizontal="center" vertical="center"/>
    </xf>
    <xf numFmtId="0" fontId="58" fillId="24" borderId="1" xfId="227" applyNumberFormat="1" applyFont="1" applyFill="1" applyBorder="1" applyAlignment="1" applyProtection="1">
      <alignment horizontal="center" vertical="center"/>
    </xf>
    <xf numFmtId="0" fontId="13" fillId="24" borderId="1" xfId="0" applyNumberFormat="1" applyFont="1" applyFill="1" applyBorder="1" applyAlignment="1">
      <alignment horizontal="left" vertical="center" wrapText="1"/>
    </xf>
    <xf numFmtId="0" fontId="3" fillId="24" borderId="1" xfId="226" applyNumberFormat="1" applyFont="1" applyFill="1" applyBorder="1" applyAlignment="1" applyProtection="1">
      <alignment horizontal="left" vertical="center" wrapText="1"/>
    </xf>
    <xf numFmtId="0" fontId="3" fillId="24" borderId="1" xfId="226" applyNumberFormat="1" applyFont="1" applyFill="1" applyBorder="1" applyAlignment="1" applyProtection="1">
      <alignment horizontal="center" vertical="center"/>
    </xf>
    <xf numFmtId="0" fontId="3" fillId="24" borderId="1" xfId="227" applyNumberFormat="1" applyFont="1" applyFill="1" applyBorder="1" applyAlignment="1" applyProtection="1">
      <alignment horizontal="center" vertical="center"/>
    </xf>
    <xf numFmtId="0" fontId="17" fillId="24" borderId="1" xfId="0" applyNumberFormat="1" applyFont="1" applyFill="1" applyBorder="1" applyAlignment="1">
      <alignment horizontal="left" vertical="center"/>
    </xf>
    <xf numFmtId="0" fontId="29" fillId="47" borderId="1" xfId="0" applyNumberFormat="1" applyFont="1" applyFill="1" applyBorder="1" applyAlignment="1">
      <alignment horizontal="center" vertical="center" wrapText="1"/>
    </xf>
    <xf numFmtId="0" fontId="13" fillId="9" borderId="1" xfId="0" applyNumberFormat="1" applyFont="1" applyFill="1" applyBorder="1" applyAlignment="1">
      <alignment horizontal="center" vertical="center"/>
    </xf>
    <xf numFmtId="0" fontId="3" fillId="9" borderId="1" xfId="0" applyNumberFormat="1" applyFont="1" applyFill="1" applyBorder="1" applyAlignment="1">
      <alignment horizontal="left" vertical="center"/>
    </xf>
    <xf numFmtId="0" fontId="3" fillId="9" borderId="1" xfId="0" applyNumberFormat="1" applyFont="1" applyFill="1" applyBorder="1" applyAlignment="1">
      <alignment horizontal="center" vertical="center"/>
    </xf>
    <xf numFmtId="0" fontId="58" fillId="9" borderId="1" xfId="227" applyNumberFormat="1" applyFont="1" applyFill="1" applyBorder="1" applyAlignment="1" applyProtection="1">
      <alignment horizontal="center" vertical="center"/>
    </xf>
    <xf numFmtId="0" fontId="3" fillId="9" borderId="1" xfId="0" applyNumberFormat="1" applyFont="1" applyFill="1" applyBorder="1" applyAlignment="1">
      <alignment horizontal="left" vertical="center" wrapText="1"/>
    </xf>
    <xf numFmtId="0" fontId="59" fillId="9" borderId="1" xfId="0" applyNumberFormat="1" applyFont="1" applyFill="1" applyBorder="1" applyAlignment="1">
      <alignment horizontal="left" vertical="center"/>
    </xf>
    <xf numFmtId="0" fontId="17" fillId="9" borderId="1" xfId="0" applyNumberFormat="1" applyFont="1" applyFill="1" applyBorder="1" applyAlignment="1">
      <alignment horizontal="center" vertical="center"/>
    </xf>
    <xf numFmtId="0" fontId="13" fillId="9" borderId="1" xfId="0" applyNumberFormat="1" applyFont="1" applyFill="1" applyBorder="1" applyAlignment="1">
      <alignment horizontal="left" vertical="center" wrapText="1"/>
    </xf>
    <xf numFmtId="0" fontId="3" fillId="9" borderId="1" xfId="227" applyNumberFormat="1" applyFont="1" applyFill="1" applyBorder="1" applyAlignment="1" applyProtection="1">
      <alignment horizontal="center" vertical="center"/>
    </xf>
    <xf numFmtId="0" fontId="17" fillId="4" borderId="1" xfId="0" applyNumberFormat="1" applyFont="1" applyFill="1" applyBorder="1" applyAlignment="1">
      <alignment horizontal="left" vertical="center"/>
    </xf>
    <xf numFmtId="0" fontId="3" fillId="4" borderId="1" xfId="227" applyNumberFormat="1" applyFont="1" applyFill="1" applyBorder="1" applyAlignment="1" applyProtection="1">
      <alignment horizontal="center" vertical="center"/>
    </xf>
    <xf numFmtId="0" fontId="29" fillId="17" borderId="1" xfId="0" applyNumberFormat="1" applyFont="1" applyFill="1" applyBorder="1" applyAlignment="1">
      <alignment horizontal="center" vertical="center" wrapText="1"/>
    </xf>
    <xf numFmtId="0" fontId="13" fillId="17" borderId="16" xfId="237" applyFont="1" applyFill="1" applyBorder="1" applyAlignment="1">
      <alignment horizontal="center" vertical="center"/>
    </xf>
    <xf numFmtId="0" fontId="13" fillId="17" borderId="1" xfId="237" applyFont="1" applyFill="1" applyBorder="1" applyAlignment="1">
      <alignment horizontal="left" vertical="center" wrapText="1"/>
    </xf>
    <xf numFmtId="0" fontId="13" fillId="17" borderId="1" xfId="237" applyFont="1" applyFill="1" applyBorder="1" applyAlignment="1">
      <alignment horizontal="left" vertical="center"/>
    </xf>
    <xf numFmtId="0" fontId="13" fillId="17" borderId="1" xfId="237" applyFont="1" applyFill="1" applyBorder="1" applyAlignment="1">
      <alignment horizontal="center" vertical="center"/>
    </xf>
    <xf numFmtId="0" fontId="3" fillId="17" borderId="1" xfId="227" applyNumberFormat="1" applyFont="1" applyFill="1" applyBorder="1" applyAlignment="1" applyProtection="1">
      <alignment horizontal="center" vertical="center"/>
    </xf>
    <xf numFmtId="0" fontId="3" fillId="17" borderId="1" xfId="0" applyNumberFormat="1" applyFont="1" applyFill="1" applyBorder="1" applyAlignment="1">
      <alignment horizontal="left" vertical="center"/>
    </xf>
    <xf numFmtId="0" fontId="13" fillId="17" borderId="23" xfId="237" applyFont="1" applyFill="1" applyBorder="1" applyAlignment="1">
      <alignment horizontal="center" vertical="center"/>
    </xf>
    <xf numFmtId="0" fontId="13" fillId="17" borderId="22" xfId="237" applyFont="1" applyFill="1" applyBorder="1" applyAlignment="1">
      <alignment horizontal="center" vertical="center"/>
    </xf>
    <xf numFmtId="0" fontId="13" fillId="17" borderId="16" xfId="237" applyFont="1" applyFill="1" applyBorder="1" applyAlignment="1">
      <alignment vertical="center"/>
    </xf>
    <xf numFmtId="0" fontId="13" fillId="17" borderId="22" xfId="237" applyFont="1" applyFill="1" applyBorder="1" applyAlignment="1">
      <alignment vertical="center"/>
    </xf>
    <xf numFmtId="0" fontId="13" fillId="4" borderId="1" xfId="237" applyFont="1" applyFill="1" applyBorder="1" applyAlignment="1">
      <alignment horizontal="center" vertical="center" wrapText="1"/>
    </xf>
    <xf numFmtId="0" fontId="13" fillId="4" borderId="1" xfId="237" applyFont="1" applyFill="1" applyBorder="1" applyAlignment="1">
      <alignment horizontal="center" vertical="center"/>
    </xf>
    <xf numFmtId="0" fontId="13" fillId="4" borderId="1" xfId="237" applyFont="1" applyFill="1" applyBorder="1" applyAlignment="1">
      <alignment horizontal="left" vertical="center"/>
    </xf>
    <xf numFmtId="0" fontId="17" fillId="4" borderId="1" xfId="237" applyFont="1" applyFill="1" applyBorder="1" applyAlignment="1">
      <alignment horizontal="center" vertical="center"/>
    </xf>
    <xf numFmtId="0" fontId="29" fillId="4" borderId="16" xfId="0" applyNumberFormat="1" applyFont="1" applyFill="1" applyBorder="1" applyAlignment="1">
      <alignment horizontal="center" vertical="center" wrapText="1"/>
    </xf>
    <xf numFmtId="0" fontId="60" fillId="4" borderId="16" xfId="220" applyNumberFormat="1" applyFont="1" applyFill="1" applyBorder="1" applyAlignment="1">
      <alignment horizontal="center" vertical="center"/>
    </xf>
    <xf numFmtId="0" fontId="3" fillId="4" borderId="16" xfId="0" applyNumberFormat="1" applyFont="1" applyFill="1" applyBorder="1" applyAlignment="1">
      <alignment horizontal="center" vertical="center"/>
    </xf>
    <xf numFmtId="0" fontId="3" fillId="4" borderId="16" xfId="227" applyNumberFormat="1" applyFont="1" applyFill="1" applyBorder="1" applyAlignment="1" applyProtection="1">
      <alignment horizontal="center" vertical="center"/>
    </xf>
    <xf numFmtId="0" fontId="13" fillId="4" borderId="16" xfId="0" applyNumberFormat="1" applyFont="1" applyFill="1" applyBorder="1" applyAlignment="1">
      <alignment horizontal="left" vertical="center"/>
    </xf>
    <xf numFmtId="0" fontId="12" fillId="3" borderId="17" xfId="0" applyNumberFormat="1" applyFont="1" applyFill="1" applyBorder="1" applyAlignment="1">
      <alignment horizontal="center" vertical="center" wrapText="1"/>
    </xf>
    <xf numFmtId="0" fontId="13" fillId="4" borderId="1" xfId="0" applyNumberFormat="1" applyFont="1" applyFill="1" applyBorder="1" applyAlignment="1">
      <alignment horizontal="center" vertical="center" wrapText="1"/>
    </xf>
    <xf numFmtId="0" fontId="13" fillId="4" borderId="14" xfId="0" applyNumberFormat="1" applyFont="1" applyFill="1" applyBorder="1" applyAlignment="1">
      <alignment horizontal="left" vertical="center" wrapText="1"/>
    </xf>
    <xf numFmtId="0" fontId="13" fillId="25" borderId="1" xfId="0" applyNumberFormat="1" applyFont="1" applyFill="1" applyBorder="1" applyAlignment="1">
      <alignment vertical="center" wrapText="1"/>
    </xf>
    <xf numFmtId="0" fontId="13" fillId="4" borderId="1" xfId="0" applyNumberFormat="1" applyFont="1" applyFill="1" applyBorder="1" applyAlignment="1">
      <alignment vertical="center" wrapText="1"/>
    </xf>
    <xf numFmtId="0" fontId="13" fillId="4" borderId="1" xfId="0" applyNumberFormat="1" applyFont="1" applyFill="1" applyBorder="1" applyAlignment="1">
      <alignment horizontal="left" vertical="center" wrapText="1"/>
    </xf>
    <xf numFmtId="0" fontId="13" fillId="13" borderId="1" xfId="0" applyNumberFormat="1" applyFont="1" applyFill="1" applyBorder="1" applyAlignment="1">
      <alignment vertical="center" wrapText="1"/>
    </xf>
    <xf numFmtId="0" fontId="2" fillId="3" borderId="15" xfId="0" applyNumberFormat="1" applyFont="1" applyFill="1" applyBorder="1" applyAlignment="1">
      <alignment horizontal="center" vertical="center" wrapText="1"/>
    </xf>
    <xf numFmtId="0" fontId="12" fillId="4" borderId="1" xfId="0" applyNumberFormat="1" applyFont="1" applyFill="1" applyBorder="1" applyAlignment="1">
      <alignment horizontal="center" vertical="center" wrapText="1"/>
    </xf>
    <xf numFmtId="0" fontId="12" fillId="3" borderId="1" xfId="0" applyNumberFormat="1" applyFont="1" applyFill="1" applyBorder="1" applyAlignment="1">
      <alignment horizontal="center" vertical="center" wrapText="1"/>
    </xf>
    <xf numFmtId="0" fontId="26" fillId="4" borderId="15" xfId="0" applyNumberFormat="1" applyFont="1" applyFill="1" applyBorder="1" applyAlignment="1">
      <alignment horizontal="center" vertical="center" wrapText="1"/>
    </xf>
    <xf numFmtId="0" fontId="26" fillId="4" borderId="1" xfId="0" applyNumberFormat="1" applyFont="1" applyFill="1" applyBorder="1" applyAlignment="1">
      <alignment horizontal="center" vertical="center" wrapText="1"/>
    </xf>
    <xf numFmtId="0" fontId="13" fillId="46" borderId="1" xfId="0" applyNumberFormat="1" applyFont="1" applyFill="1" applyBorder="1" applyAlignment="1">
      <alignment horizontal="center" vertical="center"/>
    </xf>
    <xf numFmtId="0" fontId="13" fillId="24" borderId="1" xfId="0" applyNumberFormat="1" applyFont="1" applyFill="1" applyBorder="1" applyAlignment="1">
      <alignment horizontal="center" vertical="center"/>
    </xf>
    <xf numFmtId="0" fontId="3" fillId="17" borderId="1" xfId="0" applyNumberFormat="1" applyFont="1" applyFill="1" applyBorder="1" applyAlignment="1">
      <alignment horizontal="center" vertical="center"/>
    </xf>
    <xf numFmtId="0" fontId="12" fillId="3" borderId="18" xfId="0" applyNumberFormat="1" applyFont="1" applyFill="1" applyBorder="1" applyAlignment="1">
      <alignment horizontal="center" vertical="center" wrapText="1"/>
    </xf>
    <xf numFmtId="0" fontId="12" fillId="3" borderId="5" xfId="0" applyNumberFormat="1" applyFont="1" applyFill="1" applyBorder="1" applyAlignment="1">
      <alignment horizontal="center" vertical="center" wrapText="1"/>
    </xf>
    <xf numFmtId="0" fontId="29" fillId="4" borderId="13" xfId="0" applyNumberFormat="1" applyFont="1" applyFill="1" applyBorder="1" applyAlignment="1">
      <alignment horizontal="center" vertical="center" wrapText="1"/>
    </xf>
    <xf numFmtId="0" fontId="29" fillId="4" borderId="14" xfId="0" applyNumberFormat="1" applyFont="1" applyFill="1" applyBorder="1" applyAlignment="1">
      <alignment horizontal="center" vertical="center" wrapText="1"/>
    </xf>
    <xf numFmtId="176" fontId="29" fillId="4" borderId="22" xfId="0" applyFont="1" applyFill="1" applyBorder="1" applyAlignment="1">
      <alignment horizontal="left" vertical="center"/>
    </xf>
    <xf numFmtId="176" fontId="29" fillId="4" borderId="1" xfId="0" applyFont="1" applyFill="1" applyBorder="1" applyAlignment="1">
      <alignment horizontal="left" vertical="center"/>
    </xf>
    <xf numFmtId="0" fontId="12" fillId="4" borderId="14" xfId="0" applyNumberFormat="1" applyFont="1" applyFill="1" applyBorder="1" applyAlignment="1">
      <alignment vertical="center" wrapText="1"/>
    </xf>
    <xf numFmtId="0" fontId="13" fillId="4" borderId="14" xfId="0" applyNumberFormat="1" applyFont="1" applyFill="1" applyBorder="1" applyAlignment="1">
      <alignment vertical="center" wrapText="1"/>
    </xf>
    <xf numFmtId="0" fontId="12" fillId="3" borderId="6" xfId="0" applyNumberFormat="1" applyFont="1" applyFill="1" applyBorder="1" applyAlignment="1">
      <alignment horizontal="center" vertical="center" wrapText="1"/>
    </xf>
    <xf numFmtId="0" fontId="2" fillId="3" borderId="13" xfId="0" applyNumberFormat="1" applyFont="1" applyFill="1" applyBorder="1" applyAlignment="1">
      <alignment horizontal="center" vertical="center"/>
    </xf>
    <xf numFmtId="0" fontId="2" fillId="3" borderId="14" xfId="0" applyNumberFormat="1" applyFont="1" applyFill="1" applyBorder="1" applyAlignment="1">
      <alignment horizontal="center" vertical="center"/>
    </xf>
    <xf numFmtId="0" fontId="12" fillId="4" borderId="13" xfId="0" applyNumberFormat="1" applyFont="1" applyFill="1" applyBorder="1" applyAlignment="1">
      <alignment horizontal="left" vertical="center"/>
    </xf>
    <xf numFmtId="0" fontId="12" fillId="4" borderId="14" xfId="0" applyNumberFormat="1" applyFont="1" applyFill="1" applyBorder="1" applyAlignment="1">
      <alignment horizontal="left" vertical="center"/>
    </xf>
    <xf numFmtId="0" fontId="12" fillId="10" borderId="1" xfId="0" applyNumberFormat="1" applyFont="1" applyFill="1" applyBorder="1" applyAlignment="1">
      <alignment horizontal="center" vertical="center"/>
    </xf>
    <xf numFmtId="176" fontId="12" fillId="10" borderId="1" xfId="0" applyNumberFormat="1" applyFont="1" applyFill="1" applyBorder="1" applyAlignment="1">
      <alignment horizontal="center" vertical="center"/>
    </xf>
    <xf numFmtId="57" fontId="12" fillId="10" borderId="1" xfId="0" applyNumberFormat="1" applyFont="1" applyFill="1" applyBorder="1" applyAlignment="1">
      <alignment horizontal="center" vertical="center"/>
    </xf>
    <xf numFmtId="0" fontId="16" fillId="4" borderId="1" xfId="0" applyNumberFormat="1" applyFont="1" applyFill="1" applyBorder="1" applyAlignment="1">
      <alignment horizontal="center" vertical="center"/>
    </xf>
    <xf numFmtId="49" fontId="16" fillId="4" borderId="1" xfId="0" applyNumberFormat="1" applyFont="1" applyFill="1" applyBorder="1" applyAlignment="1">
      <alignment horizontal="left" vertical="center"/>
    </xf>
    <xf numFmtId="0" fontId="16" fillId="4" borderId="1" xfId="0" applyNumberFormat="1" applyFont="1" applyFill="1" applyBorder="1" applyAlignment="1">
      <alignment horizontal="distributed" vertical="center"/>
    </xf>
    <xf numFmtId="196" fontId="16" fillId="4" borderId="1" xfId="0" applyNumberFormat="1" applyFont="1" applyFill="1" applyBorder="1" applyAlignment="1">
      <alignment horizontal="distributed" vertical="center"/>
    </xf>
    <xf numFmtId="0" fontId="13" fillId="19" borderId="1" xfId="0" applyNumberFormat="1" applyFont="1" applyFill="1" applyBorder="1" applyAlignment="1">
      <alignment horizontal="center" vertical="center"/>
    </xf>
    <xf numFmtId="0" fontId="13" fillId="19" borderId="1" xfId="0" applyNumberFormat="1" applyFont="1" applyFill="1" applyBorder="1" applyAlignment="1">
      <alignment horizontal="justify" vertical="center"/>
    </xf>
    <xf numFmtId="0" fontId="13" fillId="19" borderId="1" xfId="0" applyNumberFormat="1" applyFont="1" applyFill="1" applyBorder="1" applyAlignment="1">
      <alignment horizontal="left" vertical="center" wrapText="1"/>
    </xf>
    <xf numFmtId="0" fontId="13" fillId="10" borderId="1" xfId="0" applyNumberFormat="1" applyFont="1" applyFill="1" applyBorder="1" applyAlignment="1">
      <alignment horizontal="justify" vertical="center"/>
    </xf>
    <xf numFmtId="0" fontId="13" fillId="10" borderId="1" xfId="0" applyNumberFormat="1" applyFont="1" applyFill="1" applyBorder="1" applyAlignment="1">
      <alignment horizontal="left" vertical="center" wrapText="1"/>
    </xf>
    <xf numFmtId="0" fontId="13" fillId="10" borderId="1" xfId="0" applyNumberFormat="1" applyFont="1" applyFill="1" applyBorder="1" applyAlignment="1">
      <alignment vertical="center" wrapText="1"/>
    </xf>
    <xf numFmtId="0" fontId="13" fillId="17" borderId="1" xfId="0" applyNumberFormat="1" applyFont="1" applyFill="1" applyBorder="1" applyAlignment="1">
      <alignment vertical="center" wrapText="1"/>
    </xf>
    <xf numFmtId="0" fontId="13" fillId="17" borderId="1" xfId="0" applyNumberFormat="1" applyFont="1" applyFill="1" applyBorder="1" applyAlignment="1">
      <alignment horizontal="left" vertical="center" wrapText="1"/>
    </xf>
    <xf numFmtId="0" fontId="13" fillId="17" borderId="1" xfId="0" applyNumberFormat="1" applyFont="1" applyFill="1" applyBorder="1" applyAlignment="1">
      <alignment horizontal="justify" vertical="center"/>
    </xf>
    <xf numFmtId="0" fontId="13" fillId="17" borderId="16" xfId="0" applyNumberFormat="1" applyFont="1" applyFill="1" applyBorder="1" applyAlignment="1">
      <alignment horizontal="center" vertical="center"/>
    </xf>
    <xf numFmtId="0" fontId="13" fillId="17" borderId="16" xfId="0" applyNumberFormat="1" applyFont="1" applyFill="1" applyBorder="1" applyAlignment="1">
      <alignment vertical="center" wrapText="1"/>
    </xf>
    <xf numFmtId="0" fontId="13" fillId="17" borderId="16" xfId="0" applyNumberFormat="1" applyFont="1" applyFill="1" applyBorder="1" applyAlignment="1">
      <alignment vertical="center"/>
    </xf>
    <xf numFmtId="176" fontId="61" fillId="48" borderId="1" xfId="0" applyFont="1" applyFill="1" applyBorder="1" applyAlignment="1">
      <alignment horizontal="center" vertical="center"/>
    </xf>
    <xf numFmtId="176" fontId="61" fillId="48" borderId="13" xfId="0" applyFont="1" applyFill="1" applyBorder="1" applyAlignment="1">
      <alignment horizontal="center" vertical="center"/>
    </xf>
    <xf numFmtId="176" fontId="61" fillId="48" borderId="14" xfId="0" applyFont="1" applyFill="1" applyBorder="1" applyAlignment="1">
      <alignment horizontal="center" vertical="center"/>
    </xf>
    <xf numFmtId="0" fontId="13" fillId="38" borderId="1" xfId="0" applyNumberFormat="1" applyFont="1" applyFill="1" applyBorder="1" applyAlignment="1">
      <alignment horizontal="center" vertical="center"/>
    </xf>
    <xf numFmtId="176" fontId="13" fillId="38" borderId="1" xfId="0" applyFont="1" applyFill="1" applyBorder="1" applyAlignment="1">
      <alignment vertical="center"/>
    </xf>
    <xf numFmtId="176" fontId="0" fillId="38" borderId="1" xfId="0" applyNumberFormat="1" applyFill="1" applyBorder="1" applyAlignment="1">
      <alignment vertical="center"/>
    </xf>
    <xf numFmtId="176" fontId="61" fillId="38" borderId="1" xfId="0" applyNumberFormat="1" applyFont="1" applyFill="1" applyBorder="1" applyAlignment="1">
      <alignment horizontal="center" vertical="center"/>
    </xf>
    <xf numFmtId="176" fontId="61" fillId="38" borderId="1" xfId="0" applyFont="1" applyFill="1" applyBorder="1" applyAlignment="1">
      <alignment horizontal="center" vertical="center"/>
    </xf>
    <xf numFmtId="176" fontId="0" fillId="38" borderId="1" xfId="0" applyFill="1" applyBorder="1" applyAlignment="1">
      <alignment vertical="center"/>
    </xf>
    <xf numFmtId="176" fontId="61" fillId="48" borderId="15" xfId="0" applyFont="1" applyFill="1" applyBorder="1" applyAlignment="1">
      <alignment horizontal="center" vertical="center"/>
    </xf>
    <xf numFmtId="0" fontId="12" fillId="4" borderId="15" xfId="0" applyNumberFormat="1" applyFont="1" applyFill="1" applyBorder="1" applyAlignment="1">
      <alignment horizontal="left" vertical="center"/>
    </xf>
    <xf numFmtId="0" fontId="19" fillId="13" borderId="1" xfId="0" applyNumberFormat="1" applyFont="1" applyFill="1" applyBorder="1" applyAlignment="1">
      <alignment horizontal="distributed" vertical="center"/>
    </xf>
    <xf numFmtId="0" fontId="13" fillId="20" borderId="16" xfId="0" applyNumberFormat="1" applyFont="1" applyFill="1" applyBorder="1" applyAlignment="1">
      <alignment horizontal="center" vertical="center"/>
    </xf>
    <xf numFmtId="0" fontId="2" fillId="3" borderId="15" xfId="0" applyNumberFormat="1" applyFont="1" applyFill="1" applyBorder="1" applyAlignment="1">
      <alignment horizontal="center" vertical="center"/>
    </xf>
    <xf numFmtId="0" fontId="12" fillId="4" borderId="13" xfId="0" applyNumberFormat="1" applyFont="1" applyFill="1" applyBorder="1" applyAlignment="1">
      <alignment horizontal="center" vertical="center"/>
    </xf>
    <xf numFmtId="0" fontId="12" fillId="4" borderId="14" xfId="0" applyNumberFormat="1" applyFont="1" applyFill="1" applyBorder="1" applyAlignment="1">
      <alignment horizontal="center" vertical="center"/>
    </xf>
    <xf numFmtId="0" fontId="12" fillId="4" borderId="15" xfId="0" applyNumberFormat="1" applyFont="1" applyFill="1" applyBorder="1" applyAlignment="1">
      <alignment horizontal="center" vertical="center"/>
    </xf>
    <xf numFmtId="0" fontId="13" fillId="19" borderId="1" xfId="0" applyNumberFormat="1" applyFont="1" applyFill="1" applyBorder="1" applyAlignment="1">
      <alignment horizontal="left" vertical="center"/>
    </xf>
    <xf numFmtId="0" fontId="13" fillId="13" borderId="1" xfId="0" applyNumberFormat="1" applyFont="1" applyFill="1" applyBorder="1" applyAlignment="1">
      <alignment horizontal="left" vertical="center"/>
    </xf>
    <xf numFmtId="0" fontId="13" fillId="10" borderId="1" xfId="0" applyNumberFormat="1" applyFont="1" applyFill="1" applyBorder="1" applyAlignment="1">
      <alignment horizontal="left" vertical="center"/>
    </xf>
    <xf numFmtId="0" fontId="13" fillId="17" borderId="13" xfId="0" applyNumberFormat="1" applyFont="1" applyFill="1" applyBorder="1" applyAlignment="1">
      <alignment horizontal="left" vertical="center"/>
    </xf>
    <xf numFmtId="0" fontId="13" fillId="13" borderId="13" xfId="0" applyNumberFormat="1" applyFont="1" applyFill="1" applyBorder="1" applyAlignment="1">
      <alignment horizontal="left" vertical="center"/>
    </xf>
    <xf numFmtId="0" fontId="13" fillId="17" borderId="23" xfId="0" applyNumberFormat="1" applyFont="1" applyFill="1" applyBorder="1" applyAlignment="1">
      <alignment horizontal="center" vertical="center"/>
    </xf>
    <xf numFmtId="0" fontId="13" fillId="20" borderId="1" xfId="0" applyNumberFormat="1" applyFont="1" applyFill="1" applyBorder="1" applyAlignment="1">
      <alignment vertical="center"/>
    </xf>
    <xf numFmtId="0" fontId="13" fillId="17" borderId="17" xfId="0" applyNumberFormat="1" applyFont="1" applyFill="1" applyBorder="1" applyAlignment="1">
      <alignment horizontal="left" vertical="center"/>
    </xf>
    <xf numFmtId="176" fontId="62" fillId="0" borderId="0" xfId="0" applyFont="1" applyAlignment="1">
      <alignment vertical="center"/>
    </xf>
    <xf numFmtId="176" fontId="63" fillId="0" borderId="0" xfId="0" applyFont="1" applyAlignment="1">
      <alignment vertical="center"/>
    </xf>
    <xf numFmtId="176" fontId="31" fillId="0" borderId="0" xfId="0" applyFont="1" applyAlignment="1">
      <alignment vertical="center"/>
    </xf>
    <xf numFmtId="0" fontId="22" fillId="3" borderId="1" xfId="0" applyNumberFormat="1" applyFont="1" applyFill="1" applyBorder="1" applyAlignment="1">
      <alignment horizontal="center" vertical="center"/>
    </xf>
    <xf numFmtId="0" fontId="27" fillId="10" borderId="13" xfId="0" applyNumberFormat="1" applyFont="1" applyFill="1" applyBorder="1" applyAlignment="1">
      <alignment horizontal="left" vertical="center"/>
    </xf>
    <xf numFmtId="0" fontId="27" fillId="10" borderId="14" xfId="0" applyNumberFormat="1" applyFont="1" applyFill="1" applyBorder="1" applyAlignment="1">
      <alignment horizontal="left" vertical="center"/>
    </xf>
    <xf numFmtId="0" fontId="27" fillId="10" borderId="15" xfId="0" applyNumberFormat="1" applyFont="1" applyFill="1" applyBorder="1" applyAlignment="1">
      <alignment horizontal="left" vertical="center"/>
    </xf>
    <xf numFmtId="0" fontId="4" fillId="3" borderId="1" xfId="0" applyNumberFormat="1" applyFont="1" applyFill="1" applyBorder="1" applyAlignment="1">
      <alignment horizontal="center" vertical="center"/>
    </xf>
    <xf numFmtId="0" fontId="27" fillId="3" borderId="1" xfId="0" applyNumberFormat="1" applyFont="1" applyFill="1" applyBorder="1" applyAlignment="1">
      <alignment horizontal="center" vertical="center" wrapText="1"/>
    </xf>
    <xf numFmtId="0" fontId="27" fillId="3" borderId="1" xfId="0" applyNumberFormat="1" applyFont="1" applyFill="1" applyBorder="1" applyAlignment="1">
      <alignment vertical="center" wrapText="1"/>
    </xf>
    <xf numFmtId="0" fontId="4" fillId="4" borderId="1" xfId="0" applyNumberFormat="1" applyFont="1" applyFill="1" applyBorder="1" applyAlignment="1">
      <alignment horizontal="center"/>
    </xf>
    <xf numFmtId="0" fontId="4" fillId="4" borderId="1" xfId="0" applyNumberFormat="1" applyFont="1" applyFill="1" applyBorder="1" applyAlignment="1">
      <alignment wrapText="1"/>
    </xf>
    <xf numFmtId="0" fontId="4" fillId="13" borderId="1" xfId="0" applyNumberFormat="1" applyFont="1" applyFill="1" applyBorder="1" applyAlignment="1">
      <alignment wrapText="1"/>
    </xf>
    <xf numFmtId="176" fontId="0" fillId="3" borderId="1" xfId="0" applyFill="1" applyBorder="1" applyAlignment="1">
      <alignment vertical="center"/>
    </xf>
    <xf numFmtId="0" fontId="4" fillId="3" borderId="1" xfId="0" applyNumberFormat="1" applyFont="1" applyFill="1" applyBorder="1" applyAlignment="1">
      <alignment horizontal="left" vertical="top" wrapText="1"/>
    </xf>
    <xf numFmtId="0" fontId="4" fillId="3" borderId="1" xfId="0" applyNumberFormat="1" applyFont="1" applyFill="1" applyBorder="1" applyAlignment="1">
      <alignment horizontal="left" vertical="top"/>
    </xf>
    <xf numFmtId="0" fontId="10" fillId="3" borderId="13" xfId="0" applyNumberFormat="1" applyFont="1" applyFill="1" applyBorder="1" applyAlignment="1" applyProtection="1">
      <alignment horizontal="center" vertical="center"/>
      <protection locked="0"/>
    </xf>
    <xf numFmtId="0" fontId="10" fillId="3" borderId="14" xfId="0" applyNumberFormat="1" applyFont="1" applyFill="1" applyBorder="1" applyAlignment="1" applyProtection="1">
      <alignment horizontal="center" vertical="center"/>
      <protection locked="0"/>
    </xf>
    <xf numFmtId="0" fontId="10" fillId="3" borderId="15" xfId="0" applyNumberFormat="1" applyFont="1" applyFill="1" applyBorder="1" applyAlignment="1" applyProtection="1">
      <alignment horizontal="center" vertical="center"/>
      <protection locked="0"/>
    </xf>
    <xf numFmtId="0" fontId="15" fillId="10" borderId="13" xfId="0" applyNumberFormat="1" applyFont="1" applyFill="1" applyBorder="1" applyAlignment="1" applyProtection="1">
      <alignment horizontal="left"/>
      <protection locked="0"/>
    </xf>
    <xf numFmtId="0" fontId="15" fillId="10" borderId="15" xfId="0" applyNumberFormat="1" applyFont="1" applyFill="1" applyBorder="1" applyAlignment="1" applyProtection="1">
      <alignment horizontal="left"/>
      <protection locked="0"/>
    </xf>
    <xf numFmtId="0" fontId="15" fillId="10" borderId="1" xfId="0" applyNumberFormat="1" applyFont="1" applyFill="1" applyBorder="1" applyAlignment="1" applyProtection="1">
      <alignment horizontal="left"/>
      <protection locked="0"/>
    </xf>
    <xf numFmtId="0" fontId="15" fillId="10" borderId="13" xfId="0" applyNumberFormat="1" applyFont="1" applyFill="1" applyBorder="1" applyAlignment="1" applyProtection="1">
      <alignment horizontal="center"/>
      <protection locked="0"/>
    </xf>
    <xf numFmtId="0" fontId="15" fillId="10" borderId="15" xfId="0" applyNumberFormat="1" applyFont="1" applyFill="1" applyBorder="1" applyAlignment="1" applyProtection="1">
      <alignment horizontal="center"/>
      <protection locked="0"/>
    </xf>
    <xf numFmtId="0" fontId="23" fillId="3" borderId="1" xfId="0" applyNumberFormat="1" applyFont="1" applyFill="1" applyBorder="1" applyAlignment="1" applyProtection="1">
      <alignment horizontal="center" vertical="center" wrapText="1"/>
      <protection locked="0"/>
    </xf>
    <xf numFmtId="0" fontId="23" fillId="3" borderId="1" xfId="0" applyNumberFormat="1" applyFont="1" applyFill="1" applyBorder="1" applyAlignment="1" applyProtection="1">
      <alignment horizontal="center" vertical="center"/>
      <protection locked="0"/>
    </xf>
    <xf numFmtId="0" fontId="44" fillId="4" borderId="19" xfId="0" applyNumberFormat="1" applyFont="1" applyFill="1" applyBorder="1" applyAlignment="1" applyProtection="1">
      <alignment horizontal="center" vertical="center" wrapText="1"/>
      <protection locked="0"/>
    </xf>
    <xf numFmtId="0" fontId="3" fillId="4" borderId="1" xfId="0" applyNumberFormat="1" applyFont="1" applyFill="1" applyBorder="1" applyAlignment="1" applyProtection="1">
      <alignment horizontal="center" vertical="center" wrapText="1"/>
      <protection locked="0"/>
    </xf>
    <xf numFmtId="0" fontId="3" fillId="4" borderId="13" xfId="0" applyNumberFormat="1" applyFont="1" applyFill="1" applyBorder="1" applyAlignment="1" applyProtection="1">
      <alignment horizontal="left" vertical="center"/>
      <protection locked="0"/>
    </xf>
    <xf numFmtId="0" fontId="3" fillId="4" borderId="1" xfId="0" applyNumberFormat="1" applyFont="1" applyFill="1" applyBorder="1" applyAlignment="1" applyProtection="1">
      <alignment horizontal="left" vertical="center"/>
      <protection locked="0"/>
    </xf>
    <xf numFmtId="0" fontId="44" fillId="4" borderId="20" xfId="0" applyNumberFormat="1" applyFont="1" applyFill="1" applyBorder="1" applyAlignment="1" applyProtection="1">
      <alignment horizontal="center" vertical="center" wrapText="1"/>
      <protection locked="0"/>
    </xf>
    <xf numFmtId="0" fontId="3" fillId="4" borderId="13" xfId="0" applyNumberFormat="1" applyFont="1" applyFill="1" applyBorder="1" applyAlignment="1" applyProtection="1">
      <alignment horizontal="left" vertical="center" wrapText="1"/>
      <protection locked="0"/>
    </xf>
    <xf numFmtId="0" fontId="3" fillId="49" borderId="1" xfId="0" applyNumberFormat="1" applyFont="1" applyFill="1" applyBorder="1" applyAlignment="1" applyProtection="1">
      <alignment horizontal="left" vertical="center"/>
      <protection locked="0"/>
    </xf>
    <xf numFmtId="0" fontId="44" fillId="4" borderId="4" xfId="0" applyNumberFormat="1" applyFont="1" applyFill="1" applyBorder="1" applyAlignment="1" applyProtection="1">
      <alignment horizontal="center" vertical="center" wrapText="1"/>
      <protection locked="0"/>
    </xf>
    <xf numFmtId="0" fontId="3" fillId="4" borderId="10" xfId="0" applyNumberFormat="1" applyFont="1" applyFill="1" applyBorder="1" applyAlignment="1">
      <alignment horizontal="center" vertical="center"/>
    </xf>
    <xf numFmtId="0" fontId="3" fillId="4" borderId="1" xfId="0" applyNumberFormat="1" applyFont="1" applyFill="1" applyBorder="1" applyAlignment="1">
      <alignment horizontal="left"/>
    </xf>
    <xf numFmtId="0" fontId="3" fillId="4" borderId="11" xfId="0" applyNumberFormat="1" applyFont="1" applyFill="1" applyBorder="1" applyAlignment="1">
      <alignment horizontal="center" vertical="center"/>
    </xf>
    <xf numFmtId="0" fontId="3" fillId="4" borderId="23" xfId="0" applyNumberFormat="1" applyFont="1" applyFill="1" applyBorder="1" applyAlignment="1">
      <alignment horizontal="center" vertical="center"/>
    </xf>
    <xf numFmtId="0" fontId="3" fillId="13" borderId="1" xfId="0" applyNumberFormat="1" applyFont="1" applyFill="1" applyBorder="1" applyAlignment="1" applyProtection="1">
      <alignment horizontal="left" vertical="center"/>
      <protection locked="0"/>
    </xf>
    <xf numFmtId="0" fontId="3" fillId="4" borderId="22" xfId="0" applyNumberFormat="1" applyFont="1" applyFill="1" applyBorder="1" applyAlignment="1">
      <alignment horizontal="center" vertical="center"/>
    </xf>
    <xf numFmtId="0" fontId="13" fillId="4" borderId="23" xfId="0" applyNumberFormat="1" applyFont="1" applyFill="1" applyBorder="1" applyAlignment="1">
      <alignment horizontal="center" vertical="center"/>
    </xf>
    <xf numFmtId="0" fontId="13" fillId="4" borderId="22" xfId="0" applyNumberFormat="1" applyFont="1" applyFill="1" applyBorder="1" applyAlignment="1">
      <alignment horizontal="center" vertical="center"/>
    </xf>
    <xf numFmtId="0" fontId="13" fillId="4" borderId="13" xfId="0" applyNumberFormat="1" applyFont="1" applyFill="1" applyBorder="1" applyAlignment="1">
      <alignment horizontal="left" vertical="center" wrapText="1"/>
    </xf>
    <xf numFmtId="0" fontId="13" fillId="4" borderId="1" xfId="0" applyNumberFormat="1" applyFont="1" applyFill="1" applyBorder="1" applyAlignment="1">
      <alignment horizontal="left" vertical="center"/>
    </xf>
    <xf numFmtId="0" fontId="3" fillId="4" borderId="12" xfId="0" applyNumberFormat="1" applyFont="1" applyFill="1" applyBorder="1" applyAlignment="1">
      <alignment horizontal="center" vertical="center"/>
    </xf>
    <xf numFmtId="0" fontId="3" fillId="4" borderId="40" xfId="0" applyNumberFormat="1" applyFont="1" applyFill="1" applyBorder="1" applyAlignment="1">
      <alignment horizontal="center" vertical="center"/>
    </xf>
    <xf numFmtId="0" fontId="3" fillId="4" borderId="38" xfId="0" applyNumberFormat="1" applyFont="1" applyFill="1" applyBorder="1" applyAlignment="1">
      <alignment horizontal="center" vertical="center"/>
    </xf>
    <xf numFmtId="0" fontId="3" fillId="4" borderId="41" xfId="0" applyNumberFormat="1" applyFont="1" applyFill="1" applyBorder="1" applyAlignment="1">
      <alignment horizontal="left" vertical="top" wrapText="1"/>
    </xf>
    <xf numFmtId="176" fontId="2" fillId="3" borderId="1" xfId="0" applyFont="1" applyFill="1" applyBorder="1" applyAlignment="1">
      <alignment horizontal="center" vertical="center"/>
    </xf>
    <xf numFmtId="176" fontId="64" fillId="3" borderId="1" xfId="0" applyFont="1" applyFill="1" applyBorder="1" applyAlignment="1">
      <alignment horizontal="center" vertical="center"/>
    </xf>
    <xf numFmtId="176" fontId="12" fillId="10" borderId="13" xfId="0" applyFont="1" applyFill="1" applyBorder="1" applyAlignment="1">
      <alignment horizontal="center" vertical="center"/>
    </xf>
    <xf numFmtId="176" fontId="12" fillId="10" borderId="14" xfId="0" applyFont="1" applyFill="1" applyBorder="1" applyAlignment="1">
      <alignment horizontal="center" vertical="center"/>
    </xf>
    <xf numFmtId="0" fontId="12" fillId="10" borderId="22" xfId="219" applyNumberFormat="1" applyFont="1" applyFill="1" applyBorder="1" applyAlignment="1">
      <alignment horizontal="center" vertical="center" wrapText="1"/>
    </xf>
    <xf numFmtId="20" fontId="3" fillId="50" borderId="1" xfId="16" applyNumberFormat="1" applyFont="1" applyFill="1" applyBorder="1" applyAlignment="1">
      <alignment horizontal="center" vertical="center" wrapText="1"/>
    </xf>
    <xf numFmtId="20" fontId="3" fillId="50" borderId="1" xfId="219" applyNumberFormat="1" applyFont="1" applyFill="1" applyBorder="1" applyAlignment="1">
      <alignment horizontal="center" vertical="center" wrapText="1"/>
    </xf>
    <xf numFmtId="21" fontId="3" fillId="50" borderId="1" xfId="0" applyNumberFormat="1" applyFont="1" applyFill="1" applyBorder="1" applyAlignment="1">
      <alignment horizontal="center" vertical="center" wrapText="1"/>
    </xf>
    <xf numFmtId="0" fontId="3" fillId="50" borderId="1" xfId="219" applyNumberFormat="1" applyFont="1" applyFill="1" applyBorder="1" applyAlignment="1">
      <alignment horizontal="left" vertical="center" wrapText="1"/>
    </xf>
    <xf numFmtId="0" fontId="3" fillId="4" borderId="1" xfId="219" applyNumberFormat="1" applyFont="1" applyFill="1" applyBorder="1" applyAlignment="1">
      <alignment horizontal="left" vertical="center" wrapText="1"/>
    </xf>
    <xf numFmtId="0" fontId="17" fillId="4" borderId="1" xfId="0" applyNumberFormat="1" applyFont="1" applyFill="1" applyBorder="1" applyAlignment="1">
      <alignment horizontal="center" vertical="center" wrapText="1"/>
    </xf>
    <xf numFmtId="0" fontId="17" fillId="4" borderId="1" xfId="219" applyNumberFormat="1" applyFont="1" applyFill="1" applyBorder="1" applyAlignment="1">
      <alignment horizontal="left" vertical="center" wrapText="1"/>
    </xf>
    <xf numFmtId="0" fontId="17" fillId="50" borderId="1" xfId="219" applyNumberFormat="1" applyFont="1" applyFill="1" applyBorder="1" applyAlignment="1">
      <alignment horizontal="left" vertical="center" wrapText="1"/>
    </xf>
    <xf numFmtId="0" fontId="3" fillId="4" borderId="1" xfId="219" applyNumberFormat="1" applyFont="1" applyFill="1" applyBorder="1" applyAlignment="1">
      <alignment horizontal="center" vertical="center" wrapText="1"/>
    </xf>
    <xf numFmtId="0" fontId="13" fillId="4" borderId="1" xfId="219" applyNumberFormat="1" applyFont="1" applyFill="1" applyBorder="1" applyAlignment="1">
      <alignment horizontal="center" vertical="center" wrapText="1"/>
    </xf>
    <xf numFmtId="0" fontId="65" fillId="50" borderId="1" xfId="219" applyNumberFormat="1" applyFont="1" applyFill="1" applyBorder="1" applyAlignment="1">
      <alignment horizontal="left" vertical="center" wrapText="1"/>
    </xf>
    <xf numFmtId="0" fontId="15" fillId="4" borderId="1" xfId="0" applyNumberFormat="1" applyFont="1" applyFill="1" applyBorder="1" applyAlignment="1">
      <alignment horizontal="center" vertical="center"/>
    </xf>
    <xf numFmtId="0" fontId="3" fillId="50" borderId="1" xfId="219" applyNumberFormat="1" applyFont="1" applyFill="1" applyBorder="1" applyAlignment="1">
      <alignment horizontal="center" vertical="center" wrapText="1"/>
    </xf>
    <xf numFmtId="0" fontId="66" fillId="4" borderId="1" xfId="0" applyNumberFormat="1" applyFont="1" applyFill="1" applyBorder="1" applyAlignment="1">
      <alignment horizontal="center" vertical="center" wrapText="1"/>
    </xf>
    <xf numFmtId="0" fontId="66" fillId="50" borderId="1" xfId="0" applyNumberFormat="1" applyFont="1" applyFill="1" applyBorder="1" applyAlignment="1">
      <alignment horizontal="center" vertical="center"/>
    </xf>
    <xf numFmtId="0" fontId="66" fillId="4" borderId="1" xfId="0" applyNumberFormat="1" applyFont="1" applyFill="1" applyBorder="1" applyAlignment="1">
      <alignment horizontal="center" vertical="center"/>
    </xf>
    <xf numFmtId="176" fontId="12" fillId="10" borderId="15" xfId="0" applyFont="1" applyFill="1" applyBorder="1" applyAlignment="1">
      <alignment horizontal="center" vertical="center"/>
    </xf>
    <xf numFmtId="0" fontId="12" fillId="10" borderId="22" xfId="0" applyNumberFormat="1" applyFont="1" applyFill="1" applyBorder="1" applyAlignment="1">
      <alignment horizontal="center" vertical="center" wrapText="1"/>
    </xf>
    <xf numFmtId="0" fontId="66" fillId="50" borderId="1" xfId="0" applyNumberFormat="1" applyFont="1" applyFill="1" applyBorder="1" applyAlignment="1">
      <alignment horizontal="center" vertical="center" wrapText="1"/>
    </xf>
    <xf numFmtId="0" fontId="67" fillId="50" borderId="1" xfId="219" applyNumberFormat="1" applyFont="1" applyFill="1" applyBorder="1" applyAlignment="1">
      <alignment horizontal="left" vertical="center" wrapText="1"/>
    </xf>
    <xf numFmtId="0" fontId="17" fillId="4" borderId="1" xfId="219" applyNumberFormat="1" applyFont="1" applyFill="1" applyBorder="1" applyAlignment="1">
      <alignment horizontal="center" vertical="center" wrapText="1"/>
    </xf>
    <xf numFmtId="0" fontId="49" fillId="3" borderId="0" xfId="0" applyNumberFormat="1" applyFont="1" applyFill="1" applyAlignment="1">
      <alignment horizontal="center" vertical="center"/>
    </xf>
    <xf numFmtId="0" fontId="68" fillId="3" borderId="0" xfId="0" applyNumberFormat="1" applyFont="1" applyFill="1" applyAlignment="1">
      <alignment horizontal="center" vertical="center"/>
    </xf>
    <xf numFmtId="0" fontId="12" fillId="10" borderId="1" xfId="0" applyNumberFormat="1" applyFont="1" applyFill="1" applyBorder="1" applyAlignment="1">
      <alignment horizontal="center"/>
    </xf>
    <xf numFmtId="0" fontId="12" fillId="10" borderId="1" xfId="0" applyNumberFormat="1" applyFont="1" applyFill="1" applyBorder="1" applyAlignment="1"/>
    <xf numFmtId="31" fontId="12" fillId="10" borderId="13" xfId="0" applyNumberFormat="1" applyFont="1" applyFill="1" applyBorder="1" applyAlignment="1">
      <alignment horizontal="center"/>
    </xf>
    <xf numFmtId="31" fontId="12" fillId="10" borderId="14" xfId="0" applyNumberFormat="1" applyFont="1" applyFill="1" applyBorder="1" applyAlignment="1">
      <alignment horizontal="center"/>
    </xf>
    <xf numFmtId="31" fontId="12" fillId="10" borderId="15" xfId="0" applyNumberFormat="1" applyFont="1" applyFill="1" applyBorder="1" applyAlignment="1">
      <alignment horizontal="center"/>
    </xf>
    <xf numFmtId="31" fontId="12" fillId="10" borderId="1" xfId="0" applyNumberFormat="1" applyFont="1" applyFill="1" applyBorder="1" applyAlignment="1"/>
    <xf numFmtId="176" fontId="13" fillId="4" borderId="1" xfId="0" applyFont="1" applyFill="1" applyBorder="1" applyAlignment="1">
      <alignment horizontal="center"/>
    </xf>
    <xf numFmtId="176" fontId="0" fillId="4" borderId="1" xfId="0" applyFill="1" applyBorder="1" applyAlignment="1">
      <alignment vertical="center"/>
    </xf>
    <xf numFmtId="0" fontId="13" fillId="16" borderId="1" xfId="0" applyNumberFormat="1" applyFont="1" applyFill="1" applyBorder="1" applyAlignment="1">
      <alignment horizontal="center" vertical="center"/>
    </xf>
    <xf numFmtId="57" fontId="12" fillId="4" borderId="1" xfId="0" applyNumberFormat="1" applyFont="1" applyFill="1" applyBorder="1" applyAlignment="1">
      <alignment horizontal="center" vertical="center"/>
    </xf>
    <xf numFmtId="0" fontId="13" fillId="16" borderId="1" xfId="0" applyNumberFormat="1" applyFont="1" applyFill="1" applyBorder="1" applyAlignment="1">
      <alignment vertical="center"/>
    </xf>
    <xf numFmtId="0" fontId="69" fillId="10" borderId="1" xfId="0" applyNumberFormat="1" applyFont="1" applyFill="1" applyBorder="1" applyAlignment="1">
      <alignment horizontal="distributed" vertical="center"/>
    </xf>
    <xf numFmtId="196" fontId="69" fillId="10" borderId="1" xfId="0" applyNumberFormat="1" applyFont="1" applyFill="1" applyBorder="1" applyAlignment="1">
      <alignment horizontal="distributed" vertical="center"/>
    </xf>
    <xf numFmtId="196" fontId="19" fillId="10" borderId="1" xfId="0" applyNumberFormat="1" applyFont="1" applyFill="1" applyBorder="1" applyAlignment="1">
      <alignment horizontal="distributed" vertical="center"/>
    </xf>
    <xf numFmtId="196" fontId="13" fillId="10" borderId="1" xfId="0" applyNumberFormat="1" applyFont="1" applyFill="1" applyBorder="1" applyAlignment="1">
      <alignment horizontal="distributed" vertical="center"/>
    </xf>
    <xf numFmtId="0" fontId="2" fillId="3" borderId="0" xfId="0" applyNumberFormat="1" applyFont="1" applyFill="1" applyAlignment="1">
      <alignment horizontal="center" vertical="center"/>
    </xf>
    <xf numFmtId="0" fontId="70" fillId="3" borderId="0" xfId="223" applyFont="1" applyFill="1" applyAlignment="1">
      <alignment horizontal="center" vertical="center"/>
    </xf>
    <xf numFmtId="0" fontId="34" fillId="10" borderId="1" xfId="223" applyFont="1" applyFill="1" applyBorder="1" applyAlignment="1">
      <alignment horizontal="center" vertical="center" wrapText="1"/>
    </xf>
    <xf numFmtId="198" fontId="44" fillId="25" borderId="42" xfId="223" applyNumberFormat="1" applyFont="1" applyFill="1" applyBorder="1" applyAlignment="1">
      <alignment horizontal="center"/>
    </xf>
    <xf numFmtId="198" fontId="44" fillId="25" borderId="15" xfId="223" applyNumberFormat="1" applyFont="1" applyFill="1" applyBorder="1" applyAlignment="1">
      <alignment horizontal="center"/>
    </xf>
    <xf numFmtId="198" fontId="44" fillId="25" borderId="1" xfId="223" applyNumberFormat="1" applyFont="1" applyFill="1" applyBorder="1" applyAlignment="1">
      <alignment horizontal="center"/>
    </xf>
    <xf numFmtId="0" fontId="11" fillId="3" borderId="3" xfId="223" applyFont="1" applyFill="1" applyBorder="1" applyAlignment="1">
      <alignment horizontal="center" vertical="center"/>
    </xf>
    <xf numFmtId="0" fontId="11" fillId="3" borderId="1" xfId="223" applyFont="1" applyFill="1" applyBorder="1" applyAlignment="1">
      <alignment horizontal="left" vertical="center"/>
    </xf>
    <xf numFmtId="198" fontId="23" fillId="3" borderId="17" xfId="223" applyNumberFormat="1" applyFont="1" applyFill="1" applyBorder="1" applyAlignment="1">
      <alignment vertical="center"/>
    </xf>
    <xf numFmtId="198" fontId="44" fillId="3" borderId="18" xfId="223" applyNumberFormat="1" applyFont="1" applyFill="1" applyBorder="1" applyAlignment="1">
      <alignment vertical="center"/>
    </xf>
    <xf numFmtId="0" fontId="11" fillId="3" borderId="13" xfId="223" applyFont="1" applyFill="1" applyBorder="1" applyAlignment="1">
      <alignment horizontal="center" vertical="center"/>
    </xf>
    <xf numFmtId="198" fontId="44" fillId="3" borderId="5" xfId="223" applyNumberFormat="1" applyFont="1" applyFill="1" applyBorder="1" applyAlignment="1">
      <alignment vertical="center"/>
    </xf>
    <xf numFmtId="198" fontId="44" fillId="3" borderId="6" xfId="223" applyNumberFormat="1" applyFont="1" applyFill="1" applyBorder="1" applyAlignment="1">
      <alignment vertical="center"/>
    </xf>
    <xf numFmtId="176" fontId="63" fillId="25" borderId="1" xfId="0" applyFont="1" applyFill="1" applyBorder="1" applyAlignment="1">
      <alignment vertical="center"/>
    </xf>
    <xf numFmtId="0" fontId="11" fillId="25" borderId="1" xfId="223" applyFont="1" applyFill="1" applyBorder="1" applyAlignment="1">
      <alignment horizontal="center" vertical="center"/>
    </xf>
    <xf numFmtId="0" fontId="11" fillId="25" borderId="1" xfId="223" applyFont="1" applyFill="1" applyBorder="1" applyAlignment="1">
      <alignment horizontal="left" vertical="center"/>
    </xf>
    <xf numFmtId="198" fontId="44" fillId="13" borderId="1" xfId="223" applyNumberFormat="1" applyFont="1" applyFill="1" applyBorder="1" applyAlignment="1">
      <alignment vertical="center"/>
    </xf>
    <xf numFmtId="198" fontId="44" fillId="25" borderId="1" xfId="223" applyNumberFormat="1" applyFont="1" applyFill="1" applyBorder="1" applyAlignment="1">
      <alignment vertical="center"/>
    </xf>
    <xf numFmtId="0" fontId="11" fillId="25" borderId="16" xfId="223" applyFont="1" applyFill="1" applyBorder="1" applyAlignment="1">
      <alignment horizontal="center" vertical="center"/>
    </xf>
    <xf numFmtId="0" fontId="11" fillId="25" borderId="13" xfId="223" applyFont="1" applyFill="1" applyBorder="1" applyAlignment="1">
      <alignment horizontal="left" vertical="center"/>
    </xf>
    <xf numFmtId="198" fontId="44" fillId="20" borderId="1" xfId="223" applyNumberFormat="1" applyFont="1" applyFill="1" applyBorder="1" applyAlignment="1">
      <alignment vertical="center"/>
    </xf>
    <xf numFmtId="176" fontId="63" fillId="4" borderId="1" xfId="0" applyFont="1" applyFill="1" applyBorder="1" applyAlignment="1">
      <alignment vertical="center"/>
    </xf>
    <xf numFmtId="0" fontId="71" fillId="4" borderId="16" xfId="223" applyFont="1" applyFill="1" applyBorder="1" applyAlignment="1">
      <alignment horizontal="center" vertical="center" wrapText="1"/>
    </xf>
    <xf numFmtId="0" fontId="71" fillId="4" borderId="1" xfId="223" applyFont="1" applyFill="1" applyBorder="1" applyAlignment="1">
      <alignment vertical="center" wrapText="1"/>
    </xf>
    <xf numFmtId="0" fontId="71" fillId="4" borderId="13" xfId="223" applyFont="1" applyFill="1" applyBorder="1" applyAlignment="1">
      <alignment vertical="center" wrapText="1"/>
    </xf>
    <xf numFmtId="0" fontId="71" fillId="13" borderId="1" xfId="223" applyFont="1" applyFill="1" applyBorder="1" applyAlignment="1"/>
    <xf numFmtId="0" fontId="71" fillId="4" borderId="23" xfId="223" applyFont="1" applyFill="1" applyBorder="1" applyAlignment="1">
      <alignment horizontal="center" vertical="center" wrapText="1"/>
    </xf>
    <xf numFmtId="0" fontId="71" fillId="20" borderId="1" xfId="223" applyFont="1" applyFill="1" applyBorder="1" applyAlignment="1"/>
    <xf numFmtId="0" fontId="71" fillId="4" borderId="22" xfId="223" applyFont="1" applyFill="1" applyBorder="1" applyAlignment="1">
      <alignment horizontal="center" vertical="center" wrapText="1"/>
    </xf>
    <xf numFmtId="198" fontId="44" fillId="11" borderId="1" xfId="223" applyNumberFormat="1" applyFont="1" applyFill="1" applyBorder="1" applyAlignment="1">
      <alignment horizontal="center"/>
    </xf>
    <xf numFmtId="198" fontId="44" fillId="13" borderId="1" xfId="223" applyNumberFormat="1" applyFont="1" applyFill="1" applyBorder="1" applyAlignment="1">
      <alignment horizontal="center"/>
    </xf>
    <xf numFmtId="198" fontId="44" fillId="20" borderId="1" xfId="223" applyNumberFormat="1" applyFont="1" applyFill="1" applyBorder="1" applyAlignment="1">
      <alignment horizontal="center"/>
    </xf>
    <xf numFmtId="0" fontId="11" fillId="3" borderId="6" xfId="223" applyFont="1" applyFill="1" applyBorder="1" applyAlignment="1">
      <alignment horizontal="left" vertical="center"/>
    </xf>
    <xf numFmtId="0" fontId="71" fillId="4" borderId="1" xfId="223" applyFont="1" applyFill="1" applyBorder="1" applyAlignment="1">
      <alignment horizontal="center" vertical="center" wrapText="1"/>
    </xf>
    <xf numFmtId="198" fontId="72" fillId="20" borderId="1" xfId="223" applyNumberFormat="1" applyFont="1" applyFill="1" applyBorder="1" applyAlignment="1">
      <alignment horizontal="center"/>
    </xf>
    <xf numFmtId="0" fontId="11" fillId="3" borderId="6" xfId="223" applyFont="1" applyFill="1" applyBorder="1" applyAlignment="1">
      <alignment horizontal="center" vertical="center"/>
    </xf>
    <xf numFmtId="0" fontId="73" fillId="3" borderId="6" xfId="223" applyFont="1" applyFill="1" applyBorder="1" applyAlignment="1">
      <alignment horizontal="center" vertical="center" wrapText="1"/>
    </xf>
    <xf numFmtId="0" fontId="11" fillId="10" borderId="3" xfId="223" applyFont="1" applyFill="1" applyBorder="1" applyAlignment="1">
      <alignment horizontal="center" vertical="center"/>
    </xf>
    <xf numFmtId="0" fontId="11" fillId="10" borderId="6" xfId="223" applyFont="1" applyFill="1" applyBorder="1" applyAlignment="1">
      <alignment horizontal="center" vertical="center"/>
    </xf>
    <xf numFmtId="0" fontId="73" fillId="10" borderId="6" xfId="223" applyFont="1" applyFill="1" applyBorder="1" applyAlignment="1">
      <alignment horizontal="center" vertical="center" wrapText="1"/>
    </xf>
    <xf numFmtId="0" fontId="11" fillId="4" borderId="1" xfId="223" applyFont="1" applyFill="1" applyBorder="1" applyAlignment="1">
      <alignment vertical="center"/>
    </xf>
    <xf numFmtId="198" fontId="44" fillId="25" borderId="43" xfId="223" applyNumberFormat="1" applyFont="1" applyFill="1" applyBorder="1" applyAlignment="1">
      <alignment horizontal="center"/>
    </xf>
    <xf numFmtId="0" fontId="11" fillId="18" borderId="44" xfId="223" applyFont="1" applyFill="1" applyBorder="1" applyAlignment="1">
      <alignment horizontal="center"/>
    </xf>
    <xf numFmtId="0" fontId="11" fillId="18" borderId="45" xfId="223" applyFont="1" applyFill="1" applyBorder="1" applyAlignment="1">
      <alignment horizontal="center"/>
    </xf>
    <xf numFmtId="0" fontId="44" fillId="25" borderId="1" xfId="223" applyFont="1" applyFill="1" applyBorder="1" applyAlignment="1">
      <alignment horizontal="center"/>
    </xf>
    <xf numFmtId="198" fontId="44" fillId="18" borderId="1" xfId="223" applyNumberFormat="1" applyFont="1" applyFill="1" applyBorder="1" applyAlignment="1">
      <alignment horizontal="center"/>
    </xf>
    <xf numFmtId="0" fontId="71" fillId="11" borderId="1" xfId="223" applyFont="1" applyFill="1" applyBorder="1" applyAlignment="1"/>
    <xf numFmtId="198" fontId="72" fillId="11" borderId="1" xfId="223" applyNumberFormat="1" applyFont="1" applyFill="1" applyBorder="1" applyAlignment="1">
      <alignment horizontal="center"/>
    </xf>
    <xf numFmtId="0" fontId="72" fillId="20" borderId="1" xfId="223" applyFont="1" applyFill="1" applyBorder="1" applyAlignment="1"/>
    <xf numFmtId="198" fontId="72" fillId="18" borderId="1" xfId="223" applyNumberFormat="1" applyFont="1" applyFill="1" applyBorder="1" applyAlignment="1">
      <alignment horizontal="center"/>
    </xf>
    <xf numFmtId="0" fontId="71" fillId="18" borderId="1" xfId="223" applyFont="1" applyFill="1" applyBorder="1" applyAlignment="1"/>
    <xf numFmtId="198" fontId="72" fillId="13" borderId="1" xfId="223" applyNumberFormat="1" applyFont="1" applyFill="1" applyBorder="1" applyAlignment="1">
      <alignment horizontal="center"/>
    </xf>
    <xf numFmtId="0" fontId="71" fillId="3" borderId="0" xfId="223" applyFont="1" applyFill="1" applyAlignment="1">
      <alignment horizontal="center"/>
    </xf>
    <xf numFmtId="198" fontId="44" fillId="17" borderId="45" xfId="223" applyNumberFormat="1" applyFont="1" applyFill="1" applyBorder="1" applyAlignment="1">
      <alignment horizontal="center"/>
    </xf>
    <xf numFmtId="198" fontId="44" fillId="17" borderId="1" xfId="223" applyNumberFormat="1" applyFont="1" applyFill="1" applyBorder="1" applyAlignment="1">
      <alignment horizontal="center"/>
    </xf>
    <xf numFmtId="198" fontId="44" fillId="25" borderId="6" xfId="223" applyNumberFormat="1" applyFont="1" applyFill="1" applyBorder="1" applyAlignment="1">
      <alignment vertical="center"/>
    </xf>
    <xf numFmtId="0" fontId="71" fillId="17" borderId="1" xfId="223" applyFont="1" applyFill="1" applyBorder="1" applyAlignment="1"/>
    <xf numFmtId="0" fontId="71" fillId="18" borderId="1" xfId="223" applyFont="1" applyFill="1" applyBorder="1"/>
    <xf numFmtId="0" fontId="44" fillId="17" borderId="1" xfId="223" applyFont="1" applyFill="1" applyBorder="1" applyAlignment="1">
      <alignment horizontal="center"/>
    </xf>
    <xf numFmtId="0" fontId="11" fillId="23" borderId="44" xfId="223" applyFont="1" applyFill="1" applyBorder="1" applyAlignment="1">
      <alignment horizontal="center"/>
    </xf>
    <xf numFmtId="0" fontId="11" fillId="23" borderId="45" xfId="223" applyFont="1" applyFill="1" applyBorder="1" applyAlignment="1">
      <alignment horizontal="center"/>
    </xf>
    <xf numFmtId="198" fontId="44" fillId="23" borderId="1" xfId="223" applyNumberFormat="1" applyFont="1" applyFill="1" applyBorder="1" applyAlignment="1">
      <alignment horizontal="center"/>
    </xf>
    <xf numFmtId="198" fontId="74" fillId="51" borderId="1" xfId="223" applyNumberFormat="1" applyFont="1" applyFill="1" applyBorder="1" applyAlignment="1">
      <alignment horizontal="center"/>
    </xf>
    <xf numFmtId="198" fontId="74" fillId="51" borderId="15" xfId="223" applyNumberFormat="1" applyFont="1" applyFill="1" applyBorder="1" applyAlignment="1">
      <alignment horizontal="center"/>
    </xf>
    <xf numFmtId="0" fontId="71" fillId="23" borderId="1" xfId="223" applyFont="1" applyFill="1" applyBorder="1" applyAlignment="1"/>
    <xf numFmtId="0" fontId="74" fillId="3" borderId="0" xfId="223" applyFont="1" applyFill="1" applyAlignment="1">
      <alignment horizontal="center"/>
    </xf>
    <xf numFmtId="198" fontId="74" fillId="52" borderId="45" xfId="223" applyNumberFormat="1" applyFont="1" applyFill="1" applyBorder="1" applyAlignment="1">
      <alignment horizontal="center"/>
    </xf>
    <xf numFmtId="198" fontId="44" fillId="23" borderId="22" xfId="223" applyNumberFormat="1" applyFont="1" applyFill="1" applyBorder="1" applyAlignment="1">
      <alignment horizontal="center"/>
    </xf>
    <xf numFmtId="198" fontId="74" fillId="52" borderId="22" xfId="223" applyNumberFormat="1" applyFont="1" applyFill="1" applyBorder="1" applyAlignment="1">
      <alignment horizontal="center"/>
    </xf>
    <xf numFmtId="198" fontId="74" fillId="52" borderId="4" xfId="223" applyNumberFormat="1" applyFont="1" applyFill="1" applyBorder="1" applyAlignment="1">
      <alignment horizontal="center"/>
    </xf>
    <xf numFmtId="0" fontId="74" fillId="52" borderId="4" xfId="223" applyFont="1" applyFill="1" applyBorder="1" applyAlignment="1">
      <alignment horizontal="center"/>
    </xf>
    <xf numFmtId="198" fontId="74" fillId="52" borderId="1" xfId="223" applyNumberFormat="1" applyFont="1" applyFill="1" applyBorder="1" applyAlignment="1">
      <alignment horizontal="center"/>
    </xf>
    <xf numFmtId="0" fontId="71" fillId="25" borderId="1" xfId="223" applyFont="1" applyFill="1" applyBorder="1" applyAlignment="1"/>
    <xf numFmtId="0" fontId="11" fillId="14" borderId="46" xfId="223" applyFont="1" applyFill="1" applyBorder="1" applyAlignment="1">
      <alignment horizontal="center"/>
    </xf>
    <xf numFmtId="0" fontId="11" fillId="14" borderId="42" xfId="223" applyFont="1" applyFill="1" applyBorder="1" applyAlignment="1">
      <alignment horizontal="center"/>
    </xf>
    <xf numFmtId="49" fontId="44" fillId="14" borderId="1" xfId="223" applyNumberFormat="1" applyFont="1" applyFill="1" applyBorder="1" applyAlignment="1">
      <alignment horizontal="center"/>
    </xf>
    <xf numFmtId="0" fontId="44" fillId="14" borderId="1" xfId="223" applyFont="1" applyFill="1" applyBorder="1" applyAlignment="1">
      <alignment horizontal="center"/>
    </xf>
    <xf numFmtId="198" fontId="44" fillId="14" borderId="1" xfId="223" applyNumberFormat="1" applyFont="1" applyFill="1" applyBorder="1" applyAlignment="1">
      <alignment horizontal="center"/>
    </xf>
    <xf numFmtId="0" fontId="11" fillId="14" borderId="47" xfId="223" applyFont="1" applyFill="1" applyBorder="1" applyAlignment="1">
      <alignment horizontal="center"/>
    </xf>
    <xf numFmtId="49" fontId="44" fillId="14" borderId="9" xfId="223" applyNumberFormat="1" applyFont="1" applyFill="1" applyBorder="1" applyAlignment="1">
      <alignment horizontal="center"/>
    </xf>
    <xf numFmtId="0" fontId="44" fillId="14" borderId="9" xfId="223" applyFont="1" applyFill="1" applyBorder="1" applyAlignment="1">
      <alignment horizontal="center"/>
    </xf>
    <xf numFmtId="198" fontId="44" fillId="3" borderId="19" xfId="223" applyNumberFormat="1" applyFont="1" applyFill="1" applyBorder="1" applyAlignment="1">
      <alignment vertical="center"/>
    </xf>
    <xf numFmtId="198" fontId="44" fillId="3" borderId="4" xfId="223" applyNumberFormat="1" applyFont="1" applyFill="1" applyBorder="1" applyAlignment="1">
      <alignment vertical="center"/>
    </xf>
    <xf numFmtId="198" fontId="44" fillId="25" borderId="4" xfId="223" applyNumberFormat="1" applyFont="1" applyFill="1" applyBorder="1" applyAlignment="1">
      <alignment vertical="center"/>
    </xf>
    <xf numFmtId="0" fontId="11" fillId="4" borderId="1" xfId="223" applyFont="1" applyFill="1" applyBorder="1" applyAlignment="1">
      <alignment vertical="center" wrapText="1"/>
    </xf>
    <xf numFmtId="0" fontId="71" fillId="4" borderId="1" xfId="223" applyFont="1" applyFill="1" applyBorder="1" applyAlignment="1">
      <alignment horizontal="left" vertical="center" wrapText="1"/>
    </xf>
    <xf numFmtId="0" fontId="11" fillId="4" borderId="1" xfId="223" applyFont="1" applyFill="1" applyBorder="1" applyAlignment="1">
      <alignment horizontal="left" vertical="center" wrapText="1"/>
    </xf>
    <xf numFmtId="0" fontId="44" fillId="4" borderId="1" xfId="223" applyFont="1" applyFill="1" applyBorder="1" applyAlignment="1">
      <alignment vertical="center"/>
    </xf>
    <xf numFmtId="0" fontId="71" fillId="4" borderId="15" xfId="223" applyFont="1" applyFill="1" applyBorder="1" applyAlignment="1">
      <alignment vertical="center" wrapText="1"/>
    </xf>
    <xf numFmtId="0" fontId="34" fillId="3" borderId="6" xfId="223" applyFont="1" applyFill="1" applyBorder="1" applyAlignment="1">
      <alignment horizontal="center" vertical="center"/>
    </xf>
    <xf numFmtId="0" fontId="75" fillId="3" borderId="6" xfId="223" applyFont="1" applyFill="1" applyBorder="1" applyAlignment="1">
      <alignment horizontal="center" vertical="center" wrapText="1"/>
    </xf>
    <xf numFmtId="0" fontId="71" fillId="4" borderId="16" xfId="223" applyFont="1" applyFill="1" applyBorder="1" applyAlignment="1">
      <alignment vertical="center" wrapText="1"/>
    </xf>
    <xf numFmtId="0" fontId="0" fillId="0" borderId="0" xfId="0" applyNumberFormat="1" applyFont="1" applyAlignment="1">
      <alignment vertical="center"/>
    </xf>
    <xf numFmtId="176" fontId="64" fillId="0" borderId="0" xfId="0" applyFont="1" applyAlignment="1">
      <alignment vertical="center"/>
    </xf>
    <xf numFmtId="176" fontId="11" fillId="0" borderId="0" xfId="0" applyFont="1" applyAlignment="1">
      <alignment vertical="center"/>
    </xf>
    <xf numFmtId="176" fontId="11" fillId="0" borderId="0" xfId="0" applyFont="1" applyAlignment="1">
      <alignment horizontal="left" vertical="center"/>
    </xf>
    <xf numFmtId="0" fontId="2" fillId="3" borderId="1" xfId="0" applyNumberFormat="1" applyFont="1" applyFill="1" applyBorder="1" applyAlignment="1">
      <alignment horizontal="left" vertical="center"/>
    </xf>
    <xf numFmtId="0" fontId="34" fillId="10" borderId="1" xfId="29" applyNumberFormat="1" applyFont="1" applyFill="1" applyBorder="1" applyAlignment="1">
      <alignment horizontal="left"/>
    </xf>
    <xf numFmtId="0" fontId="23" fillId="3" borderId="1" xfId="0" applyNumberFormat="1" applyFont="1" applyFill="1" applyBorder="1" applyAlignment="1">
      <alignment horizontal="center" vertical="center"/>
    </xf>
    <xf numFmtId="0" fontId="23" fillId="3" borderId="1" xfId="0" applyNumberFormat="1" applyFont="1" applyFill="1" applyBorder="1" applyAlignment="1">
      <alignment horizontal="left" vertical="center"/>
    </xf>
    <xf numFmtId="0" fontId="44" fillId="4" borderId="1" xfId="0" applyNumberFormat="1" applyFont="1" applyFill="1" applyBorder="1" applyAlignment="1">
      <alignment horizontal="center" vertical="center" wrapText="1"/>
    </xf>
    <xf numFmtId="0" fontId="44" fillId="4" borderId="1" xfId="0" applyNumberFormat="1" applyFont="1" applyFill="1" applyBorder="1" applyAlignment="1">
      <alignment horizontal="left" vertical="center" wrapText="1"/>
    </xf>
    <xf numFmtId="0" fontId="44" fillId="4" borderId="1" xfId="0" applyNumberFormat="1" applyFont="1" applyFill="1" applyBorder="1" applyAlignment="1">
      <alignment horizontal="left" vertical="top" wrapText="1"/>
    </xf>
    <xf numFmtId="0" fontId="44" fillId="4" borderId="13" xfId="0" applyNumberFormat="1" applyFont="1" applyFill="1" applyBorder="1" applyAlignment="1">
      <alignment horizontal="left" vertical="center" wrapText="1"/>
    </xf>
    <xf numFmtId="0" fontId="44" fillId="4" borderId="14" xfId="0" applyNumberFormat="1" applyFont="1" applyFill="1" applyBorder="1" applyAlignment="1">
      <alignment horizontal="left" vertical="center" wrapText="1"/>
    </xf>
    <xf numFmtId="0" fontId="44" fillId="4" borderId="15" xfId="0" applyNumberFormat="1" applyFont="1" applyFill="1" applyBorder="1" applyAlignment="1">
      <alignment horizontal="left" vertical="center" wrapText="1"/>
    </xf>
    <xf numFmtId="0" fontId="44" fillId="4" borderId="1" xfId="0" applyNumberFormat="1" applyFont="1" applyFill="1" applyBorder="1" applyAlignment="1">
      <alignment horizontal="right" vertical="center" wrapText="1"/>
    </xf>
    <xf numFmtId="0" fontId="11" fillId="4" borderId="1" xfId="0" applyNumberFormat="1" applyFont="1" applyFill="1" applyBorder="1" applyAlignment="1">
      <alignment vertical="center" wrapText="1"/>
    </xf>
    <xf numFmtId="0" fontId="11" fillId="4" borderId="1" xfId="29" applyNumberFormat="1" applyFont="1" applyFill="1" applyBorder="1" applyAlignment="1">
      <alignment horizontal="right"/>
    </xf>
    <xf numFmtId="0" fontId="11" fillId="4" borderId="1" xfId="29" applyNumberFormat="1" applyFont="1" applyFill="1" applyBorder="1" applyAlignment="1">
      <alignment horizontal="left"/>
    </xf>
    <xf numFmtId="0" fontId="23" fillId="53" borderId="1" xfId="0" applyNumberFormat="1" applyFont="1" applyFill="1" applyBorder="1" applyAlignment="1">
      <alignment horizontal="center" vertical="center" wrapText="1"/>
    </xf>
    <xf numFmtId="0" fontId="23" fillId="53" borderId="1" xfId="0" applyNumberFormat="1" applyFont="1" applyFill="1" applyBorder="1" applyAlignment="1">
      <alignment horizontal="left" vertical="center" wrapText="1"/>
    </xf>
    <xf numFmtId="0" fontId="23" fillId="53" borderId="1" xfId="0" applyNumberFormat="1" applyFont="1" applyFill="1" applyBorder="1" applyAlignment="1">
      <alignment vertical="center" wrapText="1"/>
    </xf>
    <xf numFmtId="0" fontId="11" fillId="4" borderId="1" xfId="0" applyNumberFormat="1" applyFont="1" applyFill="1" applyBorder="1" applyAlignment="1">
      <alignment horizontal="center" vertical="center" wrapText="1"/>
    </xf>
    <xf numFmtId="0" fontId="44" fillId="4" borderId="1" xfId="0" applyNumberFormat="1" applyFont="1" applyFill="1" applyBorder="1" applyAlignment="1">
      <alignment horizontal="left" vertical="center"/>
    </xf>
    <xf numFmtId="0" fontId="11" fillId="4" borderId="1" xfId="0" applyNumberFormat="1" applyFont="1" applyFill="1" applyBorder="1" applyAlignment="1">
      <alignment horizontal="left" vertical="center" wrapText="1"/>
    </xf>
    <xf numFmtId="0" fontId="44" fillId="4" borderId="16" xfId="0" applyNumberFormat="1" applyFont="1" applyFill="1" applyBorder="1" applyAlignment="1">
      <alignment horizontal="center" vertical="center"/>
    </xf>
    <xf numFmtId="0" fontId="44" fillId="4" borderId="23" xfId="0" applyNumberFormat="1" applyFont="1" applyFill="1" applyBorder="1" applyAlignment="1">
      <alignment horizontal="center" vertical="center"/>
    </xf>
    <xf numFmtId="0" fontId="44" fillId="4" borderId="22" xfId="0" applyNumberFormat="1" applyFont="1" applyFill="1" applyBorder="1" applyAlignment="1">
      <alignment horizontal="left" vertical="center"/>
    </xf>
    <xf numFmtId="0" fontId="11" fillId="4" borderId="1" xfId="0" applyNumberFormat="1" applyFont="1" applyFill="1" applyBorder="1" applyAlignment="1">
      <alignment horizontal="right" vertical="center" wrapText="1"/>
    </xf>
    <xf numFmtId="0" fontId="34" fillId="4" borderId="1" xfId="0" applyNumberFormat="1" applyFont="1" applyFill="1" applyBorder="1" applyAlignment="1">
      <alignment horizontal="right" vertical="center" wrapText="1"/>
    </xf>
    <xf numFmtId="0" fontId="34" fillId="4" borderId="1" xfId="0" applyNumberFormat="1" applyFont="1" applyFill="1" applyBorder="1" applyAlignment="1">
      <alignment horizontal="left" vertical="center" wrapText="1"/>
    </xf>
    <xf numFmtId="0" fontId="34" fillId="53" borderId="1" xfId="0" applyNumberFormat="1" applyFont="1" applyFill="1" applyBorder="1" applyAlignment="1">
      <alignment horizontal="center" vertical="center" wrapText="1"/>
    </xf>
    <xf numFmtId="0" fontId="34" fillId="53" borderId="1" xfId="0" applyNumberFormat="1" applyFont="1" applyFill="1" applyBorder="1" applyAlignment="1">
      <alignment horizontal="left" vertical="center" wrapText="1"/>
    </xf>
    <xf numFmtId="0" fontId="44" fillId="4" borderId="1" xfId="0" applyNumberFormat="1" applyFont="1" applyFill="1" applyBorder="1" applyAlignment="1">
      <alignment horizontal="center" vertical="center"/>
    </xf>
    <xf numFmtId="0" fontId="11" fillId="4" borderId="1" xfId="0" applyNumberFormat="1" applyFont="1" applyFill="1" applyBorder="1" applyAlignment="1">
      <alignment horizontal="right" vertical="center"/>
    </xf>
    <xf numFmtId="0" fontId="11" fillId="4" borderId="1" xfId="0" applyNumberFormat="1" applyFont="1" applyFill="1" applyBorder="1" applyAlignment="1">
      <alignment horizontal="left" vertical="center"/>
    </xf>
    <xf numFmtId="0" fontId="34" fillId="3" borderId="1" xfId="0" applyNumberFormat="1" applyFont="1" applyFill="1" applyBorder="1" applyAlignment="1">
      <alignment horizontal="center" vertical="center" wrapText="1"/>
    </xf>
    <xf numFmtId="0" fontId="34" fillId="3" borderId="1" xfId="0" applyNumberFormat="1" applyFont="1" applyFill="1" applyBorder="1" applyAlignment="1">
      <alignment horizontal="left" vertical="center" wrapText="1"/>
    </xf>
    <xf numFmtId="0" fontId="34" fillId="53" borderId="13" xfId="0" applyNumberFormat="1" applyFont="1" applyFill="1" applyBorder="1" applyAlignment="1">
      <alignment horizontal="center" vertical="center" wrapText="1"/>
    </xf>
    <xf numFmtId="0" fontId="34" fillId="53" borderId="15" xfId="0" applyNumberFormat="1" applyFont="1" applyFill="1" applyBorder="1" applyAlignment="1">
      <alignment horizontal="center" vertical="center" wrapText="1"/>
    </xf>
    <xf numFmtId="0" fontId="11" fillId="4" borderId="13" xfId="0" applyNumberFormat="1" applyFont="1" applyFill="1" applyBorder="1" applyAlignment="1">
      <alignment horizontal="center" vertical="center" wrapText="1"/>
    </xf>
    <xf numFmtId="0" fontId="11" fillId="4" borderId="15" xfId="0" applyNumberFormat="1" applyFont="1" applyFill="1" applyBorder="1" applyAlignment="1">
      <alignment horizontal="center" vertical="center" wrapText="1"/>
    </xf>
    <xf numFmtId="7" fontId="44" fillId="4" borderId="1" xfId="0" applyNumberFormat="1" applyFont="1" applyFill="1" applyBorder="1" applyAlignment="1">
      <alignment horizontal="center" vertical="center"/>
    </xf>
    <xf numFmtId="0" fontId="34" fillId="10" borderId="1" xfId="0" applyNumberFormat="1" applyFont="1" applyFill="1" applyBorder="1" applyAlignment="1">
      <alignment horizontal="center" vertical="center"/>
    </xf>
    <xf numFmtId="0" fontId="44" fillId="3" borderId="1" xfId="0" applyNumberFormat="1" applyFont="1" applyFill="1" applyBorder="1" applyAlignment="1">
      <alignment horizontal="center" vertical="center" wrapText="1"/>
    </xf>
    <xf numFmtId="0" fontId="44" fillId="3" borderId="1" xfId="0" applyNumberFormat="1" applyFont="1" applyFill="1" applyBorder="1" applyAlignment="1">
      <alignment vertical="center"/>
    </xf>
    <xf numFmtId="197" fontId="11" fillId="4" borderId="1" xfId="0" applyNumberFormat="1" applyFont="1" applyFill="1" applyBorder="1" applyAlignment="1">
      <alignment horizontal="center" vertical="center" wrapText="1" readingOrder="1"/>
    </xf>
    <xf numFmtId="176" fontId="13" fillId="4" borderId="1" xfId="0" applyFont="1" applyFill="1" applyBorder="1" applyAlignment="1">
      <alignment vertical="center"/>
    </xf>
    <xf numFmtId="176" fontId="11" fillId="4" borderId="1" xfId="0" applyFont="1" applyFill="1" applyBorder="1" applyAlignment="1">
      <alignment horizontal="left" vertical="center"/>
    </xf>
    <xf numFmtId="7" fontId="76" fillId="4" borderId="1" xfId="0" applyNumberFormat="1" applyFont="1" applyFill="1" applyBorder="1" applyAlignment="1">
      <alignment horizontal="center" vertical="center" wrapText="1"/>
    </xf>
    <xf numFmtId="176" fontId="11" fillId="4" borderId="1" xfId="0" applyFont="1" applyFill="1" applyBorder="1" applyAlignment="1">
      <alignment horizontal="center" vertical="center"/>
    </xf>
    <xf numFmtId="0" fontId="13" fillId="4" borderId="1" xfId="0" applyNumberFormat="1" applyFont="1" applyFill="1" applyBorder="1" applyAlignment="1">
      <alignment vertical="center"/>
    </xf>
    <xf numFmtId="176" fontId="12" fillId="0" borderId="1" xfId="0" applyFont="1" applyBorder="1" applyAlignment="1">
      <alignment vertical="center"/>
    </xf>
    <xf numFmtId="197" fontId="76" fillId="4" borderId="1" xfId="0" applyNumberFormat="1" applyFont="1" applyFill="1" applyBorder="1" applyAlignment="1">
      <alignment horizontal="center" vertical="center" wrapText="1" readingOrder="1"/>
    </xf>
    <xf numFmtId="176" fontId="13" fillId="4" borderId="1" xfId="0" applyFont="1" applyFill="1" applyBorder="1" applyAlignment="1">
      <alignment horizontal="left" vertical="center"/>
    </xf>
    <xf numFmtId="0" fontId="44" fillId="4" borderId="1" xfId="0" applyNumberFormat="1" applyFont="1" applyFill="1" applyBorder="1" applyAlignment="1">
      <alignment vertical="center"/>
    </xf>
    <xf numFmtId="197" fontId="76" fillId="4" borderId="1" xfId="0" applyNumberFormat="1" applyFont="1" applyFill="1" applyBorder="1" applyAlignment="1">
      <alignment horizontal="center" vertical="center"/>
    </xf>
    <xf numFmtId="0" fontId="11" fillId="4" borderId="1" xfId="0" applyNumberFormat="1" applyFont="1" applyFill="1" applyBorder="1" applyAlignment="1">
      <alignment horizontal="center" vertical="center"/>
    </xf>
    <xf numFmtId="0" fontId="44" fillId="4" borderId="1" xfId="0" applyNumberFormat="1" applyFont="1" applyFill="1" applyBorder="1" applyAlignment="1">
      <alignment horizontal="center" vertical="top"/>
    </xf>
    <xf numFmtId="0" fontId="44" fillId="4" borderId="15" xfId="0" applyNumberFormat="1" applyFont="1" applyFill="1" applyBorder="1" applyAlignment="1">
      <alignment horizontal="center" vertical="center"/>
    </xf>
    <xf numFmtId="0" fontId="44" fillId="4" borderId="13" xfId="0" applyNumberFormat="1" applyFont="1" applyFill="1" applyBorder="1" applyAlignment="1">
      <alignment horizontal="center" vertical="center"/>
    </xf>
    <xf numFmtId="0" fontId="44" fillId="4" borderId="14" xfId="0" applyNumberFormat="1" applyFont="1" applyFill="1" applyBorder="1" applyAlignment="1">
      <alignment horizontal="center" vertical="center"/>
    </xf>
    <xf numFmtId="0" fontId="44" fillId="4" borderId="1" xfId="0" applyNumberFormat="1" applyFont="1" applyFill="1" applyBorder="1" applyAlignment="1">
      <alignment horizontal="right" vertical="center"/>
    </xf>
    <xf numFmtId="0" fontId="44" fillId="4" borderId="1" xfId="0" applyNumberFormat="1" applyFont="1" applyFill="1" applyBorder="1" applyAlignment="1">
      <alignment vertical="top" wrapText="1"/>
    </xf>
    <xf numFmtId="0" fontId="44" fillId="4" borderId="1" xfId="0" applyNumberFormat="1" applyFont="1" applyFill="1" applyBorder="1" applyAlignment="1">
      <alignment vertical="center" wrapText="1"/>
    </xf>
    <xf numFmtId="0" fontId="71" fillId="4" borderId="1" xfId="0" applyNumberFormat="1" applyFont="1" applyFill="1" applyBorder="1" applyAlignment="1">
      <alignment horizontal="left" vertical="center" wrapText="1" readingOrder="1"/>
    </xf>
    <xf numFmtId="199" fontId="71" fillId="4" borderId="1" xfId="0" applyNumberFormat="1" applyFont="1" applyFill="1" applyBorder="1" applyAlignment="1">
      <alignment vertical="center" wrapText="1" readingOrder="1"/>
    </xf>
    <xf numFmtId="0" fontId="71" fillId="4" borderId="1" xfId="0" applyNumberFormat="1" applyFont="1" applyFill="1" applyBorder="1" applyAlignment="1">
      <alignment horizontal="left" vertical="center"/>
    </xf>
    <xf numFmtId="199" fontId="11" fillId="4" borderId="1" xfId="0" applyNumberFormat="1" applyFont="1" applyFill="1" applyBorder="1" applyAlignment="1">
      <alignment vertical="center" wrapText="1" readingOrder="1"/>
    </xf>
    <xf numFmtId="0" fontId="11" fillId="4" borderId="1" xfId="0" applyNumberFormat="1" applyFont="1" applyFill="1" applyBorder="1" applyAlignment="1">
      <alignment horizontal="left" vertical="center" wrapText="1" readingOrder="1"/>
    </xf>
    <xf numFmtId="200" fontId="11" fillId="4" borderId="1" xfId="0" applyNumberFormat="1" applyFont="1" applyFill="1" applyBorder="1" applyAlignment="1">
      <alignment horizontal="center" vertical="center"/>
    </xf>
    <xf numFmtId="176" fontId="11" fillId="4" borderId="1" xfId="0" applyFont="1" applyFill="1" applyBorder="1" applyAlignment="1">
      <alignment vertical="center"/>
    </xf>
    <xf numFmtId="199" fontId="71" fillId="4" borderId="1" xfId="0" applyNumberFormat="1" applyFont="1" applyFill="1" applyBorder="1" applyAlignment="1">
      <alignment horizontal="left" vertical="center" wrapText="1" readingOrder="1"/>
    </xf>
    <xf numFmtId="7" fontId="44" fillId="4" borderId="1" xfId="0" applyNumberFormat="1" applyFont="1" applyFill="1" applyBorder="1" applyAlignment="1">
      <alignment horizontal="left" vertical="center" wrapText="1"/>
    </xf>
    <xf numFmtId="184" fontId="11" fillId="4" borderId="1" xfId="0" applyNumberFormat="1" applyFont="1" applyFill="1" applyBorder="1" applyAlignment="1" applyProtection="1">
      <alignment horizontal="left" vertical="center" wrapText="1"/>
      <protection locked="0"/>
    </xf>
    <xf numFmtId="0" fontId="44" fillId="4" borderId="16" xfId="0" applyNumberFormat="1" applyFont="1" applyFill="1" applyBorder="1" applyAlignment="1">
      <alignment horizontal="center" vertical="center" wrapText="1"/>
    </xf>
    <xf numFmtId="0" fontId="44" fillId="4" borderId="23" xfId="0" applyNumberFormat="1" applyFont="1" applyFill="1" applyBorder="1" applyAlignment="1">
      <alignment horizontal="center" vertical="center" wrapText="1"/>
    </xf>
    <xf numFmtId="0" fontId="44" fillId="4" borderId="22" xfId="0" applyNumberFormat="1" applyFont="1" applyFill="1" applyBorder="1" applyAlignment="1">
      <alignment horizontal="center" vertical="center" wrapText="1"/>
    </xf>
    <xf numFmtId="7" fontId="44" fillId="4" borderId="1" xfId="0" applyNumberFormat="1" applyFont="1" applyFill="1" applyBorder="1" applyAlignment="1">
      <alignment horizontal="center" vertical="center" wrapText="1"/>
    </xf>
    <xf numFmtId="0" fontId="11" fillId="10" borderId="16" xfId="0" applyNumberFormat="1" applyFont="1" applyFill="1" applyBorder="1" applyAlignment="1">
      <alignment horizontal="center" vertical="center"/>
    </xf>
    <xf numFmtId="0" fontId="44" fillId="10" borderId="16" xfId="0" applyNumberFormat="1" applyFont="1" applyFill="1" applyBorder="1" applyAlignment="1">
      <alignment horizontal="left" vertical="center" wrapText="1"/>
    </xf>
    <xf numFmtId="0" fontId="23" fillId="10" borderId="1" xfId="0" applyNumberFormat="1" applyFont="1" applyFill="1" applyBorder="1" applyAlignment="1">
      <alignment horizontal="right" vertical="center" wrapText="1"/>
    </xf>
    <xf numFmtId="0" fontId="11" fillId="10" borderId="22" xfId="0" applyNumberFormat="1" applyFont="1" applyFill="1" applyBorder="1" applyAlignment="1">
      <alignment horizontal="center" vertical="center"/>
    </xf>
    <xf numFmtId="0" fontId="44" fillId="10" borderId="22" xfId="0" applyNumberFormat="1" applyFont="1" applyFill="1" applyBorder="1" applyAlignment="1">
      <alignment horizontal="left" vertical="center" wrapText="1"/>
    </xf>
    <xf numFmtId="7" fontId="11" fillId="4" borderId="1" xfId="0" applyNumberFormat="1" applyFont="1" applyFill="1" applyBorder="1" applyAlignment="1">
      <alignment horizontal="left" vertical="center" wrapText="1"/>
    </xf>
    <xf numFmtId="7" fontId="76" fillId="4" borderId="1" xfId="0" applyNumberFormat="1" applyFont="1" applyFill="1" applyBorder="1" applyAlignment="1">
      <alignment horizontal="left" vertical="center" wrapText="1"/>
    </xf>
    <xf numFmtId="7" fontId="11" fillId="10" borderId="1" xfId="0" applyNumberFormat="1" applyFont="1" applyFill="1" applyBorder="1" applyAlignment="1">
      <alignment vertical="center" wrapText="1"/>
    </xf>
  </cellXfs>
  <cellStyles count="245">
    <cellStyle name="常规" xfId="0" builtinId="0"/>
    <cellStyle name="普通_ 新MODEL 日 程" xfId="1"/>
    <cellStyle name="货币[0]" xfId="2" builtinId="7"/>
    <cellStyle name="20% - 强调文字颜色 3" xfId="3" builtinId="38"/>
    <cellStyle name="输入" xfId="4" builtinId="20"/>
    <cellStyle name="常规 2 2 4" xfId="5"/>
    <cellStyle name="货币" xfId="6" builtinId="4"/>
    <cellStyle name="千位分隔[0]" xfId="7" builtinId="6"/>
    <cellStyle name="40% - 强调文字颜色 3" xfId="8" builtinId="39"/>
    <cellStyle name="差" xfId="9" builtinId="27"/>
    <cellStyle name="千位分隔" xfId="10" builtinId="3"/>
    <cellStyle name="_Cisco UC shanghai AV RUNDOWN 0922" xfId="11"/>
    <cellStyle name="60% - 强调文字颜色 3" xfId="12" builtinId="40"/>
    <cellStyle name="超链接" xfId="13" builtinId="8"/>
    <cellStyle name="百分比" xfId="14" builtinId="5"/>
    <cellStyle name="已访问的超链接" xfId="15" builtinId="9"/>
    <cellStyle name="常规 6" xfId="16"/>
    <cellStyle name="注释" xfId="17" builtinId="10"/>
    <cellStyle name="60% - 强调文字颜色 2" xfId="18" builtinId="36"/>
    <cellStyle name="常规_Schedule-1 page" xfId="19"/>
    <cellStyle name="标题 4" xfId="20" builtinId="19"/>
    <cellStyle name="7_41-VCR (2)_표준 General Spec-CCTV_v2-SCR-3000" xfId="21"/>
    <cellStyle name="警告文本" xfId="22" builtinId="11"/>
    <cellStyle name="_ET_STYLE_NoName_00_" xfId="23"/>
    <cellStyle name="常规 5 2" xfId="24"/>
    <cellStyle name="标题" xfId="25" builtinId="15"/>
    <cellStyle name="0,0_x000d__x000d_NA_x000d__x000d_" xfId="26"/>
    <cellStyle name="解释性文本" xfId="27" builtinId="53"/>
    <cellStyle name="_Name List for Badge Design" xfId="28"/>
    <cellStyle name="常规 8" xfId="29"/>
    <cellStyle name="??&amp;O?&amp;H?_x0008__x000f__x0007_?_x0007__x0001__x0001_" xfId="30"/>
    <cellStyle name="标题 1" xfId="31" builtinId="16"/>
    <cellStyle name="0,0_x000d__x000a_NA_x000d__x000a_" xfId="32"/>
    <cellStyle name="标题 2" xfId="33" builtinId="17"/>
    <cellStyle name="60% - 强调文字颜色 1" xfId="34" builtinId="32"/>
    <cellStyle name="7_표준 General Spec-CCTV_v1_표준 General Spec-CCTV_v2" xfId="35"/>
    <cellStyle name="标题 3" xfId="36" builtinId="18"/>
    <cellStyle name="60% - 强调文字颜色 4" xfId="37" builtinId="44"/>
    <cellStyle name="输出" xfId="38" builtinId="21"/>
    <cellStyle name="_IBM_Power_Systems_Launch_Event_Demo_Collection0522v1" xfId="39"/>
    <cellStyle name="Input" xfId="40"/>
    <cellStyle name="计算" xfId="41" builtinId="22"/>
    <cellStyle name="检查单元格" xfId="42" builtinId="23"/>
    <cellStyle name="20% - 强调文字颜色 6" xfId="43" builtinId="50"/>
    <cellStyle name="强调文字颜色 2" xfId="44" builtinId="33"/>
    <cellStyle name="链接单元格" xfId="45" builtinId="24"/>
    <cellStyle name="___laroux_Roles &amp; Responsibilities" xfId="46"/>
    <cellStyle name="汇总" xfId="47" builtinId="25"/>
    <cellStyle name="Milliers_!!!GO" xfId="48"/>
    <cellStyle name="___PERSONAL" xfId="49"/>
    <cellStyle name="好" xfId="50" builtinId="26"/>
    <cellStyle name="Heading 3" xfId="51"/>
    <cellStyle name="7" xfId="52"/>
    <cellStyle name="适中" xfId="53" builtinId="28"/>
    <cellStyle name="20% - 强调文字颜色 5" xfId="54" builtinId="46"/>
    <cellStyle name="霓付 [0]_  辆  钦  " xfId="55"/>
    <cellStyle name="强调文字颜色 1" xfId="56" builtinId="29"/>
    <cellStyle name="??&amp;O?&amp;H?_x0008_??_x0007__x0001__x0001_" xfId="57"/>
    <cellStyle name="7_41-VCR (2)" xfId="58"/>
    <cellStyle name="20% - 强调文字颜色 1" xfId="59" builtinId="30"/>
    <cellStyle name="40% - 强调文字颜色 1" xfId="60" builtinId="31"/>
    <cellStyle name="20% - 强调文字颜色 2" xfId="61" builtinId="34"/>
    <cellStyle name="40% - 强调文字颜色 2" xfId="62" builtinId="35"/>
    <cellStyle name="___laroux_Contact list for Forum 2003 0129 1-final" xfId="63"/>
    <cellStyle name="Hyperlink 2" xfId="64"/>
    <cellStyle name="强调文字颜色 3" xfId="65" builtinId="37"/>
    <cellStyle name="Hyperlink 3" xfId="66"/>
    <cellStyle name="强调文字颜色 4" xfId="67" builtinId="41"/>
    <cellStyle name="콤마 [0]_  종  합  " xfId="68"/>
    <cellStyle name="20% - 强调文字颜色 4" xfId="69" builtinId="42"/>
    <cellStyle name="60% - Accent1" xfId="70"/>
    <cellStyle name="____[0]_PERSONAL" xfId="71"/>
    <cellStyle name="40% - 强调文字颜色 4" xfId="72" builtinId="43"/>
    <cellStyle name="强调文字颜色 5" xfId="73" builtinId="45"/>
    <cellStyle name="40% - 强调文字颜色 5" xfId="74" builtinId="47"/>
    <cellStyle name="_5302559 Siemens VAI Metals Symposium 2009_ OPS File 0900603 v1.3" xfId="75"/>
    <cellStyle name="AeE­_¸ðμ¨º° ¼OAI" xfId="76"/>
    <cellStyle name="_Operation of Cisco UC Launch_0923" xfId="77"/>
    <cellStyle name="60% - 强调文字颜色 5" xfId="78" builtinId="48"/>
    <cellStyle name="强调文字颜色 6" xfId="79" builtinId="49"/>
    <cellStyle name="40% - 强调文字颜色 6" xfId="80" builtinId="51"/>
    <cellStyle name="60% - 强调文字颜色 6" xfId="81" builtinId="52"/>
    <cellStyle name="__[0]_PERSONAL" xfId="82"/>
    <cellStyle name="_____PERSONAL" xfId="83"/>
    <cellStyle name="___laroux" xfId="84"/>
    <cellStyle name="_5303498 Siemens Mobility China new year party 2010 OPS files 20100226V1" xfId="85"/>
    <cellStyle name="_SCMM 2009 Contact List" xfId="86"/>
    <cellStyle name="常规 10" xfId="87"/>
    <cellStyle name="Good" xfId="88"/>
    <cellStyle name="_Sheet1" xfId="89"/>
    <cellStyle name="0,0_x000a__x000a_NA_x000a__x000a_" xfId="90"/>
    <cellStyle name="Grey" xfId="91"/>
    <cellStyle name="0,0_x000d__x000a_NA_x000d__x000a_ 2" xfId="92"/>
    <cellStyle name="0,0_x000d__x000a_NA_x000d__x000a_ 3" xfId="93"/>
    <cellStyle name="0,0_x000d__x000a_NA_x000d__x000a__InfoComm Product Content list-090608" xfId="94"/>
    <cellStyle name="20% - Accent1" xfId="95"/>
    <cellStyle name="20% - Accent2" xfId="96"/>
    <cellStyle name="20% - Accent3" xfId="97"/>
    <cellStyle name="20% - Accent4" xfId="98"/>
    <cellStyle name="常规 4" xfId="99"/>
    <cellStyle name="20% - Accent4 2" xfId="100"/>
    <cellStyle name="20% - Accent5" xfId="101"/>
    <cellStyle name="20% - Accent6" xfId="102"/>
    <cellStyle name="40% - Accent1" xfId="103"/>
    <cellStyle name="40% - Accent2" xfId="104"/>
    <cellStyle name="40% - Accent3" xfId="105"/>
    <cellStyle name="Normal - Style1" xfId="106"/>
    <cellStyle name="40% - Accent4" xfId="107"/>
    <cellStyle name="40% - Accent5" xfId="108"/>
    <cellStyle name="40% - Accent6" xfId="109"/>
    <cellStyle name="常规 2 2" xfId="110"/>
    <cellStyle name="60% - Accent2" xfId="111"/>
    <cellStyle name="常规 2 3" xfId="112"/>
    <cellStyle name="60% - Accent3" xfId="113"/>
    <cellStyle name="常规 2 4" xfId="114"/>
    <cellStyle name="60% - Accent4" xfId="115"/>
    <cellStyle name="常规 2 5" xfId="116"/>
    <cellStyle name="60% - Accent5" xfId="117"/>
    <cellStyle name="60% - Accent6" xfId="118"/>
    <cellStyle name="常规 15 2" xfId="119"/>
    <cellStyle name="7_41-VCR (2)_SNS-110 SHR-3160 SHR-3090  General Spec-CCTV" xfId="120"/>
    <cellStyle name="7_41-VCR (2)_표준 General Spec-cam_0521" xfId="121"/>
    <cellStyle name="Accent3" xfId="122"/>
    <cellStyle name="7_41-VCR (2)_표준 General Spec-CCTV_v1" xfId="123"/>
    <cellStyle name="7_41-VCR (2)_표준 General Spec-CCTV_v1_표준 General Spec-CCTV_v2" xfId="124"/>
    <cellStyle name="Accent4" xfId="125"/>
    <cellStyle name="7_41-VCR (2)_표준 General Spec-CCTV_v2" xfId="126"/>
    <cellStyle name="7_41-VCR (2)_표준 General Spec-CCTV_v2_PC Based DVR" xfId="127"/>
    <cellStyle name="7_SNS-110 SHR-3160 SHR-3090  General Spec-CCTV" xfId="128"/>
    <cellStyle name="7_VCR General Spec 양식" xfId="129"/>
    <cellStyle name="常规 2 2_Sheet2" xfId="130"/>
    <cellStyle name="7_VCR General Spec 양식_SNS-110 SHR-3160 SHR-3090  General Spec-CCTV" xfId="131"/>
    <cellStyle name="7_VCR General Spec 양식_표준 General Spec-cam_0521" xfId="132"/>
    <cellStyle name="새귑_롤痰삠悧 " xfId="133"/>
    <cellStyle name="7_VCR General Spec 양식_표준 General Spec-CCTV_v1" xfId="134"/>
    <cellStyle name="7_VCR General Spec 양식_표준 General Spec-CCTV_v1_표준 General Spec-CCTV_v2" xfId="135"/>
    <cellStyle name="7_VCR General Spec 양식_표준 General Spec-CCTV_v2" xfId="136"/>
    <cellStyle name="7_VCR General Spec 양식_표준 General Spec-CCTV_v2_PC Based DVR" xfId="137"/>
    <cellStyle name="Activity" xfId="138"/>
    <cellStyle name="7_VCR General Spec 양식_표준 General Spec-CCTV_v2-SCR-3000" xfId="139"/>
    <cellStyle name="7_표준 General Spec-cam_0521" xfId="140"/>
    <cellStyle name="7_표준 General Spec-CCTV_v1" xfId="141"/>
    <cellStyle name="7_표준 General Spec-CCTV_v2" xfId="142"/>
    <cellStyle name="7_표준 General Spec-CCTV_v2_PC Based DVR" xfId="143"/>
    <cellStyle name="7_표준 General Spec-CCTV_v2-SCR-3000" xfId="144"/>
    <cellStyle name="Accent1" xfId="145"/>
    <cellStyle name="Accent2" xfId="146"/>
    <cellStyle name="Accent5" xfId="147"/>
    <cellStyle name="Accent6" xfId="148"/>
    <cellStyle name="AeE­ [0]_¸ðμ¨º° ¼OAI" xfId="149"/>
    <cellStyle name="AÞ¸¶ [0]_¸ðμ¨º° ¼OAI" xfId="150"/>
    <cellStyle name="AÞ¸¶_¸ðμ¨º° ¼OAI" xfId="151"/>
    <cellStyle name="Bad" xfId="152"/>
    <cellStyle name="C￥AØ_¸ðμ¨º° ¼OAI" xfId="153"/>
    <cellStyle name="Calculation" xfId="154"/>
    <cellStyle name="category" xfId="155"/>
    <cellStyle name="常规 20" xfId="156"/>
    <cellStyle name="常规 15" xfId="157"/>
    <cellStyle name="μU¿¡ ¿A´A CIAIÆU¸μAⓒ" xfId="158"/>
    <cellStyle name="Check Cell" xfId="159"/>
    <cellStyle name="CIAIÆU¸μAⓒ" xfId="160"/>
    <cellStyle name="Comma" xfId="161"/>
    <cellStyle name="Excel Built-in Normal" xfId="162"/>
    <cellStyle name="Explanatory Text" xfId="163"/>
    <cellStyle name="HEADER" xfId="164"/>
    <cellStyle name="Header1" xfId="165"/>
    <cellStyle name="钎霖_  辆  钦  " xfId="166"/>
    <cellStyle name="Header2" xfId="167"/>
    <cellStyle name="Heading 1" xfId="168"/>
    <cellStyle name="Heading 2" xfId="169"/>
    <cellStyle name="Heading 4" xfId="170"/>
    <cellStyle name="样式 1_IBM_SOA_Impact_2009_Demo_booth collection_0601" xfId="171"/>
    <cellStyle name="Hyperlink_CEO China Visit_Project_Plan_CN_V6_07-02-28- Final" xfId="172"/>
    <cellStyle name="Input [yellow]" xfId="173"/>
    <cellStyle name="Linked Cell" xfId="174"/>
    <cellStyle name="Milliers [0]_!!!GO" xfId="175"/>
    <cellStyle name="Model" xfId="176"/>
    <cellStyle name="Mon?aire [0]_!!!GO" xfId="177"/>
    <cellStyle name="Mon?aire_!!!GO" xfId="178"/>
    <cellStyle name="Neutral" xfId="179"/>
    <cellStyle name="Normal 2" xfId="180"/>
    <cellStyle name="Normal 3" xfId="181"/>
    <cellStyle name="Normal 4" xfId="182"/>
    <cellStyle name="Normal_080627-Name list of PSS" xfId="183"/>
    <cellStyle name="Note" xfId="184"/>
    <cellStyle name="Output" xfId="185"/>
    <cellStyle name="Percent [2]" xfId="186"/>
    <cellStyle name="STANDARD" xfId="187"/>
    <cellStyle name="subhead" xfId="188"/>
    <cellStyle name="常规 2" xfId="189"/>
    <cellStyle name="Title" xfId="190"/>
    <cellStyle name="Total" xfId="191"/>
    <cellStyle name="Warning Text" xfId="192"/>
    <cellStyle name="標準_020809UC(Samsung)" xfId="193"/>
    <cellStyle name="差_Sheet2" xfId="194"/>
    <cellStyle name="常规 10 2" xfId="195"/>
    <cellStyle name="常规 11" xfId="196"/>
    <cellStyle name="常规 12" xfId="197"/>
    <cellStyle name="常规 13" xfId="198"/>
    <cellStyle name="常规 14" xfId="199"/>
    <cellStyle name="常规 15 3" xfId="200"/>
    <cellStyle name="常规 15 4" xfId="201"/>
    <cellStyle name="常规 21" xfId="202"/>
    <cellStyle name="常规 16" xfId="203"/>
    <cellStyle name="常规 22" xfId="204"/>
    <cellStyle name="常规 17" xfId="205"/>
    <cellStyle name="常规 23" xfId="206"/>
    <cellStyle name="常规 18" xfId="207"/>
    <cellStyle name="常规 24" xfId="208"/>
    <cellStyle name="常规 19" xfId="209"/>
    <cellStyle name="常规 2 2 2" xfId="210"/>
    <cellStyle name="常规 2 2 2 2 2" xfId="211"/>
    <cellStyle name="烹拳_  辆  钦  " xfId="212"/>
    <cellStyle name="常规 2 2 3" xfId="213"/>
    <cellStyle name="常规 2 4 2" xfId="214"/>
    <cellStyle name="常规 2 5 2" xfId="215"/>
    <cellStyle name="常规 25" xfId="216"/>
    <cellStyle name="常规 27" xfId="217"/>
    <cellStyle name="常规 3" xfId="218"/>
    <cellStyle name="常规 3 2" xfId="219"/>
    <cellStyle name="常规 5" xfId="220"/>
    <cellStyle name="常规 5 3" xfId="221"/>
    <cellStyle name="常规 6 2" xfId="222"/>
    <cellStyle name="常规 7" xfId="223"/>
    <cellStyle name="常规 9" xfId="224"/>
    <cellStyle name="常规_IBM Forum 2004-Contact List" xfId="225"/>
    <cellStyle name="常规_Sheet1" xfId="226"/>
    <cellStyle name="常规_会场" xfId="227"/>
    <cellStyle name="超链接 2" xfId="228"/>
    <cellStyle name="好_Sheet2" xfId="229"/>
    <cellStyle name="超链接 3" xfId="230"/>
    <cellStyle name="超链接 4" xfId="231"/>
    <cellStyle name="超链接 4 2" xfId="232"/>
    <cellStyle name="普通 3 2" xfId="233"/>
    <cellStyle name="超链接 5" xfId="234"/>
    <cellStyle name="霓付_  辆  钦  " xfId="235"/>
    <cellStyle name="烹拳 [0]_  辆  钦  " xfId="236"/>
    <cellStyle name="普通 2" xfId="237"/>
    <cellStyle name="千分位[0]_laroux" xfId="238"/>
    <cellStyle name="千分位_laroux" xfId="239"/>
    <cellStyle name="样式 1" xfId="240"/>
    <cellStyle name="样式 1 2" xfId="241"/>
    <cellStyle name="새귑[0]_롤痰삠悧 " xfId="242"/>
    <cellStyle name="콤마_  종  합  " xfId="243"/>
    <cellStyle name="표준_Product List 양식" xfId="244"/>
  </cellStyles>
  <dxfs count="4">
    <dxf>
      <font>
        <b val="1"/>
        <i val="0"/>
        <color theme="0"/>
      </font>
      <fill>
        <patternFill patternType="solid">
          <bgColor rgb="FF0070C0"/>
        </patternFill>
      </fill>
    </dxf>
    <dxf>
      <fill>
        <patternFill patternType="solid">
          <bgColor rgb="FF00B0F0"/>
        </patternFill>
      </fill>
    </dxf>
    <dxf>
      <font>
        <color rgb="FF006100"/>
      </font>
      <fill>
        <patternFill patternType="solid">
          <bgColor rgb="FFC6EFCE"/>
        </patternFill>
      </fill>
    </dxf>
    <dxf>
      <font>
        <color rgb="FF9C0006"/>
      </font>
      <fill>
        <patternFill patternType="solid">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6" Type="http://schemas.openxmlformats.org/officeDocument/2006/relationships/sharedStrings" Target="sharedStrings.xml"/><Relationship Id="rId25" Type="http://schemas.openxmlformats.org/officeDocument/2006/relationships/styles" Target="styles.xml"/><Relationship Id="rId24" Type="http://schemas.openxmlformats.org/officeDocument/2006/relationships/theme" Target="theme/theme1.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'22分析表'!$A$5</c:f>
              <c:strCache>
                <c:ptCount val="1"/>
                <c:pt idx="0">
                  <c:v>计划</c:v>
                </c:pt>
              </c:strCache>
            </c:strRef>
          </c:tx>
          <c:invertIfNegative val="0"/>
          <c:dLbls>
            <c:delete val="1"/>
          </c:dLbls>
          <c:cat>
            <c:strRef>
              <c:f>'22分析表'!$B$4:$O$4</c:f>
              <c:strCache>
                <c:ptCount val="13"/>
                <c:pt idx="0">
                  <c:v>场地租金</c:v>
                </c:pt>
                <c:pt idx="1">
                  <c:v>宴会/用餐</c:v>
                </c:pt>
                <c:pt idx="2">
                  <c:v>现场设计及布置</c:v>
                </c:pt>
                <c:pt idx="3">
                  <c:v>会议资料及用品</c:v>
                </c:pt>
                <c:pt idx="4">
                  <c:v>设备器材租赁</c:v>
                </c:pt>
                <c:pt idx="5">
                  <c:v>会议礼品</c:v>
                </c:pt>
                <c:pt idx="6">
                  <c:v>影视录音速记翻译</c:v>
                </c:pt>
                <c:pt idx="7">
                  <c:v>会议用食品、点心</c:v>
                </c:pt>
                <c:pt idx="8">
                  <c:v>嘉宾费用</c:v>
                </c:pt>
                <c:pt idx="9">
                  <c:v>媒体费用</c:v>
                </c:pt>
                <c:pt idx="10">
                  <c:v>住宿费用</c:v>
                </c:pt>
                <c:pt idx="11">
                  <c:v>交通费用</c:v>
                </c:pt>
                <c:pt idx="12">
                  <c:v>办公费用</c:v>
                </c:pt>
              </c:strCache>
            </c:strRef>
          </c:cat>
          <c:val>
            <c:numRef>
              <c:f>'22分析表'!$B$5:$O$5</c:f>
              <c:numCache>
                <c:formatCode>General</c:formatCode>
                <c:ptCount val="13"/>
                <c:pt idx="0">
                  <c:v>5000</c:v>
                </c:pt>
                <c:pt idx="1">
                  <c:v>2000</c:v>
                </c:pt>
                <c:pt idx="2">
                  <c:v>5000</c:v>
                </c:pt>
                <c:pt idx="3">
                  <c:v>2000</c:v>
                </c:pt>
                <c:pt idx="4">
                  <c:v>10000</c:v>
                </c:pt>
                <c:pt idx="5">
                  <c:v>1000</c:v>
                </c:pt>
                <c:pt idx="6">
                  <c:v>2000</c:v>
                </c:pt>
                <c:pt idx="7">
                  <c:v>3000</c:v>
                </c:pt>
                <c:pt idx="8">
                  <c:v>8000</c:v>
                </c:pt>
                <c:pt idx="9">
                  <c:v>5000</c:v>
                </c:pt>
                <c:pt idx="10">
                  <c:v>3000</c:v>
                </c:pt>
                <c:pt idx="11">
                  <c:v>2000</c:v>
                </c:pt>
                <c:pt idx="12">
                  <c:v>2000</c:v>
                </c:pt>
              </c:numCache>
            </c:numRef>
          </c:val>
        </c:ser>
        <c:ser>
          <c:idx val="2"/>
          <c:order val="1"/>
          <c:tx>
            <c:strRef>
              <c:f>'22分析表'!$A$7</c:f>
              <c:strCache>
                <c:ptCount val="1"/>
                <c:pt idx="0">
                  <c:v>实际</c:v>
                </c:pt>
              </c:strCache>
            </c:strRef>
          </c:tx>
          <c:invertIfNegative val="0"/>
          <c:dLbls>
            <c:delete val="1"/>
          </c:dLbls>
          <c:cat>
            <c:strRef>
              <c:f>'22分析表'!$B$4:$O$4</c:f>
              <c:strCache>
                <c:ptCount val="13"/>
                <c:pt idx="0">
                  <c:v>场地租金</c:v>
                </c:pt>
                <c:pt idx="1">
                  <c:v>宴会/用餐</c:v>
                </c:pt>
                <c:pt idx="2">
                  <c:v>现场设计及布置</c:v>
                </c:pt>
                <c:pt idx="3">
                  <c:v>会议资料及用品</c:v>
                </c:pt>
                <c:pt idx="4">
                  <c:v>设备器材租赁</c:v>
                </c:pt>
                <c:pt idx="5">
                  <c:v>会议礼品</c:v>
                </c:pt>
                <c:pt idx="6">
                  <c:v>影视录音速记翻译</c:v>
                </c:pt>
                <c:pt idx="7">
                  <c:v>会议用食品、点心</c:v>
                </c:pt>
                <c:pt idx="8">
                  <c:v>嘉宾费用</c:v>
                </c:pt>
                <c:pt idx="9">
                  <c:v>媒体费用</c:v>
                </c:pt>
                <c:pt idx="10">
                  <c:v>住宿费用</c:v>
                </c:pt>
                <c:pt idx="11">
                  <c:v>交通费用</c:v>
                </c:pt>
                <c:pt idx="12">
                  <c:v>办公费用</c:v>
                </c:pt>
              </c:strCache>
            </c:strRef>
          </c:cat>
          <c:val>
            <c:numRef>
              <c:f>'22分析表'!$B$7:$O$7</c:f>
              <c:numCache>
                <c:formatCode>General</c:formatCode>
                <c:ptCount val="13"/>
                <c:pt idx="0">
                  <c:v>4500</c:v>
                </c:pt>
                <c:pt idx="1">
                  <c:v>3000</c:v>
                </c:pt>
                <c:pt idx="2">
                  <c:v>7000</c:v>
                </c:pt>
                <c:pt idx="3">
                  <c:v>1500</c:v>
                </c:pt>
                <c:pt idx="4">
                  <c:v>8000</c:v>
                </c:pt>
                <c:pt idx="5">
                  <c:v>2000</c:v>
                </c:pt>
                <c:pt idx="6">
                  <c:v>1500</c:v>
                </c:pt>
                <c:pt idx="7">
                  <c:v>2000</c:v>
                </c:pt>
                <c:pt idx="8">
                  <c:v>5000</c:v>
                </c:pt>
                <c:pt idx="9">
                  <c:v>5000</c:v>
                </c:pt>
                <c:pt idx="10">
                  <c:v>2000</c:v>
                </c:pt>
                <c:pt idx="11">
                  <c:v>2000</c:v>
                </c:pt>
                <c:pt idx="12">
                  <c:v>1000</c:v>
                </c:pt>
              </c:numCache>
            </c:numRef>
          </c:val>
        </c:ser>
        <c:dLbls>
          <c:showLegendKey val="0"/>
          <c:showVal val="0"/>
          <c:showCatName val="0"/>
          <c:showSerName val="0"/>
          <c:showPercent val="0"/>
          <c:showBubbleSize val="0"/>
        </c:dLbls>
        <c:gapWidth val="150"/>
        <c:axId val="2104933472"/>
        <c:axId val="2101493984"/>
      </c:barChart>
      <c:lineChart>
        <c:grouping val="standard"/>
        <c:varyColors val="0"/>
        <c:ser>
          <c:idx val="4"/>
          <c:order val="2"/>
          <c:tx>
            <c:strRef>
              <c:f>'22分析表'!$A$9</c:f>
              <c:strCache>
                <c:ptCount val="1"/>
                <c:pt idx="0">
                  <c:v>差异率</c:v>
                </c:pt>
              </c:strCache>
            </c:strRef>
          </c:tx>
          <c:spPr>
            <a:ln w="28575" cap="rnd" cmpd="sng" algn="ctr">
              <a:solidFill>
                <a:schemeClr val="accent6">
                  <a:lumMod val="75000"/>
                </a:schemeClr>
              </a:solidFill>
              <a:prstDash val="solid"/>
              <a:round/>
            </a:ln>
          </c:spPr>
          <c:dLbls>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solidFill>
                    <a:latin typeface="+mn-lt"/>
                    <a:ea typeface="+mn-ea"/>
                    <a:cs typeface="+mn-cs"/>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'22分析表'!$B$4:$O$4</c:f>
              <c:strCache>
                <c:ptCount val="13"/>
                <c:pt idx="0">
                  <c:v>场地租金</c:v>
                </c:pt>
                <c:pt idx="1">
                  <c:v>宴会/用餐</c:v>
                </c:pt>
                <c:pt idx="2">
                  <c:v>现场设计及布置</c:v>
                </c:pt>
                <c:pt idx="3">
                  <c:v>会议资料及用品</c:v>
                </c:pt>
                <c:pt idx="4">
                  <c:v>设备器材租赁</c:v>
                </c:pt>
                <c:pt idx="5">
                  <c:v>会议礼品</c:v>
                </c:pt>
                <c:pt idx="6">
                  <c:v>影视录音速记翻译</c:v>
                </c:pt>
                <c:pt idx="7">
                  <c:v>会议用食品、点心</c:v>
                </c:pt>
                <c:pt idx="8">
                  <c:v>嘉宾费用</c:v>
                </c:pt>
                <c:pt idx="9">
                  <c:v>媒体费用</c:v>
                </c:pt>
                <c:pt idx="10">
                  <c:v>住宿费用</c:v>
                </c:pt>
                <c:pt idx="11">
                  <c:v>交通费用</c:v>
                </c:pt>
                <c:pt idx="12">
                  <c:v>办公费用</c:v>
                </c:pt>
              </c:strCache>
            </c:strRef>
          </c:cat>
          <c:val>
            <c:numRef>
              <c:f>'22分析表'!$B$9:$O$9</c:f>
              <c:numCache>
                <c:formatCode>0.00%</c:formatCode>
                <c:ptCount val="13"/>
                <c:pt idx="0">
                  <c:v>-0.1</c:v>
                </c:pt>
                <c:pt idx="1">
                  <c:v>0.5</c:v>
                </c:pt>
                <c:pt idx="2">
                  <c:v>0.4</c:v>
                </c:pt>
                <c:pt idx="3">
                  <c:v>-0.25</c:v>
                </c:pt>
                <c:pt idx="4">
                  <c:v>-0.2</c:v>
                </c:pt>
                <c:pt idx="5">
                  <c:v>1</c:v>
                </c:pt>
                <c:pt idx="6">
                  <c:v>-0.25</c:v>
                </c:pt>
                <c:pt idx="7">
                  <c:v>-0.333333333333333</c:v>
                </c:pt>
                <c:pt idx="8">
                  <c:v>-0.375</c:v>
                </c:pt>
                <c:pt idx="9">
                  <c:v>0</c:v>
                </c:pt>
                <c:pt idx="10">
                  <c:v>-0.333333333333333</c:v>
                </c:pt>
                <c:pt idx="11">
                  <c:v>0</c:v>
                </c:pt>
                <c:pt idx="12">
                  <c:v>-0.5</c:v>
                </c:pt>
              </c:numCache>
            </c:numRef>
          </c:val>
          <c:smooth val="0"/>
        </c:ser>
        <c:dLbls>
          <c:showLegendKey val="0"/>
          <c:showVal val="0"/>
          <c:showCatName val="0"/>
          <c:showSerName val="0"/>
          <c:showPercent val="0"/>
          <c:showBubbleSize val="0"/>
        </c:dLbls>
        <c:marker val="1"/>
        <c:smooth val="0"/>
        <c:axId val="2104937216"/>
        <c:axId val="2104939536"/>
      </c:lineChart>
      <c:catAx>
        <c:axId val="2104933472"/>
        <c:scaling>
          <c:orientation val="minMax"/>
        </c:scaling>
        <c:delete val="0"/>
        <c:axPos val="b"/>
        <c:numFmt formatCode="General" sourceLinked="0"/>
        <c:majorTickMark val="out"/>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2101493984"/>
        <c:crosses val="autoZero"/>
        <c:auto val="1"/>
        <c:lblAlgn val="ctr"/>
        <c:lblOffset val="100"/>
        <c:noMultiLvlLbl val="0"/>
      </c:catAx>
      <c:valAx>
        <c:axId val="2101493984"/>
        <c:scaling>
          <c:orientation val="minMax"/>
        </c:scaling>
        <c:delete val="0"/>
        <c:axPos val="l"/>
        <c:majorGridlines/>
        <c:numFmt formatCode="General" sourceLinked="1"/>
        <c:majorTickMark val="out"/>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2104933472"/>
        <c:crosses val="autoZero"/>
        <c:crossBetween val="between"/>
      </c:valAx>
      <c:catAx>
        <c:axId val="2104937216"/>
        <c:scaling>
          <c:orientation val="minMax"/>
        </c:scaling>
        <c:delete val="1"/>
        <c:axPos val="b"/>
        <c:numFmt formatCode="General" sourceLinked="0"/>
        <c:majorTickMark val="out"/>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2104939536"/>
        <c:crosses val="autoZero"/>
        <c:auto val="1"/>
        <c:lblAlgn val="ctr"/>
        <c:lblOffset val="100"/>
        <c:noMultiLvlLbl val="0"/>
      </c:catAx>
      <c:valAx>
        <c:axId val="2104939536"/>
        <c:scaling>
          <c:orientation val="minMax"/>
        </c:scaling>
        <c:delete val="0"/>
        <c:axPos val="r"/>
        <c:numFmt formatCode="0.00%" sourceLinked="1"/>
        <c:majorTickMark val="out"/>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2104937216"/>
        <c:crosses val="max"/>
        <c:crossBetween val="between"/>
      </c:valAx>
    </c:plotArea>
    <c:legend>
      <c:legendPos val="r"/>
      <c:layout/>
      <c:overlay val="0"/>
      <c:txPr>
        <a:bodyPr rot="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legend>
    <c:plotVisOnly val="1"/>
    <c:dispBlanksAs val="gap"/>
    <c:showDLblsOverMax val="0"/>
  </c:chart>
  <c:spPr>
    <a:solidFill>
      <a:schemeClr val="bg2">
        <a:lumMod val="75000"/>
      </a:schemeClr>
    </a:solidFill>
  </c:spPr>
  <c:txPr>
    <a:bodyPr wrap="square"/>
    <a:lstStyle/>
    <a:p>
      <a:pPr>
        <a:defRPr lang="zh-CN"/>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37"/>
    </mc:Choice>
    <mc:Fallback>
      <c:style val="37"/>
    </mc:Fallback>
  </mc:AlternateContent>
  <c:chart>
    <c:autoTitleDeleted val="1"/>
    <c:plotArea>
      <c:layout>
        <c:manualLayout>
          <c:layoutTarget val="inner"/>
          <c:xMode val="edge"/>
          <c:yMode val="edge"/>
          <c:x val="0.125437613961354"/>
          <c:y val="0.0872120227791369"/>
          <c:w val="0.837246390014244"/>
          <c:h val="0.874493808378391"/>
        </c:manualLayout>
      </c:layout>
      <c:barChart>
        <c:barDir val="bar"/>
        <c:grouping val="clustered"/>
        <c:varyColors val="0"/>
        <c:ser>
          <c:idx val="0"/>
          <c:order val="0"/>
          <c:invertIfNegative val="0"/>
          <c:dPt>
            <c:idx val="0"/>
            <c:invertIfNegative val="0"/>
            <c:bubble3D val="0"/>
            <c:spPr>
              <a:solidFill>
                <a:srgbClr val="FFC000"/>
              </a:solidFill>
            </c:spPr>
          </c:dPt>
          <c:dPt>
            <c:idx val="1"/>
            <c:invertIfNegative val="0"/>
            <c:bubble3D val="0"/>
            <c:spPr>
              <a:solidFill>
                <a:srgbClr val="FF0000"/>
              </a:solidFill>
            </c:spPr>
          </c:dPt>
          <c:dLbls>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dk1"/>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('22分析表'!$A$5,'22分析表'!$A$7)</c:f>
              <c:strCache>
                <c:ptCount val="2"/>
                <c:pt idx="0">
                  <c:v>计划</c:v>
                </c:pt>
                <c:pt idx="1">
                  <c:v>实际</c:v>
                </c:pt>
              </c:strCache>
            </c:strRef>
          </c:cat>
          <c:val>
            <c:numRef>
              <c:f>('22分析表'!$P$5,'22分析表'!$P$7)</c:f>
              <c:numCache>
                <c:formatCode>General</c:formatCode>
                <c:ptCount val="2"/>
                <c:pt idx="0">
                  <c:v>50001</c:v>
                </c:pt>
                <c:pt idx="1">
                  <c:v>44501.2</c:v>
                </c:pt>
              </c:numCache>
            </c:numRef>
          </c:val>
        </c:ser>
        <c:dLbls>
          <c:showLegendKey val="0"/>
          <c:showVal val="0"/>
          <c:showCatName val="0"/>
          <c:showSerName val="0"/>
          <c:showPercent val="0"/>
          <c:showBubbleSize val="0"/>
        </c:dLbls>
        <c:gapWidth val="300"/>
        <c:axId val="2104958192"/>
        <c:axId val="2104960240"/>
      </c:barChart>
      <c:catAx>
        <c:axId val="2104958192"/>
        <c:scaling>
          <c:orientation val="maxMin"/>
        </c:scaling>
        <c:delete val="0"/>
        <c:axPos val="l"/>
        <c:numFmt formatCode="General" sourceLinked="0"/>
        <c:majorTickMark val="none"/>
        <c:minorTickMark val="none"/>
        <c:tickLblPos val="nextTo"/>
        <c:txPr>
          <a:bodyPr rot="-60000000" spcFirstLastPara="0" vertOverflow="ellipsis" vert="horz" wrap="square" anchor="ctr" anchorCtr="1"/>
          <a:lstStyle/>
          <a:p>
            <a:pPr>
              <a:defRPr lang="zh-CN" sz="1000" b="0" i="0" u="none" strike="noStrike" kern="1200" baseline="0">
                <a:solidFill>
                  <a:schemeClr val="dk1"/>
                </a:solidFill>
                <a:latin typeface="+mn-lt"/>
                <a:ea typeface="+mn-ea"/>
                <a:cs typeface="+mn-cs"/>
              </a:defRPr>
            </a:pPr>
          </a:p>
        </c:txPr>
        <c:crossAx val="2104960240"/>
        <c:crosses val="autoZero"/>
        <c:auto val="1"/>
        <c:lblAlgn val="ctr"/>
        <c:lblOffset val="100"/>
        <c:noMultiLvlLbl val="0"/>
      </c:catAx>
      <c:valAx>
        <c:axId val="2104960240"/>
        <c:scaling>
          <c:orientation val="minMax"/>
        </c:scaling>
        <c:delete val="0"/>
        <c:axPos val="t"/>
        <c:majorGridlines/>
        <c:minorGridlines/>
        <c:numFmt formatCode="General" sourceLinked="1"/>
        <c:majorTickMark val="out"/>
        <c:minorTickMark val="none"/>
        <c:tickLblPos val="nextTo"/>
        <c:txPr>
          <a:bodyPr rot="-60000000" spcFirstLastPara="0" vertOverflow="ellipsis" vert="horz" wrap="square" anchor="ctr" anchorCtr="1"/>
          <a:lstStyle/>
          <a:p>
            <a:pPr>
              <a:defRPr lang="zh-CN" sz="1000" b="0" i="0" u="none" strike="noStrike" kern="1200" baseline="0">
                <a:solidFill>
                  <a:schemeClr val="dk1"/>
                </a:solidFill>
                <a:latin typeface="+mn-lt"/>
                <a:ea typeface="+mn-ea"/>
                <a:cs typeface="+mn-cs"/>
              </a:defRPr>
            </a:pPr>
          </a:p>
        </c:txPr>
        <c:crossAx val="2104958192"/>
        <c:crosses val="autoZero"/>
        <c:crossBetween val="between"/>
        <c:majorUnit val="5000"/>
      </c:valAx>
    </c:plotArea>
    <c:plotVisOnly val="1"/>
    <c:dispBlanksAs val="gap"/>
    <c:showDLblsOverMax val="0"/>
  </c:chart>
  <c:spPr>
    <a:solidFill>
      <a:schemeClr val="bg1">
        <a:lumMod val="75000"/>
      </a:schemeClr>
    </a:solidFill>
  </c:spPr>
  <c:txPr>
    <a:bodyPr wrap="square"/>
    <a:lstStyle/>
    <a:p>
      <a:pPr>
        <a:defRPr lang="zh-CN"/>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26"/>
    </mc:Choice>
    <mc:Fallback>
      <c:style val="26"/>
    </mc:Fallback>
  </mc:AlternateContent>
  <c:chart>
    <c:autoTitleDeleted val="1"/>
    <c:plotArea>
      <c:layout>
        <c:manualLayout>
          <c:layoutTarget val="inner"/>
          <c:xMode val="edge"/>
          <c:yMode val="edge"/>
          <c:x val="0.176069632862157"/>
          <c:y val="0.115885279965004"/>
          <c:w val="0.457128672168991"/>
          <c:h val="0.790451662292213"/>
        </c:manualLayout>
      </c:layout>
      <c:pieChart>
        <c:varyColors val="1"/>
        <c:ser>
          <c:idx val="0"/>
          <c:order val="0"/>
          <c:tx>
            <c:strRef>
              <c:f>'22分析表'!$A$8</c:f>
              <c:strCache>
                <c:ptCount val="1"/>
                <c:pt idx="0">
                  <c:v>占比</c:v>
                </c:pt>
              </c:strCache>
            </c:strRef>
          </c:tx>
          <c:explosion val="25"/>
          <c:dPt>
            <c:idx val="0"/>
            <c:bubble3D val="0"/>
          </c:dPt>
          <c:dPt>
            <c:idx val="1"/>
            <c:bubble3D val="0"/>
            <c:explosion val="74"/>
          </c:dPt>
          <c:dPt>
            <c:idx val="2"/>
            <c:bubble3D val="0"/>
            <c:explosion val="3"/>
          </c:dPt>
          <c:dPt>
            <c:idx val="3"/>
            <c:bubble3D val="0"/>
          </c:dPt>
          <c:dPt>
            <c:idx val="4"/>
            <c:bubble3D val="0"/>
          </c:dPt>
          <c:dPt>
            <c:idx val="5"/>
            <c:bubble3D val="0"/>
          </c:dPt>
          <c:dPt>
            <c:idx val="6"/>
            <c:bubble3D val="0"/>
          </c:dPt>
          <c:dPt>
            <c:idx val="7"/>
            <c:bubble3D val="0"/>
          </c:dPt>
          <c:dPt>
            <c:idx val="8"/>
            <c:bubble3D val="0"/>
            <c:explosion val="64"/>
          </c:dPt>
          <c:dPt>
            <c:idx val="9"/>
            <c:bubble3D val="0"/>
            <c:explosion val="62"/>
          </c:dPt>
          <c:dPt>
            <c:idx val="10"/>
            <c:bubble3D val="0"/>
          </c:dPt>
          <c:dPt>
            <c:idx val="11"/>
            <c:bubble3D val="0"/>
          </c:dPt>
          <c:dPt>
            <c:idx val="12"/>
            <c:bubble3D val="0"/>
          </c:dPt>
          <c:dLbls>
            <c:dLbl>
              <c:idx val="0"/>
              <c:layout>
                <c:manualLayout>
                  <c:x val="0.0316863838119246"/>
                  <c:y val="0.0842431035233089"/>
                </c:manualLayout>
              </c:layout>
              <c:dLblPos val="bestFit"/>
              <c:showLegendKey val="0"/>
              <c:showVal val="1"/>
              <c:showCatName val="1"/>
              <c:showSerName val="0"/>
              <c:showPercent val="0"/>
              <c:showBubbleSize val="0"/>
              <c:extLst>
                <c:ext xmlns:c15="http://schemas.microsoft.com/office/drawing/2012/chart" uri="{CE6537A1-D6FC-4f65-9D91-7224C49458BB}">
                  <c15:layout/>
                </c:ext>
              </c:extLst>
            </c:dLbl>
            <c:dLbl>
              <c:idx val="1"/>
              <c:layout>
                <c:manualLayout>
                  <c:x val="-0.0618496096214516"/>
                  <c:y val="0.101042414190493"/>
                </c:manualLayout>
              </c:layout>
              <c:dLblPos val="bestFit"/>
              <c:showLegendKey val="0"/>
              <c:showVal val="1"/>
              <c:showCatName val="1"/>
              <c:showSerName val="0"/>
              <c:showPercent val="0"/>
              <c:showBubbleSize val="0"/>
              <c:extLst>
                <c:ext xmlns:c15="http://schemas.microsoft.com/office/drawing/2012/chart" uri="{CE6537A1-D6FC-4f65-9D91-7224C49458BB}">
                  <c15:layout/>
                </c:ext>
              </c:extLst>
            </c:dLbl>
            <c:dLbl>
              <c:idx val="2"/>
              <c:layout>
                <c:manualLayout>
                  <c:x val="-0.0880318219297807"/>
                  <c:y val="-0.105040329040821"/>
                </c:manualLayout>
              </c:layout>
              <c:dLblPos val="bestFit"/>
              <c:showLegendKey val="0"/>
              <c:showVal val="1"/>
              <c:showCatName val="1"/>
              <c:showSerName val="0"/>
              <c:showPercent val="0"/>
              <c:showBubbleSize val="0"/>
              <c:extLst>
                <c:ext xmlns:c15="http://schemas.microsoft.com/office/drawing/2012/chart" uri="{CE6537A1-D6FC-4f65-9D91-7224C49458BB}">
                  <c15:layout/>
                </c:ext>
              </c:extLst>
            </c:dLbl>
            <c:dLbl>
              <c:idx val="3"/>
              <c:layout>
                <c:manualLayout>
                  <c:x val="0.00375403929451614"/>
                  <c:y val="-0.0566595628973879"/>
                </c:manualLayout>
              </c:layout>
              <c:dLblPos val="bestFit"/>
              <c:showLegendKey val="0"/>
              <c:showVal val="1"/>
              <c:showCatName val="1"/>
              <c:showSerName val="0"/>
              <c:showPercent val="0"/>
              <c:showBubbleSize val="0"/>
              <c:extLst>
                <c:ext xmlns:c15="http://schemas.microsoft.com/office/drawing/2012/chart" uri="{CE6537A1-D6FC-4f65-9D91-7224C49458BB}">
                  <c15:layout/>
                </c:ext>
              </c:extLst>
            </c:dLbl>
            <c:dLbl>
              <c:idx val="4"/>
              <c:layout>
                <c:manualLayout>
                  <c:x val="0.011825472583311"/>
                  <c:y val="-0.0153507592513596"/>
                </c:manualLayout>
              </c:layout>
              <c:dLblPos val="bestFit"/>
              <c:showLegendKey val="0"/>
              <c:showVal val="1"/>
              <c:showCatName val="1"/>
              <c:showSerName val="0"/>
              <c:showPercent val="0"/>
              <c:showBubbleSize val="0"/>
              <c:extLst>
                <c:ext xmlns:c15="http://schemas.microsoft.com/office/drawing/2012/chart" uri="{CE6537A1-D6FC-4f65-9D91-7224C49458BB}">
                  <c15:layout/>
                </c:ext>
              </c:extLst>
            </c:dLbl>
            <c:dLbl>
              <c:idx val="5"/>
              <c:layout>
                <c:manualLayout>
                  <c:x val="-0.0568271852013941"/>
                  <c:y val="-0.0708948639910096"/>
                </c:manualLayout>
              </c:layout>
              <c:dLblPos val="bestFit"/>
              <c:showLegendKey val="0"/>
              <c:showVal val="1"/>
              <c:showCatName val="1"/>
              <c:showSerName val="0"/>
              <c:showPercent val="0"/>
              <c:showBubbleSize val="0"/>
              <c:extLst>
                <c:ext xmlns:c15="http://schemas.microsoft.com/office/drawing/2012/chart" uri="{CE6537A1-D6FC-4f65-9D91-7224C49458BB}">
                  <c15:layout/>
                </c:ext>
              </c:extLst>
            </c:dLbl>
            <c:dLbl>
              <c:idx val="6"/>
              <c:layout>
                <c:manualLayout>
                  <c:x val="-0.0122604024811722"/>
                  <c:y val="0.0281320065722873"/>
                </c:manualLayout>
              </c:layout>
              <c:dLblPos val="bestFit"/>
              <c:showLegendKey val="0"/>
              <c:showVal val="1"/>
              <c:showCatName val="1"/>
              <c:showSerName val="0"/>
              <c:showPercent val="0"/>
              <c:showBubbleSize val="0"/>
              <c:extLst>
                <c:ext xmlns:c15="http://schemas.microsoft.com/office/drawing/2012/chart" uri="{CE6537A1-D6FC-4f65-9D91-7224C49458BB}">
                  <c15:layout/>
                </c:ext>
              </c:extLst>
            </c:dLbl>
            <c:dLbl>
              <c:idx val="7"/>
              <c:layout>
                <c:manualLayout>
                  <c:x val="-0.00218972310067084"/>
                  <c:y val="-0.0570925780731562"/>
                </c:manualLayout>
              </c:layout>
              <c:dLblPos val="bestFit"/>
              <c:showLegendKey val="0"/>
              <c:showVal val="1"/>
              <c:showCatName val="1"/>
              <c:showSerName val="0"/>
              <c:showPercent val="0"/>
              <c:showBubbleSize val="0"/>
              <c:extLst>
                <c:ext xmlns:c15="http://schemas.microsoft.com/office/drawing/2012/chart" uri="{CE6537A1-D6FC-4f65-9D91-7224C49458BB}">
                  <c15:layout/>
                </c:ext>
              </c:extLst>
            </c:dLbl>
            <c:dLbl>
              <c:idx val="8"/>
              <c:layout>
                <c:manualLayout>
                  <c:x val="0.0552778009477284"/>
                  <c:y val="-0.279179176037497"/>
                </c:manualLayout>
              </c:layout>
              <c:dLblPos val="bestFit"/>
              <c:showLegendKey val="0"/>
              <c:showVal val="1"/>
              <c:showCatName val="1"/>
              <c:showSerName val="0"/>
              <c:showPercent val="0"/>
              <c:showBubbleSize val="0"/>
              <c:extLst>
                <c:ext xmlns:c15="http://schemas.microsoft.com/office/drawing/2012/chart" uri="{CE6537A1-D6FC-4f65-9D91-7224C49458BB}">
                  <c15:layout/>
                </c:ext>
              </c:extLst>
            </c:dLbl>
            <c:dLbl>
              <c:idx val="10"/>
              <c:layout>
                <c:manualLayout>
                  <c:x val="0.00397028509261912"/>
                  <c:y val="0.0891141351234079"/>
                </c:manualLayout>
              </c:layout>
              <c:dLblPos val="bestFit"/>
              <c:showLegendKey val="0"/>
              <c:showVal val="1"/>
              <c:showCatName val="1"/>
              <c:showSerName val="0"/>
              <c:showPercent val="0"/>
              <c:showBubbleSize val="0"/>
              <c:extLst>
                <c:ext xmlns:c15="http://schemas.microsoft.com/office/drawing/2012/chart" uri="{CE6537A1-D6FC-4f65-9D91-7224C49458BB}">
                  <c15:layout/>
                </c:ext>
              </c:extLst>
            </c:dLbl>
            <c:dLbl>
              <c:idx val="11"/>
              <c:layout>
                <c:manualLayout>
                  <c:x val="-0.00751254858220374"/>
                  <c:y val="0.0634489413688398"/>
                </c:manualLayout>
              </c:layout>
              <c:dLblPos val="bestFit"/>
              <c:showLegendKey val="0"/>
              <c:showVal val="1"/>
              <c:showCatName val="1"/>
              <c:showSerName val="0"/>
              <c:showPercent val="0"/>
              <c:showBubbleSize val="0"/>
              <c:extLst>
                <c:ext xmlns:c15="http://schemas.microsoft.com/office/drawing/2012/chart" uri="{CE6537A1-D6FC-4f65-9D91-7224C49458BB}">
                  <c15:layout/>
                </c:ext>
              </c:extLst>
            </c:dLbl>
            <c:dLbl>
              <c:idx val="12"/>
              <c:layout>
                <c:manualLayout>
                  <c:x val="-0.0154319010041625"/>
                  <c:y val="0.0204371810225499"/>
                </c:manualLayout>
              </c:layout>
              <c:dLblPos val="bestFit"/>
              <c:showLegendKey val="0"/>
              <c:showVal val="1"/>
              <c:showCatName val="1"/>
              <c:showSerName val="0"/>
              <c:showPercent val="0"/>
              <c:showBubbleSize val="0"/>
              <c:extLst>
                <c:ext xmlns:c15="http://schemas.microsoft.com/office/drawing/2012/chart" uri="{CE6537A1-D6FC-4f65-9D91-7224C49458BB}">
                  <c15:layout/>
                </c:ext>
              </c:extLst>
            </c:dLbl>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bg1"/>
                    </a:solidFill>
                    <a:latin typeface="+mn-lt"/>
                    <a:ea typeface="+mn-ea"/>
                    <a:cs typeface="+mn-cs"/>
                  </a:defRPr>
                </a:pPr>
              </a:p>
            </c:txPr>
            <c:dLblPos val="bestFit"/>
            <c:showLegendKey val="0"/>
            <c:showVal val="1"/>
            <c:showCatName val="1"/>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rgbClr val="000000">
                          <a:alpha val="100000"/>
                        </a:srgbClr>
                      </a:solidFill>
                      <a:prstDash val="solid"/>
                      <a:round/>
                    </a:ln>
                  </c:spPr>
                </c15:leaderLines>
              </c:ext>
            </c:extLst>
          </c:dLbls>
          <c:cat>
            <c:strRef>
              <c:f>'22分析表'!$B$4:$O$4</c:f>
              <c:strCache>
                <c:ptCount val="13"/>
                <c:pt idx="0">
                  <c:v>场地租金</c:v>
                </c:pt>
                <c:pt idx="1">
                  <c:v>宴会/用餐</c:v>
                </c:pt>
                <c:pt idx="2">
                  <c:v>现场设计及布置</c:v>
                </c:pt>
                <c:pt idx="3">
                  <c:v>会议资料及用品</c:v>
                </c:pt>
                <c:pt idx="4">
                  <c:v>设备器材租赁</c:v>
                </c:pt>
                <c:pt idx="5">
                  <c:v>会议礼品</c:v>
                </c:pt>
                <c:pt idx="6">
                  <c:v>影视录音速记翻译</c:v>
                </c:pt>
                <c:pt idx="7">
                  <c:v>会议用食品、点心</c:v>
                </c:pt>
                <c:pt idx="8">
                  <c:v>嘉宾费用</c:v>
                </c:pt>
                <c:pt idx="9">
                  <c:v>媒体费用</c:v>
                </c:pt>
                <c:pt idx="10">
                  <c:v>住宿费用</c:v>
                </c:pt>
                <c:pt idx="11">
                  <c:v>交通费用</c:v>
                </c:pt>
                <c:pt idx="12">
                  <c:v>办公费用</c:v>
                </c:pt>
              </c:strCache>
            </c:strRef>
          </c:cat>
          <c:val>
            <c:numRef>
              <c:f>'22分析表'!$B$8:$O$8</c:f>
              <c:numCache>
                <c:formatCode>0.00%</c:formatCode>
                <c:ptCount val="13"/>
                <c:pt idx="0">
                  <c:v>0.101120868650733</c:v>
                </c:pt>
                <c:pt idx="1">
                  <c:v>0.067413912433822</c:v>
                </c:pt>
                <c:pt idx="2">
                  <c:v>0.157299129012251</c:v>
                </c:pt>
                <c:pt idx="3">
                  <c:v>0.033706956216911</c:v>
                </c:pt>
                <c:pt idx="4">
                  <c:v>0.179770433156859</c:v>
                </c:pt>
                <c:pt idx="5">
                  <c:v>0.0449426082892147</c:v>
                </c:pt>
                <c:pt idx="6">
                  <c:v>0.033706956216911</c:v>
                </c:pt>
                <c:pt idx="7">
                  <c:v>0.0449426082892147</c:v>
                </c:pt>
                <c:pt idx="8">
                  <c:v>0.112356520723037</c:v>
                </c:pt>
                <c:pt idx="9">
                  <c:v>0.112356520723037</c:v>
                </c:pt>
                <c:pt idx="10">
                  <c:v>0.0449426082892147</c:v>
                </c:pt>
                <c:pt idx="11">
                  <c:v>0.0449426082892147</c:v>
                </c:pt>
                <c:pt idx="12">
                  <c:v>0.0224713041446073</c:v>
                </c:pt>
              </c:numCache>
            </c:numRef>
          </c:val>
        </c:ser>
        <c:dLbls>
          <c:showLegendKey val="0"/>
          <c:showVal val="0"/>
          <c:showCatName val="0"/>
          <c:showSerName val="0"/>
          <c:showPercent val="0"/>
          <c:showBubbleSize val="0"/>
          <c:showLeaderLines val="1"/>
        </c:dLbls>
        <c:firstSliceAng val="0"/>
      </c:pieChart>
      <c:spPr>
        <a:noFill/>
        <a:ln w="3175">
          <a:noFill/>
        </a:ln>
      </c:spPr>
    </c:plotArea>
    <c:plotVisOnly val="1"/>
    <c:dispBlanksAs val="zero"/>
    <c:showDLblsOverMax val="0"/>
  </c:chart>
  <c:spPr>
    <a:solidFill>
      <a:schemeClr val="tx1">
        <a:lumMod val="50000"/>
        <a:lumOff val="50000"/>
      </a:schemeClr>
    </a:solidFill>
  </c:spPr>
  <c:txPr>
    <a:bodyPr wrap="square"/>
    <a:lstStyle/>
    <a:p>
      <a:pPr>
        <a:defRPr lang="zh-CN"/>
      </a:pPr>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28575</xdr:colOff>
      <xdr:row>2</xdr:row>
      <xdr:rowOff>3810</xdr:rowOff>
    </xdr:from>
    <xdr:to>
      <xdr:col>15</xdr:col>
      <xdr:colOff>4542155</xdr:colOff>
      <xdr:row>2</xdr:row>
      <xdr:rowOff>3277235</xdr:rowOff>
    </xdr:to>
    <xdr:graphicFrame>
      <xdr:nvGraphicFramePr>
        <xdr:cNvPr id="2" name="图表 5"/>
        <xdr:cNvGraphicFramePr/>
      </xdr:nvGraphicFramePr>
      <xdr:xfrm>
        <a:off x="28575" y="931545"/>
        <a:ext cx="16118840" cy="32734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19050</xdr:colOff>
      <xdr:row>10</xdr:row>
      <xdr:rowOff>9525</xdr:rowOff>
    </xdr:from>
    <xdr:to>
      <xdr:col>6</xdr:col>
      <xdr:colOff>57150</xdr:colOff>
      <xdr:row>10</xdr:row>
      <xdr:rowOff>3657600</xdr:rowOff>
    </xdr:to>
    <xdr:graphicFrame>
      <xdr:nvGraphicFramePr>
        <xdr:cNvPr id="3" name="图表 6"/>
        <xdr:cNvGraphicFramePr/>
      </xdr:nvGraphicFramePr>
      <xdr:xfrm>
        <a:off x="19050" y="6576060"/>
        <a:ext cx="6347460" cy="3648075"/>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9525</xdr:colOff>
      <xdr:row>10</xdr:row>
      <xdr:rowOff>0</xdr:rowOff>
    </xdr:from>
    <xdr:to>
      <xdr:col>15</xdr:col>
      <xdr:colOff>4542790</xdr:colOff>
      <xdr:row>11</xdr:row>
      <xdr:rowOff>0</xdr:rowOff>
    </xdr:to>
    <xdr:graphicFrame>
      <xdr:nvGraphicFramePr>
        <xdr:cNvPr id="4" name="图表 6"/>
        <xdr:cNvGraphicFramePr/>
      </xdr:nvGraphicFramePr>
      <xdr:xfrm>
        <a:off x="6318885" y="6566535"/>
        <a:ext cx="9829165" cy="367665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solidFill>
          <a:schemeClr val="accent1">
            <a:lumMod val="75000"/>
            <a:alpha val="29000"/>
          </a:schemeClr>
        </a:solidFill>
        <a:ln w="9525" cap="flat" cmpd="sng" algn="ctr">
          <a:noFill/>
          <a:prstDash val="solid"/>
          <a:round/>
          <a:headEnd type="none" w="med" len="med"/>
          <a:tailEnd type="none" w="med" len="med"/>
        </a:ln>
      </a:spPr>
      <a:bodyPr vertOverflow="clip" wrap="square" lIns="91440" tIns="45720" rIns="91440" bIns="45720" rtlCol="0" anchor="ctr" upright="1"/>
      <a:lstStyle>
        <a:defPPr algn="ctr">
          <a:defRPr sz="1100"/>
        </a:defPPr>
      </a:lstStyle>
    </a:spDef>
    <a:lnDef>
      <a:spPr bwMode="auto">
        <a:xfrm>
          <a:off x="0" y="0"/>
          <a:ext cx="1" cy="1"/>
        </a:xfrm>
        <a:custGeom>
          <a:avLst/>
          <a:gdLst/>
          <a:ahLst/>
          <a:cxnLst/>
          <a:rect l="0" t="0" r="0" b="0"/>
          <a:pathLst/>
        </a:custGeom>
        <a:solidFill>
          <a:srgbClr val="FF99CC">
            <a:alpha val="28999"/>
          </a:srgbClr>
        </a:solidFill>
        <a:ln w="9525" cap="flat" cmpd="sng" algn="ctr">
          <a:noFill/>
          <a:prstDash val="solid"/>
          <a:round/>
          <a:headEnd type="none" w="med" len="med"/>
          <a:tailEnd type="none" w="med" len="med"/>
        </a:ln>
      </a:spPr>
      <a:bodyPr vertOverflow="clip" wrap="square" lIns="91440" tIns="45720" rIns="91440" bIns="45720" upright="1"/>
      <a:lstStyle/>
    </a:lnDef>
  </a:objectDefaults>
</a:theme>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10.xml.rels><?xml version="1.0" encoding="UTF-8" standalone="yes"?>
<Relationships xmlns="http://schemas.openxmlformats.org/package/2006/relationships"><Relationship Id="rId1" Type="http://schemas.openxmlformats.org/officeDocument/2006/relationships/hyperlink" Target="mailto:4545445@qq.com"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mailto:afaf@qq.com" TargetMode="Externa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sheetPr>
  <dimension ref="A1"/>
  <sheetViews>
    <sheetView zoomScalePageLayoutView="210" workbookViewId="0">
      <selection activeCell="AD28" sqref="AD28"/>
    </sheetView>
  </sheetViews>
  <sheetFormatPr defaultColWidth="9" defaultRowHeight="14.25"/>
  <cols>
    <col min="21" max="22" width="9" hidden="1" customWidth="1"/>
  </cols>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7"/>
  </sheetPr>
  <dimension ref="A1:N145"/>
  <sheetViews>
    <sheetView zoomScale="70" zoomScaleNormal="70" zoomScalePageLayoutView="230" workbookViewId="0">
      <pane xSplit="10" ySplit="3" topLeftCell="O112" activePane="bottomRight" state="frozen"/>
      <selection/>
      <selection pane="topRight"/>
      <selection pane="bottomLeft"/>
      <selection pane="bottomRight" activeCell="C5" sqref="C5:H5"/>
    </sheetView>
  </sheetViews>
  <sheetFormatPr defaultColWidth="9" defaultRowHeight="20.25"/>
  <cols>
    <col min="1" max="1" width="9" style="895"/>
    <col min="2" max="2" width="26.3" style="896" customWidth="1"/>
    <col min="3" max="3" width="54.7" style="895" customWidth="1"/>
    <col min="4" max="4" width="9" style="895"/>
    <col min="5" max="5" width="10.5" style="895" customWidth="1"/>
    <col min="6" max="6" width="18" style="895" customWidth="1"/>
    <col min="7" max="7" width="24.7" style="895" customWidth="1"/>
    <col min="8" max="8" width="42.5" style="895" customWidth="1"/>
    <col min="9" max="9" width="29.7" style="895" customWidth="1"/>
    <col min="10" max="10" width="26.7" style="895" customWidth="1"/>
    <col min="11" max="11" width="9" hidden="1" customWidth="1"/>
    <col min="12" max="12" width="32" customWidth="1"/>
  </cols>
  <sheetData>
    <row r="1" ht="36" customHeight="1" spans="1:12">
      <c r="A1" s="4" t="s">
        <v>0</v>
      </c>
      <c r="B1" s="897"/>
      <c r="C1" s="4"/>
      <c r="D1" s="4"/>
      <c r="E1" s="4"/>
      <c r="F1" s="4"/>
      <c r="G1" s="4"/>
      <c r="H1" s="4"/>
      <c r="I1" s="4"/>
      <c r="J1" s="4"/>
      <c r="K1" s="4"/>
      <c r="L1" s="4"/>
    </row>
    <row r="2" s="893" customFormat="1" ht="24" customHeight="1" spans="1:12">
      <c r="A2" s="898" t="s">
        <v>1</v>
      </c>
      <c r="B2" s="898"/>
      <c r="C2" s="898"/>
      <c r="D2" s="898"/>
      <c r="E2" s="898"/>
      <c r="F2" s="898"/>
      <c r="G2" s="898"/>
      <c r="H2" s="898"/>
      <c r="I2" s="935" t="s">
        <v>2</v>
      </c>
      <c r="J2" s="935"/>
      <c r="K2" s="935"/>
      <c r="L2" s="935"/>
    </row>
    <row r="3" s="893" customFormat="1" ht="24" customHeight="1" spans="1:12">
      <c r="A3" s="898" t="s">
        <v>3</v>
      </c>
      <c r="B3" s="898"/>
      <c r="C3" s="898"/>
      <c r="D3" s="898"/>
      <c r="E3" s="898"/>
      <c r="F3" s="898"/>
      <c r="G3" s="898"/>
      <c r="H3" s="898"/>
      <c r="I3" s="935" t="s">
        <v>4</v>
      </c>
      <c r="J3" s="935"/>
      <c r="K3" s="935"/>
      <c r="L3" s="935"/>
    </row>
    <row r="4" ht="31.95" customHeight="1" spans="1:12">
      <c r="A4" s="899" t="s">
        <v>5</v>
      </c>
      <c r="B4" s="900"/>
      <c r="C4" s="899"/>
      <c r="D4" s="899"/>
      <c r="E4" s="899"/>
      <c r="F4" s="899"/>
      <c r="G4" s="899"/>
      <c r="H4" s="899"/>
      <c r="I4" s="936" t="s">
        <v>6</v>
      </c>
      <c r="J4" s="936" t="s">
        <v>7</v>
      </c>
      <c r="K4" s="937"/>
      <c r="L4" s="936" t="s">
        <v>8</v>
      </c>
    </row>
    <row r="5" spans="1:12">
      <c r="A5" s="901">
        <v>1</v>
      </c>
      <c r="B5" s="902" t="s">
        <v>9</v>
      </c>
      <c r="C5" s="903" t="s">
        <v>10</v>
      </c>
      <c r="D5" s="903"/>
      <c r="E5" s="903"/>
      <c r="F5" s="903"/>
      <c r="G5" s="903"/>
      <c r="H5" s="903"/>
      <c r="I5" s="938">
        <v>10000</v>
      </c>
      <c r="J5" s="902" t="s">
        <v>11</v>
      </c>
      <c r="K5" s="939"/>
      <c r="L5" s="940" t="s">
        <v>12</v>
      </c>
    </row>
    <row r="6" spans="1:12">
      <c r="A6" s="901">
        <v>2</v>
      </c>
      <c r="B6" s="902" t="s">
        <v>13</v>
      </c>
      <c r="C6" s="903" t="s">
        <v>14</v>
      </c>
      <c r="D6" s="903"/>
      <c r="E6" s="903"/>
      <c r="F6" s="903"/>
      <c r="G6" s="903"/>
      <c r="H6" s="903"/>
      <c r="I6" s="938">
        <v>15000</v>
      </c>
      <c r="J6" s="902" t="s">
        <v>15</v>
      </c>
      <c r="K6" s="939"/>
      <c r="L6" s="940" t="s">
        <v>12</v>
      </c>
    </row>
    <row r="7" spans="1:12">
      <c r="A7" s="901">
        <v>3</v>
      </c>
      <c r="B7" s="902" t="s">
        <v>16</v>
      </c>
      <c r="C7" s="903" t="s">
        <v>17</v>
      </c>
      <c r="D7" s="903"/>
      <c r="E7" s="903"/>
      <c r="F7" s="903"/>
      <c r="G7" s="903"/>
      <c r="H7" s="903"/>
      <c r="I7" s="938">
        <v>10000</v>
      </c>
      <c r="J7" s="902" t="s">
        <v>11</v>
      </c>
      <c r="K7" s="939"/>
      <c r="L7" s="940" t="s">
        <v>12</v>
      </c>
    </row>
    <row r="8" spans="1:12">
      <c r="A8" s="901">
        <v>4</v>
      </c>
      <c r="B8" s="902" t="s">
        <v>18</v>
      </c>
      <c r="C8" s="902" t="s">
        <v>19</v>
      </c>
      <c r="D8" s="902"/>
      <c r="E8" s="902"/>
      <c r="F8" s="902"/>
      <c r="G8" s="902"/>
      <c r="H8" s="902"/>
      <c r="I8" s="938">
        <v>30000</v>
      </c>
      <c r="J8" s="902" t="s">
        <v>11</v>
      </c>
      <c r="K8" s="939"/>
      <c r="L8" s="940" t="s">
        <v>12</v>
      </c>
    </row>
    <row r="9" spans="1:12">
      <c r="A9" s="901">
        <v>5</v>
      </c>
      <c r="B9" s="902" t="s">
        <v>20</v>
      </c>
      <c r="C9" s="904" t="s">
        <v>20</v>
      </c>
      <c r="D9" s="905"/>
      <c r="E9" s="905"/>
      <c r="F9" s="905"/>
      <c r="G9" s="905"/>
      <c r="H9" s="906"/>
      <c r="I9" s="901" t="s">
        <v>20</v>
      </c>
      <c r="J9" s="901" t="s">
        <v>20</v>
      </c>
      <c r="K9" s="939"/>
      <c r="L9" s="902" t="s">
        <v>20</v>
      </c>
    </row>
    <row r="10" s="72" customFormat="1" spans="1:12">
      <c r="A10" s="901"/>
      <c r="B10" s="902" t="s">
        <v>21</v>
      </c>
      <c r="C10" s="907"/>
      <c r="D10" s="907"/>
      <c r="E10" s="907"/>
      <c r="F10" s="907"/>
      <c r="G10" s="907"/>
      <c r="H10" s="908" t="s">
        <v>22</v>
      </c>
      <c r="I10" s="941">
        <v>65000</v>
      </c>
      <c r="J10" s="902"/>
      <c r="K10" s="939"/>
      <c r="L10" s="942"/>
    </row>
    <row r="11" s="893" customFormat="1" ht="24" customHeight="1" spans="1:12">
      <c r="A11" s="909" t="s">
        <v>23</v>
      </c>
      <c r="B11" s="910"/>
      <c r="C11" s="909"/>
      <c r="D11" s="909"/>
      <c r="E11" s="909"/>
      <c r="F11" s="909"/>
      <c r="G11" s="909"/>
      <c r="H11" s="909"/>
      <c r="I11" s="909"/>
      <c r="J11" s="909"/>
      <c r="K11" s="943"/>
      <c r="L11" s="943"/>
    </row>
    <row r="12" ht="31.95" customHeight="1" spans="1:12">
      <c r="A12" s="899" t="s">
        <v>24</v>
      </c>
      <c r="B12" s="900"/>
      <c r="C12" s="899"/>
      <c r="D12" s="899"/>
      <c r="E12" s="899"/>
      <c r="F12" s="899"/>
      <c r="G12" s="899"/>
      <c r="H12" s="899"/>
      <c r="I12" s="899"/>
      <c r="J12" s="899"/>
      <c r="K12" s="899"/>
      <c r="L12" s="899"/>
    </row>
    <row r="13" s="894" customFormat="1" ht="27" customHeight="1" spans="1:12">
      <c r="A13" s="911" t="s">
        <v>25</v>
      </c>
      <c r="B13" s="912" t="s">
        <v>26</v>
      </c>
      <c r="C13" s="913" t="s">
        <v>27</v>
      </c>
      <c r="D13" s="913" t="s">
        <v>28</v>
      </c>
      <c r="E13" s="913"/>
      <c r="F13" s="913" t="s">
        <v>29</v>
      </c>
      <c r="G13" s="913" t="s">
        <v>30</v>
      </c>
      <c r="H13" s="911" t="s">
        <v>31</v>
      </c>
      <c r="I13" s="911" t="s">
        <v>6</v>
      </c>
      <c r="J13" s="911" t="s">
        <v>7</v>
      </c>
      <c r="K13" s="944"/>
      <c r="L13" s="911" t="s">
        <v>8</v>
      </c>
    </row>
    <row r="14" ht="17.25" customHeight="1" spans="1:12">
      <c r="A14" s="914">
        <v>1</v>
      </c>
      <c r="B14" s="915" t="s">
        <v>32</v>
      </c>
      <c r="C14" s="908" t="s">
        <v>33</v>
      </c>
      <c r="D14" s="916" t="s">
        <v>34</v>
      </c>
      <c r="E14" s="908"/>
      <c r="F14" s="914">
        <v>1</v>
      </c>
      <c r="G14" s="914" t="s">
        <v>35</v>
      </c>
      <c r="H14" s="908" t="s">
        <v>36</v>
      </c>
      <c r="I14" s="938">
        <v>130000</v>
      </c>
      <c r="J14" s="915" t="s">
        <v>15</v>
      </c>
      <c r="K14" s="939"/>
      <c r="L14" s="940" t="s">
        <v>37</v>
      </c>
    </row>
    <row r="15" ht="17.25" customHeight="1" spans="1:12">
      <c r="A15" s="914"/>
      <c r="B15" s="915"/>
      <c r="C15" s="908" t="s">
        <v>38</v>
      </c>
      <c r="D15" s="916" t="s">
        <v>34</v>
      </c>
      <c r="E15" s="908"/>
      <c r="F15" s="914">
        <v>1</v>
      </c>
      <c r="G15" s="914" t="s">
        <v>35</v>
      </c>
      <c r="H15" s="908" t="s">
        <v>36</v>
      </c>
      <c r="I15" s="938">
        <v>150000</v>
      </c>
      <c r="J15" s="915" t="s">
        <v>39</v>
      </c>
      <c r="K15" s="939"/>
      <c r="L15" s="940" t="s">
        <v>37</v>
      </c>
    </row>
    <row r="16" spans="1:12">
      <c r="A16" s="914">
        <v>2</v>
      </c>
      <c r="B16" s="915" t="s">
        <v>40</v>
      </c>
      <c r="C16" s="908" t="s">
        <v>41</v>
      </c>
      <c r="D16" s="916" t="s">
        <v>34</v>
      </c>
      <c r="E16" s="908"/>
      <c r="F16" s="914">
        <v>2</v>
      </c>
      <c r="G16" s="914" t="s">
        <v>35</v>
      </c>
      <c r="H16" s="908" t="s">
        <v>42</v>
      </c>
      <c r="I16" s="938">
        <v>250000</v>
      </c>
      <c r="J16" s="915" t="s">
        <v>15</v>
      </c>
      <c r="K16" s="939"/>
      <c r="L16" s="940" t="s">
        <v>37</v>
      </c>
    </row>
    <row r="17" spans="1:12">
      <c r="A17" s="914"/>
      <c r="B17" s="915"/>
      <c r="C17" s="908" t="s">
        <v>43</v>
      </c>
      <c r="D17" s="916" t="s">
        <v>34</v>
      </c>
      <c r="E17" s="908"/>
      <c r="F17" s="914">
        <v>3</v>
      </c>
      <c r="G17" s="914" t="s">
        <v>35</v>
      </c>
      <c r="H17" s="908" t="s">
        <v>42</v>
      </c>
      <c r="I17" s="938">
        <v>250000</v>
      </c>
      <c r="J17" s="915" t="s">
        <v>39</v>
      </c>
      <c r="K17" s="939"/>
      <c r="L17" s="940" t="s">
        <v>37</v>
      </c>
    </row>
    <row r="18" spans="1:12">
      <c r="A18" s="914">
        <v>3</v>
      </c>
      <c r="B18" s="917" t="s">
        <v>44</v>
      </c>
      <c r="C18" s="916" t="s">
        <v>45</v>
      </c>
      <c r="D18" s="916" t="s">
        <v>34</v>
      </c>
      <c r="E18" s="916"/>
      <c r="F18" s="914">
        <v>12</v>
      </c>
      <c r="G18" s="914" t="s">
        <v>35</v>
      </c>
      <c r="H18" s="908" t="s">
        <v>42</v>
      </c>
      <c r="I18" s="938">
        <v>10000</v>
      </c>
      <c r="J18" s="915" t="s">
        <v>11</v>
      </c>
      <c r="K18" s="939"/>
      <c r="L18" s="940" t="s">
        <v>37</v>
      </c>
    </row>
    <row r="19" spans="1:12">
      <c r="A19" s="914"/>
      <c r="B19" s="918"/>
      <c r="C19" s="916" t="s">
        <v>46</v>
      </c>
      <c r="D19" s="916" t="s">
        <v>34</v>
      </c>
      <c r="E19" s="916"/>
      <c r="F19" s="914">
        <v>4</v>
      </c>
      <c r="G19" s="914" t="s">
        <v>35</v>
      </c>
      <c r="H19" s="908" t="s">
        <v>42</v>
      </c>
      <c r="I19" s="938">
        <v>10000</v>
      </c>
      <c r="J19" s="915" t="s">
        <v>39</v>
      </c>
      <c r="K19" s="939"/>
      <c r="L19" s="940" t="s">
        <v>37</v>
      </c>
    </row>
    <row r="20" spans="1:12">
      <c r="A20" s="914"/>
      <c r="B20" s="918"/>
      <c r="C20" s="916" t="s">
        <v>47</v>
      </c>
      <c r="D20" s="916" t="s">
        <v>34</v>
      </c>
      <c r="E20" s="916"/>
      <c r="F20" s="914">
        <v>4</v>
      </c>
      <c r="G20" s="914" t="s">
        <v>35</v>
      </c>
      <c r="H20" s="908" t="s">
        <v>42</v>
      </c>
      <c r="I20" s="938">
        <v>5000</v>
      </c>
      <c r="J20" s="915" t="s">
        <v>15</v>
      </c>
      <c r="K20" s="939"/>
      <c r="L20" s="940" t="s">
        <v>37</v>
      </c>
    </row>
    <row r="21" spans="1:12">
      <c r="A21" s="914"/>
      <c r="B21" s="918"/>
      <c r="C21" s="916" t="s">
        <v>48</v>
      </c>
      <c r="D21" s="916" t="s">
        <v>34</v>
      </c>
      <c r="E21" s="916"/>
      <c r="F21" s="914">
        <v>6</v>
      </c>
      <c r="G21" s="914" t="s">
        <v>35</v>
      </c>
      <c r="H21" s="908" t="s">
        <v>42</v>
      </c>
      <c r="I21" s="938">
        <v>5000</v>
      </c>
      <c r="J21" s="915" t="s">
        <v>39</v>
      </c>
      <c r="K21" s="939"/>
      <c r="L21" s="940" t="s">
        <v>37</v>
      </c>
    </row>
    <row r="22" spans="1:12">
      <c r="A22" s="914"/>
      <c r="B22" s="918"/>
      <c r="C22" s="916" t="s">
        <v>49</v>
      </c>
      <c r="D22" s="916" t="s">
        <v>34</v>
      </c>
      <c r="E22" s="916"/>
      <c r="F22" s="914">
        <v>4</v>
      </c>
      <c r="G22" s="914" t="s">
        <v>35</v>
      </c>
      <c r="H22" s="908" t="s">
        <v>42</v>
      </c>
      <c r="I22" s="938">
        <v>5000</v>
      </c>
      <c r="J22" s="915" t="s">
        <v>11</v>
      </c>
      <c r="K22" s="939"/>
      <c r="L22" s="940" t="s">
        <v>37</v>
      </c>
    </row>
    <row r="23" spans="1:12">
      <c r="A23" s="914">
        <v>4</v>
      </c>
      <c r="B23" s="918"/>
      <c r="C23" s="915" t="s">
        <v>50</v>
      </c>
      <c r="D23" s="916" t="s">
        <v>34</v>
      </c>
      <c r="E23" s="916"/>
      <c r="F23" s="914">
        <v>2</v>
      </c>
      <c r="G23" s="914" t="s">
        <v>35</v>
      </c>
      <c r="H23" s="916" t="s">
        <v>42</v>
      </c>
      <c r="I23" s="938">
        <v>5000</v>
      </c>
      <c r="J23" s="915" t="s">
        <v>15</v>
      </c>
      <c r="K23" s="939"/>
      <c r="L23" s="940" t="s">
        <v>37</v>
      </c>
    </row>
    <row r="24" spans="1:12">
      <c r="A24" s="914">
        <v>5</v>
      </c>
      <c r="B24" s="918"/>
      <c r="C24" s="915" t="s">
        <v>51</v>
      </c>
      <c r="D24" s="916" t="s">
        <v>34</v>
      </c>
      <c r="E24" s="916"/>
      <c r="F24" s="914">
        <v>4</v>
      </c>
      <c r="G24" s="914" t="s">
        <v>35</v>
      </c>
      <c r="H24" s="908" t="s">
        <v>36</v>
      </c>
      <c r="I24" s="938">
        <v>2000</v>
      </c>
      <c r="J24" s="915" t="s">
        <v>39</v>
      </c>
      <c r="K24" s="939"/>
      <c r="L24" s="940" t="s">
        <v>37</v>
      </c>
    </row>
    <row r="25" spans="1:12">
      <c r="A25" s="914">
        <v>6</v>
      </c>
      <c r="B25" s="918"/>
      <c r="C25" s="915" t="s">
        <v>52</v>
      </c>
      <c r="D25" s="916" t="s">
        <v>34</v>
      </c>
      <c r="E25" s="916"/>
      <c r="F25" s="914">
        <v>5</v>
      </c>
      <c r="G25" s="914" t="s">
        <v>35</v>
      </c>
      <c r="H25" s="908" t="s">
        <v>36</v>
      </c>
      <c r="I25" s="938">
        <v>2000</v>
      </c>
      <c r="J25" s="915" t="s">
        <v>11</v>
      </c>
      <c r="K25" s="939"/>
      <c r="L25" s="940" t="s">
        <v>37</v>
      </c>
    </row>
    <row r="26" spans="1:12">
      <c r="A26" s="914">
        <v>7</v>
      </c>
      <c r="B26" s="918"/>
      <c r="C26" s="915" t="s">
        <v>53</v>
      </c>
      <c r="D26" s="916" t="s">
        <v>34</v>
      </c>
      <c r="E26" s="916"/>
      <c r="F26" s="914">
        <v>13</v>
      </c>
      <c r="G26" s="914" t="s">
        <v>35</v>
      </c>
      <c r="H26" s="916" t="s">
        <v>42</v>
      </c>
      <c r="I26" s="938">
        <v>10000</v>
      </c>
      <c r="J26" s="915" t="s">
        <v>39</v>
      </c>
      <c r="K26" s="939"/>
      <c r="L26" s="940" t="s">
        <v>37</v>
      </c>
    </row>
    <row r="27" spans="1:12">
      <c r="A27" s="914">
        <v>8</v>
      </c>
      <c r="B27" s="918"/>
      <c r="C27" s="915" t="s">
        <v>54</v>
      </c>
      <c r="D27" s="916" t="s">
        <v>34</v>
      </c>
      <c r="E27" s="916"/>
      <c r="F27" s="914">
        <v>5</v>
      </c>
      <c r="G27" s="914" t="s">
        <v>35</v>
      </c>
      <c r="H27" s="908" t="s">
        <v>36</v>
      </c>
      <c r="I27" s="938">
        <v>10000</v>
      </c>
      <c r="J27" s="915" t="s">
        <v>11</v>
      </c>
      <c r="K27" s="939"/>
      <c r="L27" s="940" t="s">
        <v>37</v>
      </c>
    </row>
    <row r="28" spans="1:12">
      <c r="A28" s="914">
        <v>9</v>
      </c>
      <c r="B28" s="919"/>
      <c r="C28" s="908" t="s">
        <v>55</v>
      </c>
      <c r="D28" s="916" t="s">
        <v>34</v>
      </c>
      <c r="E28" s="908"/>
      <c r="F28" s="914">
        <v>12</v>
      </c>
      <c r="G28" s="914" t="s">
        <v>35</v>
      </c>
      <c r="H28" s="908" t="s">
        <v>36</v>
      </c>
      <c r="I28" s="938">
        <v>100000</v>
      </c>
      <c r="J28" s="915" t="s">
        <v>11</v>
      </c>
      <c r="K28" s="939"/>
      <c r="L28" s="940" t="s">
        <v>37</v>
      </c>
    </row>
    <row r="29" spans="1:12">
      <c r="A29" s="914">
        <v>10</v>
      </c>
      <c r="B29" s="915" t="s">
        <v>56</v>
      </c>
      <c r="C29" s="908" t="s">
        <v>57</v>
      </c>
      <c r="D29" s="916" t="s">
        <v>34</v>
      </c>
      <c r="E29" s="908"/>
      <c r="F29" s="914">
        <v>12</v>
      </c>
      <c r="G29" s="914" t="s">
        <v>35</v>
      </c>
      <c r="H29" s="908" t="s">
        <v>36</v>
      </c>
      <c r="I29" s="938">
        <v>100000</v>
      </c>
      <c r="J29" s="915" t="s">
        <v>11</v>
      </c>
      <c r="K29" s="939"/>
      <c r="L29" s="940" t="s">
        <v>37</v>
      </c>
    </row>
    <row r="30" spans="1:12">
      <c r="A30" s="914">
        <v>11</v>
      </c>
      <c r="B30" s="916" t="s">
        <v>58</v>
      </c>
      <c r="C30" s="916" t="s">
        <v>59</v>
      </c>
      <c r="D30" s="916"/>
      <c r="E30" s="916"/>
      <c r="F30" s="916"/>
      <c r="G30" s="914" t="s">
        <v>60</v>
      </c>
      <c r="H30" s="908" t="s">
        <v>42</v>
      </c>
      <c r="I30" s="938">
        <v>100000</v>
      </c>
      <c r="J30" s="915" t="s">
        <v>11</v>
      </c>
      <c r="K30" s="939"/>
      <c r="L30" s="940" t="s">
        <v>37</v>
      </c>
    </row>
    <row r="31" spans="1:12">
      <c r="A31" s="914"/>
      <c r="B31" s="902" t="s">
        <v>20</v>
      </c>
      <c r="C31" s="916" t="s">
        <v>20</v>
      </c>
      <c r="D31" s="916"/>
      <c r="E31" s="916"/>
      <c r="F31" s="916"/>
      <c r="G31" s="901" t="s">
        <v>20</v>
      </c>
      <c r="H31" s="901" t="s">
        <v>20</v>
      </c>
      <c r="I31" s="901" t="s">
        <v>20</v>
      </c>
      <c r="J31" s="901" t="s">
        <v>20</v>
      </c>
      <c r="K31" s="939"/>
      <c r="L31" s="902" t="s">
        <v>20</v>
      </c>
    </row>
    <row r="32" spans="1:12">
      <c r="A32" s="920" t="s">
        <v>61</v>
      </c>
      <c r="B32" s="916"/>
      <c r="C32" s="920"/>
      <c r="D32" s="920"/>
      <c r="E32" s="920"/>
      <c r="F32" s="920"/>
      <c r="G32" s="920"/>
      <c r="H32" s="920"/>
      <c r="I32" s="945">
        <f>SUM(I14:I31)</f>
        <v>1144000</v>
      </c>
      <c r="J32" s="925"/>
      <c r="K32" s="939"/>
      <c r="L32" s="946"/>
    </row>
    <row r="33" ht="21" spans="1:12">
      <c r="A33" s="921"/>
      <c r="B33" s="922"/>
      <c r="C33" s="921"/>
      <c r="D33" s="921"/>
      <c r="E33" s="921"/>
      <c r="F33" s="921"/>
      <c r="G33" s="921"/>
      <c r="H33" s="921"/>
      <c r="I33" s="945"/>
      <c r="J33" s="925"/>
      <c r="K33" s="939"/>
      <c r="L33" s="946"/>
    </row>
    <row r="34" ht="25.95" customHeight="1" spans="1:12">
      <c r="A34" s="899" t="s">
        <v>62</v>
      </c>
      <c r="B34" s="900"/>
      <c r="C34" s="899"/>
      <c r="D34" s="899"/>
      <c r="E34" s="899"/>
      <c r="F34" s="899"/>
      <c r="G34" s="899"/>
      <c r="H34" s="899"/>
      <c r="I34" s="899"/>
      <c r="J34" s="899"/>
      <c r="K34" s="899"/>
      <c r="L34" s="899"/>
    </row>
    <row r="35" s="894" customFormat="1" ht="21" spans="1:12">
      <c r="A35" s="923" t="s">
        <v>63</v>
      </c>
      <c r="B35" s="924" t="s">
        <v>26</v>
      </c>
      <c r="C35" s="923" t="s">
        <v>64</v>
      </c>
      <c r="D35" s="923"/>
      <c r="E35" s="923"/>
      <c r="F35" s="923"/>
      <c r="G35" s="923" t="s">
        <v>29</v>
      </c>
      <c r="H35" s="923" t="s">
        <v>65</v>
      </c>
      <c r="I35" s="923" t="s">
        <v>66</v>
      </c>
      <c r="J35" s="911" t="s">
        <v>7</v>
      </c>
      <c r="K35" s="944"/>
      <c r="L35" s="911" t="s">
        <v>8</v>
      </c>
    </row>
    <row r="36" spans="1:12">
      <c r="A36" s="925">
        <v>1</v>
      </c>
      <c r="B36" s="915" t="s">
        <v>67</v>
      </c>
      <c r="C36" s="915" t="s">
        <v>68</v>
      </c>
      <c r="D36" s="915"/>
      <c r="E36" s="915"/>
      <c r="F36" s="915"/>
      <c r="G36" s="925">
        <v>20</v>
      </c>
      <c r="H36" s="925">
        <v>500</v>
      </c>
      <c r="I36" s="938">
        <f t="shared" ref="I36:I42" si="0">SUM(H36*G36)</f>
        <v>10000</v>
      </c>
      <c r="J36" s="947" t="s">
        <v>11</v>
      </c>
      <c r="K36" s="939"/>
      <c r="L36" s="940" t="s">
        <v>69</v>
      </c>
    </row>
    <row r="37" spans="1:12">
      <c r="A37" s="925">
        <v>2</v>
      </c>
      <c r="B37" s="915"/>
      <c r="C37" s="915" t="s">
        <v>70</v>
      </c>
      <c r="D37" s="915"/>
      <c r="E37" s="915"/>
      <c r="F37" s="915"/>
      <c r="G37" s="925">
        <v>14</v>
      </c>
      <c r="H37" s="925">
        <v>500</v>
      </c>
      <c r="I37" s="938">
        <f t="shared" si="0"/>
        <v>7000</v>
      </c>
      <c r="J37" s="947" t="s">
        <v>11</v>
      </c>
      <c r="K37" s="939"/>
      <c r="L37" s="940" t="s">
        <v>69</v>
      </c>
    </row>
    <row r="38" spans="1:12">
      <c r="A38" s="925">
        <v>3</v>
      </c>
      <c r="B38" s="915"/>
      <c r="C38" s="915" t="s">
        <v>71</v>
      </c>
      <c r="D38" s="915"/>
      <c r="E38" s="915"/>
      <c r="F38" s="915"/>
      <c r="G38" s="925">
        <v>15</v>
      </c>
      <c r="H38" s="925">
        <v>500</v>
      </c>
      <c r="I38" s="938">
        <f t="shared" si="0"/>
        <v>7500</v>
      </c>
      <c r="J38" s="947" t="s">
        <v>11</v>
      </c>
      <c r="K38" s="939"/>
      <c r="L38" s="940" t="s">
        <v>69</v>
      </c>
    </row>
    <row r="39" spans="1:12">
      <c r="A39" s="925"/>
      <c r="B39" s="915"/>
      <c r="C39" s="915" t="s">
        <v>72</v>
      </c>
      <c r="D39" s="915"/>
      <c r="E39" s="915"/>
      <c r="F39" s="915"/>
      <c r="G39" s="925">
        <v>7</v>
      </c>
      <c r="H39" s="925">
        <v>500</v>
      </c>
      <c r="I39" s="938">
        <f t="shared" si="0"/>
        <v>3500</v>
      </c>
      <c r="J39" s="947" t="s">
        <v>11</v>
      </c>
      <c r="K39" s="939"/>
      <c r="L39" s="940" t="s">
        <v>69</v>
      </c>
    </row>
    <row r="40" spans="1:12">
      <c r="A40" s="925">
        <v>4</v>
      </c>
      <c r="B40" s="915"/>
      <c r="C40" s="915" t="s">
        <v>73</v>
      </c>
      <c r="D40" s="915"/>
      <c r="E40" s="915"/>
      <c r="F40" s="915"/>
      <c r="G40" s="925">
        <v>7</v>
      </c>
      <c r="H40" s="925">
        <v>500</v>
      </c>
      <c r="I40" s="938">
        <f t="shared" si="0"/>
        <v>3500</v>
      </c>
      <c r="J40" s="947" t="s">
        <v>11</v>
      </c>
      <c r="K40" s="939"/>
      <c r="L40" s="940" t="s">
        <v>69</v>
      </c>
    </row>
    <row r="41" spans="1:12">
      <c r="A41" s="925">
        <v>5</v>
      </c>
      <c r="B41" s="915" t="s">
        <v>74</v>
      </c>
      <c r="C41" s="915" t="s">
        <v>75</v>
      </c>
      <c r="D41" s="915"/>
      <c r="E41" s="915"/>
      <c r="F41" s="915"/>
      <c r="G41" s="925">
        <v>1</v>
      </c>
      <c r="H41" s="925">
        <v>1500</v>
      </c>
      <c r="I41" s="938">
        <f t="shared" si="0"/>
        <v>1500</v>
      </c>
      <c r="J41" s="947" t="s">
        <v>11</v>
      </c>
      <c r="K41" s="939"/>
      <c r="L41" s="940" t="s">
        <v>69</v>
      </c>
    </row>
    <row r="42" spans="1:12">
      <c r="A42" s="925">
        <v>6</v>
      </c>
      <c r="B42" s="915"/>
      <c r="C42" s="915" t="s">
        <v>76</v>
      </c>
      <c r="D42" s="915"/>
      <c r="E42" s="915"/>
      <c r="F42" s="915"/>
      <c r="G42" s="925">
        <v>1</v>
      </c>
      <c r="H42" s="925">
        <v>1500</v>
      </c>
      <c r="I42" s="938">
        <f t="shared" si="0"/>
        <v>1500</v>
      </c>
      <c r="J42" s="947" t="s">
        <v>11</v>
      </c>
      <c r="K42" s="939"/>
      <c r="L42" s="940" t="s">
        <v>69</v>
      </c>
    </row>
    <row r="43" spans="1:12">
      <c r="A43" s="925">
        <v>7</v>
      </c>
      <c r="B43" s="915" t="s">
        <v>77</v>
      </c>
      <c r="C43" s="915" t="s">
        <v>78</v>
      </c>
      <c r="D43" s="915"/>
      <c r="E43" s="915"/>
      <c r="F43" s="915"/>
      <c r="G43" s="925">
        <v>20</v>
      </c>
      <c r="H43" s="925">
        <v>1500</v>
      </c>
      <c r="I43" s="938">
        <v>4000</v>
      </c>
      <c r="J43" s="947" t="s">
        <v>11</v>
      </c>
      <c r="K43" s="939"/>
      <c r="L43" s="940" t="s">
        <v>69</v>
      </c>
    </row>
    <row r="44" spans="1:12">
      <c r="A44" s="925">
        <v>8</v>
      </c>
      <c r="B44" s="915"/>
      <c r="C44" s="915" t="s">
        <v>79</v>
      </c>
      <c r="D44" s="915"/>
      <c r="E44" s="915"/>
      <c r="F44" s="915"/>
      <c r="G44" s="925">
        <v>20</v>
      </c>
      <c r="H44" s="925">
        <v>1500</v>
      </c>
      <c r="I44" s="938">
        <v>4000</v>
      </c>
      <c r="J44" s="947" t="s">
        <v>11</v>
      </c>
      <c r="K44" s="939"/>
      <c r="L44" s="940" t="s">
        <v>69</v>
      </c>
    </row>
    <row r="45" spans="1:12">
      <c r="A45" s="926" t="s">
        <v>80</v>
      </c>
      <c r="B45" s="927"/>
      <c r="C45" s="926"/>
      <c r="D45" s="926"/>
      <c r="E45" s="926"/>
      <c r="F45" s="926"/>
      <c r="G45" s="926"/>
      <c r="H45" s="926"/>
      <c r="I45" s="948">
        <f>SUM(I36:I44)</f>
        <v>42500</v>
      </c>
      <c r="J45" s="949"/>
      <c r="K45" s="939"/>
      <c r="L45" s="946"/>
    </row>
    <row r="46" ht="21" spans="1:12">
      <c r="A46" s="928" t="s">
        <v>81</v>
      </c>
      <c r="B46" s="929"/>
      <c r="C46" s="928"/>
      <c r="D46" s="928"/>
      <c r="E46" s="928"/>
      <c r="F46" s="928"/>
      <c r="G46" s="928"/>
      <c r="H46" s="928"/>
      <c r="I46" s="928"/>
      <c r="J46" s="928"/>
      <c r="K46" s="928"/>
      <c r="L46" s="928"/>
    </row>
    <row r="47" s="894" customFormat="1" ht="21" spans="1:12">
      <c r="A47" s="923" t="s">
        <v>63</v>
      </c>
      <c r="B47" s="924" t="s">
        <v>82</v>
      </c>
      <c r="C47" s="923" t="s">
        <v>83</v>
      </c>
      <c r="D47" s="923" t="s">
        <v>84</v>
      </c>
      <c r="E47" s="923" t="s">
        <v>85</v>
      </c>
      <c r="F47" s="923" t="s">
        <v>30</v>
      </c>
      <c r="G47" s="930" t="s">
        <v>86</v>
      </c>
      <c r="H47" s="931"/>
      <c r="I47" s="923" t="s">
        <v>6</v>
      </c>
      <c r="J47" s="923" t="s">
        <v>7</v>
      </c>
      <c r="K47" s="944"/>
      <c r="L47" s="911" t="s">
        <v>8</v>
      </c>
    </row>
    <row r="48" spans="1:12">
      <c r="A48" s="914">
        <v>1</v>
      </c>
      <c r="B48" s="916" t="s">
        <v>87</v>
      </c>
      <c r="C48" s="916">
        <v>100000</v>
      </c>
      <c r="D48" s="914"/>
      <c r="E48" s="914"/>
      <c r="F48" s="901" t="s">
        <v>88</v>
      </c>
      <c r="G48" s="932" t="s">
        <v>89</v>
      </c>
      <c r="H48" s="933"/>
      <c r="I48" s="914">
        <v>100000</v>
      </c>
      <c r="J48" s="916" t="s">
        <v>90</v>
      </c>
      <c r="K48" s="939"/>
      <c r="L48" s="902" t="s">
        <v>91</v>
      </c>
    </row>
    <row r="49" spans="1:12">
      <c r="A49" s="914">
        <v>2</v>
      </c>
      <c r="B49" s="916" t="s">
        <v>92</v>
      </c>
      <c r="C49" s="916">
        <v>20000</v>
      </c>
      <c r="D49" s="914"/>
      <c r="E49" s="914"/>
      <c r="F49" s="901" t="s">
        <v>88</v>
      </c>
      <c r="G49" s="932" t="s">
        <v>89</v>
      </c>
      <c r="H49" s="933"/>
      <c r="I49" s="914">
        <v>20000</v>
      </c>
      <c r="J49" s="916" t="s">
        <v>90</v>
      </c>
      <c r="K49" s="939"/>
      <c r="L49" s="902" t="s">
        <v>91</v>
      </c>
    </row>
    <row r="50" ht="40.5" spans="1:12">
      <c r="A50" s="914">
        <v>3</v>
      </c>
      <c r="B50" s="916" t="s">
        <v>93</v>
      </c>
      <c r="C50" s="916">
        <v>5000</v>
      </c>
      <c r="D50" s="914"/>
      <c r="E50" s="914"/>
      <c r="F50" s="901" t="s">
        <v>88</v>
      </c>
      <c r="G50" s="932" t="s">
        <v>89</v>
      </c>
      <c r="H50" s="933"/>
      <c r="I50" s="914">
        <v>5000</v>
      </c>
      <c r="J50" s="916" t="s">
        <v>90</v>
      </c>
      <c r="K50" s="939"/>
      <c r="L50" s="902" t="s">
        <v>91</v>
      </c>
    </row>
    <row r="51" spans="1:12">
      <c r="A51" s="914">
        <v>4</v>
      </c>
      <c r="B51" s="916" t="s">
        <v>94</v>
      </c>
      <c r="C51" s="916">
        <v>3000</v>
      </c>
      <c r="D51" s="914"/>
      <c r="E51" s="914"/>
      <c r="F51" s="901" t="s">
        <v>88</v>
      </c>
      <c r="G51" s="932" t="s">
        <v>89</v>
      </c>
      <c r="H51" s="933"/>
      <c r="I51" s="914">
        <v>3000</v>
      </c>
      <c r="J51" s="916" t="s">
        <v>90</v>
      </c>
      <c r="K51" s="939"/>
      <c r="L51" s="902" t="s">
        <v>91</v>
      </c>
    </row>
    <row r="52" spans="1:12">
      <c r="A52" s="914">
        <v>5</v>
      </c>
      <c r="B52" s="916" t="s">
        <v>95</v>
      </c>
      <c r="C52" s="916">
        <v>2000</v>
      </c>
      <c r="D52" s="914"/>
      <c r="E52" s="914"/>
      <c r="F52" s="901" t="s">
        <v>88</v>
      </c>
      <c r="G52" s="932" t="s">
        <v>89</v>
      </c>
      <c r="H52" s="933"/>
      <c r="I52" s="914">
        <v>2000</v>
      </c>
      <c r="J52" s="916" t="s">
        <v>90</v>
      </c>
      <c r="K52" s="939"/>
      <c r="L52" s="902" t="s">
        <v>91</v>
      </c>
    </row>
    <row r="53" s="894" customFormat="1" ht="25.95" customHeight="1" spans="1:12">
      <c r="A53" s="928" t="s">
        <v>96</v>
      </c>
      <c r="B53" s="929"/>
      <c r="C53" s="928"/>
      <c r="D53" s="928"/>
      <c r="E53" s="928"/>
      <c r="F53" s="928"/>
      <c r="G53" s="928"/>
      <c r="H53" s="928"/>
      <c r="I53" s="928"/>
      <c r="J53" s="928"/>
      <c r="K53" s="928"/>
      <c r="L53" s="928"/>
    </row>
    <row r="54" s="894" customFormat="1" ht="21" spans="1:12">
      <c r="A54" s="923" t="s">
        <v>63</v>
      </c>
      <c r="B54" s="924" t="s">
        <v>82</v>
      </c>
      <c r="C54" s="923" t="s">
        <v>97</v>
      </c>
      <c r="D54" s="923" t="s">
        <v>84</v>
      </c>
      <c r="E54" s="923" t="s">
        <v>85</v>
      </c>
      <c r="F54" s="923" t="s">
        <v>98</v>
      </c>
      <c r="G54" s="923" t="s">
        <v>99</v>
      </c>
      <c r="H54" s="923"/>
      <c r="I54" s="923" t="s">
        <v>6</v>
      </c>
      <c r="J54" s="923" t="s">
        <v>7</v>
      </c>
      <c r="K54" s="944"/>
      <c r="L54" s="911" t="s">
        <v>8</v>
      </c>
    </row>
    <row r="55" spans="1:12">
      <c r="A55" s="925">
        <v>1</v>
      </c>
      <c r="B55" s="915" t="s">
        <v>100</v>
      </c>
      <c r="C55" s="915" t="s">
        <v>101</v>
      </c>
      <c r="D55" s="925" t="s">
        <v>102</v>
      </c>
      <c r="E55" s="925">
        <v>1</v>
      </c>
      <c r="F55" s="934">
        <v>6000</v>
      </c>
      <c r="G55" s="925" t="s">
        <v>103</v>
      </c>
      <c r="H55" s="925"/>
      <c r="I55" s="934">
        <v>6000</v>
      </c>
      <c r="J55" s="927" t="s">
        <v>104</v>
      </c>
      <c r="K55" s="939"/>
      <c r="L55" s="940" t="s">
        <v>105</v>
      </c>
    </row>
    <row r="56" spans="1:12">
      <c r="A56" s="925">
        <v>2</v>
      </c>
      <c r="B56" s="915"/>
      <c r="C56" s="915" t="s">
        <v>106</v>
      </c>
      <c r="D56" s="925" t="s">
        <v>102</v>
      </c>
      <c r="E56" s="925">
        <v>2</v>
      </c>
      <c r="F56" s="934">
        <v>500</v>
      </c>
      <c r="G56" s="925" t="s">
        <v>103</v>
      </c>
      <c r="H56" s="925"/>
      <c r="I56" s="934">
        <v>1000</v>
      </c>
      <c r="J56" s="927" t="s">
        <v>104</v>
      </c>
      <c r="K56" s="939"/>
      <c r="L56" s="940" t="s">
        <v>105</v>
      </c>
    </row>
    <row r="57" spans="1:12">
      <c r="A57" s="925">
        <v>3</v>
      </c>
      <c r="B57" s="915"/>
      <c r="C57" s="915" t="s">
        <v>107</v>
      </c>
      <c r="D57" s="925" t="s">
        <v>108</v>
      </c>
      <c r="E57" s="925">
        <v>1</v>
      </c>
      <c r="F57" s="934">
        <v>500</v>
      </c>
      <c r="G57" s="925" t="s">
        <v>103</v>
      </c>
      <c r="H57" s="925"/>
      <c r="I57" s="934">
        <v>500</v>
      </c>
      <c r="J57" s="927" t="s">
        <v>104</v>
      </c>
      <c r="K57" s="939"/>
      <c r="L57" s="940" t="s">
        <v>105</v>
      </c>
    </row>
    <row r="58" spans="1:12">
      <c r="A58" s="925">
        <v>4</v>
      </c>
      <c r="B58" s="915"/>
      <c r="C58" s="915" t="s">
        <v>109</v>
      </c>
      <c r="D58" s="925" t="s">
        <v>108</v>
      </c>
      <c r="E58" s="925">
        <v>1</v>
      </c>
      <c r="F58" s="934">
        <v>0</v>
      </c>
      <c r="G58" s="925" t="s">
        <v>103</v>
      </c>
      <c r="H58" s="925"/>
      <c r="I58" s="934">
        <v>0</v>
      </c>
      <c r="J58" s="927" t="s">
        <v>104</v>
      </c>
      <c r="K58" s="939"/>
      <c r="L58" s="940" t="s">
        <v>105</v>
      </c>
    </row>
    <row r="59" spans="1:12">
      <c r="A59" s="925">
        <v>5</v>
      </c>
      <c r="B59" s="915" t="s">
        <v>110</v>
      </c>
      <c r="C59" s="915" t="s">
        <v>111</v>
      </c>
      <c r="D59" s="925" t="s">
        <v>112</v>
      </c>
      <c r="E59" s="925">
        <v>20</v>
      </c>
      <c r="F59" s="934">
        <v>150</v>
      </c>
      <c r="G59" s="925" t="s">
        <v>103</v>
      </c>
      <c r="H59" s="925"/>
      <c r="I59" s="934">
        <v>3000</v>
      </c>
      <c r="J59" s="927" t="s">
        <v>104</v>
      </c>
      <c r="K59" s="939"/>
      <c r="L59" s="940" t="s">
        <v>105</v>
      </c>
    </row>
    <row r="60" spans="1:12">
      <c r="A60" s="925">
        <v>6</v>
      </c>
      <c r="B60" s="915"/>
      <c r="C60" s="915" t="s">
        <v>113</v>
      </c>
      <c r="D60" s="925" t="s">
        <v>114</v>
      </c>
      <c r="E60" s="925">
        <v>16</v>
      </c>
      <c r="F60" s="934">
        <v>65</v>
      </c>
      <c r="G60" s="925" t="s">
        <v>103</v>
      </c>
      <c r="H60" s="925"/>
      <c r="I60" s="934">
        <v>1040</v>
      </c>
      <c r="J60" s="927" t="s">
        <v>104</v>
      </c>
      <c r="K60" s="939"/>
      <c r="L60" s="940" t="s">
        <v>105</v>
      </c>
    </row>
    <row r="61" spans="1:12">
      <c r="A61" s="925">
        <v>7</v>
      </c>
      <c r="B61" s="915" t="s">
        <v>115</v>
      </c>
      <c r="C61" s="915" t="s">
        <v>116</v>
      </c>
      <c r="D61" s="925" t="s">
        <v>117</v>
      </c>
      <c r="E61" s="925">
        <v>20</v>
      </c>
      <c r="F61" s="934">
        <v>350</v>
      </c>
      <c r="G61" s="925" t="s">
        <v>103</v>
      </c>
      <c r="H61" s="925"/>
      <c r="I61" s="934">
        <v>7000</v>
      </c>
      <c r="J61" s="927" t="s">
        <v>104</v>
      </c>
      <c r="K61" s="939"/>
      <c r="L61" s="940" t="s">
        <v>105</v>
      </c>
    </row>
    <row r="62" spans="1:12">
      <c r="A62" s="925">
        <v>8</v>
      </c>
      <c r="B62" s="915"/>
      <c r="C62" s="915" t="s">
        <v>118</v>
      </c>
      <c r="D62" s="925" t="s">
        <v>117</v>
      </c>
      <c r="E62" s="925">
        <v>30</v>
      </c>
      <c r="F62" s="934">
        <v>70</v>
      </c>
      <c r="G62" s="925" t="s">
        <v>103</v>
      </c>
      <c r="H62" s="925"/>
      <c r="I62" s="934">
        <v>2100</v>
      </c>
      <c r="J62" s="927" t="s">
        <v>104</v>
      </c>
      <c r="K62" s="939"/>
      <c r="L62" s="940" t="s">
        <v>105</v>
      </c>
    </row>
    <row r="63" spans="1:12">
      <c r="A63" s="925">
        <v>9</v>
      </c>
      <c r="B63" s="915"/>
      <c r="C63" s="915" t="s">
        <v>119</v>
      </c>
      <c r="D63" s="925" t="s">
        <v>117</v>
      </c>
      <c r="E63" s="925">
        <v>16</v>
      </c>
      <c r="F63" s="934">
        <v>75</v>
      </c>
      <c r="G63" s="925" t="s">
        <v>103</v>
      </c>
      <c r="H63" s="925"/>
      <c r="I63" s="934">
        <v>1200</v>
      </c>
      <c r="J63" s="927" t="s">
        <v>104</v>
      </c>
      <c r="K63" s="939"/>
      <c r="L63" s="940" t="s">
        <v>105</v>
      </c>
    </row>
    <row r="64" spans="1:12">
      <c r="A64" s="925">
        <v>10</v>
      </c>
      <c r="B64" s="915"/>
      <c r="C64" s="915" t="s">
        <v>120</v>
      </c>
      <c r="D64" s="925" t="s">
        <v>117</v>
      </c>
      <c r="E64" s="925">
        <v>1</v>
      </c>
      <c r="F64" s="934">
        <v>500</v>
      </c>
      <c r="G64" s="925" t="s">
        <v>103</v>
      </c>
      <c r="H64" s="925"/>
      <c r="I64" s="934">
        <v>500</v>
      </c>
      <c r="J64" s="927" t="s">
        <v>104</v>
      </c>
      <c r="K64" s="939"/>
      <c r="L64" s="940" t="s">
        <v>105</v>
      </c>
    </row>
    <row r="65" spans="1:12">
      <c r="A65" s="925">
        <v>11</v>
      </c>
      <c r="B65" s="915"/>
      <c r="C65" s="915" t="s">
        <v>121</v>
      </c>
      <c r="D65" s="925" t="s">
        <v>122</v>
      </c>
      <c r="E65" s="925">
        <v>40</v>
      </c>
      <c r="F65" s="934">
        <v>95</v>
      </c>
      <c r="G65" s="925" t="s">
        <v>103</v>
      </c>
      <c r="H65" s="925"/>
      <c r="I65" s="934">
        <v>3800</v>
      </c>
      <c r="J65" s="927" t="s">
        <v>104</v>
      </c>
      <c r="K65" s="939"/>
      <c r="L65" s="940" t="s">
        <v>105</v>
      </c>
    </row>
    <row r="66" spans="1:12">
      <c r="A66" s="925">
        <v>12</v>
      </c>
      <c r="B66" s="915"/>
      <c r="C66" s="915" t="s">
        <v>123</v>
      </c>
      <c r="D66" s="925" t="s">
        <v>122</v>
      </c>
      <c r="E66" s="925">
        <v>24</v>
      </c>
      <c r="F66" s="934">
        <v>70</v>
      </c>
      <c r="G66" s="925" t="s">
        <v>103</v>
      </c>
      <c r="H66" s="925"/>
      <c r="I66" s="934">
        <v>1680</v>
      </c>
      <c r="J66" s="927" t="s">
        <v>104</v>
      </c>
      <c r="K66" s="939"/>
      <c r="L66" s="940" t="s">
        <v>105</v>
      </c>
    </row>
    <row r="67" spans="1:12">
      <c r="A67" s="925">
        <v>13</v>
      </c>
      <c r="B67" s="915"/>
      <c r="C67" s="915" t="s">
        <v>124</v>
      </c>
      <c r="D67" s="950" t="s">
        <v>125</v>
      </c>
      <c r="E67" s="925">
        <v>2</v>
      </c>
      <c r="F67" s="934">
        <v>100</v>
      </c>
      <c r="G67" s="925" t="s">
        <v>103</v>
      </c>
      <c r="H67" s="925"/>
      <c r="I67" s="934">
        <v>200</v>
      </c>
      <c r="J67" s="927" t="s">
        <v>104</v>
      </c>
      <c r="K67" s="939"/>
      <c r="L67" s="940" t="s">
        <v>105</v>
      </c>
    </row>
    <row r="68" spans="1:12">
      <c r="A68" s="925">
        <v>14</v>
      </c>
      <c r="B68" s="915" t="s">
        <v>126</v>
      </c>
      <c r="C68" s="915" t="s">
        <v>127</v>
      </c>
      <c r="D68" s="950" t="s">
        <v>128</v>
      </c>
      <c r="E68" s="925">
        <v>90</v>
      </c>
      <c r="F68" s="934">
        <v>46</v>
      </c>
      <c r="G68" s="925" t="s">
        <v>103</v>
      </c>
      <c r="H68" s="925"/>
      <c r="I68" s="934">
        <v>4140</v>
      </c>
      <c r="J68" s="927" t="s">
        <v>104</v>
      </c>
      <c r="K68" s="939"/>
      <c r="L68" s="940" t="s">
        <v>105</v>
      </c>
    </row>
    <row r="69" spans="1:12">
      <c r="A69" s="925">
        <v>15</v>
      </c>
      <c r="B69" s="915"/>
      <c r="C69" s="915" t="s">
        <v>129</v>
      </c>
      <c r="D69" s="950" t="s">
        <v>128</v>
      </c>
      <c r="E69" s="925">
        <v>13</v>
      </c>
      <c r="F69" s="934">
        <v>380</v>
      </c>
      <c r="G69" s="925" t="s">
        <v>103</v>
      </c>
      <c r="H69" s="925"/>
      <c r="I69" s="934">
        <v>4940</v>
      </c>
      <c r="J69" s="927" t="s">
        <v>104</v>
      </c>
      <c r="K69" s="939"/>
      <c r="L69" s="940" t="s">
        <v>105</v>
      </c>
    </row>
    <row r="70" spans="1:12">
      <c r="A70" s="925">
        <v>16</v>
      </c>
      <c r="B70" s="915"/>
      <c r="C70" s="915" t="s">
        <v>130</v>
      </c>
      <c r="D70" s="950" t="s">
        <v>122</v>
      </c>
      <c r="E70" s="925">
        <v>30</v>
      </c>
      <c r="F70" s="934">
        <v>660</v>
      </c>
      <c r="G70" s="925" t="s">
        <v>103</v>
      </c>
      <c r="H70" s="925"/>
      <c r="I70" s="934">
        <v>19800</v>
      </c>
      <c r="J70" s="927" t="s">
        <v>104</v>
      </c>
      <c r="K70" s="939"/>
      <c r="L70" s="940" t="s">
        <v>105</v>
      </c>
    </row>
    <row r="71" spans="1:12">
      <c r="A71" s="925">
        <v>17</v>
      </c>
      <c r="B71" s="915"/>
      <c r="C71" s="915" t="s">
        <v>131</v>
      </c>
      <c r="D71" s="950" t="s">
        <v>128</v>
      </c>
      <c r="E71" s="925">
        <v>180</v>
      </c>
      <c r="F71" s="934">
        <v>12</v>
      </c>
      <c r="G71" s="925" t="s">
        <v>103</v>
      </c>
      <c r="H71" s="925"/>
      <c r="I71" s="934">
        <v>2160</v>
      </c>
      <c r="J71" s="927" t="s">
        <v>104</v>
      </c>
      <c r="K71" s="939"/>
      <c r="L71" s="940" t="s">
        <v>105</v>
      </c>
    </row>
    <row r="72" spans="1:12">
      <c r="A72" s="925">
        <v>18</v>
      </c>
      <c r="B72" s="915" t="s">
        <v>132</v>
      </c>
      <c r="C72" s="915" t="s">
        <v>133</v>
      </c>
      <c r="D72" s="950" t="s">
        <v>128</v>
      </c>
      <c r="E72" s="925">
        <v>72</v>
      </c>
      <c r="F72" s="934">
        <v>385</v>
      </c>
      <c r="G72" s="925" t="s">
        <v>103</v>
      </c>
      <c r="H72" s="925"/>
      <c r="I72" s="934">
        <v>27720</v>
      </c>
      <c r="J72" s="927" t="s">
        <v>104</v>
      </c>
      <c r="K72" s="939"/>
      <c r="L72" s="940" t="s">
        <v>105</v>
      </c>
    </row>
    <row r="73" spans="1:12">
      <c r="A73" s="925">
        <v>19</v>
      </c>
      <c r="B73" s="915"/>
      <c r="C73" s="915" t="s">
        <v>134</v>
      </c>
      <c r="D73" s="925" t="s">
        <v>108</v>
      </c>
      <c r="E73" s="925">
        <v>2</v>
      </c>
      <c r="F73" s="934">
        <v>1500</v>
      </c>
      <c r="G73" s="925" t="s">
        <v>103</v>
      </c>
      <c r="H73" s="925"/>
      <c r="I73" s="934">
        <v>3000</v>
      </c>
      <c r="J73" s="927" t="s">
        <v>104</v>
      </c>
      <c r="K73" s="939"/>
      <c r="L73" s="940" t="s">
        <v>105</v>
      </c>
    </row>
    <row r="74" spans="1:12">
      <c r="A74" s="925">
        <v>20</v>
      </c>
      <c r="B74" s="915" t="s">
        <v>135</v>
      </c>
      <c r="C74" s="915" t="s">
        <v>136</v>
      </c>
      <c r="D74" s="925" t="s">
        <v>125</v>
      </c>
      <c r="E74" s="925">
        <v>12</v>
      </c>
      <c r="F74" s="934">
        <v>460</v>
      </c>
      <c r="G74" s="925" t="s">
        <v>103</v>
      </c>
      <c r="H74" s="925"/>
      <c r="I74" s="934">
        <v>5520</v>
      </c>
      <c r="J74" s="927" t="s">
        <v>104</v>
      </c>
      <c r="K74" s="939"/>
      <c r="L74" s="940" t="s">
        <v>105</v>
      </c>
    </row>
    <row r="75" spans="1:12">
      <c r="A75" s="925">
        <v>21</v>
      </c>
      <c r="B75" s="915" t="s">
        <v>137</v>
      </c>
      <c r="C75" s="915" t="s">
        <v>138</v>
      </c>
      <c r="D75" s="925" t="s">
        <v>125</v>
      </c>
      <c r="E75" s="925">
        <v>30</v>
      </c>
      <c r="F75" s="934">
        <v>50</v>
      </c>
      <c r="G75" s="925" t="s">
        <v>103</v>
      </c>
      <c r="H75" s="925"/>
      <c r="I75" s="934">
        <v>1000</v>
      </c>
      <c r="J75" s="927" t="s">
        <v>104</v>
      </c>
      <c r="K75" s="939"/>
      <c r="L75" s="940" t="s">
        <v>105</v>
      </c>
    </row>
    <row r="76" spans="1:12">
      <c r="A76" s="925">
        <v>22</v>
      </c>
      <c r="B76" s="915"/>
      <c r="C76" s="915" t="s">
        <v>139</v>
      </c>
      <c r="D76" s="925" t="s">
        <v>140</v>
      </c>
      <c r="E76" s="925">
        <v>20</v>
      </c>
      <c r="F76" s="934">
        <v>30</v>
      </c>
      <c r="G76" s="925" t="s">
        <v>103</v>
      </c>
      <c r="H76" s="925"/>
      <c r="I76" s="934">
        <v>600</v>
      </c>
      <c r="J76" s="927" t="s">
        <v>104</v>
      </c>
      <c r="K76" s="939"/>
      <c r="L76" s="940" t="s">
        <v>105</v>
      </c>
    </row>
    <row r="77" spans="1:12">
      <c r="A77" s="925">
        <v>23</v>
      </c>
      <c r="B77" s="915"/>
      <c r="C77" s="915" t="s">
        <v>141</v>
      </c>
      <c r="D77" s="925" t="s">
        <v>108</v>
      </c>
      <c r="E77" s="925">
        <v>1</v>
      </c>
      <c r="F77" s="934">
        <v>600</v>
      </c>
      <c r="G77" s="925" t="s">
        <v>103</v>
      </c>
      <c r="H77" s="925"/>
      <c r="I77" s="934">
        <v>600</v>
      </c>
      <c r="J77" s="927" t="s">
        <v>104</v>
      </c>
      <c r="K77" s="939"/>
      <c r="L77" s="940" t="s">
        <v>105</v>
      </c>
    </row>
    <row r="78" spans="1:12">
      <c r="A78" s="925">
        <v>24</v>
      </c>
      <c r="B78" s="915"/>
      <c r="C78" s="915" t="s">
        <v>142</v>
      </c>
      <c r="D78" s="925" t="s">
        <v>143</v>
      </c>
      <c r="E78" s="925">
        <v>2</v>
      </c>
      <c r="F78" s="934">
        <v>500</v>
      </c>
      <c r="G78" s="925" t="s">
        <v>103</v>
      </c>
      <c r="H78" s="925"/>
      <c r="I78" s="934">
        <v>1000</v>
      </c>
      <c r="J78" s="927" t="s">
        <v>104</v>
      </c>
      <c r="K78" s="939"/>
      <c r="L78" s="940" t="s">
        <v>105</v>
      </c>
    </row>
    <row r="79" spans="1:12">
      <c r="A79" s="925">
        <v>25</v>
      </c>
      <c r="B79" s="915"/>
      <c r="C79" s="915" t="s">
        <v>144</v>
      </c>
      <c r="D79" s="925" t="s">
        <v>143</v>
      </c>
      <c r="E79" s="925">
        <v>1</v>
      </c>
      <c r="F79" s="934">
        <v>1000</v>
      </c>
      <c r="G79" s="925" t="s">
        <v>103</v>
      </c>
      <c r="H79" s="925"/>
      <c r="I79" s="934">
        <v>1000</v>
      </c>
      <c r="J79" s="927" t="s">
        <v>104</v>
      </c>
      <c r="K79" s="939"/>
      <c r="L79" s="940" t="s">
        <v>105</v>
      </c>
    </row>
    <row r="80" spans="1:12">
      <c r="A80" s="925">
        <v>26</v>
      </c>
      <c r="B80" s="915"/>
      <c r="C80" s="915" t="s">
        <v>145</v>
      </c>
      <c r="D80" s="925" t="s">
        <v>143</v>
      </c>
      <c r="E80" s="925">
        <v>2</v>
      </c>
      <c r="F80" s="934">
        <v>500</v>
      </c>
      <c r="G80" s="925" t="s">
        <v>103</v>
      </c>
      <c r="H80" s="925"/>
      <c r="I80" s="934">
        <v>1000</v>
      </c>
      <c r="J80" s="927" t="s">
        <v>104</v>
      </c>
      <c r="K80" s="939"/>
      <c r="L80" s="940" t="s">
        <v>105</v>
      </c>
    </row>
    <row r="81" spans="1:12">
      <c r="A81" s="925">
        <v>27</v>
      </c>
      <c r="B81" s="915"/>
      <c r="C81" s="915" t="s">
        <v>146</v>
      </c>
      <c r="D81" s="925"/>
      <c r="E81" s="925"/>
      <c r="F81" s="934">
        <v>800</v>
      </c>
      <c r="G81" s="925" t="s">
        <v>103</v>
      </c>
      <c r="H81" s="925"/>
      <c r="I81" s="934">
        <v>800</v>
      </c>
      <c r="J81" s="927" t="s">
        <v>104</v>
      </c>
      <c r="K81" s="939"/>
      <c r="L81" s="940" t="s">
        <v>105</v>
      </c>
    </row>
    <row r="82" spans="1:12">
      <c r="A82" s="925">
        <v>28</v>
      </c>
      <c r="B82" s="915"/>
      <c r="C82" s="902" t="s">
        <v>147</v>
      </c>
      <c r="D82" s="925"/>
      <c r="E82" s="925"/>
      <c r="F82" s="934">
        <v>2000</v>
      </c>
      <c r="G82" s="925" t="s">
        <v>103</v>
      </c>
      <c r="H82" s="925"/>
      <c r="I82" s="934">
        <v>2000</v>
      </c>
      <c r="J82" s="927" t="s">
        <v>104</v>
      </c>
      <c r="K82" s="939"/>
      <c r="L82" s="940" t="s">
        <v>105</v>
      </c>
    </row>
    <row r="83" spans="1:12">
      <c r="A83" s="925">
        <v>29</v>
      </c>
      <c r="B83" s="393" t="s">
        <v>148</v>
      </c>
      <c r="C83" s="951"/>
      <c r="D83" s="925"/>
      <c r="E83" s="952" t="s">
        <v>149</v>
      </c>
      <c r="F83" s="953"/>
      <c r="G83" s="953"/>
      <c r="H83" s="951"/>
      <c r="I83" s="934">
        <v>10000</v>
      </c>
      <c r="J83" s="927" t="s">
        <v>104</v>
      </c>
      <c r="K83" s="939"/>
      <c r="L83" s="940" t="s">
        <v>105</v>
      </c>
    </row>
    <row r="84" spans="1:12">
      <c r="A84" s="925">
        <v>30</v>
      </c>
      <c r="B84" s="915" t="s">
        <v>20</v>
      </c>
      <c r="C84" s="915"/>
      <c r="D84" s="915"/>
      <c r="E84" s="925" t="s">
        <v>20</v>
      </c>
      <c r="F84" s="925"/>
      <c r="G84" s="925"/>
      <c r="H84" s="925"/>
      <c r="I84" s="901" t="s">
        <v>20</v>
      </c>
      <c r="J84" s="901" t="s">
        <v>20</v>
      </c>
      <c r="K84" s="939"/>
      <c r="L84" s="902" t="s">
        <v>20</v>
      </c>
    </row>
    <row r="85" spans="1:12">
      <c r="A85" s="954" t="s">
        <v>149</v>
      </c>
      <c r="B85" s="915"/>
      <c r="C85" s="954"/>
      <c r="D85" s="954"/>
      <c r="E85" s="954"/>
      <c r="F85" s="954"/>
      <c r="G85" s="954"/>
      <c r="H85" s="954"/>
      <c r="I85" s="948">
        <f>SUM(I55:I84)</f>
        <v>113300</v>
      </c>
      <c r="J85" s="927"/>
      <c r="K85" s="939"/>
      <c r="L85" s="940"/>
    </row>
    <row r="86" ht="17.25" spans="1:12">
      <c r="A86" s="497"/>
      <c r="B86" s="498"/>
      <c r="C86" s="497"/>
      <c r="D86" s="497"/>
      <c r="E86" s="497"/>
      <c r="F86" s="497"/>
      <c r="G86" s="497"/>
      <c r="H86" s="497"/>
      <c r="I86" s="497"/>
      <c r="J86" s="497"/>
      <c r="K86" s="939"/>
      <c r="L86" s="946"/>
    </row>
    <row r="87" ht="30" customHeight="1" spans="1:12">
      <c r="A87" s="928" t="s">
        <v>150</v>
      </c>
      <c r="B87" s="929"/>
      <c r="C87" s="928"/>
      <c r="D87" s="928"/>
      <c r="E87" s="928"/>
      <c r="F87" s="928"/>
      <c r="G87" s="928"/>
      <c r="H87" s="928"/>
      <c r="I87" s="928"/>
      <c r="J87" s="928"/>
      <c r="K87" s="928"/>
      <c r="L87" s="928"/>
    </row>
    <row r="88" s="894" customFormat="1" ht="21" spans="1:12">
      <c r="A88" s="923" t="s">
        <v>63</v>
      </c>
      <c r="B88" s="912" t="s">
        <v>151</v>
      </c>
      <c r="C88" s="913" t="s">
        <v>152</v>
      </c>
      <c r="D88" s="913" t="s">
        <v>84</v>
      </c>
      <c r="E88" s="913" t="s">
        <v>85</v>
      </c>
      <c r="F88" s="911" t="s">
        <v>153</v>
      </c>
      <c r="G88" s="913" t="s">
        <v>30</v>
      </c>
      <c r="H88" s="911" t="s">
        <v>31</v>
      </c>
      <c r="I88" s="911" t="s">
        <v>6</v>
      </c>
      <c r="J88" s="911" t="s">
        <v>7</v>
      </c>
      <c r="K88" s="944"/>
      <c r="L88" s="911" t="s">
        <v>8</v>
      </c>
    </row>
    <row r="89" ht="21" customHeight="1" spans="1:12">
      <c r="A89" s="901">
        <v>1</v>
      </c>
      <c r="B89" s="902" t="s">
        <v>154</v>
      </c>
      <c r="C89" s="955" t="s">
        <v>155</v>
      </c>
      <c r="D89" s="955"/>
      <c r="E89" s="955"/>
      <c r="F89" s="938">
        <v>30000</v>
      </c>
      <c r="G89" s="955" t="s">
        <v>88</v>
      </c>
      <c r="H89" s="908" t="s">
        <v>36</v>
      </c>
      <c r="I89" s="938">
        <v>30000</v>
      </c>
      <c r="J89" s="902" t="s">
        <v>11</v>
      </c>
      <c r="K89" s="939"/>
      <c r="L89" s="963" t="s">
        <v>37</v>
      </c>
    </row>
    <row r="90" spans="1:12">
      <c r="A90" s="901">
        <v>2</v>
      </c>
      <c r="B90" s="902" t="s">
        <v>156</v>
      </c>
      <c r="C90" s="955" t="s">
        <v>157</v>
      </c>
      <c r="D90" s="955"/>
      <c r="E90" s="955"/>
      <c r="F90" s="938">
        <v>30000</v>
      </c>
      <c r="G90" s="955" t="s">
        <v>88</v>
      </c>
      <c r="H90" s="908" t="s">
        <v>36</v>
      </c>
      <c r="I90" s="938">
        <v>3000</v>
      </c>
      <c r="J90" s="902" t="s">
        <v>11</v>
      </c>
      <c r="K90" s="939"/>
      <c r="L90" s="963" t="s">
        <v>37</v>
      </c>
    </row>
    <row r="91" ht="25.95" customHeight="1" spans="1:12">
      <c r="A91" s="901">
        <v>3</v>
      </c>
      <c r="B91" s="902" t="s">
        <v>158</v>
      </c>
      <c r="C91" s="955" t="s">
        <v>157</v>
      </c>
      <c r="D91" s="955"/>
      <c r="E91" s="955"/>
      <c r="F91" s="938">
        <v>5000</v>
      </c>
      <c r="G91" s="955" t="s">
        <v>88</v>
      </c>
      <c r="H91" s="908" t="s">
        <v>42</v>
      </c>
      <c r="I91" s="938">
        <v>5000</v>
      </c>
      <c r="J91" s="902" t="s">
        <v>11</v>
      </c>
      <c r="K91" s="939"/>
      <c r="L91" s="963" t="s">
        <v>37</v>
      </c>
    </row>
    <row r="92" spans="1:12">
      <c r="A92" s="901">
        <v>4</v>
      </c>
      <c r="B92" s="902" t="s">
        <v>159</v>
      </c>
      <c r="C92" s="956" t="s">
        <v>157</v>
      </c>
      <c r="D92" s="956"/>
      <c r="E92" s="956"/>
      <c r="F92" s="938">
        <v>5000</v>
      </c>
      <c r="G92" s="955" t="s">
        <v>88</v>
      </c>
      <c r="H92" s="908" t="s">
        <v>42</v>
      </c>
      <c r="I92" s="938">
        <v>5000</v>
      </c>
      <c r="J92" s="902" t="s">
        <v>11</v>
      </c>
      <c r="K92" s="939"/>
      <c r="L92" s="963" t="s">
        <v>37</v>
      </c>
    </row>
    <row r="93" spans="1:12">
      <c r="A93" s="954" t="s">
        <v>160</v>
      </c>
      <c r="B93" s="915"/>
      <c r="C93" s="954"/>
      <c r="D93" s="954"/>
      <c r="E93" s="954"/>
      <c r="F93" s="954"/>
      <c r="G93" s="954"/>
      <c r="H93" s="954"/>
      <c r="I93" s="948">
        <f>SUM(I89:I92)</f>
        <v>43000</v>
      </c>
      <c r="J93" s="902" t="s">
        <v>11</v>
      </c>
      <c r="K93" s="939"/>
      <c r="L93" s="963" t="s">
        <v>37</v>
      </c>
    </row>
    <row r="94" spans="1:12">
      <c r="A94" s="901"/>
      <c r="B94" s="902"/>
      <c r="C94" s="901"/>
      <c r="D94" s="901"/>
      <c r="E94" s="901"/>
      <c r="F94" s="901"/>
      <c r="G94" s="901"/>
      <c r="H94" s="901"/>
      <c r="I94" s="901"/>
      <c r="J94" s="925"/>
      <c r="K94" s="939"/>
      <c r="L94" s="939"/>
    </row>
    <row r="95" ht="37.05" customHeight="1" spans="1:12">
      <c r="A95" s="928" t="s">
        <v>161</v>
      </c>
      <c r="B95" s="929"/>
      <c r="C95" s="928"/>
      <c r="D95" s="928"/>
      <c r="E95" s="928"/>
      <c r="F95" s="928"/>
      <c r="G95" s="928"/>
      <c r="H95" s="928"/>
      <c r="I95" s="928"/>
      <c r="J95" s="928"/>
      <c r="K95" s="928"/>
      <c r="L95" s="928"/>
    </row>
    <row r="96" s="894" customFormat="1" ht="19.05" customHeight="1" spans="1:12">
      <c r="A96" s="923" t="s">
        <v>63</v>
      </c>
      <c r="B96" s="912" t="s">
        <v>151</v>
      </c>
      <c r="C96" s="913" t="s">
        <v>152</v>
      </c>
      <c r="D96" s="913" t="s">
        <v>84</v>
      </c>
      <c r="E96" s="913" t="s">
        <v>85</v>
      </c>
      <c r="F96" s="911" t="s">
        <v>153</v>
      </c>
      <c r="G96" s="913" t="s">
        <v>30</v>
      </c>
      <c r="H96" s="911" t="s">
        <v>31</v>
      </c>
      <c r="I96" s="911" t="s">
        <v>162</v>
      </c>
      <c r="J96" s="911" t="s">
        <v>7</v>
      </c>
      <c r="K96" s="944"/>
      <c r="L96" s="911" t="s">
        <v>8</v>
      </c>
    </row>
    <row r="97" spans="1:12">
      <c r="A97" s="925">
        <v>1</v>
      </c>
      <c r="B97" s="957" t="s">
        <v>163</v>
      </c>
      <c r="C97" s="958"/>
      <c r="D97" s="958"/>
      <c r="E97" s="958"/>
      <c r="F97" s="938">
        <f>200*298</f>
        <v>59600</v>
      </c>
      <c r="G97" s="958" t="s">
        <v>35</v>
      </c>
      <c r="H97" s="908" t="s">
        <v>36</v>
      </c>
      <c r="I97" s="938">
        <f>200*298</f>
        <v>59600</v>
      </c>
      <c r="J97" s="964" t="s">
        <v>11</v>
      </c>
      <c r="K97" s="939"/>
      <c r="L97" s="963" t="s">
        <v>69</v>
      </c>
    </row>
    <row r="98" spans="1:12">
      <c r="A98" s="925">
        <v>2</v>
      </c>
      <c r="B98" s="959" t="s">
        <v>164</v>
      </c>
      <c r="C98" s="960"/>
      <c r="D98" s="960"/>
      <c r="E98" s="960"/>
      <c r="F98" s="938">
        <f>(5*950+5*800)*2</f>
        <v>17500</v>
      </c>
      <c r="G98" s="960" t="s">
        <v>35</v>
      </c>
      <c r="H98" s="908" t="s">
        <v>36</v>
      </c>
      <c r="I98" s="938">
        <f>(5*950+5*800)*2</f>
        <v>17500</v>
      </c>
      <c r="J98" s="964" t="s">
        <v>11</v>
      </c>
      <c r="K98" s="939"/>
      <c r="L98" s="963" t="s">
        <v>69</v>
      </c>
    </row>
    <row r="99" spans="1:12">
      <c r="A99" s="925">
        <v>3</v>
      </c>
      <c r="B99" s="959"/>
      <c r="C99" s="958"/>
      <c r="D99" s="958"/>
      <c r="E99" s="958"/>
      <c r="F99" s="938">
        <f>20*800</f>
        <v>16000</v>
      </c>
      <c r="G99" s="958" t="s">
        <v>35</v>
      </c>
      <c r="H99" s="908" t="s">
        <v>42</v>
      </c>
      <c r="I99" s="938">
        <f>20*800</f>
        <v>16000</v>
      </c>
      <c r="J99" s="964" t="s">
        <v>11</v>
      </c>
      <c r="K99" s="939"/>
      <c r="L99" s="963" t="s">
        <v>69</v>
      </c>
    </row>
    <row r="100" spans="1:12">
      <c r="A100" s="925">
        <v>4</v>
      </c>
      <c r="B100" s="959" t="s">
        <v>165</v>
      </c>
      <c r="C100" s="958"/>
      <c r="D100" s="958"/>
      <c r="E100" s="958"/>
      <c r="F100" s="938">
        <v>12000</v>
      </c>
      <c r="G100" s="958" t="s">
        <v>35</v>
      </c>
      <c r="H100" s="908" t="s">
        <v>42</v>
      </c>
      <c r="I100" s="938">
        <v>12000</v>
      </c>
      <c r="J100" s="964" t="s">
        <v>11</v>
      </c>
      <c r="K100" s="939"/>
      <c r="L100" s="963" t="s">
        <v>69</v>
      </c>
    </row>
    <row r="101" spans="1:12">
      <c r="A101" s="925">
        <v>5</v>
      </c>
      <c r="B101" s="957" t="s">
        <v>166</v>
      </c>
      <c r="C101" s="958"/>
      <c r="D101" s="958"/>
      <c r="E101" s="958"/>
      <c r="F101" s="938">
        <v>150000</v>
      </c>
      <c r="G101" s="958" t="s">
        <v>35</v>
      </c>
      <c r="H101" s="908" t="s">
        <v>36</v>
      </c>
      <c r="I101" s="938">
        <v>150000</v>
      </c>
      <c r="J101" s="964" t="s">
        <v>11</v>
      </c>
      <c r="K101" s="939"/>
      <c r="L101" s="963" t="s">
        <v>69</v>
      </c>
    </row>
    <row r="102" spans="1:12">
      <c r="A102" s="925">
        <v>6</v>
      </c>
      <c r="B102" s="957"/>
      <c r="C102" s="958"/>
      <c r="D102" s="958"/>
      <c r="E102" s="958"/>
      <c r="F102" s="938">
        <v>30000</v>
      </c>
      <c r="G102" s="958" t="s">
        <v>35</v>
      </c>
      <c r="H102" s="908" t="s">
        <v>36</v>
      </c>
      <c r="I102" s="938">
        <v>30000</v>
      </c>
      <c r="J102" s="964" t="s">
        <v>11</v>
      </c>
      <c r="K102" s="939"/>
      <c r="L102" s="963" t="s">
        <v>69</v>
      </c>
    </row>
    <row r="103" spans="1:12">
      <c r="A103" s="925">
        <v>7</v>
      </c>
      <c r="B103" s="961" t="s">
        <v>167</v>
      </c>
      <c r="C103" s="958"/>
      <c r="D103" s="958"/>
      <c r="E103" s="958"/>
      <c r="F103" s="938">
        <v>10000</v>
      </c>
      <c r="G103" s="958" t="s">
        <v>35</v>
      </c>
      <c r="H103" s="908" t="s">
        <v>36</v>
      </c>
      <c r="I103" s="938">
        <v>10000</v>
      </c>
      <c r="J103" s="964" t="s">
        <v>11</v>
      </c>
      <c r="K103" s="939"/>
      <c r="L103" s="963" t="s">
        <v>69</v>
      </c>
    </row>
    <row r="104" spans="1:12">
      <c r="A104" s="954" t="s">
        <v>168</v>
      </c>
      <c r="B104" s="915"/>
      <c r="C104" s="954"/>
      <c r="D104" s="954"/>
      <c r="E104" s="954"/>
      <c r="F104" s="954"/>
      <c r="G104" s="954"/>
      <c r="H104" s="954"/>
      <c r="I104" s="948">
        <f>SUM(I97:I103)</f>
        <v>295100</v>
      </c>
      <c r="J104" s="964" t="s">
        <v>11</v>
      </c>
      <c r="K104" s="939"/>
      <c r="L104" s="939"/>
    </row>
    <row r="105" spans="1:14">
      <c r="A105" s="902" t="s">
        <v>20</v>
      </c>
      <c r="B105" s="902"/>
      <c r="C105" s="902"/>
      <c r="D105" s="902"/>
      <c r="E105" s="902"/>
      <c r="F105" s="902"/>
      <c r="G105" s="902"/>
      <c r="H105" s="902"/>
      <c r="I105" s="915" t="s">
        <v>20</v>
      </c>
      <c r="J105" s="915"/>
      <c r="K105" s="915"/>
      <c r="L105" s="915" t="s">
        <v>20</v>
      </c>
      <c r="M105" s="915"/>
      <c r="N105" s="915"/>
    </row>
    <row r="106" ht="37.95" customHeight="1" spans="1:12">
      <c r="A106" s="928" t="s">
        <v>169</v>
      </c>
      <c r="B106" s="929"/>
      <c r="C106" s="928"/>
      <c r="D106" s="928"/>
      <c r="E106" s="928"/>
      <c r="F106" s="928"/>
      <c r="G106" s="928"/>
      <c r="H106" s="928"/>
      <c r="I106" s="928"/>
      <c r="J106" s="928"/>
      <c r="K106" s="928"/>
      <c r="L106" s="928"/>
    </row>
    <row r="107" s="894" customFormat="1" ht="42" spans="1:12">
      <c r="A107" s="923" t="s">
        <v>63</v>
      </c>
      <c r="B107" s="912" t="s">
        <v>151</v>
      </c>
      <c r="C107" s="911" t="s">
        <v>152</v>
      </c>
      <c r="D107" s="911" t="s">
        <v>170</v>
      </c>
      <c r="E107" s="911" t="s">
        <v>171</v>
      </c>
      <c r="F107" s="911" t="s">
        <v>172</v>
      </c>
      <c r="G107" s="911" t="s">
        <v>173</v>
      </c>
      <c r="H107" s="911" t="s">
        <v>85</v>
      </c>
      <c r="I107" s="911" t="s">
        <v>174</v>
      </c>
      <c r="J107" s="911" t="s">
        <v>175</v>
      </c>
      <c r="K107" s="944"/>
      <c r="L107" s="923" t="s">
        <v>8</v>
      </c>
    </row>
    <row r="108" spans="1:12">
      <c r="A108" s="949">
        <v>1</v>
      </c>
      <c r="B108" s="902" t="s">
        <v>176</v>
      </c>
      <c r="C108" s="902" t="s">
        <v>177</v>
      </c>
      <c r="D108" s="949"/>
      <c r="E108" s="949"/>
      <c r="F108" s="949"/>
      <c r="G108" s="962"/>
      <c r="H108" s="949">
        <v>68</v>
      </c>
      <c r="I108" s="965">
        <v>18</v>
      </c>
      <c r="J108" s="965">
        <f t="shared" ref="J108:J123" si="1">I108*H108*G108</f>
        <v>0</v>
      </c>
      <c r="K108" s="939"/>
      <c r="L108" s="966" t="s">
        <v>105</v>
      </c>
    </row>
    <row r="109" spans="1:12">
      <c r="A109" s="949">
        <v>2</v>
      </c>
      <c r="B109" s="902" t="s">
        <v>178</v>
      </c>
      <c r="C109" s="902" t="s">
        <v>179</v>
      </c>
      <c r="D109" s="949"/>
      <c r="E109" s="949"/>
      <c r="F109" s="949"/>
      <c r="G109" s="962"/>
      <c r="H109" s="949">
        <v>1</v>
      </c>
      <c r="I109" s="965">
        <v>25</v>
      </c>
      <c r="J109" s="965">
        <f t="shared" si="1"/>
        <v>0</v>
      </c>
      <c r="K109" s="939"/>
      <c r="L109" s="966" t="s">
        <v>105</v>
      </c>
    </row>
    <row r="110" spans="1:12">
      <c r="A110" s="949">
        <v>3</v>
      </c>
      <c r="B110" s="902" t="s">
        <v>178</v>
      </c>
      <c r="C110" s="902" t="s">
        <v>179</v>
      </c>
      <c r="D110" s="949"/>
      <c r="E110" s="949"/>
      <c r="F110" s="949"/>
      <c r="G110" s="962"/>
      <c r="H110" s="949">
        <v>1</v>
      </c>
      <c r="I110" s="965">
        <v>25</v>
      </c>
      <c r="J110" s="965">
        <f t="shared" si="1"/>
        <v>0</v>
      </c>
      <c r="K110" s="939"/>
      <c r="L110" s="966" t="s">
        <v>105</v>
      </c>
    </row>
    <row r="111" spans="1:12">
      <c r="A111" s="949">
        <v>4</v>
      </c>
      <c r="B111" s="902" t="s">
        <v>180</v>
      </c>
      <c r="C111" s="902" t="s">
        <v>181</v>
      </c>
      <c r="D111" s="949"/>
      <c r="E111" s="949"/>
      <c r="F111" s="949"/>
      <c r="G111" s="962"/>
      <c r="H111" s="949">
        <v>5</v>
      </c>
      <c r="I111" s="965">
        <v>35</v>
      </c>
      <c r="J111" s="965">
        <f t="shared" si="1"/>
        <v>0</v>
      </c>
      <c r="K111" s="939"/>
      <c r="L111" s="966" t="s">
        <v>105</v>
      </c>
    </row>
    <row r="112" spans="1:12">
      <c r="A112" s="949">
        <v>5</v>
      </c>
      <c r="B112" s="902" t="s">
        <v>182</v>
      </c>
      <c r="C112" s="902" t="s">
        <v>177</v>
      </c>
      <c r="D112" s="949"/>
      <c r="E112" s="949"/>
      <c r="F112" s="949"/>
      <c r="G112" s="962"/>
      <c r="H112" s="949">
        <v>20</v>
      </c>
      <c r="I112" s="965">
        <v>18</v>
      </c>
      <c r="J112" s="965">
        <f t="shared" si="1"/>
        <v>0</v>
      </c>
      <c r="K112" s="939"/>
      <c r="L112" s="966" t="s">
        <v>105</v>
      </c>
    </row>
    <row r="113" spans="1:12">
      <c r="A113" s="949">
        <v>6</v>
      </c>
      <c r="B113" s="902" t="s">
        <v>183</v>
      </c>
      <c r="C113" s="902" t="s">
        <v>179</v>
      </c>
      <c r="D113" s="949"/>
      <c r="E113" s="949"/>
      <c r="F113" s="949"/>
      <c r="G113" s="962"/>
      <c r="H113" s="949">
        <v>1</v>
      </c>
      <c r="I113" s="965">
        <v>25</v>
      </c>
      <c r="J113" s="965">
        <f t="shared" si="1"/>
        <v>0</v>
      </c>
      <c r="K113" s="939"/>
      <c r="L113" s="966" t="s">
        <v>105</v>
      </c>
    </row>
    <row r="114" spans="1:12">
      <c r="A114" s="949">
        <v>7</v>
      </c>
      <c r="B114" s="902" t="s">
        <v>184</v>
      </c>
      <c r="C114" s="902" t="s">
        <v>177</v>
      </c>
      <c r="D114" s="949"/>
      <c r="E114" s="949"/>
      <c r="F114" s="949"/>
      <c r="G114" s="962"/>
      <c r="H114" s="949">
        <v>1</v>
      </c>
      <c r="I114" s="965">
        <v>50</v>
      </c>
      <c r="J114" s="965">
        <f t="shared" si="1"/>
        <v>0</v>
      </c>
      <c r="K114" s="939"/>
      <c r="L114" s="966" t="s">
        <v>105</v>
      </c>
    </row>
    <row r="115" spans="1:12">
      <c r="A115" s="949">
        <v>8</v>
      </c>
      <c r="B115" s="902" t="s">
        <v>185</v>
      </c>
      <c r="C115" s="902" t="s">
        <v>186</v>
      </c>
      <c r="D115" s="949"/>
      <c r="E115" s="949"/>
      <c r="F115" s="949"/>
      <c r="G115" s="962"/>
      <c r="H115" s="949">
        <v>1</v>
      </c>
      <c r="I115" s="965">
        <v>500</v>
      </c>
      <c r="J115" s="965">
        <f t="shared" si="1"/>
        <v>0</v>
      </c>
      <c r="K115" s="939"/>
      <c r="L115" s="966" t="s">
        <v>105</v>
      </c>
    </row>
    <row r="116" spans="1:12">
      <c r="A116" s="949">
        <v>9</v>
      </c>
      <c r="B116" s="902" t="s">
        <v>187</v>
      </c>
      <c r="C116" s="902" t="s">
        <v>188</v>
      </c>
      <c r="D116" s="949"/>
      <c r="E116" s="949"/>
      <c r="F116" s="949"/>
      <c r="G116" s="962"/>
      <c r="H116" s="949">
        <v>1</v>
      </c>
      <c r="I116" s="965">
        <v>800</v>
      </c>
      <c r="J116" s="965">
        <f t="shared" si="1"/>
        <v>0</v>
      </c>
      <c r="K116" s="939"/>
      <c r="L116" s="966" t="s">
        <v>105</v>
      </c>
    </row>
    <row r="117" spans="1:12">
      <c r="A117" s="949">
        <v>10</v>
      </c>
      <c r="B117" s="902" t="s">
        <v>189</v>
      </c>
      <c r="C117" s="902" t="s">
        <v>177</v>
      </c>
      <c r="D117" s="949"/>
      <c r="E117" s="949"/>
      <c r="F117" s="949"/>
      <c r="G117" s="962"/>
      <c r="H117" s="949">
        <v>80</v>
      </c>
      <c r="I117" s="965">
        <v>18</v>
      </c>
      <c r="J117" s="965">
        <f t="shared" si="1"/>
        <v>0</v>
      </c>
      <c r="K117" s="939"/>
      <c r="L117" s="966" t="s">
        <v>105</v>
      </c>
    </row>
    <row r="118" spans="1:12">
      <c r="A118" s="949">
        <v>11</v>
      </c>
      <c r="B118" s="902" t="s">
        <v>190</v>
      </c>
      <c r="C118" s="902" t="s">
        <v>191</v>
      </c>
      <c r="D118" s="949"/>
      <c r="E118" s="949"/>
      <c r="F118" s="949"/>
      <c r="G118" s="962"/>
      <c r="H118" s="949">
        <v>1</v>
      </c>
      <c r="I118" s="965">
        <v>160</v>
      </c>
      <c r="J118" s="965">
        <f t="shared" si="1"/>
        <v>0</v>
      </c>
      <c r="K118" s="939"/>
      <c r="L118" s="966" t="s">
        <v>105</v>
      </c>
    </row>
    <row r="119" spans="1:12">
      <c r="A119" s="949">
        <v>12</v>
      </c>
      <c r="B119" s="902" t="s">
        <v>192</v>
      </c>
      <c r="C119" s="902" t="s">
        <v>193</v>
      </c>
      <c r="D119" s="949"/>
      <c r="E119" s="949"/>
      <c r="F119" s="949"/>
      <c r="G119" s="962"/>
      <c r="H119" s="949">
        <v>1</v>
      </c>
      <c r="I119" s="965">
        <v>300</v>
      </c>
      <c r="J119" s="965">
        <f t="shared" si="1"/>
        <v>0</v>
      </c>
      <c r="K119" s="939"/>
      <c r="L119" s="966" t="s">
        <v>105</v>
      </c>
    </row>
    <row r="120" spans="1:12">
      <c r="A120" s="949">
        <v>13</v>
      </c>
      <c r="B120" s="902" t="s">
        <v>194</v>
      </c>
      <c r="C120" s="902" t="s">
        <v>195</v>
      </c>
      <c r="D120" s="949"/>
      <c r="E120" s="949"/>
      <c r="F120" s="949"/>
      <c r="G120" s="962"/>
      <c r="H120" s="949">
        <v>1</v>
      </c>
      <c r="I120" s="965">
        <v>1800</v>
      </c>
      <c r="J120" s="965">
        <f t="shared" si="1"/>
        <v>0</v>
      </c>
      <c r="K120" s="939"/>
      <c r="L120" s="966" t="s">
        <v>105</v>
      </c>
    </row>
    <row r="121" spans="1:12">
      <c r="A121" s="949">
        <v>14</v>
      </c>
      <c r="B121" s="902" t="s">
        <v>196</v>
      </c>
      <c r="C121" s="902" t="s">
        <v>197</v>
      </c>
      <c r="D121" s="949"/>
      <c r="E121" s="949"/>
      <c r="F121" s="949"/>
      <c r="G121" s="962"/>
      <c r="H121" s="949">
        <v>1</v>
      </c>
      <c r="I121" s="965">
        <v>1200</v>
      </c>
      <c r="J121" s="965">
        <f t="shared" si="1"/>
        <v>0</v>
      </c>
      <c r="K121" s="939"/>
      <c r="L121" s="966" t="s">
        <v>105</v>
      </c>
    </row>
    <row r="122" spans="1:12">
      <c r="A122" s="949">
        <v>15</v>
      </c>
      <c r="B122" s="902" t="s">
        <v>198</v>
      </c>
      <c r="C122" s="902" t="s">
        <v>197</v>
      </c>
      <c r="D122" s="949"/>
      <c r="E122" s="949"/>
      <c r="F122" s="949"/>
      <c r="G122" s="962"/>
      <c r="H122" s="949">
        <v>1</v>
      </c>
      <c r="I122" s="965">
        <v>1600</v>
      </c>
      <c r="J122" s="965">
        <f t="shared" si="1"/>
        <v>0</v>
      </c>
      <c r="K122" s="939"/>
      <c r="L122" s="966" t="s">
        <v>105</v>
      </c>
    </row>
    <row r="123" spans="1:12">
      <c r="A123" s="949">
        <v>16</v>
      </c>
      <c r="B123" s="902" t="s">
        <v>199</v>
      </c>
      <c r="C123" s="902" t="s">
        <v>135</v>
      </c>
      <c r="D123" s="949"/>
      <c r="E123" s="949"/>
      <c r="F123" s="949"/>
      <c r="G123" s="962"/>
      <c r="H123" s="949">
        <v>12</v>
      </c>
      <c r="I123" s="965">
        <v>480</v>
      </c>
      <c r="J123" s="965">
        <f t="shared" si="1"/>
        <v>0</v>
      </c>
      <c r="K123" s="939"/>
      <c r="L123" s="966" t="s">
        <v>105</v>
      </c>
    </row>
    <row r="124" spans="1:12">
      <c r="A124" s="949">
        <v>17</v>
      </c>
      <c r="B124" s="902" t="s">
        <v>200</v>
      </c>
      <c r="C124" s="902" t="s">
        <v>201</v>
      </c>
      <c r="D124" s="949"/>
      <c r="E124" s="949"/>
      <c r="F124" s="949"/>
      <c r="G124" s="962"/>
      <c r="H124" s="949">
        <v>1</v>
      </c>
      <c r="I124" s="965">
        <v>6000</v>
      </c>
      <c r="J124" s="965">
        <v>6000</v>
      </c>
      <c r="K124" s="939"/>
      <c r="L124" s="966" t="s">
        <v>105</v>
      </c>
    </row>
    <row r="125" spans="1:12">
      <c r="A125" s="949">
        <v>18</v>
      </c>
      <c r="B125" s="902" t="s">
        <v>202</v>
      </c>
      <c r="C125" s="902" t="s">
        <v>191</v>
      </c>
      <c r="D125" s="949"/>
      <c r="E125" s="949"/>
      <c r="F125" s="949"/>
      <c r="G125" s="962"/>
      <c r="H125" s="949">
        <v>1</v>
      </c>
      <c r="I125" s="965">
        <v>1200</v>
      </c>
      <c r="J125" s="965">
        <f t="shared" ref="J125:J127" si="2">I125*H125*G125</f>
        <v>0</v>
      </c>
      <c r="K125" s="939"/>
      <c r="L125" s="966" t="s">
        <v>105</v>
      </c>
    </row>
    <row r="126" spans="1:12">
      <c r="A126" s="949">
        <v>19</v>
      </c>
      <c r="B126" s="902" t="s">
        <v>203</v>
      </c>
      <c r="C126" s="902" t="s">
        <v>188</v>
      </c>
      <c r="D126" s="949"/>
      <c r="E126" s="949"/>
      <c r="F126" s="949"/>
      <c r="G126" s="962"/>
      <c r="H126" s="949">
        <v>1</v>
      </c>
      <c r="I126" s="965">
        <v>1200</v>
      </c>
      <c r="J126" s="965">
        <f t="shared" si="2"/>
        <v>0</v>
      </c>
      <c r="K126" s="939"/>
      <c r="L126" s="966" t="s">
        <v>105</v>
      </c>
    </row>
    <row r="127" spans="1:12">
      <c r="A127" s="949">
        <v>20</v>
      </c>
      <c r="B127" s="902" t="s">
        <v>203</v>
      </c>
      <c r="C127" s="902" t="s">
        <v>204</v>
      </c>
      <c r="D127" s="949"/>
      <c r="E127" s="949"/>
      <c r="F127" s="949"/>
      <c r="G127" s="962"/>
      <c r="H127" s="949">
        <v>1</v>
      </c>
      <c r="I127" s="965">
        <v>800</v>
      </c>
      <c r="J127" s="965">
        <f t="shared" si="2"/>
        <v>0</v>
      </c>
      <c r="K127" s="939"/>
      <c r="L127" s="966" t="s">
        <v>105</v>
      </c>
    </row>
    <row r="128" spans="1:12">
      <c r="A128" s="949">
        <v>21</v>
      </c>
      <c r="B128" s="902" t="s">
        <v>205</v>
      </c>
      <c r="C128" s="902" t="s">
        <v>206</v>
      </c>
      <c r="D128" s="949"/>
      <c r="E128" s="949"/>
      <c r="F128" s="949"/>
      <c r="G128" s="962"/>
      <c r="H128" s="949">
        <v>1</v>
      </c>
      <c r="I128" s="965">
        <v>1000</v>
      </c>
      <c r="J128" s="965">
        <v>2000</v>
      </c>
      <c r="K128" s="939"/>
      <c r="L128" s="966" t="s">
        <v>105</v>
      </c>
    </row>
    <row r="129" spans="1:12">
      <c r="A129" s="949">
        <v>22</v>
      </c>
      <c r="B129" s="902" t="s">
        <v>207</v>
      </c>
      <c r="C129" s="902"/>
      <c r="D129" s="949"/>
      <c r="E129" s="949"/>
      <c r="F129" s="949"/>
      <c r="G129" s="962"/>
      <c r="H129" s="949">
        <v>10</v>
      </c>
      <c r="I129" s="965">
        <v>200</v>
      </c>
      <c r="J129" s="965">
        <v>2000</v>
      </c>
      <c r="K129" s="939"/>
      <c r="L129" s="966" t="s">
        <v>105</v>
      </c>
    </row>
    <row r="130" spans="1:12">
      <c r="A130" s="949">
        <v>23</v>
      </c>
      <c r="B130" s="902" t="s">
        <v>208</v>
      </c>
      <c r="C130" s="902"/>
      <c r="D130" s="949"/>
      <c r="E130" s="949"/>
      <c r="F130" s="949"/>
      <c r="G130" s="962"/>
      <c r="H130" s="949">
        <v>4</v>
      </c>
      <c r="I130" s="965">
        <v>200</v>
      </c>
      <c r="J130" s="965">
        <f>I130*H130*G130</f>
        <v>0</v>
      </c>
      <c r="K130" s="939"/>
      <c r="L130" s="966" t="s">
        <v>105</v>
      </c>
    </row>
    <row r="131" spans="1:12">
      <c r="A131" s="949">
        <v>24</v>
      </c>
      <c r="B131" s="967" t="s">
        <v>209</v>
      </c>
      <c r="C131" s="902" t="s">
        <v>210</v>
      </c>
      <c r="D131" s="902"/>
      <c r="E131" s="901" t="s">
        <v>108</v>
      </c>
      <c r="F131" s="925"/>
      <c r="G131" s="925"/>
      <c r="H131" s="901">
        <v>500</v>
      </c>
      <c r="I131" s="965">
        <v>6</v>
      </c>
      <c r="J131" s="976">
        <f t="shared" ref="J131:J139" si="3">I131*H131</f>
        <v>3000</v>
      </c>
      <c r="K131" s="939"/>
      <c r="L131" s="966" t="s">
        <v>105</v>
      </c>
    </row>
    <row r="132" spans="1:12">
      <c r="A132" s="949">
        <v>25</v>
      </c>
      <c r="B132" s="968"/>
      <c r="C132" s="902" t="s">
        <v>211</v>
      </c>
      <c r="D132" s="902"/>
      <c r="E132" s="901" t="s">
        <v>108</v>
      </c>
      <c r="F132" s="925"/>
      <c r="G132" s="925"/>
      <c r="H132" s="901">
        <v>50</v>
      </c>
      <c r="I132" s="965">
        <v>6</v>
      </c>
      <c r="J132" s="976">
        <f t="shared" si="3"/>
        <v>300</v>
      </c>
      <c r="K132" s="939"/>
      <c r="L132" s="966" t="s">
        <v>105</v>
      </c>
    </row>
    <row r="133" spans="1:12">
      <c r="A133" s="949">
        <v>26</v>
      </c>
      <c r="B133" s="968"/>
      <c r="C133" s="902" t="s">
        <v>212</v>
      </c>
      <c r="D133" s="902"/>
      <c r="E133" s="901" t="s">
        <v>108</v>
      </c>
      <c r="F133" s="925"/>
      <c r="G133" s="925"/>
      <c r="H133" s="901">
        <v>50</v>
      </c>
      <c r="I133" s="965">
        <v>6</v>
      </c>
      <c r="J133" s="976">
        <f t="shared" si="3"/>
        <v>300</v>
      </c>
      <c r="K133" s="939"/>
      <c r="L133" s="966" t="s">
        <v>105</v>
      </c>
    </row>
    <row r="134" spans="1:12">
      <c r="A134" s="949">
        <v>27</v>
      </c>
      <c r="B134" s="968"/>
      <c r="C134" s="902" t="s">
        <v>213</v>
      </c>
      <c r="D134" s="902"/>
      <c r="E134" s="901" t="s">
        <v>108</v>
      </c>
      <c r="F134" s="925"/>
      <c r="G134" s="925"/>
      <c r="H134" s="901">
        <v>450</v>
      </c>
      <c r="I134" s="965">
        <v>60</v>
      </c>
      <c r="J134" s="976">
        <f t="shared" si="3"/>
        <v>27000</v>
      </c>
      <c r="K134" s="939"/>
      <c r="L134" s="966" t="s">
        <v>105</v>
      </c>
    </row>
    <row r="135" spans="1:12">
      <c r="A135" s="949">
        <v>28</v>
      </c>
      <c r="B135" s="968"/>
      <c r="C135" s="902" t="s">
        <v>214</v>
      </c>
      <c r="D135" s="902"/>
      <c r="E135" s="901" t="s">
        <v>108</v>
      </c>
      <c r="F135" s="925"/>
      <c r="G135" s="925"/>
      <c r="H135" s="901">
        <v>5</v>
      </c>
      <c r="I135" s="965">
        <v>10</v>
      </c>
      <c r="J135" s="976">
        <f t="shared" si="3"/>
        <v>50</v>
      </c>
      <c r="K135" s="939"/>
      <c r="L135" s="966" t="s">
        <v>105</v>
      </c>
    </row>
    <row r="136" spans="1:12">
      <c r="A136" s="949">
        <v>29</v>
      </c>
      <c r="B136" s="968"/>
      <c r="C136" s="902" t="s">
        <v>215</v>
      </c>
      <c r="D136" s="902"/>
      <c r="E136" s="901" t="s">
        <v>108</v>
      </c>
      <c r="F136" s="925"/>
      <c r="G136" s="925"/>
      <c r="H136" s="901">
        <v>20</v>
      </c>
      <c r="I136" s="965">
        <v>30</v>
      </c>
      <c r="J136" s="976">
        <f t="shared" si="3"/>
        <v>600</v>
      </c>
      <c r="K136" s="939"/>
      <c r="L136" s="966" t="s">
        <v>105</v>
      </c>
    </row>
    <row r="137" spans="1:12">
      <c r="A137" s="949">
        <v>30</v>
      </c>
      <c r="B137" s="968"/>
      <c r="C137" s="902" t="s">
        <v>216</v>
      </c>
      <c r="D137" s="902"/>
      <c r="E137" s="901" t="s">
        <v>108</v>
      </c>
      <c r="F137" s="925"/>
      <c r="G137" s="925"/>
      <c r="H137" s="901">
        <v>1500</v>
      </c>
      <c r="I137" s="965">
        <v>6</v>
      </c>
      <c r="J137" s="976">
        <f t="shared" si="3"/>
        <v>9000</v>
      </c>
      <c r="K137" s="939"/>
      <c r="L137" s="966" t="s">
        <v>105</v>
      </c>
    </row>
    <row r="138" spans="1:12">
      <c r="A138" s="949">
        <v>31</v>
      </c>
      <c r="B138" s="968"/>
      <c r="C138" s="902" t="s">
        <v>217</v>
      </c>
      <c r="D138" s="902"/>
      <c r="E138" s="901" t="s">
        <v>218</v>
      </c>
      <c r="F138" s="925"/>
      <c r="G138" s="925"/>
      <c r="H138" s="901">
        <v>10</v>
      </c>
      <c r="I138" s="965">
        <v>8</v>
      </c>
      <c r="J138" s="976">
        <f t="shared" si="3"/>
        <v>80</v>
      </c>
      <c r="K138" s="939"/>
      <c r="L138" s="966" t="s">
        <v>105</v>
      </c>
    </row>
    <row r="139" spans="1:12">
      <c r="A139" s="949">
        <v>32</v>
      </c>
      <c r="B139" s="968"/>
      <c r="C139" s="902" t="s">
        <v>219</v>
      </c>
      <c r="D139" s="902"/>
      <c r="E139" s="901" t="s">
        <v>125</v>
      </c>
      <c r="F139" s="925"/>
      <c r="G139" s="925"/>
      <c r="H139" s="901">
        <v>2</v>
      </c>
      <c r="I139" s="965">
        <v>50</v>
      </c>
      <c r="J139" s="976">
        <f t="shared" si="3"/>
        <v>100</v>
      </c>
      <c r="K139" s="939"/>
      <c r="L139" s="966" t="s">
        <v>105</v>
      </c>
    </row>
    <row r="140" spans="1:12">
      <c r="A140" s="949">
        <v>33</v>
      </c>
      <c r="B140" s="968"/>
      <c r="C140" s="902" t="s">
        <v>220</v>
      </c>
      <c r="D140" s="902"/>
      <c r="E140" s="901"/>
      <c r="F140" s="925"/>
      <c r="G140" s="925"/>
      <c r="H140" s="901"/>
      <c r="I140" s="965">
        <v>5000</v>
      </c>
      <c r="J140" s="965">
        <v>5000</v>
      </c>
      <c r="K140" s="939"/>
      <c r="L140" s="966" t="s">
        <v>105</v>
      </c>
    </row>
    <row r="141" spans="1:12">
      <c r="A141" s="949">
        <v>34</v>
      </c>
      <c r="B141" s="968"/>
      <c r="C141" s="902" t="s">
        <v>221</v>
      </c>
      <c r="D141" s="902"/>
      <c r="E141" s="901"/>
      <c r="F141" s="925"/>
      <c r="G141" s="925"/>
      <c r="H141" s="901"/>
      <c r="I141" s="965">
        <v>5000</v>
      </c>
      <c r="J141" s="965">
        <v>5000</v>
      </c>
      <c r="K141" s="939"/>
      <c r="L141" s="966" t="s">
        <v>105</v>
      </c>
    </row>
    <row r="142" spans="1:12">
      <c r="A142" s="949">
        <v>35</v>
      </c>
      <c r="B142" s="968"/>
      <c r="C142" s="902" t="s">
        <v>222</v>
      </c>
      <c r="D142" s="902"/>
      <c r="E142" s="901" t="s">
        <v>125</v>
      </c>
      <c r="F142" s="925"/>
      <c r="G142" s="925"/>
      <c r="H142" s="901">
        <v>20</v>
      </c>
      <c r="I142" s="965">
        <v>2000</v>
      </c>
      <c r="J142" s="965">
        <v>2000</v>
      </c>
      <c r="K142" s="939"/>
      <c r="L142" s="966" t="s">
        <v>105</v>
      </c>
    </row>
    <row r="143" spans="1:12">
      <c r="A143" s="949">
        <v>36</v>
      </c>
      <c r="B143" s="969"/>
      <c r="C143" s="901" t="s">
        <v>223</v>
      </c>
      <c r="D143" s="901"/>
      <c r="E143" s="901"/>
      <c r="F143" s="901"/>
      <c r="G143" s="901"/>
      <c r="H143" s="970"/>
      <c r="I143" s="977">
        <v>10000</v>
      </c>
      <c r="J143" s="976">
        <v>10000</v>
      </c>
      <c r="K143" s="939"/>
      <c r="L143" s="966" t="s">
        <v>105</v>
      </c>
    </row>
    <row r="144" ht="21" spans="1:12">
      <c r="A144" s="971">
        <v>37</v>
      </c>
      <c r="B144" s="972" t="s">
        <v>224</v>
      </c>
      <c r="C144" s="973" t="s">
        <v>225</v>
      </c>
      <c r="D144" s="973"/>
      <c r="E144" s="973"/>
      <c r="F144" s="973"/>
      <c r="G144" s="973"/>
      <c r="H144" s="973"/>
      <c r="I144" s="973"/>
      <c r="J144" s="978"/>
      <c r="K144" s="978"/>
      <c r="L144" s="978"/>
    </row>
    <row r="145" ht="21" spans="1:12">
      <c r="A145" s="974"/>
      <c r="B145" s="975"/>
      <c r="C145" s="973" t="s">
        <v>226</v>
      </c>
      <c r="D145" s="973"/>
      <c r="E145" s="973"/>
      <c r="F145" s="973"/>
      <c r="G145" s="973"/>
      <c r="H145" s="973"/>
      <c r="I145" s="973"/>
      <c r="J145" s="978"/>
      <c r="K145" s="978"/>
      <c r="L145" s="978"/>
    </row>
  </sheetData>
  <mergeCells count="115">
    <mergeCell ref="A1:L1"/>
    <mergeCell ref="A2:H2"/>
    <mergeCell ref="I2:L2"/>
    <mergeCell ref="A3:H3"/>
    <mergeCell ref="I3:L3"/>
    <mergeCell ref="A4:H4"/>
    <mergeCell ref="C5:H5"/>
    <mergeCell ref="C6:H6"/>
    <mergeCell ref="C7:H7"/>
    <mergeCell ref="C8:H8"/>
    <mergeCell ref="C9:H9"/>
    <mergeCell ref="B10:G10"/>
    <mergeCell ref="A11:J11"/>
    <mergeCell ref="A12:L12"/>
    <mergeCell ref="C30:F30"/>
    <mergeCell ref="C31:F31"/>
    <mergeCell ref="A32:H32"/>
    <mergeCell ref="A34:L34"/>
    <mergeCell ref="C35:F35"/>
    <mergeCell ref="C36:F36"/>
    <mergeCell ref="C37:F37"/>
    <mergeCell ref="C38:F38"/>
    <mergeCell ref="C39:F39"/>
    <mergeCell ref="C40:F40"/>
    <mergeCell ref="C41:F41"/>
    <mergeCell ref="C42:F42"/>
    <mergeCell ref="C43:F43"/>
    <mergeCell ref="C44:F44"/>
    <mergeCell ref="A45:H45"/>
    <mergeCell ref="A46:L46"/>
    <mergeCell ref="G47:H47"/>
    <mergeCell ref="G48:H48"/>
    <mergeCell ref="G49:H49"/>
    <mergeCell ref="G50:H50"/>
    <mergeCell ref="G51:H51"/>
    <mergeCell ref="G52:H52"/>
    <mergeCell ref="A53:L53"/>
    <mergeCell ref="G54:H54"/>
    <mergeCell ref="G55:H55"/>
    <mergeCell ref="G56:H56"/>
    <mergeCell ref="G57:H57"/>
    <mergeCell ref="G58:H58"/>
    <mergeCell ref="G59:H59"/>
    <mergeCell ref="G60:H60"/>
    <mergeCell ref="G61:H61"/>
    <mergeCell ref="G62:H62"/>
    <mergeCell ref="G63:H63"/>
    <mergeCell ref="G64:H64"/>
    <mergeCell ref="G65:H65"/>
    <mergeCell ref="G66:H66"/>
    <mergeCell ref="G67:H67"/>
    <mergeCell ref="G68:H68"/>
    <mergeCell ref="G69:H69"/>
    <mergeCell ref="G70:H70"/>
    <mergeCell ref="G71:H71"/>
    <mergeCell ref="G72:H72"/>
    <mergeCell ref="G73:H73"/>
    <mergeCell ref="G74:H74"/>
    <mergeCell ref="G75:H75"/>
    <mergeCell ref="G76:H76"/>
    <mergeCell ref="G77:H77"/>
    <mergeCell ref="G78:H78"/>
    <mergeCell ref="G79:H79"/>
    <mergeCell ref="G80:H80"/>
    <mergeCell ref="G81:H81"/>
    <mergeCell ref="G82:H82"/>
    <mergeCell ref="B83:C83"/>
    <mergeCell ref="E83:H83"/>
    <mergeCell ref="B84:D84"/>
    <mergeCell ref="E84:H84"/>
    <mergeCell ref="A85:H85"/>
    <mergeCell ref="A86:J86"/>
    <mergeCell ref="A87:L87"/>
    <mergeCell ref="A93:H93"/>
    <mergeCell ref="A94:H94"/>
    <mergeCell ref="A95:L95"/>
    <mergeCell ref="A104:H104"/>
    <mergeCell ref="A105:H105"/>
    <mergeCell ref="I105:K105"/>
    <mergeCell ref="L105:N105"/>
    <mergeCell ref="A106:L106"/>
    <mergeCell ref="C131:D131"/>
    <mergeCell ref="C132:D132"/>
    <mergeCell ref="C133:D133"/>
    <mergeCell ref="C134:D134"/>
    <mergeCell ref="C135:D135"/>
    <mergeCell ref="C136:D136"/>
    <mergeCell ref="C137:D137"/>
    <mergeCell ref="C138:D138"/>
    <mergeCell ref="C139:D139"/>
    <mergeCell ref="C140:D140"/>
    <mergeCell ref="C141:D141"/>
    <mergeCell ref="C142:D142"/>
    <mergeCell ref="C143:G143"/>
    <mergeCell ref="C144:I144"/>
    <mergeCell ref="C145:I145"/>
    <mergeCell ref="A14:A15"/>
    <mergeCell ref="A16:A17"/>
    <mergeCell ref="A144:A145"/>
    <mergeCell ref="B14:B15"/>
    <mergeCell ref="B16:B17"/>
    <mergeCell ref="B18:B28"/>
    <mergeCell ref="B36:B40"/>
    <mergeCell ref="B41:B42"/>
    <mergeCell ref="B43:B44"/>
    <mergeCell ref="B55:B58"/>
    <mergeCell ref="B59:B60"/>
    <mergeCell ref="B61:B67"/>
    <mergeCell ref="B68:B71"/>
    <mergeCell ref="B72:B73"/>
    <mergeCell ref="B75:B82"/>
    <mergeCell ref="B98:B99"/>
    <mergeCell ref="B101:B102"/>
    <mergeCell ref="B131:B143"/>
    <mergeCell ref="B144:B145"/>
  </mergeCells>
  <pageMargins left="0.75" right="0.75" top="1" bottom="1" header="0.5" footer="0.5"/>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sheetPr>
  <dimension ref="A1:BH179"/>
  <sheetViews>
    <sheetView zoomScale="85" zoomScaleNormal="85" zoomScalePageLayoutView="110" workbookViewId="0">
      <pane xSplit="6" ySplit="6" topLeftCell="G133" activePane="bottomRight" state="frozen"/>
      <selection/>
      <selection pane="topRight"/>
      <selection pane="bottomLeft"/>
      <selection pane="bottomRight" activeCell="I28" sqref="I28"/>
    </sheetView>
  </sheetViews>
  <sheetFormatPr defaultColWidth="9" defaultRowHeight="14.25"/>
  <cols>
    <col min="1" max="1" width="13.5" customWidth="1"/>
    <col min="2" max="2" width="18.7" customWidth="1"/>
    <col min="3" max="3" width="46.5" customWidth="1"/>
    <col min="4" max="4" width="88" customWidth="1"/>
    <col min="5" max="5" width="11" customWidth="1"/>
    <col min="6" max="6" width="13" customWidth="1"/>
    <col min="7" max="7" width="8.3" customWidth="1"/>
    <col min="18" max="18" width="11.7" customWidth="1"/>
    <col min="37" max="37" width="11.7" customWidth="1"/>
    <col min="50" max="50" width="14.2" customWidth="1"/>
  </cols>
  <sheetData>
    <row r="1" ht="30" spans="1:60">
      <c r="A1" s="801" t="s">
        <v>227</v>
      </c>
      <c r="B1" s="801"/>
      <c r="C1" s="801"/>
      <c r="D1" s="801"/>
      <c r="E1" s="801"/>
      <c r="F1" s="801"/>
      <c r="G1" s="802" t="s">
        <v>228</v>
      </c>
      <c r="H1" s="802"/>
      <c r="I1" s="802"/>
      <c r="J1" s="802"/>
      <c r="K1" s="802"/>
      <c r="L1" s="802"/>
      <c r="M1" s="802"/>
      <c r="N1" s="802"/>
      <c r="O1" s="802"/>
      <c r="P1" s="802"/>
      <c r="Q1" s="802"/>
      <c r="R1" s="802"/>
      <c r="S1" s="802"/>
      <c r="T1" s="802"/>
      <c r="U1" s="802"/>
      <c r="V1" s="802"/>
      <c r="W1" s="802"/>
      <c r="X1" s="853"/>
      <c r="Y1" s="853"/>
      <c r="Z1" s="853"/>
      <c r="AA1" s="853"/>
      <c r="AB1" s="853"/>
      <c r="AC1" s="853"/>
      <c r="AD1" s="853"/>
      <c r="AE1" s="853"/>
      <c r="AF1" s="853"/>
      <c r="AG1" s="853"/>
      <c r="AH1" s="853"/>
      <c r="AI1" s="853"/>
      <c r="AJ1" s="853"/>
      <c r="AK1" s="853"/>
      <c r="AL1" s="853"/>
      <c r="AM1" s="853"/>
      <c r="AN1" s="853"/>
      <c r="AO1" s="853"/>
      <c r="AP1" s="853"/>
      <c r="AQ1" s="853"/>
      <c r="AR1" s="866"/>
      <c r="AS1" s="866"/>
      <c r="AT1" s="866"/>
      <c r="AU1" s="866"/>
      <c r="AV1" s="866"/>
      <c r="AW1" s="866"/>
      <c r="AX1" s="866"/>
      <c r="AY1" s="866"/>
      <c r="AZ1" s="853"/>
      <c r="BA1" s="853"/>
      <c r="BB1" s="853"/>
      <c r="BC1" s="853"/>
      <c r="BD1" s="853"/>
      <c r="BE1" s="853"/>
      <c r="BF1" s="853"/>
      <c r="BG1" s="853"/>
      <c r="BH1" s="853"/>
    </row>
    <row r="2" ht="20.25" spans="1:60">
      <c r="A2" s="803" t="s">
        <v>229</v>
      </c>
      <c r="B2" s="803" t="s">
        <v>230</v>
      </c>
      <c r="C2" s="803" t="s">
        <v>231</v>
      </c>
      <c r="D2" s="803" t="s">
        <v>232</v>
      </c>
      <c r="E2" s="803" t="s">
        <v>233</v>
      </c>
      <c r="F2" s="803" t="s">
        <v>234</v>
      </c>
      <c r="G2" s="804" t="s">
        <v>235</v>
      </c>
      <c r="H2" s="804"/>
      <c r="I2" s="804"/>
      <c r="J2" s="804"/>
      <c r="K2" s="804"/>
      <c r="L2" s="804"/>
      <c r="M2" s="804"/>
      <c r="N2" s="842"/>
      <c r="O2" s="843" t="s">
        <v>236</v>
      </c>
      <c r="P2" s="844"/>
      <c r="Q2" s="844"/>
      <c r="R2" s="844"/>
      <c r="S2" s="844"/>
      <c r="T2" s="844"/>
      <c r="U2" s="844"/>
      <c r="V2" s="844"/>
      <c r="W2" s="844"/>
      <c r="X2" s="854" t="s">
        <v>237</v>
      </c>
      <c r="Y2" s="854"/>
      <c r="Z2" s="854"/>
      <c r="AA2" s="854"/>
      <c r="AB2" s="854"/>
      <c r="AC2" s="854"/>
      <c r="AD2" s="854"/>
      <c r="AE2" s="854"/>
      <c r="AF2" s="854"/>
      <c r="AG2" s="854"/>
      <c r="AH2" s="860" t="s">
        <v>238</v>
      </c>
      <c r="AI2" s="861"/>
      <c r="AJ2" s="861"/>
      <c r="AK2" s="861"/>
      <c r="AL2" s="861"/>
      <c r="AM2" s="861"/>
      <c r="AN2" s="861"/>
      <c r="AO2" s="861"/>
      <c r="AP2" s="861"/>
      <c r="AQ2" s="861"/>
      <c r="AR2" s="867" t="s">
        <v>239</v>
      </c>
      <c r="AS2" s="867"/>
      <c r="AT2" s="867"/>
      <c r="AU2" s="867"/>
      <c r="AV2" s="867"/>
      <c r="AW2" s="867"/>
      <c r="AX2" s="867"/>
      <c r="AY2" s="867"/>
      <c r="AZ2" s="874" t="s">
        <v>240</v>
      </c>
      <c r="BA2" s="875"/>
      <c r="BB2" s="875"/>
      <c r="BC2" s="875"/>
      <c r="BD2" s="875"/>
      <c r="BE2" s="875"/>
      <c r="BF2" s="875"/>
      <c r="BG2" s="875"/>
      <c r="BH2" s="879"/>
    </row>
    <row r="3" ht="20.25" spans="1:60">
      <c r="A3" s="803"/>
      <c r="B3" s="803"/>
      <c r="C3" s="803"/>
      <c r="D3" s="803"/>
      <c r="E3" s="803"/>
      <c r="F3" s="803"/>
      <c r="G3" s="805">
        <v>7</v>
      </c>
      <c r="H3" s="806">
        <v>11</v>
      </c>
      <c r="I3" s="806">
        <v>14</v>
      </c>
      <c r="J3" s="806">
        <v>18</v>
      </c>
      <c r="K3" s="845">
        <v>21</v>
      </c>
      <c r="L3" s="845">
        <v>25</v>
      </c>
      <c r="M3" s="806">
        <v>28</v>
      </c>
      <c r="N3" s="806">
        <v>31</v>
      </c>
      <c r="O3" s="846">
        <v>1</v>
      </c>
      <c r="P3" s="846">
        <v>4</v>
      </c>
      <c r="Q3" s="846">
        <v>8</v>
      </c>
      <c r="R3" s="846">
        <v>12</v>
      </c>
      <c r="S3" s="846">
        <v>15</v>
      </c>
      <c r="T3" s="846">
        <v>18</v>
      </c>
      <c r="U3" s="846">
        <v>22</v>
      </c>
      <c r="V3" s="846">
        <v>25</v>
      </c>
      <c r="W3" s="846">
        <v>29</v>
      </c>
      <c r="X3" s="855">
        <v>2</v>
      </c>
      <c r="Y3" s="855">
        <v>6</v>
      </c>
      <c r="Z3" s="859">
        <v>9</v>
      </c>
      <c r="AA3" s="859">
        <v>13</v>
      </c>
      <c r="AB3" s="855">
        <v>16</v>
      </c>
      <c r="AC3" s="855">
        <v>20</v>
      </c>
      <c r="AD3" s="855">
        <v>23</v>
      </c>
      <c r="AE3" s="855">
        <v>27</v>
      </c>
      <c r="AF3" s="855">
        <v>30</v>
      </c>
      <c r="AG3" s="855">
        <v>31</v>
      </c>
      <c r="AH3" s="862">
        <v>1</v>
      </c>
      <c r="AI3" s="862">
        <v>3</v>
      </c>
      <c r="AJ3" s="862">
        <v>6</v>
      </c>
      <c r="AK3" s="862">
        <v>10</v>
      </c>
      <c r="AL3" s="862">
        <v>13</v>
      </c>
      <c r="AM3" s="862">
        <v>17</v>
      </c>
      <c r="AN3" s="862">
        <v>20</v>
      </c>
      <c r="AO3" s="862">
        <v>24</v>
      </c>
      <c r="AP3" s="862">
        <v>27</v>
      </c>
      <c r="AQ3" s="868">
        <v>31</v>
      </c>
      <c r="AR3" s="869">
        <v>3</v>
      </c>
      <c r="AS3" s="870">
        <v>7</v>
      </c>
      <c r="AT3" s="871">
        <v>10</v>
      </c>
      <c r="AU3" s="871">
        <v>14</v>
      </c>
      <c r="AV3" s="870">
        <v>17</v>
      </c>
      <c r="AW3" s="870">
        <v>21</v>
      </c>
      <c r="AX3" s="870">
        <v>25</v>
      </c>
      <c r="AY3" s="870">
        <v>28</v>
      </c>
      <c r="AZ3" s="876" t="s">
        <v>241</v>
      </c>
      <c r="BA3" s="876" t="s">
        <v>242</v>
      </c>
      <c r="BB3" s="876" t="s">
        <v>243</v>
      </c>
      <c r="BC3" s="876" t="s">
        <v>244</v>
      </c>
      <c r="BD3" s="876" t="s">
        <v>245</v>
      </c>
      <c r="BE3" s="876" t="s">
        <v>246</v>
      </c>
      <c r="BF3" s="876" t="s">
        <v>247</v>
      </c>
      <c r="BG3" s="876">
        <v>10</v>
      </c>
      <c r="BH3" s="880" t="s">
        <v>248</v>
      </c>
    </row>
    <row r="4" ht="20.25" spans="1:60">
      <c r="A4" s="803"/>
      <c r="B4" s="803"/>
      <c r="C4" s="803"/>
      <c r="D4" s="803"/>
      <c r="E4" s="803"/>
      <c r="F4" s="803"/>
      <c r="G4" s="805" t="s">
        <v>249</v>
      </c>
      <c r="H4" s="806" t="s">
        <v>250</v>
      </c>
      <c r="I4" s="806" t="s">
        <v>249</v>
      </c>
      <c r="J4" s="806" t="s">
        <v>250</v>
      </c>
      <c r="K4" s="806" t="s">
        <v>249</v>
      </c>
      <c r="L4" s="806" t="s">
        <v>250</v>
      </c>
      <c r="M4" s="806" t="s">
        <v>249</v>
      </c>
      <c r="N4" s="806" t="s">
        <v>251</v>
      </c>
      <c r="O4" s="846" t="s">
        <v>250</v>
      </c>
      <c r="P4" s="846" t="s">
        <v>249</v>
      </c>
      <c r="Q4" s="846" t="s">
        <v>250</v>
      </c>
      <c r="R4" s="846" t="s">
        <v>252</v>
      </c>
      <c r="S4" s="846" t="s">
        <v>250</v>
      </c>
      <c r="T4" s="846" t="s">
        <v>249</v>
      </c>
      <c r="U4" s="846" t="s">
        <v>250</v>
      </c>
      <c r="V4" s="846" t="s">
        <v>249</v>
      </c>
      <c r="W4" s="846" t="s">
        <v>250</v>
      </c>
      <c r="X4" s="855" t="s">
        <v>253</v>
      </c>
      <c r="Y4" s="855" t="s">
        <v>250</v>
      </c>
      <c r="Z4" s="855" t="s">
        <v>249</v>
      </c>
      <c r="AA4" s="855" t="s">
        <v>250</v>
      </c>
      <c r="AB4" s="855" t="s">
        <v>249</v>
      </c>
      <c r="AC4" s="855" t="s">
        <v>250</v>
      </c>
      <c r="AD4" s="855" t="s">
        <v>249</v>
      </c>
      <c r="AE4" s="855" t="s">
        <v>250</v>
      </c>
      <c r="AF4" s="855" t="s">
        <v>249</v>
      </c>
      <c r="AG4" s="855" t="s">
        <v>252</v>
      </c>
      <c r="AH4" s="862" t="s">
        <v>254</v>
      </c>
      <c r="AI4" s="862" t="s">
        <v>250</v>
      </c>
      <c r="AJ4" s="862" t="s">
        <v>249</v>
      </c>
      <c r="AK4" s="862" t="s">
        <v>250</v>
      </c>
      <c r="AL4" s="863" t="s">
        <v>249</v>
      </c>
      <c r="AM4" s="864" t="s">
        <v>250</v>
      </c>
      <c r="AN4" s="863" t="s">
        <v>249</v>
      </c>
      <c r="AO4" s="864" t="s">
        <v>250</v>
      </c>
      <c r="AP4" s="863" t="s">
        <v>249</v>
      </c>
      <c r="AQ4" s="864" t="s">
        <v>250</v>
      </c>
      <c r="AR4" s="869" t="s">
        <v>253</v>
      </c>
      <c r="AS4" s="870" t="s">
        <v>250</v>
      </c>
      <c r="AT4" s="870" t="s">
        <v>249</v>
      </c>
      <c r="AU4" s="870" t="s">
        <v>250</v>
      </c>
      <c r="AV4" s="870" t="s">
        <v>249</v>
      </c>
      <c r="AW4" s="870" t="s">
        <v>250</v>
      </c>
      <c r="AX4" s="870" t="s">
        <v>252</v>
      </c>
      <c r="AY4" s="870" t="s">
        <v>250</v>
      </c>
      <c r="AZ4" s="877" t="s">
        <v>251</v>
      </c>
      <c r="BA4" s="877" t="s">
        <v>250</v>
      </c>
      <c r="BB4" s="878" t="s">
        <v>249</v>
      </c>
      <c r="BC4" s="878" t="s">
        <v>252</v>
      </c>
      <c r="BD4" s="878" t="s">
        <v>254</v>
      </c>
      <c r="BE4" s="878" t="s">
        <v>251</v>
      </c>
      <c r="BF4" s="878" t="s">
        <v>250</v>
      </c>
      <c r="BG4" s="877" t="s">
        <v>255</v>
      </c>
      <c r="BH4" s="881"/>
    </row>
    <row r="5" ht="22.95" customHeight="1" spans="1:60">
      <c r="A5" s="807">
        <v>1</v>
      </c>
      <c r="B5" s="808" t="s">
        <v>256</v>
      </c>
      <c r="C5" s="808"/>
      <c r="D5" s="808"/>
      <c r="E5" s="808"/>
      <c r="F5" s="808"/>
      <c r="G5" s="809" t="s">
        <v>257</v>
      </c>
      <c r="H5" s="810"/>
      <c r="I5" s="810"/>
      <c r="J5" s="810"/>
      <c r="K5" s="810"/>
      <c r="L5" s="810"/>
      <c r="M5" s="810"/>
      <c r="N5" s="810"/>
      <c r="O5" s="810"/>
      <c r="P5" s="810"/>
      <c r="Q5" s="810"/>
      <c r="R5" s="810"/>
      <c r="S5" s="810"/>
      <c r="T5" s="810"/>
      <c r="U5" s="810"/>
      <c r="V5" s="810"/>
      <c r="W5" s="810"/>
      <c r="X5" s="810"/>
      <c r="Y5" s="810"/>
      <c r="Z5" s="810"/>
      <c r="AA5" s="810"/>
      <c r="AB5" s="810"/>
      <c r="AC5" s="810"/>
      <c r="AD5" s="810"/>
      <c r="AE5" s="810"/>
      <c r="AF5" s="810"/>
      <c r="AG5" s="810"/>
      <c r="AH5" s="810"/>
      <c r="AI5" s="810"/>
      <c r="AJ5" s="810"/>
      <c r="AK5" s="810"/>
      <c r="AL5" s="810"/>
      <c r="AM5" s="810"/>
      <c r="AN5" s="810"/>
      <c r="AO5" s="810"/>
      <c r="AP5" s="810"/>
      <c r="AQ5" s="810"/>
      <c r="AR5" s="810"/>
      <c r="AS5" s="810"/>
      <c r="AT5" s="810"/>
      <c r="AU5" s="810"/>
      <c r="AV5" s="810"/>
      <c r="AW5" s="810"/>
      <c r="AX5" s="810"/>
      <c r="AY5" s="810"/>
      <c r="AZ5" s="810"/>
      <c r="BA5" s="810"/>
      <c r="BB5" s="810"/>
      <c r="BC5" s="810"/>
      <c r="BD5" s="810"/>
      <c r="BE5" s="810"/>
      <c r="BF5" s="810"/>
      <c r="BG5" s="810"/>
      <c r="BH5" s="882"/>
    </row>
    <row r="6" ht="25.95" customHeight="1" spans="1:60">
      <c r="A6" s="811" t="s">
        <v>258</v>
      </c>
      <c r="B6" s="808" t="s">
        <v>259</v>
      </c>
      <c r="C6" s="808"/>
      <c r="D6" s="808"/>
      <c r="E6" s="808"/>
      <c r="F6" s="808"/>
      <c r="G6" s="812"/>
      <c r="H6" s="813"/>
      <c r="I6" s="813"/>
      <c r="J6" s="813"/>
      <c r="K6" s="813"/>
      <c r="L6" s="813"/>
      <c r="M6" s="813"/>
      <c r="N6" s="813"/>
      <c r="O6" s="813"/>
      <c r="P6" s="813"/>
      <c r="Q6" s="813"/>
      <c r="R6" s="813"/>
      <c r="S6" s="813"/>
      <c r="T6" s="813"/>
      <c r="U6" s="813"/>
      <c r="V6" s="813"/>
      <c r="W6" s="813"/>
      <c r="X6" s="813"/>
      <c r="Y6" s="813"/>
      <c r="Z6" s="813"/>
      <c r="AA6" s="813"/>
      <c r="AB6" s="813"/>
      <c r="AC6" s="813"/>
      <c r="AD6" s="813"/>
      <c r="AE6" s="813"/>
      <c r="AF6" s="813"/>
      <c r="AG6" s="813"/>
      <c r="AH6" s="813"/>
      <c r="AI6" s="813"/>
      <c r="AJ6" s="813"/>
      <c r="AK6" s="813"/>
      <c r="AL6" s="813"/>
      <c r="AM6" s="813"/>
      <c r="AN6" s="813"/>
      <c r="AO6" s="813"/>
      <c r="AP6" s="813"/>
      <c r="AQ6" s="813"/>
      <c r="AR6" s="813"/>
      <c r="AS6" s="813"/>
      <c r="AT6" s="813"/>
      <c r="AU6" s="813"/>
      <c r="AV6" s="813"/>
      <c r="AW6" s="813"/>
      <c r="AX6" s="813"/>
      <c r="AY6" s="813"/>
      <c r="AZ6" s="813"/>
      <c r="BA6" s="813"/>
      <c r="BB6" s="813"/>
      <c r="BC6" s="813"/>
      <c r="BD6" s="813"/>
      <c r="BE6" s="813"/>
      <c r="BF6" s="813"/>
      <c r="BG6" s="813"/>
      <c r="BH6" s="883"/>
    </row>
    <row r="7" ht="20.25" spans="1:60">
      <c r="A7" s="814" t="s">
        <v>260</v>
      </c>
      <c r="B7" s="815" t="s">
        <v>261</v>
      </c>
      <c r="C7" s="816" t="s">
        <v>262</v>
      </c>
      <c r="D7" s="816" t="s">
        <v>263</v>
      </c>
      <c r="E7" s="816" t="s">
        <v>264</v>
      </c>
      <c r="F7" s="816" t="s">
        <v>264</v>
      </c>
      <c r="G7" s="817"/>
      <c r="H7" s="818"/>
      <c r="I7" s="818"/>
      <c r="J7" s="818"/>
      <c r="K7" s="818"/>
      <c r="L7" s="818"/>
      <c r="M7" s="818"/>
      <c r="N7" s="818"/>
      <c r="O7" s="818"/>
      <c r="P7" s="818"/>
      <c r="Q7" s="818"/>
      <c r="R7" s="818"/>
      <c r="S7" s="818"/>
      <c r="T7" s="818"/>
      <c r="U7" s="818"/>
      <c r="V7" s="856"/>
      <c r="W7" s="856"/>
      <c r="X7" s="856"/>
      <c r="Y7" s="856"/>
      <c r="Z7" s="856"/>
      <c r="AA7" s="856"/>
      <c r="AB7" s="856"/>
      <c r="AC7" s="856"/>
      <c r="AD7" s="856"/>
      <c r="AE7" s="856"/>
      <c r="AF7" s="856"/>
      <c r="AG7" s="856"/>
      <c r="AH7" s="856"/>
      <c r="AI7" s="856"/>
      <c r="AJ7" s="856"/>
      <c r="AK7" s="856"/>
      <c r="AL7" s="856"/>
      <c r="AM7" s="856"/>
      <c r="AN7" s="856"/>
      <c r="AO7" s="856"/>
      <c r="AP7" s="856"/>
      <c r="AQ7" s="856"/>
      <c r="AR7" s="856"/>
      <c r="AS7" s="856"/>
      <c r="AT7" s="856"/>
      <c r="AU7" s="856"/>
      <c r="AV7" s="856"/>
      <c r="AW7" s="856"/>
      <c r="AX7" s="856"/>
      <c r="AY7" s="856"/>
      <c r="AZ7" s="856"/>
      <c r="BA7" s="856"/>
      <c r="BB7" s="856"/>
      <c r="BC7" s="856"/>
      <c r="BD7" s="856"/>
      <c r="BE7" s="856"/>
      <c r="BF7" s="856"/>
      <c r="BG7" s="856"/>
      <c r="BH7" s="884"/>
    </row>
    <row r="8" ht="20.25" spans="1:60">
      <c r="A8" s="814" t="s">
        <v>260</v>
      </c>
      <c r="B8" s="819" t="s">
        <v>265</v>
      </c>
      <c r="C8" s="816" t="s">
        <v>266</v>
      </c>
      <c r="D8" s="816" t="s">
        <v>267</v>
      </c>
      <c r="E8" s="816" t="s">
        <v>264</v>
      </c>
      <c r="F8" s="816" t="s">
        <v>264</v>
      </c>
      <c r="G8" s="817"/>
      <c r="H8" s="818"/>
      <c r="I8" s="818"/>
      <c r="J8" s="818"/>
      <c r="K8" s="818"/>
      <c r="L8" s="818"/>
      <c r="M8" s="818"/>
      <c r="N8" s="818"/>
      <c r="O8" s="818"/>
      <c r="P8" s="818"/>
      <c r="Q8" s="818"/>
      <c r="R8" s="818"/>
      <c r="S8" s="818"/>
      <c r="T8" s="818"/>
      <c r="U8" s="818"/>
      <c r="V8" s="856"/>
      <c r="W8" s="856"/>
      <c r="X8" s="856"/>
      <c r="Y8" s="856"/>
      <c r="Z8" s="856"/>
      <c r="AA8" s="856"/>
      <c r="AB8" s="856"/>
      <c r="AC8" s="856"/>
      <c r="AD8" s="856"/>
      <c r="AE8" s="856"/>
      <c r="AF8" s="856"/>
      <c r="AG8" s="856"/>
      <c r="AH8" s="856"/>
      <c r="AI8" s="856"/>
      <c r="AJ8" s="856"/>
      <c r="AK8" s="856"/>
      <c r="AL8" s="856"/>
      <c r="AM8" s="856"/>
      <c r="AN8" s="856"/>
      <c r="AO8" s="856"/>
      <c r="AP8" s="856"/>
      <c r="AQ8" s="856"/>
      <c r="AR8" s="856"/>
      <c r="AS8" s="856"/>
      <c r="AT8" s="856"/>
      <c r="AU8" s="856"/>
      <c r="AV8" s="856"/>
      <c r="AW8" s="856"/>
      <c r="AX8" s="856"/>
      <c r="AY8" s="856"/>
      <c r="AZ8" s="856"/>
      <c r="BA8" s="856"/>
      <c r="BB8" s="856"/>
      <c r="BC8" s="856"/>
      <c r="BD8" s="856"/>
      <c r="BE8" s="856"/>
      <c r="BF8" s="856"/>
      <c r="BG8" s="856"/>
      <c r="BH8" s="884"/>
    </row>
    <row r="9" ht="20.25" spans="1:60">
      <c r="A9" s="814" t="s">
        <v>260</v>
      </c>
      <c r="B9" s="819" t="s">
        <v>268</v>
      </c>
      <c r="C9" s="816" t="s">
        <v>269</v>
      </c>
      <c r="D9" s="816" t="s">
        <v>270</v>
      </c>
      <c r="E9" s="816" t="s">
        <v>264</v>
      </c>
      <c r="F9" s="820" t="s">
        <v>264</v>
      </c>
      <c r="G9" s="821"/>
      <c r="H9" s="821"/>
      <c r="I9" s="818"/>
      <c r="J9" s="818"/>
      <c r="K9" s="818"/>
      <c r="L9" s="818"/>
      <c r="M9" s="818"/>
      <c r="N9" s="818"/>
      <c r="O9" s="818"/>
      <c r="P9" s="818"/>
      <c r="Q9" s="818"/>
      <c r="R9" s="818"/>
      <c r="S9" s="818"/>
      <c r="T9" s="818"/>
      <c r="U9" s="818"/>
      <c r="V9" s="856"/>
      <c r="W9" s="856"/>
      <c r="X9" s="856"/>
      <c r="Y9" s="856"/>
      <c r="Z9" s="856"/>
      <c r="AA9" s="856"/>
      <c r="AB9" s="856"/>
      <c r="AC9" s="856"/>
      <c r="AD9" s="856"/>
      <c r="AE9" s="856"/>
      <c r="AF9" s="856"/>
      <c r="AG9" s="856"/>
      <c r="AH9" s="856"/>
      <c r="AI9" s="856"/>
      <c r="AJ9" s="856"/>
      <c r="AK9" s="856"/>
      <c r="AL9" s="856"/>
      <c r="AM9" s="856"/>
      <c r="AN9" s="856"/>
      <c r="AO9" s="856"/>
      <c r="AP9" s="856"/>
      <c r="AQ9" s="856"/>
      <c r="AR9" s="856"/>
      <c r="AS9" s="856"/>
      <c r="AT9" s="856"/>
      <c r="AU9" s="856"/>
      <c r="AV9" s="856"/>
      <c r="AW9" s="856"/>
      <c r="AX9" s="856"/>
      <c r="AY9" s="856"/>
      <c r="AZ9" s="856"/>
      <c r="BA9" s="856"/>
      <c r="BB9" s="856"/>
      <c r="BC9" s="856"/>
      <c r="BD9" s="856"/>
      <c r="BE9" s="856"/>
      <c r="BF9" s="856"/>
      <c r="BG9" s="856"/>
      <c r="BH9" s="884"/>
    </row>
    <row r="10" ht="30" customHeight="1" spans="1:60">
      <c r="A10" s="822" t="s">
        <v>260</v>
      </c>
      <c r="B10" s="823" t="s">
        <v>271</v>
      </c>
      <c r="C10" s="824" t="s">
        <v>272</v>
      </c>
      <c r="D10" s="824" t="s">
        <v>273</v>
      </c>
      <c r="E10" s="824" t="s">
        <v>264</v>
      </c>
      <c r="F10" s="825" t="s">
        <v>264</v>
      </c>
      <c r="G10" s="826"/>
      <c r="H10" s="826"/>
      <c r="I10" s="830"/>
      <c r="J10" s="830"/>
      <c r="K10" s="830"/>
      <c r="L10" s="830"/>
      <c r="M10" s="830"/>
      <c r="N10" s="830"/>
      <c r="O10" s="846"/>
      <c r="P10" s="846"/>
      <c r="Q10" s="846"/>
      <c r="R10" s="846"/>
      <c r="S10" s="846"/>
      <c r="T10" s="846"/>
      <c r="U10" s="846"/>
      <c r="V10" s="846"/>
      <c r="W10" s="846"/>
      <c r="X10" s="855"/>
      <c r="Y10" s="855"/>
      <c r="Z10" s="855"/>
      <c r="AA10" s="855"/>
      <c r="AB10" s="855"/>
      <c r="AC10" s="855"/>
      <c r="AD10" s="855"/>
      <c r="AE10" s="855"/>
      <c r="AF10" s="855"/>
      <c r="AG10" s="855"/>
      <c r="AH10" s="862"/>
      <c r="AI10" s="862"/>
      <c r="AJ10" s="862"/>
      <c r="AK10" s="862"/>
      <c r="AL10" s="862"/>
      <c r="AM10" s="862"/>
      <c r="AN10" s="862"/>
      <c r="AO10" s="862"/>
      <c r="AP10" s="862"/>
      <c r="AQ10" s="862"/>
      <c r="AR10" s="872"/>
      <c r="AS10" s="872"/>
      <c r="AT10" s="872"/>
      <c r="AU10" s="872"/>
      <c r="AV10" s="872"/>
      <c r="AW10" s="872"/>
      <c r="AX10" s="872"/>
      <c r="AY10" s="872"/>
      <c r="AZ10" s="877"/>
      <c r="BA10" s="878"/>
      <c r="BB10" s="878"/>
      <c r="BC10" s="878"/>
      <c r="BD10" s="878"/>
      <c r="BE10" s="878"/>
      <c r="BF10" s="878"/>
      <c r="BG10" s="878"/>
      <c r="BH10" s="878"/>
    </row>
    <row r="11" ht="19.05" customHeight="1" spans="1:60">
      <c r="A11" s="822" t="s">
        <v>260</v>
      </c>
      <c r="B11" s="827"/>
      <c r="C11" s="824" t="s">
        <v>274</v>
      </c>
      <c r="D11" s="824" t="s">
        <v>275</v>
      </c>
      <c r="E11" s="824" t="s">
        <v>264</v>
      </c>
      <c r="F11" s="825" t="s">
        <v>264</v>
      </c>
      <c r="G11" s="828"/>
      <c r="H11" s="828"/>
      <c r="I11" s="830"/>
      <c r="J11" s="830"/>
      <c r="K11" s="830"/>
      <c r="L11" s="830"/>
      <c r="M11" s="830"/>
      <c r="N11" s="830"/>
      <c r="O11" s="846"/>
      <c r="P11" s="846"/>
      <c r="Q11" s="846"/>
      <c r="R11" s="846"/>
      <c r="S11" s="846"/>
      <c r="T11" s="846"/>
      <c r="U11" s="846"/>
      <c r="V11" s="846"/>
      <c r="W11" s="846"/>
      <c r="X11" s="855"/>
      <c r="Y11" s="855"/>
      <c r="Z11" s="855"/>
      <c r="AA11" s="855"/>
      <c r="AB11" s="855"/>
      <c r="AC11" s="855"/>
      <c r="AD11" s="855"/>
      <c r="AE11" s="855"/>
      <c r="AF11" s="855"/>
      <c r="AG11" s="855"/>
      <c r="AH11" s="862"/>
      <c r="AI11" s="862"/>
      <c r="AJ11" s="862"/>
      <c r="AK11" s="862"/>
      <c r="AL11" s="862"/>
      <c r="AM11" s="862"/>
      <c r="AN11" s="862"/>
      <c r="AO11" s="862"/>
      <c r="AP11" s="862"/>
      <c r="AQ11" s="862"/>
      <c r="AR11" s="872"/>
      <c r="AS11" s="872"/>
      <c r="AT11" s="872"/>
      <c r="AU11" s="872"/>
      <c r="AV11" s="872"/>
      <c r="AW11" s="872"/>
      <c r="AX11" s="872"/>
      <c r="AY11" s="872"/>
      <c r="AZ11" s="877"/>
      <c r="BA11" s="878"/>
      <c r="BB11" s="878"/>
      <c r="BC11" s="878"/>
      <c r="BD11" s="878"/>
      <c r="BE11" s="878"/>
      <c r="BF11" s="878"/>
      <c r="BG11" s="878"/>
      <c r="BH11" s="878"/>
    </row>
    <row r="12" ht="21" customHeight="1" spans="1:60">
      <c r="A12" s="822" t="s">
        <v>260</v>
      </c>
      <c r="B12" s="827"/>
      <c r="C12" s="824" t="s">
        <v>276</v>
      </c>
      <c r="D12" s="824" t="s">
        <v>277</v>
      </c>
      <c r="E12" s="824" t="s">
        <v>264</v>
      </c>
      <c r="F12" s="825" t="s">
        <v>264</v>
      </c>
      <c r="G12" s="828"/>
      <c r="H12" s="828"/>
      <c r="I12" s="830"/>
      <c r="J12" s="830"/>
      <c r="K12" s="830"/>
      <c r="L12" s="830"/>
      <c r="M12" s="830"/>
      <c r="N12" s="830"/>
      <c r="O12" s="846"/>
      <c r="P12" s="846"/>
      <c r="Q12" s="846"/>
      <c r="R12" s="846"/>
      <c r="S12" s="846"/>
      <c r="T12" s="846"/>
      <c r="U12" s="846"/>
      <c r="V12" s="846"/>
      <c r="W12" s="846"/>
      <c r="X12" s="855"/>
      <c r="Y12" s="855"/>
      <c r="Z12" s="855"/>
      <c r="AA12" s="855"/>
      <c r="AB12" s="855"/>
      <c r="AC12" s="855"/>
      <c r="AD12" s="855"/>
      <c r="AE12" s="855"/>
      <c r="AF12" s="855"/>
      <c r="AG12" s="855"/>
      <c r="AH12" s="862"/>
      <c r="AI12" s="862"/>
      <c r="AJ12" s="862"/>
      <c r="AK12" s="862"/>
      <c r="AL12" s="862"/>
      <c r="AM12" s="862"/>
      <c r="AN12" s="862"/>
      <c r="AO12" s="862"/>
      <c r="AP12" s="862"/>
      <c r="AQ12" s="862"/>
      <c r="AR12" s="872"/>
      <c r="AS12" s="872"/>
      <c r="AT12" s="872"/>
      <c r="AU12" s="872"/>
      <c r="AV12" s="872"/>
      <c r="AW12" s="872"/>
      <c r="AX12" s="872"/>
      <c r="AY12" s="872"/>
      <c r="AZ12" s="877"/>
      <c r="BA12" s="878"/>
      <c r="BB12" s="878"/>
      <c r="BC12" s="878"/>
      <c r="BD12" s="878"/>
      <c r="BE12" s="878"/>
      <c r="BF12" s="878"/>
      <c r="BG12" s="878"/>
      <c r="BH12" s="878"/>
    </row>
    <row r="13" ht="21" customHeight="1" spans="1:60">
      <c r="A13" s="822" t="s">
        <v>260</v>
      </c>
      <c r="B13" s="827"/>
      <c r="C13" s="824" t="s">
        <v>278</v>
      </c>
      <c r="D13" s="824" t="s">
        <v>279</v>
      </c>
      <c r="E13" s="824" t="s">
        <v>264</v>
      </c>
      <c r="F13" s="825" t="s">
        <v>264</v>
      </c>
      <c r="G13" s="826"/>
      <c r="H13" s="826"/>
      <c r="I13" s="831"/>
      <c r="J13" s="830"/>
      <c r="K13" s="830"/>
      <c r="L13" s="830"/>
      <c r="M13" s="830"/>
      <c r="N13" s="830"/>
      <c r="O13" s="846"/>
      <c r="P13" s="846"/>
      <c r="Q13" s="846"/>
      <c r="R13" s="846"/>
      <c r="S13" s="846"/>
      <c r="T13" s="846"/>
      <c r="U13" s="846"/>
      <c r="V13" s="846"/>
      <c r="W13" s="846"/>
      <c r="X13" s="855"/>
      <c r="Y13" s="855"/>
      <c r="Z13" s="855"/>
      <c r="AA13" s="855"/>
      <c r="AB13" s="855"/>
      <c r="AC13" s="855"/>
      <c r="AD13" s="855"/>
      <c r="AE13" s="855"/>
      <c r="AF13" s="855"/>
      <c r="AG13" s="855"/>
      <c r="AH13" s="862"/>
      <c r="AI13" s="862"/>
      <c r="AJ13" s="862"/>
      <c r="AK13" s="862"/>
      <c r="AL13" s="862"/>
      <c r="AM13" s="862"/>
      <c r="AN13" s="862"/>
      <c r="AO13" s="862"/>
      <c r="AP13" s="862"/>
      <c r="AQ13" s="862"/>
      <c r="AR13" s="872"/>
      <c r="AS13" s="872"/>
      <c r="AT13" s="872"/>
      <c r="AU13" s="872"/>
      <c r="AV13" s="872"/>
      <c r="AW13" s="872"/>
      <c r="AX13" s="872"/>
      <c r="AY13" s="872"/>
      <c r="AZ13" s="877"/>
      <c r="BA13" s="878"/>
      <c r="BB13" s="878"/>
      <c r="BC13" s="878"/>
      <c r="BD13" s="878"/>
      <c r="BE13" s="878"/>
      <c r="BF13" s="878"/>
      <c r="BG13" s="878"/>
      <c r="BH13" s="878"/>
    </row>
    <row r="14" ht="21" customHeight="1" spans="1:60">
      <c r="A14" s="822" t="s">
        <v>260</v>
      </c>
      <c r="B14" s="829"/>
      <c r="C14" s="824" t="s">
        <v>280</v>
      </c>
      <c r="D14" s="824" t="s">
        <v>281</v>
      </c>
      <c r="E14" s="824" t="s">
        <v>264</v>
      </c>
      <c r="F14" s="825" t="s">
        <v>264</v>
      </c>
      <c r="G14" s="830"/>
      <c r="H14" s="828"/>
      <c r="I14" s="828"/>
      <c r="J14" s="830"/>
      <c r="K14" s="830"/>
      <c r="L14" s="830"/>
      <c r="M14" s="830"/>
      <c r="N14" s="830"/>
      <c r="O14" s="846"/>
      <c r="P14" s="846"/>
      <c r="Q14" s="846"/>
      <c r="R14" s="846"/>
      <c r="S14" s="846"/>
      <c r="T14" s="846"/>
      <c r="U14" s="846"/>
      <c r="V14" s="846"/>
      <c r="W14" s="846"/>
      <c r="X14" s="855"/>
      <c r="Y14" s="855"/>
      <c r="Z14" s="855"/>
      <c r="AA14" s="855"/>
      <c r="AB14" s="855"/>
      <c r="AC14" s="855"/>
      <c r="AD14" s="855"/>
      <c r="AE14" s="855"/>
      <c r="AF14" s="855"/>
      <c r="AG14" s="855"/>
      <c r="AH14" s="862"/>
      <c r="AI14" s="862"/>
      <c r="AJ14" s="862"/>
      <c r="AK14" s="862"/>
      <c r="AL14" s="862"/>
      <c r="AM14" s="862"/>
      <c r="AN14" s="862"/>
      <c r="AO14" s="862"/>
      <c r="AP14" s="862"/>
      <c r="AQ14" s="862"/>
      <c r="AR14" s="872"/>
      <c r="AS14" s="872"/>
      <c r="AT14" s="872"/>
      <c r="AU14" s="872"/>
      <c r="AV14" s="872"/>
      <c r="AW14" s="872"/>
      <c r="AX14" s="872"/>
      <c r="AY14" s="872"/>
      <c r="AZ14" s="877"/>
      <c r="BA14" s="878"/>
      <c r="BB14" s="878"/>
      <c r="BC14" s="878"/>
      <c r="BD14" s="878"/>
      <c r="BE14" s="878"/>
      <c r="BF14" s="878"/>
      <c r="BG14" s="878"/>
      <c r="BH14" s="878"/>
    </row>
    <row r="15" ht="21" customHeight="1" spans="1:60">
      <c r="A15" s="822" t="s">
        <v>260</v>
      </c>
      <c r="B15" s="827" t="s">
        <v>282</v>
      </c>
      <c r="C15" s="824" t="s">
        <v>283</v>
      </c>
      <c r="D15" s="824" t="s">
        <v>284</v>
      </c>
      <c r="E15" s="824" t="s">
        <v>264</v>
      </c>
      <c r="F15" s="825" t="s">
        <v>264</v>
      </c>
      <c r="G15" s="830"/>
      <c r="H15" s="828"/>
      <c r="I15" s="828"/>
      <c r="J15" s="830"/>
      <c r="K15" s="830"/>
      <c r="L15" s="830"/>
      <c r="M15" s="830"/>
      <c r="N15" s="830"/>
      <c r="O15" s="846"/>
      <c r="P15" s="846"/>
      <c r="Q15" s="846"/>
      <c r="R15" s="846"/>
      <c r="S15" s="846"/>
      <c r="T15" s="846"/>
      <c r="U15" s="846"/>
      <c r="V15" s="846"/>
      <c r="W15" s="846"/>
      <c r="X15" s="855"/>
      <c r="Y15" s="855"/>
      <c r="Z15" s="855"/>
      <c r="AA15" s="855"/>
      <c r="AB15" s="855"/>
      <c r="AC15" s="855"/>
      <c r="AD15" s="855"/>
      <c r="AE15" s="855"/>
      <c r="AF15" s="855"/>
      <c r="AG15" s="855"/>
      <c r="AH15" s="862"/>
      <c r="AI15" s="862"/>
      <c r="AJ15" s="862"/>
      <c r="AK15" s="862"/>
      <c r="AL15" s="862"/>
      <c r="AM15" s="862"/>
      <c r="AN15" s="862"/>
      <c r="AO15" s="862"/>
      <c r="AP15" s="862"/>
      <c r="AQ15" s="862"/>
      <c r="AR15" s="872"/>
      <c r="AS15" s="872"/>
      <c r="AT15" s="872"/>
      <c r="AU15" s="872"/>
      <c r="AV15" s="872"/>
      <c r="AW15" s="872"/>
      <c r="AX15" s="872"/>
      <c r="AY15" s="872"/>
      <c r="AZ15" s="877"/>
      <c r="BA15" s="878"/>
      <c r="BB15" s="878"/>
      <c r="BC15" s="878"/>
      <c r="BD15" s="878"/>
      <c r="BE15" s="878"/>
      <c r="BF15" s="878"/>
      <c r="BG15" s="878"/>
      <c r="BH15" s="878"/>
    </row>
    <row r="16" ht="21" customHeight="1" spans="1:60">
      <c r="A16" s="822" t="s">
        <v>260</v>
      </c>
      <c r="B16" s="829"/>
      <c r="C16" s="824" t="s">
        <v>285</v>
      </c>
      <c r="D16" s="824" t="s">
        <v>286</v>
      </c>
      <c r="E16" s="824" t="s">
        <v>264</v>
      </c>
      <c r="F16" s="825" t="s">
        <v>264</v>
      </c>
      <c r="G16" s="830"/>
      <c r="H16" s="826"/>
      <c r="I16" s="826"/>
      <c r="J16" s="831"/>
      <c r="K16" s="830"/>
      <c r="L16" s="830"/>
      <c r="M16" s="830"/>
      <c r="N16" s="830"/>
      <c r="O16" s="846"/>
      <c r="P16" s="846"/>
      <c r="Q16" s="846"/>
      <c r="R16" s="846"/>
      <c r="S16" s="846"/>
      <c r="T16" s="846"/>
      <c r="U16" s="846"/>
      <c r="V16" s="846"/>
      <c r="W16" s="846"/>
      <c r="X16" s="855"/>
      <c r="Y16" s="855"/>
      <c r="Z16" s="855"/>
      <c r="AA16" s="855"/>
      <c r="AB16" s="855"/>
      <c r="AC16" s="855"/>
      <c r="AD16" s="855"/>
      <c r="AE16" s="855"/>
      <c r="AF16" s="855"/>
      <c r="AG16" s="855"/>
      <c r="AH16" s="862"/>
      <c r="AI16" s="862"/>
      <c r="AJ16" s="862"/>
      <c r="AK16" s="862"/>
      <c r="AL16" s="862"/>
      <c r="AM16" s="862"/>
      <c r="AN16" s="862"/>
      <c r="AO16" s="862"/>
      <c r="AP16" s="862"/>
      <c r="AQ16" s="862"/>
      <c r="AR16" s="872"/>
      <c r="AS16" s="872"/>
      <c r="AT16" s="872"/>
      <c r="AU16" s="872"/>
      <c r="AV16" s="872"/>
      <c r="AW16" s="872"/>
      <c r="AX16" s="872"/>
      <c r="AY16" s="872"/>
      <c r="AZ16" s="877"/>
      <c r="BA16" s="878"/>
      <c r="BB16" s="878"/>
      <c r="BC16" s="878"/>
      <c r="BD16" s="878"/>
      <c r="BE16" s="878"/>
      <c r="BF16" s="878"/>
      <c r="BG16" s="878"/>
      <c r="BH16" s="878"/>
    </row>
    <row r="17" ht="21" customHeight="1" spans="1:60">
      <c r="A17" s="822" t="s">
        <v>260</v>
      </c>
      <c r="B17" s="827" t="s">
        <v>287</v>
      </c>
      <c r="C17" s="824" t="s">
        <v>288</v>
      </c>
      <c r="D17" s="824" t="s">
        <v>289</v>
      </c>
      <c r="E17" s="824" t="s">
        <v>264</v>
      </c>
      <c r="F17" s="825" t="s">
        <v>264</v>
      </c>
      <c r="G17" s="830"/>
      <c r="H17" s="828"/>
      <c r="I17" s="828"/>
      <c r="J17" s="830"/>
      <c r="K17" s="830"/>
      <c r="L17" s="830"/>
      <c r="M17" s="830"/>
      <c r="N17" s="830"/>
      <c r="O17" s="846"/>
      <c r="P17" s="846"/>
      <c r="Q17" s="846"/>
      <c r="R17" s="846"/>
      <c r="S17" s="846"/>
      <c r="T17" s="846"/>
      <c r="U17" s="846"/>
      <c r="V17" s="846"/>
      <c r="W17" s="846"/>
      <c r="X17" s="855"/>
      <c r="Y17" s="855"/>
      <c r="Z17" s="855"/>
      <c r="AA17" s="855"/>
      <c r="AB17" s="855"/>
      <c r="AC17" s="855"/>
      <c r="AD17" s="855"/>
      <c r="AE17" s="855"/>
      <c r="AF17" s="855"/>
      <c r="AG17" s="855"/>
      <c r="AH17" s="862"/>
      <c r="AI17" s="862"/>
      <c r="AJ17" s="862"/>
      <c r="AK17" s="862"/>
      <c r="AL17" s="862"/>
      <c r="AM17" s="862"/>
      <c r="AN17" s="862"/>
      <c r="AO17" s="862"/>
      <c r="AP17" s="862"/>
      <c r="AQ17" s="862"/>
      <c r="AR17" s="872"/>
      <c r="AS17" s="872"/>
      <c r="AT17" s="872"/>
      <c r="AU17" s="872"/>
      <c r="AV17" s="872"/>
      <c r="AW17" s="872"/>
      <c r="AX17" s="872"/>
      <c r="AY17" s="872"/>
      <c r="AZ17" s="877"/>
      <c r="BA17" s="878"/>
      <c r="BB17" s="878"/>
      <c r="BC17" s="878"/>
      <c r="BD17" s="878"/>
      <c r="BE17" s="878"/>
      <c r="BF17" s="878"/>
      <c r="BG17" s="878"/>
      <c r="BH17" s="878"/>
    </row>
    <row r="18" ht="21" customHeight="1" spans="1:60">
      <c r="A18" s="822" t="s">
        <v>260</v>
      </c>
      <c r="B18" s="827"/>
      <c r="C18" s="824" t="s">
        <v>290</v>
      </c>
      <c r="D18" s="824" t="s">
        <v>291</v>
      </c>
      <c r="E18" s="824" t="s">
        <v>264</v>
      </c>
      <c r="F18" s="825" t="s">
        <v>264</v>
      </c>
      <c r="G18" s="830"/>
      <c r="H18" s="826"/>
      <c r="I18" s="826"/>
      <c r="J18" s="831"/>
      <c r="K18" s="831"/>
      <c r="L18" s="831"/>
      <c r="M18" s="831"/>
      <c r="N18" s="830"/>
      <c r="O18" s="846"/>
      <c r="P18" s="846"/>
      <c r="Q18" s="846"/>
      <c r="R18" s="846"/>
      <c r="S18" s="846"/>
      <c r="T18" s="846"/>
      <c r="U18" s="846"/>
      <c r="V18" s="846"/>
      <c r="W18" s="846"/>
      <c r="X18" s="855"/>
      <c r="Y18" s="855"/>
      <c r="Z18" s="855"/>
      <c r="AA18" s="855"/>
      <c r="AB18" s="855"/>
      <c r="AC18" s="855"/>
      <c r="AD18" s="855"/>
      <c r="AE18" s="855"/>
      <c r="AF18" s="855"/>
      <c r="AG18" s="855"/>
      <c r="AH18" s="862"/>
      <c r="AI18" s="862"/>
      <c r="AJ18" s="862"/>
      <c r="AK18" s="862"/>
      <c r="AL18" s="862"/>
      <c r="AM18" s="862"/>
      <c r="AN18" s="862"/>
      <c r="AO18" s="862"/>
      <c r="AP18" s="862"/>
      <c r="AQ18" s="862"/>
      <c r="AR18" s="872"/>
      <c r="AS18" s="872"/>
      <c r="AT18" s="872"/>
      <c r="AU18" s="872"/>
      <c r="AV18" s="872"/>
      <c r="AW18" s="872"/>
      <c r="AX18" s="872"/>
      <c r="AY18" s="872"/>
      <c r="AZ18" s="877"/>
      <c r="BA18" s="878"/>
      <c r="BB18" s="878"/>
      <c r="BC18" s="878"/>
      <c r="BD18" s="878"/>
      <c r="BE18" s="878"/>
      <c r="BF18" s="878"/>
      <c r="BG18" s="878"/>
      <c r="BH18" s="878"/>
    </row>
    <row r="19" ht="21" customHeight="1" spans="1:60">
      <c r="A19" s="822" t="s">
        <v>260</v>
      </c>
      <c r="B19" s="827"/>
      <c r="C19" s="824" t="s">
        <v>292</v>
      </c>
      <c r="D19" s="824" t="s">
        <v>293</v>
      </c>
      <c r="E19" s="824" t="s">
        <v>264</v>
      </c>
      <c r="F19" s="825" t="s">
        <v>264</v>
      </c>
      <c r="G19" s="830"/>
      <c r="H19" s="828"/>
      <c r="I19" s="828"/>
      <c r="J19" s="830"/>
      <c r="K19" s="830"/>
      <c r="L19" s="830"/>
      <c r="M19" s="830"/>
      <c r="N19" s="830"/>
      <c r="O19" s="846"/>
      <c r="P19" s="846"/>
      <c r="Q19" s="846"/>
      <c r="R19" s="846"/>
      <c r="S19" s="846"/>
      <c r="T19" s="846"/>
      <c r="U19" s="846"/>
      <c r="V19" s="846"/>
      <c r="W19" s="846"/>
      <c r="X19" s="855"/>
      <c r="Y19" s="855"/>
      <c r="Z19" s="855"/>
      <c r="AA19" s="855"/>
      <c r="AB19" s="855"/>
      <c r="AC19" s="855"/>
      <c r="AD19" s="855"/>
      <c r="AE19" s="855"/>
      <c r="AF19" s="855"/>
      <c r="AG19" s="855"/>
      <c r="AH19" s="862"/>
      <c r="AI19" s="862"/>
      <c r="AJ19" s="862"/>
      <c r="AK19" s="862"/>
      <c r="AL19" s="862"/>
      <c r="AM19" s="862"/>
      <c r="AN19" s="862"/>
      <c r="AO19" s="862"/>
      <c r="AP19" s="862"/>
      <c r="AQ19" s="862"/>
      <c r="AR19" s="872"/>
      <c r="AS19" s="872"/>
      <c r="AT19" s="872"/>
      <c r="AU19" s="872"/>
      <c r="AV19" s="872"/>
      <c r="AW19" s="872"/>
      <c r="AX19" s="872"/>
      <c r="AY19" s="872"/>
      <c r="AZ19" s="877"/>
      <c r="BA19" s="878"/>
      <c r="BB19" s="878"/>
      <c r="BC19" s="878"/>
      <c r="BD19" s="878"/>
      <c r="BE19" s="878"/>
      <c r="BF19" s="878"/>
      <c r="BG19" s="878"/>
      <c r="BH19" s="878"/>
    </row>
    <row r="20" ht="21" customHeight="1" spans="1:60">
      <c r="A20" s="822" t="s">
        <v>260</v>
      </c>
      <c r="B20" s="827"/>
      <c r="C20" s="824" t="s">
        <v>294</v>
      </c>
      <c r="D20" s="824" t="s">
        <v>295</v>
      </c>
      <c r="E20" s="824" t="s">
        <v>264</v>
      </c>
      <c r="F20" s="825" t="s">
        <v>264</v>
      </c>
      <c r="G20" s="830"/>
      <c r="H20" s="828"/>
      <c r="I20" s="828"/>
      <c r="J20" s="830"/>
      <c r="K20" s="830"/>
      <c r="L20" s="830"/>
      <c r="M20" s="830"/>
      <c r="N20" s="830"/>
      <c r="O20" s="846"/>
      <c r="P20" s="846"/>
      <c r="Q20" s="846"/>
      <c r="R20" s="846"/>
      <c r="S20" s="846"/>
      <c r="T20" s="846"/>
      <c r="U20" s="846"/>
      <c r="V20" s="846"/>
      <c r="W20" s="846"/>
      <c r="X20" s="855"/>
      <c r="Y20" s="855"/>
      <c r="Z20" s="855"/>
      <c r="AA20" s="855"/>
      <c r="AB20" s="855"/>
      <c r="AC20" s="855"/>
      <c r="AD20" s="855"/>
      <c r="AE20" s="855"/>
      <c r="AF20" s="855"/>
      <c r="AG20" s="855"/>
      <c r="AH20" s="862"/>
      <c r="AI20" s="862"/>
      <c r="AJ20" s="862"/>
      <c r="AK20" s="862"/>
      <c r="AL20" s="862"/>
      <c r="AM20" s="862"/>
      <c r="AN20" s="862"/>
      <c r="AO20" s="862"/>
      <c r="AP20" s="862"/>
      <c r="AQ20" s="862"/>
      <c r="AR20" s="872"/>
      <c r="AS20" s="872"/>
      <c r="AT20" s="872"/>
      <c r="AU20" s="872"/>
      <c r="AV20" s="872"/>
      <c r="AW20" s="872"/>
      <c r="AX20" s="872"/>
      <c r="AY20" s="872"/>
      <c r="AZ20" s="877"/>
      <c r="BA20" s="878"/>
      <c r="BB20" s="878"/>
      <c r="BC20" s="878"/>
      <c r="BD20" s="878"/>
      <c r="BE20" s="878"/>
      <c r="BF20" s="878"/>
      <c r="BG20" s="878"/>
      <c r="BH20" s="878"/>
    </row>
    <row r="21" ht="20.25" spans="1:60">
      <c r="A21" s="822" t="s">
        <v>260</v>
      </c>
      <c r="B21" s="827"/>
      <c r="C21" s="824" t="s">
        <v>296</v>
      </c>
      <c r="D21" s="824" t="s">
        <v>297</v>
      </c>
      <c r="E21" s="824" t="s">
        <v>264</v>
      </c>
      <c r="F21" s="825" t="s">
        <v>264</v>
      </c>
      <c r="G21" s="831"/>
      <c r="H21" s="826"/>
      <c r="I21" s="826"/>
      <c r="J21" s="830"/>
      <c r="K21" s="830"/>
      <c r="L21" s="830"/>
      <c r="M21" s="830"/>
      <c r="N21" s="830"/>
      <c r="O21" s="846"/>
      <c r="P21" s="846"/>
      <c r="Q21" s="846"/>
      <c r="R21" s="846"/>
      <c r="S21" s="846"/>
      <c r="T21" s="846"/>
      <c r="U21" s="846"/>
      <c r="V21" s="846"/>
      <c r="W21" s="846"/>
      <c r="X21" s="855"/>
      <c r="Y21" s="855"/>
      <c r="Z21" s="855"/>
      <c r="AA21" s="855"/>
      <c r="AB21" s="855"/>
      <c r="AC21" s="855"/>
      <c r="AD21" s="855"/>
      <c r="AE21" s="855"/>
      <c r="AF21" s="855"/>
      <c r="AG21" s="855"/>
      <c r="AH21" s="862"/>
      <c r="AI21" s="862"/>
      <c r="AJ21" s="862"/>
      <c r="AK21" s="862"/>
      <c r="AL21" s="862"/>
      <c r="AM21" s="862"/>
      <c r="AN21" s="862"/>
      <c r="AO21" s="862"/>
      <c r="AP21" s="862"/>
      <c r="AQ21" s="862"/>
      <c r="AR21" s="872"/>
      <c r="AS21" s="872"/>
      <c r="AT21" s="872"/>
      <c r="AU21" s="872"/>
      <c r="AV21" s="872"/>
      <c r="AW21" s="872"/>
      <c r="AX21" s="872"/>
      <c r="AY21" s="872"/>
      <c r="AZ21" s="877"/>
      <c r="BA21" s="878"/>
      <c r="BB21" s="878"/>
      <c r="BC21" s="878"/>
      <c r="BD21" s="878"/>
      <c r="BE21" s="878"/>
      <c r="BF21" s="878"/>
      <c r="BG21" s="878"/>
      <c r="BH21" s="878"/>
    </row>
    <row r="22" ht="20.25" spans="1:60">
      <c r="A22" s="822" t="s">
        <v>260</v>
      </c>
      <c r="B22" s="823" t="s">
        <v>298</v>
      </c>
      <c r="C22" s="824" t="s">
        <v>299</v>
      </c>
      <c r="D22" s="824" t="s">
        <v>300</v>
      </c>
      <c r="E22" s="824" t="s">
        <v>264</v>
      </c>
      <c r="F22" s="825" t="s">
        <v>264</v>
      </c>
      <c r="G22" s="832"/>
      <c r="H22" s="828"/>
      <c r="I22" s="828"/>
      <c r="J22" s="832"/>
      <c r="K22" s="832"/>
      <c r="L22" s="830"/>
      <c r="M22" s="830"/>
      <c r="N22" s="830"/>
      <c r="O22" s="846"/>
      <c r="P22" s="846"/>
      <c r="Q22" s="846"/>
      <c r="R22" s="846"/>
      <c r="S22" s="846"/>
      <c r="T22" s="846"/>
      <c r="U22" s="846"/>
      <c r="V22" s="846"/>
      <c r="W22" s="846"/>
      <c r="X22" s="855"/>
      <c r="Y22" s="855"/>
      <c r="Z22" s="855"/>
      <c r="AA22" s="855"/>
      <c r="AB22" s="855"/>
      <c r="AC22" s="855"/>
      <c r="AD22" s="855"/>
      <c r="AE22" s="855"/>
      <c r="AF22" s="855"/>
      <c r="AG22" s="855"/>
      <c r="AH22" s="862"/>
      <c r="AI22" s="862"/>
      <c r="AJ22" s="862"/>
      <c r="AK22" s="862"/>
      <c r="AL22" s="862"/>
      <c r="AM22" s="862"/>
      <c r="AN22" s="862"/>
      <c r="AO22" s="862"/>
      <c r="AP22" s="862"/>
      <c r="AQ22" s="862"/>
      <c r="AR22" s="872"/>
      <c r="AS22" s="872"/>
      <c r="AT22" s="872"/>
      <c r="AU22" s="872"/>
      <c r="AV22" s="872"/>
      <c r="AW22" s="872"/>
      <c r="AX22" s="872"/>
      <c r="AY22" s="872"/>
      <c r="AZ22" s="877"/>
      <c r="BA22" s="878"/>
      <c r="BB22" s="878"/>
      <c r="BC22" s="878"/>
      <c r="BD22" s="878"/>
      <c r="BE22" s="878"/>
      <c r="BF22" s="878"/>
      <c r="BG22" s="878"/>
      <c r="BH22" s="878"/>
    </row>
    <row r="23" ht="20.25" spans="1:60">
      <c r="A23" s="822" t="s">
        <v>260</v>
      </c>
      <c r="B23" s="827"/>
      <c r="C23" s="824" t="s">
        <v>301</v>
      </c>
      <c r="D23" s="824" t="s">
        <v>302</v>
      </c>
      <c r="E23" s="824" t="s">
        <v>264</v>
      </c>
      <c r="F23" s="825" t="s">
        <v>264</v>
      </c>
      <c r="G23" s="831"/>
      <c r="H23" s="826"/>
      <c r="I23" s="826"/>
      <c r="J23" s="830"/>
      <c r="K23" s="830"/>
      <c r="L23" s="830"/>
      <c r="M23" s="830"/>
      <c r="N23" s="830"/>
      <c r="O23" s="846"/>
      <c r="P23" s="846"/>
      <c r="Q23" s="846"/>
      <c r="R23" s="846"/>
      <c r="S23" s="846"/>
      <c r="T23" s="846"/>
      <c r="U23" s="846"/>
      <c r="V23" s="846"/>
      <c r="W23" s="846"/>
      <c r="X23" s="855"/>
      <c r="Y23" s="855"/>
      <c r="Z23" s="855"/>
      <c r="AA23" s="855"/>
      <c r="AB23" s="855"/>
      <c r="AC23" s="855"/>
      <c r="AD23" s="855"/>
      <c r="AE23" s="855"/>
      <c r="AF23" s="855"/>
      <c r="AG23" s="855"/>
      <c r="AH23" s="862"/>
      <c r="AI23" s="862"/>
      <c r="AJ23" s="862"/>
      <c r="AK23" s="862"/>
      <c r="AL23" s="862"/>
      <c r="AM23" s="862"/>
      <c r="AN23" s="862"/>
      <c r="AO23" s="862"/>
      <c r="AP23" s="862"/>
      <c r="AQ23" s="862"/>
      <c r="AR23" s="872"/>
      <c r="AS23" s="872"/>
      <c r="AT23" s="872"/>
      <c r="AU23" s="872"/>
      <c r="AV23" s="872"/>
      <c r="AW23" s="872"/>
      <c r="AX23" s="872"/>
      <c r="AY23" s="872"/>
      <c r="AZ23" s="877"/>
      <c r="BA23" s="878"/>
      <c r="BB23" s="878"/>
      <c r="BC23" s="878"/>
      <c r="BD23" s="878"/>
      <c r="BE23" s="878"/>
      <c r="BF23" s="878"/>
      <c r="BG23" s="878"/>
      <c r="BH23" s="878"/>
    </row>
    <row r="24" ht="20.25" spans="1:60">
      <c r="A24" s="822" t="s">
        <v>260</v>
      </c>
      <c r="B24" s="827"/>
      <c r="C24" s="824" t="s">
        <v>303</v>
      </c>
      <c r="D24" s="824" t="s">
        <v>304</v>
      </c>
      <c r="E24" s="824" t="s">
        <v>264</v>
      </c>
      <c r="F24" s="825" t="s">
        <v>264</v>
      </c>
      <c r="G24" s="832"/>
      <c r="H24" s="828"/>
      <c r="I24" s="828"/>
      <c r="J24" s="830"/>
      <c r="K24" s="830"/>
      <c r="L24" s="830"/>
      <c r="M24" s="830"/>
      <c r="N24" s="830"/>
      <c r="O24" s="846"/>
      <c r="P24" s="846"/>
      <c r="Q24" s="846"/>
      <c r="R24" s="846"/>
      <c r="S24" s="846"/>
      <c r="T24" s="846"/>
      <c r="U24" s="846"/>
      <c r="V24" s="846"/>
      <c r="W24" s="846"/>
      <c r="X24" s="855"/>
      <c r="Y24" s="855"/>
      <c r="Z24" s="855"/>
      <c r="AA24" s="855"/>
      <c r="AB24" s="855"/>
      <c r="AC24" s="855"/>
      <c r="AD24" s="855"/>
      <c r="AE24" s="855"/>
      <c r="AF24" s="855"/>
      <c r="AG24" s="855"/>
      <c r="AH24" s="862"/>
      <c r="AI24" s="862"/>
      <c r="AJ24" s="862"/>
      <c r="AK24" s="862"/>
      <c r="AL24" s="862"/>
      <c r="AM24" s="862"/>
      <c r="AN24" s="862"/>
      <c r="AO24" s="862"/>
      <c r="AP24" s="862"/>
      <c r="AQ24" s="862"/>
      <c r="AR24" s="872"/>
      <c r="AS24" s="872"/>
      <c r="AT24" s="872"/>
      <c r="AU24" s="872"/>
      <c r="AV24" s="872"/>
      <c r="AW24" s="872"/>
      <c r="AX24" s="872"/>
      <c r="AY24" s="872"/>
      <c r="AZ24" s="877"/>
      <c r="BA24" s="878"/>
      <c r="BB24" s="878"/>
      <c r="BC24" s="878"/>
      <c r="BD24" s="878"/>
      <c r="BE24" s="878"/>
      <c r="BF24" s="878"/>
      <c r="BG24" s="878"/>
      <c r="BH24" s="878"/>
    </row>
    <row r="25" ht="20.25" spans="1:60">
      <c r="A25" s="822" t="s">
        <v>260</v>
      </c>
      <c r="B25" s="829"/>
      <c r="C25" s="824" t="s">
        <v>305</v>
      </c>
      <c r="D25" s="824" t="s">
        <v>306</v>
      </c>
      <c r="E25" s="824" t="s">
        <v>264</v>
      </c>
      <c r="F25" s="825" t="s">
        <v>264</v>
      </c>
      <c r="G25" s="831"/>
      <c r="H25" s="826"/>
      <c r="I25" s="826"/>
      <c r="J25" s="830"/>
      <c r="K25" s="830"/>
      <c r="L25" s="830"/>
      <c r="M25" s="830"/>
      <c r="N25" s="830"/>
      <c r="O25" s="846"/>
      <c r="P25" s="846"/>
      <c r="Q25" s="846"/>
      <c r="R25" s="846"/>
      <c r="S25" s="846"/>
      <c r="T25" s="846"/>
      <c r="U25" s="846"/>
      <c r="V25" s="846"/>
      <c r="W25" s="846"/>
      <c r="X25" s="855"/>
      <c r="Y25" s="855"/>
      <c r="Z25" s="855"/>
      <c r="AA25" s="855"/>
      <c r="AB25" s="855"/>
      <c r="AC25" s="855"/>
      <c r="AD25" s="855"/>
      <c r="AE25" s="855"/>
      <c r="AF25" s="855"/>
      <c r="AG25" s="855"/>
      <c r="AH25" s="862"/>
      <c r="AI25" s="862"/>
      <c r="AJ25" s="862"/>
      <c r="AK25" s="862"/>
      <c r="AL25" s="862"/>
      <c r="AM25" s="862"/>
      <c r="AN25" s="862"/>
      <c r="AO25" s="862"/>
      <c r="AP25" s="862"/>
      <c r="AQ25" s="862"/>
      <c r="AR25" s="872"/>
      <c r="AS25" s="872"/>
      <c r="AT25" s="872"/>
      <c r="AU25" s="872"/>
      <c r="AV25" s="872"/>
      <c r="AW25" s="872"/>
      <c r="AX25" s="872"/>
      <c r="AY25" s="872"/>
      <c r="AZ25" s="877"/>
      <c r="BA25" s="878"/>
      <c r="BB25" s="878"/>
      <c r="BC25" s="878"/>
      <c r="BD25" s="878"/>
      <c r="BE25" s="878"/>
      <c r="BF25" s="878"/>
      <c r="BG25" s="878"/>
      <c r="BH25" s="878"/>
    </row>
    <row r="26" ht="28.95" customHeight="1" spans="1:60">
      <c r="A26" s="822" t="s">
        <v>260</v>
      </c>
      <c r="B26" s="823" t="s">
        <v>307</v>
      </c>
      <c r="C26" s="824" t="s">
        <v>308</v>
      </c>
      <c r="D26" s="824" t="s">
        <v>309</v>
      </c>
      <c r="E26" s="824" t="s">
        <v>264</v>
      </c>
      <c r="F26" s="825" t="s">
        <v>264</v>
      </c>
      <c r="G26" s="830"/>
      <c r="H26" s="830"/>
      <c r="I26" s="826"/>
      <c r="J26" s="826"/>
      <c r="K26" s="826"/>
      <c r="L26" s="831"/>
      <c r="M26" s="831"/>
      <c r="N26" s="830"/>
      <c r="O26" s="846"/>
      <c r="P26" s="846"/>
      <c r="Q26" s="846"/>
      <c r="R26" s="846"/>
      <c r="S26" s="846"/>
      <c r="T26" s="846"/>
      <c r="U26" s="846"/>
      <c r="V26" s="846"/>
      <c r="W26" s="846"/>
      <c r="X26" s="855"/>
      <c r="Y26" s="855"/>
      <c r="Z26" s="855"/>
      <c r="AA26" s="855"/>
      <c r="AB26" s="855"/>
      <c r="AC26" s="855"/>
      <c r="AD26" s="855"/>
      <c r="AE26" s="855"/>
      <c r="AF26" s="855"/>
      <c r="AG26" s="855"/>
      <c r="AH26" s="862"/>
      <c r="AI26" s="862"/>
      <c r="AJ26" s="862"/>
      <c r="AK26" s="862"/>
      <c r="AL26" s="862"/>
      <c r="AM26" s="862"/>
      <c r="AN26" s="862"/>
      <c r="AO26" s="862"/>
      <c r="AP26" s="862"/>
      <c r="AQ26" s="862"/>
      <c r="AR26" s="872"/>
      <c r="AS26" s="872"/>
      <c r="AT26" s="872"/>
      <c r="AU26" s="872"/>
      <c r="AV26" s="872"/>
      <c r="AW26" s="872"/>
      <c r="AX26" s="872"/>
      <c r="AY26" s="872"/>
      <c r="AZ26" s="877"/>
      <c r="BA26" s="878"/>
      <c r="BB26" s="878"/>
      <c r="BC26" s="878"/>
      <c r="BD26" s="878"/>
      <c r="BE26" s="878"/>
      <c r="BF26" s="878"/>
      <c r="BG26" s="878"/>
      <c r="BH26" s="878"/>
    </row>
    <row r="27" ht="20.25" spans="1:60">
      <c r="A27" s="822" t="s">
        <v>260</v>
      </c>
      <c r="B27" s="827"/>
      <c r="C27" s="824" t="s">
        <v>310</v>
      </c>
      <c r="D27" s="824" t="s">
        <v>311</v>
      </c>
      <c r="E27" s="824" t="s">
        <v>264</v>
      </c>
      <c r="F27" s="825" t="s">
        <v>264</v>
      </c>
      <c r="G27" s="830"/>
      <c r="H27" s="830"/>
      <c r="I27" s="828"/>
      <c r="J27" s="828"/>
      <c r="K27" s="828"/>
      <c r="L27" s="830"/>
      <c r="M27" s="830"/>
      <c r="N27" s="830"/>
      <c r="O27" s="846"/>
      <c r="P27" s="846"/>
      <c r="Q27" s="846"/>
      <c r="R27" s="846"/>
      <c r="S27" s="846"/>
      <c r="T27" s="846"/>
      <c r="U27" s="846"/>
      <c r="V27" s="846"/>
      <c r="W27" s="846"/>
      <c r="X27" s="855"/>
      <c r="Y27" s="855"/>
      <c r="Z27" s="855"/>
      <c r="AA27" s="855"/>
      <c r="AB27" s="855"/>
      <c r="AC27" s="855"/>
      <c r="AD27" s="855"/>
      <c r="AE27" s="855"/>
      <c r="AF27" s="855"/>
      <c r="AG27" s="855"/>
      <c r="AH27" s="862"/>
      <c r="AI27" s="862"/>
      <c r="AJ27" s="862"/>
      <c r="AK27" s="862"/>
      <c r="AL27" s="862"/>
      <c r="AM27" s="862"/>
      <c r="AN27" s="862"/>
      <c r="AO27" s="862"/>
      <c r="AP27" s="862"/>
      <c r="AQ27" s="862"/>
      <c r="AR27" s="872"/>
      <c r="AS27" s="872"/>
      <c r="AT27" s="872"/>
      <c r="AU27" s="872"/>
      <c r="AV27" s="872"/>
      <c r="AW27" s="872"/>
      <c r="AX27" s="872"/>
      <c r="AY27" s="872"/>
      <c r="AZ27" s="877"/>
      <c r="BA27" s="878"/>
      <c r="BB27" s="878"/>
      <c r="BC27" s="878"/>
      <c r="BD27" s="878"/>
      <c r="BE27" s="878"/>
      <c r="BF27" s="878"/>
      <c r="BG27" s="878"/>
      <c r="BH27" s="878"/>
    </row>
    <row r="28" ht="20.25" spans="1:60">
      <c r="A28" s="822" t="s">
        <v>260</v>
      </c>
      <c r="B28" s="827"/>
      <c r="C28" s="824" t="s">
        <v>312</v>
      </c>
      <c r="D28" s="824" t="s">
        <v>313</v>
      </c>
      <c r="E28" s="824" t="s">
        <v>264</v>
      </c>
      <c r="F28" s="825" t="s">
        <v>264</v>
      </c>
      <c r="G28" s="830"/>
      <c r="H28" s="830"/>
      <c r="I28" s="830"/>
      <c r="J28" s="830"/>
      <c r="K28" s="828"/>
      <c r="L28" s="828"/>
      <c r="M28" s="830"/>
      <c r="N28" s="830"/>
      <c r="O28" s="846"/>
      <c r="P28" s="846"/>
      <c r="Q28" s="846"/>
      <c r="R28" s="846"/>
      <c r="S28" s="846"/>
      <c r="T28" s="846"/>
      <c r="U28" s="846"/>
      <c r="V28" s="846"/>
      <c r="W28" s="846"/>
      <c r="X28" s="855"/>
      <c r="Y28" s="855"/>
      <c r="Z28" s="855"/>
      <c r="AA28" s="855"/>
      <c r="AB28" s="855"/>
      <c r="AC28" s="855"/>
      <c r="AD28" s="855"/>
      <c r="AE28" s="855"/>
      <c r="AF28" s="855"/>
      <c r="AG28" s="855"/>
      <c r="AH28" s="862"/>
      <c r="AI28" s="862"/>
      <c r="AJ28" s="862"/>
      <c r="AK28" s="862"/>
      <c r="AL28" s="862"/>
      <c r="AM28" s="862"/>
      <c r="AN28" s="862"/>
      <c r="AO28" s="862"/>
      <c r="AP28" s="862"/>
      <c r="AQ28" s="862"/>
      <c r="AR28" s="872"/>
      <c r="AS28" s="872"/>
      <c r="AT28" s="872"/>
      <c r="AU28" s="872"/>
      <c r="AV28" s="872"/>
      <c r="AW28" s="872"/>
      <c r="AX28" s="872"/>
      <c r="AY28" s="872"/>
      <c r="AZ28" s="877"/>
      <c r="BA28" s="878"/>
      <c r="BB28" s="878"/>
      <c r="BC28" s="878"/>
      <c r="BD28" s="878"/>
      <c r="BE28" s="878"/>
      <c r="BF28" s="878"/>
      <c r="BG28" s="878"/>
      <c r="BH28" s="878"/>
    </row>
    <row r="29" ht="20.25" spans="1:60">
      <c r="A29" s="822" t="s">
        <v>260</v>
      </c>
      <c r="B29" s="827"/>
      <c r="C29" s="824" t="s">
        <v>314</v>
      </c>
      <c r="D29" s="824" t="s">
        <v>315</v>
      </c>
      <c r="E29" s="824" t="s">
        <v>264</v>
      </c>
      <c r="F29" s="825" t="s">
        <v>264</v>
      </c>
      <c r="G29" s="830"/>
      <c r="H29" s="830"/>
      <c r="I29" s="830"/>
      <c r="J29" s="830"/>
      <c r="K29" s="847"/>
      <c r="L29" s="847"/>
      <c r="M29" s="826"/>
      <c r="N29" s="830"/>
      <c r="O29" s="846"/>
      <c r="P29" s="846"/>
      <c r="Q29" s="846"/>
      <c r="R29" s="846"/>
      <c r="S29" s="846"/>
      <c r="T29" s="846"/>
      <c r="U29" s="846"/>
      <c r="V29" s="846"/>
      <c r="W29" s="846"/>
      <c r="X29" s="855"/>
      <c r="Y29" s="855"/>
      <c r="Z29" s="855"/>
      <c r="AA29" s="855"/>
      <c r="AB29" s="855"/>
      <c r="AC29" s="855"/>
      <c r="AD29" s="855"/>
      <c r="AE29" s="855"/>
      <c r="AF29" s="855"/>
      <c r="AG29" s="855"/>
      <c r="AH29" s="862"/>
      <c r="AI29" s="862"/>
      <c r="AJ29" s="862"/>
      <c r="AK29" s="862"/>
      <c r="AL29" s="862"/>
      <c r="AM29" s="862"/>
      <c r="AN29" s="862"/>
      <c r="AO29" s="862"/>
      <c r="AP29" s="862"/>
      <c r="AQ29" s="862"/>
      <c r="AR29" s="872"/>
      <c r="AS29" s="872"/>
      <c r="AT29" s="872"/>
      <c r="AU29" s="872"/>
      <c r="AV29" s="872"/>
      <c r="AW29" s="872"/>
      <c r="AX29" s="872"/>
      <c r="AY29" s="872"/>
      <c r="AZ29" s="877"/>
      <c r="BA29" s="878"/>
      <c r="BB29" s="878"/>
      <c r="BC29" s="878"/>
      <c r="BD29" s="878"/>
      <c r="BE29" s="878"/>
      <c r="BF29" s="878"/>
      <c r="BG29" s="878"/>
      <c r="BH29" s="878"/>
    </row>
    <row r="30" ht="20.25" spans="1:60">
      <c r="A30" s="822" t="s">
        <v>260</v>
      </c>
      <c r="B30" s="827"/>
      <c r="C30" s="824" t="s">
        <v>316</v>
      </c>
      <c r="D30" s="824" t="s">
        <v>317</v>
      </c>
      <c r="E30" s="824" t="s">
        <v>264</v>
      </c>
      <c r="F30" s="825" t="s">
        <v>264</v>
      </c>
      <c r="G30" s="830"/>
      <c r="H30" s="830"/>
      <c r="I30" s="830"/>
      <c r="J30" s="830"/>
      <c r="K30" s="830"/>
      <c r="L30" s="848"/>
      <c r="M30" s="848"/>
      <c r="N30" s="849"/>
      <c r="O30" s="850"/>
      <c r="P30" s="846"/>
      <c r="Q30" s="846"/>
      <c r="R30" s="846"/>
      <c r="S30" s="846"/>
      <c r="T30" s="846"/>
      <c r="U30" s="846"/>
      <c r="V30" s="846"/>
      <c r="W30" s="846"/>
      <c r="X30" s="855"/>
      <c r="Y30" s="855"/>
      <c r="Z30" s="855"/>
      <c r="AA30" s="855"/>
      <c r="AB30" s="855"/>
      <c r="AC30" s="855"/>
      <c r="AD30" s="855"/>
      <c r="AE30" s="855"/>
      <c r="AF30" s="855"/>
      <c r="AG30" s="855"/>
      <c r="AH30" s="862"/>
      <c r="AI30" s="862"/>
      <c r="AJ30" s="862"/>
      <c r="AK30" s="862"/>
      <c r="AL30" s="862"/>
      <c r="AM30" s="862"/>
      <c r="AN30" s="862"/>
      <c r="AO30" s="862"/>
      <c r="AP30" s="862"/>
      <c r="AQ30" s="862"/>
      <c r="AR30" s="872"/>
      <c r="AS30" s="872"/>
      <c r="AT30" s="872"/>
      <c r="AU30" s="872"/>
      <c r="AV30" s="872"/>
      <c r="AW30" s="872"/>
      <c r="AX30" s="872"/>
      <c r="AY30" s="872"/>
      <c r="AZ30" s="877"/>
      <c r="BA30" s="878"/>
      <c r="BB30" s="878"/>
      <c r="BC30" s="878"/>
      <c r="BD30" s="878"/>
      <c r="BE30" s="878"/>
      <c r="BF30" s="878"/>
      <c r="BG30" s="878"/>
      <c r="BH30" s="878"/>
    </row>
    <row r="31" ht="20.25" spans="1:60">
      <c r="A31" s="822" t="s">
        <v>260</v>
      </c>
      <c r="B31" s="823" t="s">
        <v>318</v>
      </c>
      <c r="C31" s="824" t="s">
        <v>319</v>
      </c>
      <c r="D31" s="824" t="s">
        <v>320</v>
      </c>
      <c r="E31" s="824" t="s">
        <v>264</v>
      </c>
      <c r="F31" s="825" t="s">
        <v>264</v>
      </c>
      <c r="G31" s="830"/>
      <c r="H31" s="830"/>
      <c r="I31" s="832"/>
      <c r="J31" s="832"/>
      <c r="K31" s="830"/>
      <c r="L31" s="830"/>
      <c r="M31" s="830"/>
      <c r="N31" s="830"/>
      <c r="O31" s="846"/>
      <c r="P31" s="851"/>
      <c r="Q31" s="846"/>
      <c r="R31" s="846"/>
      <c r="S31" s="846"/>
      <c r="T31" s="846"/>
      <c r="U31" s="846"/>
      <c r="V31" s="846"/>
      <c r="W31" s="846"/>
      <c r="X31" s="855"/>
      <c r="Y31" s="855"/>
      <c r="Z31" s="855"/>
      <c r="AA31" s="855"/>
      <c r="AB31" s="855"/>
      <c r="AC31" s="855"/>
      <c r="AD31" s="855"/>
      <c r="AE31" s="855"/>
      <c r="AF31" s="855"/>
      <c r="AG31" s="855"/>
      <c r="AH31" s="862"/>
      <c r="AI31" s="862"/>
      <c r="AJ31" s="862"/>
      <c r="AK31" s="862"/>
      <c r="AL31" s="862"/>
      <c r="AM31" s="862"/>
      <c r="AN31" s="862"/>
      <c r="AO31" s="862"/>
      <c r="AP31" s="862"/>
      <c r="AQ31" s="862"/>
      <c r="AR31" s="872"/>
      <c r="AS31" s="872"/>
      <c r="AT31" s="872"/>
      <c r="AU31" s="872"/>
      <c r="AV31" s="872"/>
      <c r="AW31" s="872"/>
      <c r="AX31" s="872"/>
      <c r="AY31" s="872"/>
      <c r="AZ31" s="877"/>
      <c r="BA31" s="878"/>
      <c r="BB31" s="878"/>
      <c r="BC31" s="878"/>
      <c r="BD31" s="878"/>
      <c r="BE31" s="878"/>
      <c r="BF31" s="878"/>
      <c r="BG31" s="878"/>
      <c r="BH31" s="878"/>
    </row>
    <row r="32" ht="20.25" spans="1:60">
      <c r="A32" s="822" t="s">
        <v>260</v>
      </c>
      <c r="B32" s="829"/>
      <c r="C32" s="824" t="s">
        <v>321</v>
      </c>
      <c r="D32" s="824" t="s">
        <v>322</v>
      </c>
      <c r="E32" s="824" t="s">
        <v>264</v>
      </c>
      <c r="F32" s="825" t="s">
        <v>264</v>
      </c>
      <c r="G32" s="830"/>
      <c r="H32" s="830"/>
      <c r="I32" s="830"/>
      <c r="J32" s="830"/>
      <c r="K32" s="831"/>
      <c r="L32" s="830"/>
      <c r="M32" s="830"/>
      <c r="N32" s="830"/>
      <c r="O32" s="846"/>
      <c r="P32" s="846"/>
      <c r="Q32" s="846"/>
      <c r="R32" s="846"/>
      <c r="S32" s="846"/>
      <c r="T32" s="846"/>
      <c r="U32" s="846"/>
      <c r="V32" s="846"/>
      <c r="W32" s="846"/>
      <c r="X32" s="855"/>
      <c r="Y32" s="855"/>
      <c r="Z32" s="855"/>
      <c r="AA32" s="855"/>
      <c r="AB32" s="855"/>
      <c r="AC32" s="855"/>
      <c r="AD32" s="855"/>
      <c r="AE32" s="855"/>
      <c r="AF32" s="855"/>
      <c r="AG32" s="855"/>
      <c r="AH32" s="862"/>
      <c r="AI32" s="862"/>
      <c r="AJ32" s="862"/>
      <c r="AK32" s="862"/>
      <c r="AL32" s="862"/>
      <c r="AM32" s="862"/>
      <c r="AN32" s="862"/>
      <c r="AO32" s="862"/>
      <c r="AP32" s="862"/>
      <c r="AQ32" s="862"/>
      <c r="AR32" s="872"/>
      <c r="AS32" s="872"/>
      <c r="AT32" s="872"/>
      <c r="AU32" s="872"/>
      <c r="AV32" s="872"/>
      <c r="AW32" s="872"/>
      <c r="AX32" s="872"/>
      <c r="AY32" s="872"/>
      <c r="AZ32" s="877"/>
      <c r="BA32" s="878"/>
      <c r="BB32" s="878"/>
      <c r="BC32" s="878"/>
      <c r="BD32" s="878"/>
      <c r="BE32" s="878"/>
      <c r="BF32" s="878"/>
      <c r="BG32" s="878"/>
      <c r="BH32" s="878"/>
    </row>
    <row r="33" ht="20.25" spans="1:60">
      <c r="A33" s="807">
        <v>2</v>
      </c>
      <c r="B33" s="833" t="s">
        <v>323</v>
      </c>
      <c r="C33" s="833"/>
      <c r="D33" s="833"/>
      <c r="E33" s="833"/>
      <c r="F33" s="833"/>
      <c r="G33" s="830"/>
      <c r="H33" s="830"/>
      <c r="I33" s="830"/>
      <c r="J33" s="830"/>
      <c r="K33" s="830"/>
      <c r="L33" s="830"/>
      <c r="M33" s="830"/>
      <c r="N33" s="830"/>
      <c r="O33" s="846"/>
      <c r="P33" s="846"/>
      <c r="Q33" s="846"/>
      <c r="R33" s="846"/>
      <c r="S33" s="846"/>
      <c r="T33" s="846"/>
      <c r="U33" s="846"/>
      <c r="V33" s="846"/>
      <c r="W33" s="846"/>
      <c r="X33" s="855"/>
      <c r="Y33" s="855"/>
      <c r="Z33" s="855"/>
      <c r="AA33" s="855"/>
      <c r="AB33" s="855"/>
      <c r="AC33" s="855"/>
      <c r="AD33" s="855"/>
      <c r="AE33" s="855"/>
      <c r="AF33" s="855"/>
      <c r="AG33" s="855"/>
      <c r="AH33" s="862"/>
      <c r="AI33" s="862"/>
      <c r="AJ33" s="862"/>
      <c r="AK33" s="862"/>
      <c r="AL33" s="862"/>
      <c r="AM33" s="862"/>
      <c r="AN33" s="862"/>
      <c r="AO33" s="862"/>
      <c r="AP33" s="862"/>
      <c r="AQ33" s="862"/>
      <c r="AR33" s="872"/>
      <c r="AS33" s="872"/>
      <c r="AT33" s="872"/>
      <c r="AU33" s="872"/>
      <c r="AV33" s="872"/>
      <c r="AW33" s="872"/>
      <c r="AX33" s="872"/>
      <c r="AY33" s="872"/>
      <c r="AZ33" s="877"/>
      <c r="BA33" s="878"/>
      <c r="BB33" s="878"/>
      <c r="BC33" s="878"/>
      <c r="BD33" s="878"/>
      <c r="BE33" s="878"/>
      <c r="BF33" s="878"/>
      <c r="BG33" s="878"/>
      <c r="BH33" s="878"/>
    </row>
    <row r="34" ht="20.25" spans="1:60">
      <c r="A34" s="822" t="s">
        <v>260</v>
      </c>
      <c r="B34" s="834" t="s">
        <v>324</v>
      </c>
      <c r="C34" s="824" t="s">
        <v>325</v>
      </c>
      <c r="D34" s="824" t="s">
        <v>326</v>
      </c>
      <c r="E34" s="824" t="s">
        <v>264</v>
      </c>
      <c r="F34" s="825" t="s">
        <v>264</v>
      </c>
      <c r="G34" s="830"/>
      <c r="H34" s="830"/>
      <c r="I34" s="830"/>
      <c r="J34" s="830"/>
      <c r="K34" s="830"/>
      <c r="L34" s="831"/>
      <c r="M34" s="831"/>
      <c r="N34" s="831"/>
      <c r="O34" s="826"/>
      <c r="P34" s="851"/>
      <c r="Q34" s="846"/>
      <c r="R34" s="846"/>
      <c r="S34" s="846"/>
      <c r="T34" s="846"/>
      <c r="U34" s="846"/>
      <c r="V34" s="846"/>
      <c r="W34" s="846"/>
      <c r="X34" s="855"/>
      <c r="Y34" s="855"/>
      <c r="Z34" s="855"/>
      <c r="AA34" s="855"/>
      <c r="AB34" s="855"/>
      <c r="AC34" s="855"/>
      <c r="AD34" s="855"/>
      <c r="AE34" s="855"/>
      <c r="AF34" s="855"/>
      <c r="AG34" s="855"/>
      <c r="AH34" s="862"/>
      <c r="AI34" s="862"/>
      <c r="AJ34" s="862"/>
      <c r="AK34" s="862"/>
      <c r="AL34" s="862"/>
      <c r="AM34" s="862"/>
      <c r="AN34" s="862"/>
      <c r="AO34" s="862"/>
      <c r="AP34" s="862"/>
      <c r="AQ34" s="862"/>
      <c r="AR34" s="872"/>
      <c r="AS34" s="872"/>
      <c r="AT34" s="872"/>
      <c r="AU34" s="872"/>
      <c r="AV34" s="872"/>
      <c r="AW34" s="872"/>
      <c r="AX34" s="872"/>
      <c r="AY34" s="872"/>
      <c r="AZ34" s="877"/>
      <c r="BA34" s="878"/>
      <c r="BB34" s="878"/>
      <c r="BC34" s="878"/>
      <c r="BD34" s="878"/>
      <c r="BE34" s="878"/>
      <c r="BF34" s="878"/>
      <c r="BG34" s="878"/>
      <c r="BH34" s="878"/>
    </row>
    <row r="35" ht="20.25" spans="1:60">
      <c r="A35" s="822" t="s">
        <v>260</v>
      </c>
      <c r="B35" s="834"/>
      <c r="C35" s="824" t="s">
        <v>327</v>
      </c>
      <c r="D35" s="824" t="s">
        <v>328</v>
      </c>
      <c r="E35" s="824" t="s">
        <v>264</v>
      </c>
      <c r="F35" s="825" t="s">
        <v>264</v>
      </c>
      <c r="G35" s="830"/>
      <c r="H35" s="830"/>
      <c r="I35" s="830"/>
      <c r="J35" s="830"/>
      <c r="K35" s="832"/>
      <c r="L35" s="832"/>
      <c r="M35" s="832"/>
      <c r="N35" s="832"/>
      <c r="O35" s="828"/>
      <c r="P35" s="828"/>
      <c r="Q35" s="832"/>
      <c r="R35" s="846"/>
      <c r="S35" s="846"/>
      <c r="T35" s="846"/>
      <c r="U35" s="846"/>
      <c r="V35" s="846"/>
      <c r="W35" s="846"/>
      <c r="X35" s="855"/>
      <c r="Y35" s="855"/>
      <c r="Z35" s="855"/>
      <c r="AA35" s="855"/>
      <c r="AB35" s="855"/>
      <c r="AC35" s="855"/>
      <c r="AD35" s="855"/>
      <c r="AE35" s="855"/>
      <c r="AF35" s="855"/>
      <c r="AG35" s="855"/>
      <c r="AH35" s="862"/>
      <c r="AI35" s="862"/>
      <c r="AJ35" s="862"/>
      <c r="AK35" s="862"/>
      <c r="AL35" s="862"/>
      <c r="AM35" s="862"/>
      <c r="AN35" s="862"/>
      <c r="AO35" s="862"/>
      <c r="AP35" s="862"/>
      <c r="AQ35" s="862"/>
      <c r="AR35" s="872"/>
      <c r="AS35" s="872"/>
      <c r="AT35" s="872"/>
      <c r="AU35" s="872"/>
      <c r="AV35" s="872"/>
      <c r="AW35" s="872"/>
      <c r="AX35" s="872"/>
      <c r="AY35" s="872"/>
      <c r="AZ35" s="877"/>
      <c r="BA35" s="878"/>
      <c r="BB35" s="878"/>
      <c r="BC35" s="878"/>
      <c r="BD35" s="878"/>
      <c r="BE35" s="878"/>
      <c r="BF35" s="878"/>
      <c r="BG35" s="878"/>
      <c r="BH35" s="878"/>
    </row>
    <row r="36" ht="20.25" spans="1:60">
      <c r="A36" s="822" t="s">
        <v>260</v>
      </c>
      <c r="B36" s="834"/>
      <c r="C36" s="824" t="s">
        <v>329</v>
      </c>
      <c r="D36" s="824" t="s">
        <v>330</v>
      </c>
      <c r="E36" s="824" t="s">
        <v>264</v>
      </c>
      <c r="F36" s="825" t="s">
        <v>264</v>
      </c>
      <c r="G36" s="830"/>
      <c r="H36" s="830"/>
      <c r="I36" s="830"/>
      <c r="J36" s="830"/>
      <c r="K36" s="830"/>
      <c r="L36" s="831"/>
      <c r="M36" s="831"/>
      <c r="N36" s="831"/>
      <c r="O36" s="826"/>
      <c r="P36" s="851"/>
      <c r="Q36" s="846"/>
      <c r="R36" s="846"/>
      <c r="S36" s="846"/>
      <c r="T36" s="846"/>
      <c r="U36" s="846"/>
      <c r="V36" s="846"/>
      <c r="W36" s="846"/>
      <c r="X36" s="855"/>
      <c r="Y36" s="855"/>
      <c r="Z36" s="855"/>
      <c r="AA36" s="855"/>
      <c r="AB36" s="855"/>
      <c r="AC36" s="855"/>
      <c r="AD36" s="855"/>
      <c r="AE36" s="855"/>
      <c r="AF36" s="855"/>
      <c r="AG36" s="855"/>
      <c r="AH36" s="862"/>
      <c r="AI36" s="862"/>
      <c r="AJ36" s="862"/>
      <c r="AK36" s="862"/>
      <c r="AL36" s="862"/>
      <c r="AM36" s="862"/>
      <c r="AN36" s="862"/>
      <c r="AO36" s="862"/>
      <c r="AP36" s="862"/>
      <c r="AQ36" s="862"/>
      <c r="AR36" s="872"/>
      <c r="AS36" s="872"/>
      <c r="AT36" s="872"/>
      <c r="AU36" s="872"/>
      <c r="AV36" s="872"/>
      <c r="AW36" s="872"/>
      <c r="AX36" s="872"/>
      <c r="AY36" s="872"/>
      <c r="AZ36" s="877"/>
      <c r="BA36" s="878"/>
      <c r="BB36" s="878"/>
      <c r="BC36" s="878"/>
      <c r="BD36" s="878"/>
      <c r="BE36" s="878"/>
      <c r="BF36" s="878"/>
      <c r="BG36" s="878"/>
      <c r="BH36" s="878"/>
    </row>
    <row r="37" ht="20.25" spans="1:60">
      <c r="A37" s="822" t="s">
        <v>260</v>
      </c>
      <c r="B37" s="834"/>
      <c r="C37" s="824" t="s">
        <v>331</v>
      </c>
      <c r="D37" s="824" t="s">
        <v>332</v>
      </c>
      <c r="E37" s="824" t="s">
        <v>264</v>
      </c>
      <c r="F37" s="825" t="s">
        <v>264</v>
      </c>
      <c r="G37" s="830"/>
      <c r="H37" s="830"/>
      <c r="I37" s="830"/>
      <c r="J37" s="832"/>
      <c r="K37" s="832"/>
      <c r="L37" s="832"/>
      <c r="M37" s="832"/>
      <c r="N37" s="832"/>
      <c r="O37" s="828"/>
      <c r="P37" s="828"/>
      <c r="Q37" s="832"/>
      <c r="R37" s="846"/>
      <c r="S37" s="846"/>
      <c r="T37" s="846"/>
      <c r="U37" s="846"/>
      <c r="V37" s="846"/>
      <c r="W37" s="846"/>
      <c r="X37" s="855"/>
      <c r="Y37" s="855"/>
      <c r="Z37" s="855"/>
      <c r="AA37" s="855"/>
      <c r="AB37" s="855"/>
      <c r="AC37" s="855"/>
      <c r="AD37" s="855"/>
      <c r="AE37" s="855"/>
      <c r="AF37" s="855"/>
      <c r="AG37" s="855"/>
      <c r="AH37" s="862"/>
      <c r="AI37" s="862"/>
      <c r="AJ37" s="862"/>
      <c r="AK37" s="862"/>
      <c r="AL37" s="862"/>
      <c r="AM37" s="862"/>
      <c r="AN37" s="862"/>
      <c r="AO37" s="862"/>
      <c r="AP37" s="862"/>
      <c r="AQ37" s="862"/>
      <c r="AR37" s="872"/>
      <c r="AS37" s="872"/>
      <c r="AT37" s="872"/>
      <c r="AU37" s="872"/>
      <c r="AV37" s="872"/>
      <c r="AW37" s="872"/>
      <c r="AX37" s="872"/>
      <c r="AY37" s="872"/>
      <c r="AZ37" s="877"/>
      <c r="BA37" s="878"/>
      <c r="BB37" s="878"/>
      <c r="BC37" s="878"/>
      <c r="BD37" s="878"/>
      <c r="BE37" s="878"/>
      <c r="BF37" s="878"/>
      <c r="BG37" s="878"/>
      <c r="BH37" s="878"/>
    </row>
    <row r="38" ht="20.25" spans="1:60">
      <c r="A38" s="822" t="s">
        <v>260</v>
      </c>
      <c r="B38" s="823" t="s">
        <v>333</v>
      </c>
      <c r="C38" s="824" t="s">
        <v>334</v>
      </c>
      <c r="D38" s="824" t="s">
        <v>335</v>
      </c>
      <c r="E38" s="824" t="s">
        <v>264</v>
      </c>
      <c r="F38" s="825" t="s">
        <v>264</v>
      </c>
      <c r="G38" s="835"/>
      <c r="H38" s="835"/>
      <c r="I38" s="835"/>
      <c r="J38" s="830"/>
      <c r="K38" s="847"/>
      <c r="L38" s="847"/>
      <c r="M38" s="830"/>
      <c r="N38" s="830"/>
      <c r="O38" s="846"/>
      <c r="P38" s="846"/>
      <c r="Q38" s="846"/>
      <c r="R38" s="846"/>
      <c r="S38" s="846"/>
      <c r="T38" s="846"/>
      <c r="U38" s="846"/>
      <c r="V38" s="846"/>
      <c r="W38" s="846"/>
      <c r="X38" s="855"/>
      <c r="Y38" s="855"/>
      <c r="Z38" s="855"/>
      <c r="AA38" s="855"/>
      <c r="AB38" s="855"/>
      <c r="AC38" s="855"/>
      <c r="AD38" s="855"/>
      <c r="AE38" s="855"/>
      <c r="AF38" s="855"/>
      <c r="AG38" s="855"/>
      <c r="AH38" s="862"/>
      <c r="AI38" s="862"/>
      <c r="AJ38" s="862"/>
      <c r="AK38" s="862"/>
      <c r="AL38" s="862"/>
      <c r="AM38" s="862"/>
      <c r="AN38" s="862"/>
      <c r="AO38" s="862"/>
      <c r="AP38" s="862"/>
      <c r="AQ38" s="862"/>
      <c r="AR38" s="872"/>
      <c r="AS38" s="872"/>
      <c r="AT38" s="872"/>
      <c r="AU38" s="872"/>
      <c r="AV38" s="872"/>
      <c r="AW38" s="872"/>
      <c r="AX38" s="872"/>
      <c r="AY38" s="872"/>
      <c r="AZ38" s="877"/>
      <c r="BA38" s="878"/>
      <c r="BB38" s="878"/>
      <c r="BC38" s="878"/>
      <c r="BD38" s="878"/>
      <c r="BE38" s="878"/>
      <c r="BF38" s="878"/>
      <c r="BG38" s="878"/>
      <c r="BH38" s="878"/>
    </row>
    <row r="39" ht="20.25" spans="1:60">
      <c r="A39" s="822" t="s">
        <v>260</v>
      </c>
      <c r="B39" s="827"/>
      <c r="C39" s="824" t="s">
        <v>336</v>
      </c>
      <c r="D39" s="824" t="s">
        <v>337</v>
      </c>
      <c r="E39" s="824" t="s">
        <v>264</v>
      </c>
      <c r="F39" s="825" t="s">
        <v>264</v>
      </c>
      <c r="G39" s="830"/>
      <c r="H39" s="830"/>
      <c r="I39" s="830"/>
      <c r="J39" s="831"/>
      <c r="K39" s="830"/>
      <c r="L39" s="847"/>
      <c r="M39" s="847"/>
      <c r="N39" s="830"/>
      <c r="O39" s="846"/>
      <c r="P39" s="846"/>
      <c r="Q39" s="846"/>
      <c r="R39" s="846"/>
      <c r="S39" s="846"/>
      <c r="T39" s="846"/>
      <c r="U39" s="846"/>
      <c r="V39" s="846"/>
      <c r="W39" s="846"/>
      <c r="X39" s="855"/>
      <c r="Y39" s="855"/>
      <c r="Z39" s="855"/>
      <c r="AA39" s="855"/>
      <c r="AB39" s="855"/>
      <c r="AC39" s="855"/>
      <c r="AD39" s="855"/>
      <c r="AE39" s="855"/>
      <c r="AF39" s="855"/>
      <c r="AG39" s="855"/>
      <c r="AH39" s="862"/>
      <c r="AI39" s="862"/>
      <c r="AJ39" s="862"/>
      <c r="AK39" s="862"/>
      <c r="AL39" s="862"/>
      <c r="AM39" s="862"/>
      <c r="AN39" s="862"/>
      <c r="AO39" s="862"/>
      <c r="AP39" s="862"/>
      <c r="AQ39" s="862"/>
      <c r="AR39" s="872"/>
      <c r="AS39" s="872"/>
      <c r="AT39" s="872"/>
      <c r="AU39" s="872"/>
      <c r="AV39" s="872"/>
      <c r="AW39" s="872"/>
      <c r="AX39" s="872"/>
      <c r="AY39" s="872"/>
      <c r="AZ39" s="877"/>
      <c r="BA39" s="878"/>
      <c r="BB39" s="878"/>
      <c r="BC39" s="878"/>
      <c r="BD39" s="878"/>
      <c r="BE39" s="878"/>
      <c r="BF39" s="878"/>
      <c r="BG39" s="878"/>
      <c r="BH39" s="878"/>
    </row>
    <row r="40" ht="20.25" spans="1:60">
      <c r="A40" s="822" t="s">
        <v>260</v>
      </c>
      <c r="B40" s="827"/>
      <c r="C40" s="824" t="s">
        <v>338</v>
      </c>
      <c r="D40" s="824" t="s">
        <v>339</v>
      </c>
      <c r="E40" s="824" t="s">
        <v>264</v>
      </c>
      <c r="F40" s="825" t="s">
        <v>264</v>
      </c>
      <c r="G40" s="830"/>
      <c r="H40" s="830"/>
      <c r="I40" s="830"/>
      <c r="J40" s="830"/>
      <c r="K40" s="835"/>
      <c r="L40" s="830"/>
      <c r="M40" s="830"/>
      <c r="N40" s="830"/>
      <c r="O40" s="846"/>
      <c r="P40" s="851"/>
      <c r="Q40" s="851"/>
      <c r="R40" s="851"/>
      <c r="S40" s="851"/>
      <c r="T40" s="851"/>
      <c r="U40" s="851"/>
      <c r="V40" s="851"/>
      <c r="W40" s="851"/>
      <c r="X40" s="857"/>
      <c r="Y40" s="857"/>
      <c r="Z40" s="857"/>
      <c r="AA40" s="857"/>
      <c r="AB40" s="857"/>
      <c r="AC40" s="857"/>
      <c r="AD40" s="857"/>
      <c r="AE40" s="857"/>
      <c r="AF40" s="857"/>
      <c r="AG40" s="857"/>
      <c r="AH40" s="865"/>
      <c r="AI40" s="865"/>
      <c r="AJ40" s="865"/>
      <c r="AK40" s="865"/>
      <c r="AL40" s="865"/>
      <c r="AM40" s="865"/>
      <c r="AN40" s="865"/>
      <c r="AO40" s="865"/>
      <c r="AP40" s="865"/>
      <c r="AQ40" s="865"/>
      <c r="AR40" s="873"/>
      <c r="AS40" s="873"/>
      <c r="AT40" s="873"/>
      <c r="AU40" s="873"/>
      <c r="AV40" s="873"/>
      <c r="AW40" s="873"/>
      <c r="AX40" s="873"/>
      <c r="AY40" s="873"/>
      <c r="AZ40" s="877"/>
      <c r="BA40" s="878"/>
      <c r="BB40" s="878"/>
      <c r="BC40" s="878"/>
      <c r="BD40" s="878"/>
      <c r="BE40" s="878"/>
      <c r="BF40" s="878"/>
      <c r="BG40" s="878"/>
      <c r="BH40" s="878"/>
    </row>
    <row r="41" ht="20.25" spans="1:60">
      <c r="A41" s="822" t="s">
        <v>260</v>
      </c>
      <c r="B41" s="827"/>
      <c r="C41" s="824" t="s">
        <v>340</v>
      </c>
      <c r="D41" s="824" t="s">
        <v>341</v>
      </c>
      <c r="E41" s="824" t="s">
        <v>264</v>
      </c>
      <c r="F41" s="825" t="s">
        <v>264</v>
      </c>
      <c r="G41" s="830"/>
      <c r="H41" s="830"/>
      <c r="I41" s="830"/>
      <c r="J41" s="830"/>
      <c r="K41" s="830"/>
      <c r="L41" s="852"/>
      <c r="M41" s="830"/>
      <c r="N41" s="830"/>
      <c r="O41" s="846"/>
      <c r="P41" s="846"/>
      <c r="Q41" s="846"/>
      <c r="R41" s="846"/>
      <c r="S41" s="846"/>
      <c r="T41" s="846"/>
      <c r="U41" s="846"/>
      <c r="V41" s="846"/>
      <c r="W41" s="846"/>
      <c r="X41" s="855"/>
      <c r="Y41" s="855"/>
      <c r="Z41" s="855"/>
      <c r="AA41" s="855"/>
      <c r="AB41" s="855"/>
      <c r="AC41" s="855"/>
      <c r="AD41" s="855"/>
      <c r="AE41" s="855"/>
      <c r="AF41" s="855"/>
      <c r="AG41" s="855"/>
      <c r="AH41" s="862"/>
      <c r="AI41" s="862"/>
      <c r="AJ41" s="862"/>
      <c r="AK41" s="862"/>
      <c r="AL41" s="862"/>
      <c r="AM41" s="862"/>
      <c r="AN41" s="862"/>
      <c r="AO41" s="862"/>
      <c r="AP41" s="862"/>
      <c r="AQ41" s="862"/>
      <c r="AR41" s="872"/>
      <c r="AS41" s="872"/>
      <c r="AT41" s="872"/>
      <c r="AU41" s="872"/>
      <c r="AV41" s="872"/>
      <c r="AW41" s="872"/>
      <c r="AX41" s="872"/>
      <c r="AY41" s="872"/>
      <c r="AZ41" s="877"/>
      <c r="BA41" s="878"/>
      <c r="BB41" s="878"/>
      <c r="BC41" s="878"/>
      <c r="BD41" s="878"/>
      <c r="BE41" s="878"/>
      <c r="BF41" s="878"/>
      <c r="BG41" s="878"/>
      <c r="BH41" s="878"/>
    </row>
    <row r="42" ht="20.25" spans="1:60">
      <c r="A42" s="822" t="s">
        <v>260</v>
      </c>
      <c r="B42" s="829"/>
      <c r="C42" s="824" t="s">
        <v>342</v>
      </c>
      <c r="D42" s="824" t="s">
        <v>343</v>
      </c>
      <c r="E42" s="824" t="s">
        <v>264</v>
      </c>
      <c r="F42" s="825" t="s">
        <v>264</v>
      </c>
      <c r="G42" s="830"/>
      <c r="H42" s="830"/>
      <c r="I42" s="830"/>
      <c r="J42" s="830"/>
      <c r="K42" s="830"/>
      <c r="L42" s="830"/>
      <c r="M42" s="832"/>
      <c r="N42" s="830"/>
      <c r="O42" s="846"/>
      <c r="P42" s="846"/>
      <c r="Q42" s="846"/>
      <c r="R42" s="846"/>
      <c r="S42" s="846"/>
      <c r="T42" s="846"/>
      <c r="U42" s="846"/>
      <c r="V42" s="846"/>
      <c r="W42" s="846"/>
      <c r="X42" s="855"/>
      <c r="Y42" s="855"/>
      <c r="Z42" s="855"/>
      <c r="AA42" s="855"/>
      <c r="AB42" s="855"/>
      <c r="AC42" s="855"/>
      <c r="AD42" s="855"/>
      <c r="AE42" s="855"/>
      <c r="AF42" s="855"/>
      <c r="AG42" s="855"/>
      <c r="AH42" s="862"/>
      <c r="AI42" s="862"/>
      <c r="AJ42" s="862"/>
      <c r="AK42" s="862"/>
      <c r="AL42" s="862"/>
      <c r="AM42" s="862"/>
      <c r="AN42" s="862"/>
      <c r="AO42" s="862"/>
      <c r="AP42" s="862"/>
      <c r="AQ42" s="862"/>
      <c r="AR42" s="872"/>
      <c r="AS42" s="872"/>
      <c r="AT42" s="872"/>
      <c r="AU42" s="872"/>
      <c r="AV42" s="872"/>
      <c r="AW42" s="872"/>
      <c r="AX42" s="872"/>
      <c r="AY42" s="872"/>
      <c r="AZ42" s="877"/>
      <c r="BA42" s="878"/>
      <c r="BB42" s="878"/>
      <c r="BC42" s="878"/>
      <c r="BD42" s="878"/>
      <c r="BE42" s="878"/>
      <c r="BF42" s="878"/>
      <c r="BG42" s="878"/>
      <c r="BH42" s="878"/>
    </row>
    <row r="43" ht="20.25" spans="1:60">
      <c r="A43" s="807">
        <v>3</v>
      </c>
      <c r="B43" s="833" t="s">
        <v>344</v>
      </c>
      <c r="C43" s="833"/>
      <c r="D43" s="833"/>
      <c r="E43" s="833"/>
      <c r="F43" s="833"/>
      <c r="G43" s="830"/>
      <c r="H43" s="830"/>
      <c r="I43" s="830"/>
      <c r="J43" s="830"/>
      <c r="K43" s="830"/>
      <c r="L43" s="830"/>
      <c r="M43" s="830"/>
      <c r="N43" s="830"/>
      <c r="O43" s="846"/>
      <c r="P43" s="846"/>
      <c r="Q43" s="846"/>
      <c r="R43" s="846"/>
      <c r="S43" s="846"/>
      <c r="T43" s="846"/>
      <c r="U43" s="846"/>
      <c r="V43" s="846"/>
      <c r="W43" s="846"/>
      <c r="X43" s="855"/>
      <c r="Y43" s="855"/>
      <c r="Z43" s="855"/>
      <c r="AA43" s="855"/>
      <c r="AB43" s="855"/>
      <c r="AC43" s="855"/>
      <c r="AD43" s="855"/>
      <c r="AE43" s="855"/>
      <c r="AF43" s="855"/>
      <c r="AG43" s="855"/>
      <c r="AH43" s="862"/>
      <c r="AI43" s="862"/>
      <c r="AJ43" s="862"/>
      <c r="AK43" s="862"/>
      <c r="AL43" s="862"/>
      <c r="AM43" s="862"/>
      <c r="AN43" s="862"/>
      <c r="AO43" s="862"/>
      <c r="AP43" s="862"/>
      <c r="AQ43" s="862"/>
      <c r="AR43" s="872"/>
      <c r="AS43" s="872"/>
      <c r="AT43" s="872"/>
      <c r="AU43" s="872"/>
      <c r="AV43" s="872"/>
      <c r="AW43" s="872"/>
      <c r="AX43" s="872"/>
      <c r="AY43" s="872"/>
      <c r="AZ43" s="877"/>
      <c r="BA43" s="878"/>
      <c r="BB43" s="878"/>
      <c r="BC43" s="878"/>
      <c r="BD43" s="878"/>
      <c r="BE43" s="878"/>
      <c r="BF43" s="878"/>
      <c r="BG43" s="878"/>
      <c r="BH43" s="878"/>
    </row>
    <row r="44" ht="20.25" spans="1:60">
      <c r="A44" s="822" t="s">
        <v>260</v>
      </c>
      <c r="B44" s="834" t="s">
        <v>345</v>
      </c>
      <c r="C44" s="824" t="s">
        <v>346</v>
      </c>
      <c r="D44" s="824" t="s">
        <v>347</v>
      </c>
      <c r="E44" s="824" t="s">
        <v>264</v>
      </c>
      <c r="F44" s="825" t="s">
        <v>264</v>
      </c>
      <c r="G44" s="830"/>
      <c r="H44" s="832"/>
      <c r="I44" s="832"/>
      <c r="J44" s="830"/>
      <c r="K44" s="830"/>
      <c r="L44" s="830"/>
      <c r="M44" s="830"/>
      <c r="N44" s="830"/>
      <c r="O44" s="846"/>
      <c r="P44" s="851"/>
      <c r="Q44" s="851"/>
      <c r="R44" s="846"/>
      <c r="S44" s="846"/>
      <c r="T44" s="846"/>
      <c r="U44" s="846"/>
      <c r="V44" s="846"/>
      <c r="W44" s="846"/>
      <c r="X44" s="855"/>
      <c r="Y44" s="855"/>
      <c r="Z44" s="855"/>
      <c r="AA44" s="855"/>
      <c r="AB44" s="855"/>
      <c r="AC44" s="855"/>
      <c r="AD44" s="855"/>
      <c r="AE44" s="855"/>
      <c r="AF44" s="855"/>
      <c r="AG44" s="855"/>
      <c r="AH44" s="862"/>
      <c r="AI44" s="862"/>
      <c r="AJ44" s="862"/>
      <c r="AK44" s="862"/>
      <c r="AL44" s="862"/>
      <c r="AM44" s="862"/>
      <c r="AN44" s="862"/>
      <c r="AO44" s="862"/>
      <c r="AP44" s="862"/>
      <c r="AQ44" s="862"/>
      <c r="AR44" s="872"/>
      <c r="AS44" s="872"/>
      <c r="AT44" s="872"/>
      <c r="AU44" s="872"/>
      <c r="AV44" s="872"/>
      <c r="AW44" s="872"/>
      <c r="AX44" s="872"/>
      <c r="AY44" s="872"/>
      <c r="AZ44" s="877"/>
      <c r="BA44" s="878"/>
      <c r="BB44" s="878"/>
      <c r="BC44" s="878"/>
      <c r="BD44" s="878"/>
      <c r="BE44" s="878"/>
      <c r="BF44" s="878"/>
      <c r="BG44" s="878"/>
      <c r="BH44" s="878"/>
    </row>
    <row r="45" ht="20.25" spans="1:60">
      <c r="A45" s="822" t="s">
        <v>260</v>
      </c>
      <c r="B45" s="834"/>
      <c r="C45" s="824" t="s">
        <v>348</v>
      </c>
      <c r="D45" s="824" t="s">
        <v>349</v>
      </c>
      <c r="E45" s="824" t="s">
        <v>264</v>
      </c>
      <c r="F45" s="825" t="s">
        <v>264</v>
      </c>
      <c r="G45" s="830"/>
      <c r="H45" s="830"/>
      <c r="I45" s="830"/>
      <c r="J45" s="832"/>
      <c r="K45" s="832"/>
      <c r="L45" s="830"/>
      <c r="M45" s="830"/>
      <c r="N45" s="830"/>
      <c r="O45" s="846"/>
      <c r="P45" s="851"/>
      <c r="Q45" s="851"/>
      <c r="R45" s="846"/>
      <c r="S45" s="846"/>
      <c r="T45" s="846"/>
      <c r="U45" s="846"/>
      <c r="V45" s="846"/>
      <c r="W45" s="846"/>
      <c r="X45" s="855"/>
      <c r="Y45" s="855"/>
      <c r="Z45" s="855"/>
      <c r="AA45" s="855"/>
      <c r="AB45" s="855"/>
      <c r="AC45" s="855"/>
      <c r="AD45" s="855"/>
      <c r="AE45" s="855"/>
      <c r="AF45" s="855"/>
      <c r="AG45" s="855"/>
      <c r="AH45" s="862"/>
      <c r="AI45" s="862"/>
      <c r="AJ45" s="862"/>
      <c r="AK45" s="862"/>
      <c r="AL45" s="862"/>
      <c r="AM45" s="862"/>
      <c r="AN45" s="862"/>
      <c r="AO45" s="862"/>
      <c r="AP45" s="862"/>
      <c r="AQ45" s="862"/>
      <c r="AR45" s="872"/>
      <c r="AS45" s="872"/>
      <c r="AT45" s="872"/>
      <c r="AU45" s="872"/>
      <c r="AV45" s="872"/>
      <c r="AW45" s="872"/>
      <c r="AX45" s="872"/>
      <c r="AY45" s="872"/>
      <c r="AZ45" s="877"/>
      <c r="BA45" s="878"/>
      <c r="BB45" s="878"/>
      <c r="BC45" s="878"/>
      <c r="BD45" s="878"/>
      <c r="BE45" s="878"/>
      <c r="BF45" s="878"/>
      <c r="BG45" s="878"/>
      <c r="BH45" s="878"/>
    </row>
    <row r="46" ht="20.25" spans="1:60">
      <c r="A46" s="822" t="s">
        <v>260</v>
      </c>
      <c r="B46" s="827" t="s">
        <v>350</v>
      </c>
      <c r="C46" s="824" t="s">
        <v>351</v>
      </c>
      <c r="D46" s="824" t="s">
        <v>352</v>
      </c>
      <c r="E46" s="824" t="s">
        <v>264</v>
      </c>
      <c r="F46" s="825" t="s">
        <v>264</v>
      </c>
      <c r="G46" s="830"/>
      <c r="H46" s="830"/>
      <c r="I46" s="830"/>
      <c r="J46" s="830"/>
      <c r="K46" s="830"/>
      <c r="L46" s="831"/>
      <c r="M46" s="831"/>
      <c r="N46" s="830"/>
      <c r="O46" s="846"/>
      <c r="P46" s="851"/>
      <c r="Q46" s="851"/>
      <c r="R46" s="846"/>
      <c r="S46" s="846"/>
      <c r="T46" s="846"/>
      <c r="U46" s="846"/>
      <c r="V46" s="846"/>
      <c r="W46" s="846"/>
      <c r="X46" s="855"/>
      <c r="Y46" s="855"/>
      <c r="Z46" s="855"/>
      <c r="AA46" s="855"/>
      <c r="AB46" s="855"/>
      <c r="AC46" s="855"/>
      <c r="AD46" s="855"/>
      <c r="AE46" s="855"/>
      <c r="AF46" s="855"/>
      <c r="AG46" s="855"/>
      <c r="AH46" s="862"/>
      <c r="AI46" s="862"/>
      <c r="AJ46" s="862"/>
      <c r="AK46" s="862"/>
      <c r="AL46" s="862"/>
      <c r="AM46" s="862"/>
      <c r="AN46" s="862"/>
      <c r="AO46" s="862"/>
      <c r="AP46" s="862"/>
      <c r="AQ46" s="862"/>
      <c r="AR46" s="872"/>
      <c r="AS46" s="872"/>
      <c r="AT46" s="872"/>
      <c r="AU46" s="872"/>
      <c r="AV46" s="872"/>
      <c r="AW46" s="872"/>
      <c r="AX46" s="872"/>
      <c r="AY46" s="872"/>
      <c r="AZ46" s="877"/>
      <c r="BA46" s="878"/>
      <c r="BB46" s="878"/>
      <c r="BC46" s="878"/>
      <c r="BD46" s="878"/>
      <c r="BE46" s="878"/>
      <c r="BF46" s="878"/>
      <c r="BG46" s="878"/>
      <c r="BH46" s="878"/>
    </row>
    <row r="47" ht="20.25" spans="1:60">
      <c r="A47" s="822" t="s">
        <v>260</v>
      </c>
      <c r="B47" s="827"/>
      <c r="C47" s="824" t="s">
        <v>353</v>
      </c>
      <c r="D47" s="824" t="s">
        <v>354</v>
      </c>
      <c r="E47" s="824" t="s">
        <v>264</v>
      </c>
      <c r="F47" s="825" t="s">
        <v>264</v>
      </c>
      <c r="G47" s="830"/>
      <c r="H47" s="830"/>
      <c r="I47" s="830"/>
      <c r="J47" s="830"/>
      <c r="K47" s="830"/>
      <c r="L47" s="830"/>
      <c r="M47" s="832"/>
      <c r="N47" s="832"/>
      <c r="O47" s="846"/>
      <c r="P47" s="851"/>
      <c r="Q47" s="851"/>
      <c r="R47" s="846"/>
      <c r="S47" s="846"/>
      <c r="T47" s="846"/>
      <c r="U47" s="846"/>
      <c r="V47" s="846"/>
      <c r="W47" s="846"/>
      <c r="X47" s="855"/>
      <c r="Y47" s="855"/>
      <c r="Z47" s="855"/>
      <c r="AA47" s="855"/>
      <c r="AB47" s="855"/>
      <c r="AC47" s="855"/>
      <c r="AD47" s="855"/>
      <c r="AE47" s="855"/>
      <c r="AF47" s="855"/>
      <c r="AG47" s="855"/>
      <c r="AH47" s="862"/>
      <c r="AI47" s="862"/>
      <c r="AJ47" s="862"/>
      <c r="AK47" s="862"/>
      <c r="AL47" s="862"/>
      <c r="AM47" s="862"/>
      <c r="AN47" s="862"/>
      <c r="AO47" s="862"/>
      <c r="AP47" s="862"/>
      <c r="AQ47" s="862"/>
      <c r="AR47" s="872"/>
      <c r="AS47" s="872"/>
      <c r="AT47" s="872"/>
      <c r="AU47" s="872"/>
      <c r="AV47" s="872"/>
      <c r="AW47" s="872"/>
      <c r="AX47" s="872"/>
      <c r="AY47" s="872"/>
      <c r="AZ47" s="877"/>
      <c r="BA47" s="878"/>
      <c r="BB47" s="878"/>
      <c r="BC47" s="878"/>
      <c r="BD47" s="878"/>
      <c r="BE47" s="878"/>
      <c r="BF47" s="878"/>
      <c r="BG47" s="878"/>
      <c r="BH47" s="878"/>
    </row>
    <row r="48" ht="20.25" spans="1:60">
      <c r="A48" s="822" t="s">
        <v>260</v>
      </c>
      <c r="B48" s="827"/>
      <c r="C48" s="824" t="s">
        <v>355</v>
      </c>
      <c r="D48" s="824" t="s">
        <v>356</v>
      </c>
      <c r="E48" s="824" t="s">
        <v>264</v>
      </c>
      <c r="F48" s="825" t="s">
        <v>264</v>
      </c>
      <c r="G48" s="830"/>
      <c r="H48" s="830"/>
      <c r="I48" s="830"/>
      <c r="J48" s="830"/>
      <c r="K48" s="830"/>
      <c r="L48" s="830"/>
      <c r="M48" s="832"/>
      <c r="N48" s="832"/>
      <c r="O48" s="846"/>
      <c r="P48" s="851"/>
      <c r="Q48" s="851"/>
      <c r="R48" s="846"/>
      <c r="S48" s="846"/>
      <c r="T48" s="846"/>
      <c r="U48" s="846"/>
      <c r="V48" s="846"/>
      <c r="W48" s="846"/>
      <c r="X48" s="855"/>
      <c r="Y48" s="855"/>
      <c r="Z48" s="855"/>
      <c r="AA48" s="855"/>
      <c r="AB48" s="855"/>
      <c r="AC48" s="855"/>
      <c r="AD48" s="855"/>
      <c r="AE48" s="855"/>
      <c r="AF48" s="855"/>
      <c r="AG48" s="855"/>
      <c r="AH48" s="862"/>
      <c r="AI48" s="862"/>
      <c r="AJ48" s="862"/>
      <c r="AK48" s="862"/>
      <c r="AL48" s="862"/>
      <c r="AM48" s="862"/>
      <c r="AN48" s="862"/>
      <c r="AO48" s="862"/>
      <c r="AP48" s="862"/>
      <c r="AQ48" s="862"/>
      <c r="AR48" s="872"/>
      <c r="AS48" s="872"/>
      <c r="AT48" s="872"/>
      <c r="AU48" s="872"/>
      <c r="AV48" s="872"/>
      <c r="AW48" s="872"/>
      <c r="AX48" s="872"/>
      <c r="AY48" s="872"/>
      <c r="AZ48" s="877"/>
      <c r="BA48" s="878"/>
      <c r="BB48" s="878"/>
      <c r="BC48" s="878"/>
      <c r="BD48" s="878"/>
      <c r="BE48" s="878"/>
      <c r="BF48" s="878"/>
      <c r="BG48" s="878"/>
      <c r="BH48" s="878"/>
    </row>
    <row r="49" ht="20.25" spans="1:60">
      <c r="A49" s="822" t="s">
        <v>260</v>
      </c>
      <c r="B49" s="829"/>
      <c r="C49" s="824" t="s">
        <v>357</v>
      </c>
      <c r="D49" s="824" t="s">
        <v>358</v>
      </c>
      <c r="E49" s="824" t="s">
        <v>264</v>
      </c>
      <c r="F49" s="825" t="s">
        <v>264</v>
      </c>
      <c r="G49" s="830"/>
      <c r="H49" s="830"/>
      <c r="I49" s="830"/>
      <c r="J49" s="830"/>
      <c r="K49" s="830"/>
      <c r="L49" s="830"/>
      <c r="M49" s="830"/>
      <c r="N49" s="830"/>
      <c r="O49" s="846"/>
      <c r="P49" s="851"/>
      <c r="Q49" s="851"/>
      <c r="R49" s="846"/>
      <c r="S49" s="846"/>
      <c r="T49" s="846"/>
      <c r="U49" s="846"/>
      <c r="V49" s="846"/>
      <c r="W49" s="846"/>
      <c r="X49" s="855"/>
      <c r="Y49" s="855"/>
      <c r="Z49" s="855"/>
      <c r="AA49" s="855"/>
      <c r="AB49" s="855"/>
      <c r="AC49" s="855"/>
      <c r="AD49" s="855"/>
      <c r="AE49" s="855"/>
      <c r="AF49" s="855"/>
      <c r="AG49" s="855"/>
      <c r="AH49" s="862"/>
      <c r="AI49" s="862"/>
      <c r="AJ49" s="862"/>
      <c r="AK49" s="862"/>
      <c r="AL49" s="862"/>
      <c r="AM49" s="862"/>
      <c r="AN49" s="862"/>
      <c r="AO49" s="862"/>
      <c r="AP49" s="862"/>
      <c r="AQ49" s="862"/>
      <c r="AR49" s="872"/>
      <c r="AS49" s="872"/>
      <c r="AT49" s="872"/>
      <c r="AU49" s="872"/>
      <c r="AV49" s="872"/>
      <c r="AW49" s="872"/>
      <c r="AX49" s="872"/>
      <c r="AY49" s="872"/>
      <c r="AZ49" s="877"/>
      <c r="BA49" s="878"/>
      <c r="BB49" s="878"/>
      <c r="BC49" s="878"/>
      <c r="BD49" s="878"/>
      <c r="BE49" s="878"/>
      <c r="BF49" s="878"/>
      <c r="BG49" s="878"/>
      <c r="BH49" s="878"/>
    </row>
    <row r="50" ht="20.25" spans="1:60">
      <c r="A50" s="822" t="s">
        <v>260</v>
      </c>
      <c r="B50" s="827" t="s">
        <v>359</v>
      </c>
      <c r="C50" s="824" t="s">
        <v>360</v>
      </c>
      <c r="D50" s="824" t="s">
        <v>361</v>
      </c>
      <c r="E50" s="824" t="s">
        <v>264</v>
      </c>
      <c r="F50" s="825" t="s">
        <v>264</v>
      </c>
      <c r="G50" s="830"/>
      <c r="H50" s="830"/>
      <c r="I50" s="830"/>
      <c r="J50" s="830"/>
      <c r="K50" s="830"/>
      <c r="L50" s="830"/>
      <c r="M50" s="830"/>
      <c r="N50" s="830"/>
      <c r="O50" s="846"/>
      <c r="P50" s="851"/>
      <c r="Q50" s="851"/>
      <c r="R50" s="846"/>
      <c r="S50" s="846"/>
      <c r="T50" s="846"/>
      <c r="U50" s="846"/>
      <c r="V50" s="846"/>
      <c r="W50" s="846"/>
      <c r="X50" s="855"/>
      <c r="Y50" s="855"/>
      <c r="Z50" s="855"/>
      <c r="AA50" s="855"/>
      <c r="AB50" s="855"/>
      <c r="AC50" s="855"/>
      <c r="AD50" s="855"/>
      <c r="AE50" s="855"/>
      <c r="AF50" s="855"/>
      <c r="AG50" s="855"/>
      <c r="AH50" s="862"/>
      <c r="AI50" s="862"/>
      <c r="AJ50" s="862"/>
      <c r="AK50" s="862"/>
      <c r="AL50" s="862"/>
      <c r="AM50" s="862"/>
      <c r="AN50" s="862"/>
      <c r="AO50" s="862"/>
      <c r="AP50" s="862"/>
      <c r="AQ50" s="862"/>
      <c r="AR50" s="872"/>
      <c r="AS50" s="872"/>
      <c r="AT50" s="872"/>
      <c r="AU50" s="872"/>
      <c r="AV50" s="872"/>
      <c r="AW50" s="872"/>
      <c r="AX50" s="872"/>
      <c r="AY50" s="872"/>
      <c r="AZ50" s="877"/>
      <c r="BA50" s="878"/>
      <c r="BB50" s="878"/>
      <c r="BC50" s="878"/>
      <c r="BD50" s="878"/>
      <c r="BE50" s="878"/>
      <c r="BF50" s="878"/>
      <c r="BG50" s="878"/>
      <c r="BH50" s="878"/>
    </row>
    <row r="51" ht="20.25" spans="1:60">
      <c r="A51" s="822" t="s">
        <v>260</v>
      </c>
      <c r="B51" s="827"/>
      <c r="C51" s="824" t="s">
        <v>362</v>
      </c>
      <c r="D51" s="824" t="s">
        <v>363</v>
      </c>
      <c r="E51" s="824" t="s">
        <v>264</v>
      </c>
      <c r="F51" s="825" t="s">
        <v>264</v>
      </c>
      <c r="G51" s="830"/>
      <c r="H51" s="830"/>
      <c r="I51" s="830"/>
      <c r="J51" s="830"/>
      <c r="K51" s="830"/>
      <c r="L51" s="830"/>
      <c r="M51" s="830"/>
      <c r="N51" s="830"/>
      <c r="O51" s="846"/>
      <c r="P51" s="851"/>
      <c r="Q51" s="851"/>
      <c r="R51" s="846"/>
      <c r="S51" s="846"/>
      <c r="T51" s="846"/>
      <c r="U51" s="846"/>
      <c r="V51" s="846"/>
      <c r="W51" s="846"/>
      <c r="X51" s="855"/>
      <c r="Y51" s="855"/>
      <c r="Z51" s="855"/>
      <c r="AA51" s="855"/>
      <c r="AB51" s="855"/>
      <c r="AC51" s="855"/>
      <c r="AD51" s="855"/>
      <c r="AE51" s="855"/>
      <c r="AF51" s="855"/>
      <c r="AG51" s="855"/>
      <c r="AH51" s="862"/>
      <c r="AI51" s="862"/>
      <c r="AJ51" s="862"/>
      <c r="AK51" s="862"/>
      <c r="AL51" s="862"/>
      <c r="AM51" s="862"/>
      <c r="AN51" s="862"/>
      <c r="AO51" s="862"/>
      <c r="AP51" s="862"/>
      <c r="AQ51" s="862"/>
      <c r="AR51" s="872"/>
      <c r="AS51" s="872"/>
      <c r="AT51" s="872"/>
      <c r="AU51" s="872"/>
      <c r="AV51" s="872"/>
      <c r="AW51" s="872"/>
      <c r="AX51" s="872"/>
      <c r="AY51" s="872"/>
      <c r="AZ51" s="877"/>
      <c r="BA51" s="878"/>
      <c r="BB51" s="878"/>
      <c r="BC51" s="878"/>
      <c r="BD51" s="878"/>
      <c r="BE51" s="878"/>
      <c r="BF51" s="878"/>
      <c r="BG51" s="878"/>
      <c r="BH51" s="878"/>
    </row>
    <row r="52" ht="20.25" spans="1:60">
      <c r="A52" s="822" t="s">
        <v>260</v>
      </c>
      <c r="B52" s="827"/>
      <c r="C52" s="824" t="s">
        <v>364</v>
      </c>
      <c r="D52" s="824" t="s">
        <v>365</v>
      </c>
      <c r="E52" s="824" t="s">
        <v>264</v>
      </c>
      <c r="F52" s="825" t="s">
        <v>264</v>
      </c>
      <c r="G52" s="830"/>
      <c r="H52" s="830"/>
      <c r="I52" s="830"/>
      <c r="J52" s="830"/>
      <c r="K52" s="830"/>
      <c r="L52" s="830"/>
      <c r="M52" s="830"/>
      <c r="N52" s="830"/>
      <c r="O52" s="846"/>
      <c r="P52" s="851"/>
      <c r="Q52" s="851"/>
      <c r="R52" s="846"/>
      <c r="S52" s="846"/>
      <c r="T52" s="846"/>
      <c r="U52" s="846"/>
      <c r="V52" s="846"/>
      <c r="W52" s="846"/>
      <c r="X52" s="855"/>
      <c r="Y52" s="855"/>
      <c r="Z52" s="855"/>
      <c r="AA52" s="855"/>
      <c r="AB52" s="855"/>
      <c r="AC52" s="855"/>
      <c r="AD52" s="855"/>
      <c r="AE52" s="855"/>
      <c r="AF52" s="855"/>
      <c r="AG52" s="855"/>
      <c r="AH52" s="862"/>
      <c r="AI52" s="862"/>
      <c r="AJ52" s="862"/>
      <c r="AK52" s="862"/>
      <c r="AL52" s="862"/>
      <c r="AM52" s="862"/>
      <c r="AN52" s="862"/>
      <c r="AO52" s="862"/>
      <c r="AP52" s="862"/>
      <c r="AQ52" s="862"/>
      <c r="AR52" s="872"/>
      <c r="AS52" s="872"/>
      <c r="AT52" s="872"/>
      <c r="AU52" s="872"/>
      <c r="AV52" s="872"/>
      <c r="AW52" s="872"/>
      <c r="AX52" s="872"/>
      <c r="AY52" s="872"/>
      <c r="AZ52" s="877"/>
      <c r="BA52" s="878"/>
      <c r="BB52" s="878"/>
      <c r="BC52" s="878"/>
      <c r="BD52" s="878"/>
      <c r="BE52" s="878"/>
      <c r="BF52" s="878"/>
      <c r="BG52" s="878"/>
      <c r="BH52" s="878"/>
    </row>
    <row r="53" ht="20.25" spans="1:60">
      <c r="A53" s="822" t="s">
        <v>260</v>
      </c>
      <c r="B53" s="827"/>
      <c r="C53" s="824" t="s">
        <v>366</v>
      </c>
      <c r="D53" s="824" t="s">
        <v>367</v>
      </c>
      <c r="E53" s="824" t="s">
        <v>264</v>
      </c>
      <c r="F53" s="825" t="s">
        <v>264</v>
      </c>
      <c r="G53" s="830"/>
      <c r="H53" s="830"/>
      <c r="I53" s="830"/>
      <c r="J53" s="830"/>
      <c r="K53" s="830"/>
      <c r="L53" s="830"/>
      <c r="M53" s="830"/>
      <c r="N53" s="830"/>
      <c r="O53" s="846"/>
      <c r="P53" s="851"/>
      <c r="Q53" s="851"/>
      <c r="R53" s="846"/>
      <c r="S53" s="846"/>
      <c r="T53" s="846"/>
      <c r="U53" s="846"/>
      <c r="V53" s="846"/>
      <c r="W53" s="846"/>
      <c r="X53" s="855"/>
      <c r="Y53" s="855"/>
      <c r="Z53" s="855"/>
      <c r="AA53" s="855"/>
      <c r="AB53" s="855"/>
      <c r="AC53" s="855"/>
      <c r="AD53" s="855"/>
      <c r="AE53" s="855"/>
      <c r="AF53" s="855"/>
      <c r="AG53" s="855"/>
      <c r="AH53" s="862"/>
      <c r="AI53" s="862"/>
      <c r="AJ53" s="862"/>
      <c r="AK53" s="862"/>
      <c r="AL53" s="862"/>
      <c r="AM53" s="862"/>
      <c r="AN53" s="862"/>
      <c r="AO53" s="862"/>
      <c r="AP53" s="862"/>
      <c r="AQ53" s="862"/>
      <c r="AR53" s="872"/>
      <c r="AS53" s="872"/>
      <c r="AT53" s="872"/>
      <c r="AU53" s="872"/>
      <c r="AV53" s="872"/>
      <c r="AW53" s="872"/>
      <c r="AX53" s="872"/>
      <c r="AY53" s="872"/>
      <c r="AZ53" s="877"/>
      <c r="BA53" s="878"/>
      <c r="BB53" s="878"/>
      <c r="BC53" s="878"/>
      <c r="BD53" s="878"/>
      <c r="BE53" s="878"/>
      <c r="BF53" s="878"/>
      <c r="BG53" s="878"/>
      <c r="BH53" s="878"/>
    </row>
    <row r="54" ht="20.25" spans="1:60">
      <c r="A54" s="822" t="s">
        <v>260</v>
      </c>
      <c r="B54" s="827"/>
      <c r="C54" s="824" t="s">
        <v>368</v>
      </c>
      <c r="D54" s="824" t="s">
        <v>369</v>
      </c>
      <c r="E54" s="824" t="s">
        <v>264</v>
      </c>
      <c r="F54" s="825" t="s">
        <v>264</v>
      </c>
      <c r="G54" s="830"/>
      <c r="H54" s="830"/>
      <c r="I54" s="830"/>
      <c r="J54" s="830"/>
      <c r="K54" s="830"/>
      <c r="L54" s="830"/>
      <c r="M54" s="830"/>
      <c r="N54" s="830"/>
      <c r="O54" s="846"/>
      <c r="P54" s="851"/>
      <c r="Q54" s="851"/>
      <c r="R54" s="846"/>
      <c r="S54" s="846"/>
      <c r="T54" s="846"/>
      <c r="U54" s="846"/>
      <c r="V54" s="846"/>
      <c r="W54" s="846"/>
      <c r="X54" s="855"/>
      <c r="Y54" s="855"/>
      <c r="Z54" s="855"/>
      <c r="AA54" s="855"/>
      <c r="AB54" s="855"/>
      <c r="AC54" s="855"/>
      <c r="AD54" s="855"/>
      <c r="AE54" s="855"/>
      <c r="AF54" s="855"/>
      <c r="AG54" s="855"/>
      <c r="AH54" s="862"/>
      <c r="AI54" s="862"/>
      <c r="AJ54" s="862"/>
      <c r="AK54" s="862"/>
      <c r="AL54" s="862"/>
      <c r="AM54" s="862"/>
      <c r="AN54" s="862"/>
      <c r="AO54" s="862"/>
      <c r="AP54" s="862"/>
      <c r="AQ54" s="862"/>
      <c r="AR54" s="872"/>
      <c r="AS54" s="872"/>
      <c r="AT54" s="872"/>
      <c r="AU54" s="872"/>
      <c r="AV54" s="872"/>
      <c r="AW54" s="872"/>
      <c r="AX54" s="872"/>
      <c r="AY54" s="872"/>
      <c r="AZ54" s="877"/>
      <c r="BA54" s="878"/>
      <c r="BB54" s="878"/>
      <c r="BC54" s="878"/>
      <c r="BD54" s="878"/>
      <c r="BE54" s="878"/>
      <c r="BF54" s="878"/>
      <c r="BG54" s="878"/>
      <c r="BH54" s="878"/>
    </row>
    <row r="55" ht="20.25" spans="1:60">
      <c r="A55" s="822" t="s">
        <v>260</v>
      </c>
      <c r="B55" s="829"/>
      <c r="C55" s="824" t="s">
        <v>370</v>
      </c>
      <c r="D55" s="824" t="s">
        <v>371</v>
      </c>
      <c r="E55" s="824" t="s">
        <v>264</v>
      </c>
      <c r="F55" s="825" t="s">
        <v>264</v>
      </c>
      <c r="G55" s="830"/>
      <c r="H55" s="830"/>
      <c r="I55" s="830"/>
      <c r="J55" s="830"/>
      <c r="K55" s="830"/>
      <c r="L55" s="830"/>
      <c r="M55" s="830"/>
      <c r="N55" s="830"/>
      <c r="O55" s="846"/>
      <c r="P55" s="851"/>
      <c r="Q55" s="851"/>
      <c r="R55" s="846"/>
      <c r="S55" s="846"/>
      <c r="T55" s="846"/>
      <c r="U55" s="846"/>
      <c r="V55" s="846"/>
      <c r="W55" s="846"/>
      <c r="X55" s="855"/>
      <c r="Y55" s="855"/>
      <c r="Z55" s="855"/>
      <c r="AA55" s="855"/>
      <c r="AB55" s="855"/>
      <c r="AC55" s="855"/>
      <c r="AD55" s="855"/>
      <c r="AE55" s="855"/>
      <c r="AF55" s="855"/>
      <c r="AG55" s="855"/>
      <c r="AH55" s="862"/>
      <c r="AI55" s="862"/>
      <c r="AJ55" s="862"/>
      <c r="AK55" s="862"/>
      <c r="AL55" s="862"/>
      <c r="AM55" s="862"/>
      <c r="AN55" s="862"/>
      <c r="AO55" s="862"/>
      <c r="AP55" s="862"/>
      <c r="AQ55" s="862"/>
      <c r="AR55" s="872"/>
      <c r="AS55" s="872"/>
      <c r="AT55" s="872"/>
      <c r="AU55" s="872"/>
      <c r="AV55" s="872"/>
      <c r="AW55" s="872"/>
      <c r="AX55" s="872"/>
      <c r="AY55" s="872"/>
      <c r="AZ55" s="877"/>
      <c r="BA55" s="878"/>
      <c r="BB55" s="878"/>
      <c r="BC55" s="878"/>
      <c r="BD55" s="878"/>
      <c r="BE55" s="878"/>
      <c r="BF55" s="878"/>
      <c r="BG55" s="878"/>
      <c r="BH55" s="878"/>
    </row>
    <row r="56" ht="21" spans="1:60">
      <c r="A56" s="807">
        <v>4</v>
      </c>
      <c r="B56" s="836" t="s">
        <v>372</v>
      </c>
      <c r="C56" s="837"/>
      <c r="D56" s="837"/>
      <c r="E56" s="837"/>
      <c r="F56" s="837"/>
      <c r="G56" s="830"/>
      <c r="H56" s="830"/>
      <c r="I56" s="830"/>
      <c r="J56" s="830"/>
      <c r="K56" s="830"/>
      <c r="L56" s="830"/>
      <c r="M56" s="830"/>
      <c r="N56" s="830"/>
      <c r="O56" s="846"/>
      <c r="P56" s="846"/>
      <c r="Q56" s="846"/>
      <c r="R56" s="846"/>
      <c r="S56" s="846"/>
      <c r="T56" s="846"/>
      <c r="U56" s="846"/>
      <c r="V56" s="846"/>
      <c r="W56" s="846"/>
      <c r="X56" s="855"/>
      <c r="Y56" s="855"/>
      <c r="Z56" s="855"/>
      <c r="AA56" s="855"/>
      <c r="AB56" s="855"/>
      <c r="AC56" s="855"/>
      <c r="AD56" s="855"/>
      <c r="AE56" s="855"/>
      <c r="AF56" s="855"/>
      <c r="AG56" s="855"/>
      <c r="AH56" s="862"/>
      <c r="AI56" s="862"/>
      <c r="AJ56" s="862"/>
      <c r="AK56" s="862"/>
      <c r="AL56" s="862"/>
      <c r="AM56" s="862"/>
      <c r="AN56" s="862"/>
      <c r="AO56" s="862"/>
      <c r="AP56" s="862"/>
      <c r="AQ56" s="862"/>
      <c r="AR56" s="872"/>
      <c r="AS56" s="872"/>
      <c r="AT56" s="872"/>
      <c r="AU56" s="872"/>
      <c r="AV56" s="872"/>
      <c r="AW56" s="872"/>
      <c r="AX56" s="872"/>
      <c r="AY56" s="872"/>
      <c r="AZ56" s="877"/>
      <c r="BA56" s="878"/>
      <c r="BB56" s="878"/>
      <c r="BC56" s="878"/>
      <c r="BD56" s="878"/>
      <c r="BE56" s="878"/>
      <c r="BF56" s="878"/>
      <c r="BG56" s="878"/>
      <c r="BH56" s="878"/>
    </row>
    <row r="57" ht="21" spans="1:60">
      <c r="A57" s="838"/>
      <c r="B57" s="839" t="s">
        <v>373</v>
      </c>
      <c r="C57" s="840"/>
      <c r="D57" s="840"/>
      <c r="E57" s="840"/>
      <c r="F57" s="840"/>
      <c r="G57" s="830"/>
      <c r="H57" s="830"/>
      <c r="I57" s="830"/>
      <c r="J57" s="830"/>
      <c r="K57" s="830"/>
      <c r="L57" s="830"/>
      <c r="M57" s="830"/>
      <c r="N57" s="830"/>
      <c r="O57" s="846"/>
      <c r="P57" s="846"/>
      <c r="Q57" s="846"/>
      <c r="R57" s="846"/>
      <c r="S57" s="846"/>
      <c r="T57" s="846"/>
      <c r="U57" s="846"/>
      <c r="V57" s="846"/>
      <c r="W57" s="846"/>
      <c r="X57" s="855"/>
      <c r="Y57" s="855"/>
      <c r="Z57" s="855"/>
      <c r="AA57" s="855"/>
      <c r="AB57" s="855"/>
      <c r="AC57" s="855"/>
      <c r="AD57" s="855"/>
      <c r="AE57" s="855"/>
      <c r="AF57" s="855"/>
      <c r="AG57" s="855"/>
      <c r="AH57" s="862"/>
      <c r="AI57" s="862"/>
      <c r="AJ57" s="862"/>
      <c r="AK57" s="862"/>
      <c r="AL57" s="862"/>
      <c r="AM57" s="862"/>
      <c r="AN57" s="862"/>
      <c r="AO57" s="862"/>
      <c r="AP57" s="862"/>
      <c r="AQ57" s="862"/>
      <c r="AR57" s="872"/>
      <c r="AS57" s="872"/>
      <c r="AT57" s="872"/>
      <c r="AU57" s="872"/>
      <c r="AV57" s="872"/>
      <c r="AW57" s="872"/>
      <c r="AX57" s="872"/>
      <c r="AY57" s="872"/>
      <c r="AZ57" s="877"/>
      <c r="BA57" s="878"/>
      <c r="BB57" s="878"/>
      <c r="BC57" s="878"/>
      <c r="BD57" s="878"/>
      <c r="BE57" s="878"/>
      <c r="BF57" s="878"/>
      <c r="BG57" s="878"/>
      <c r="BH57" s="878"/>
    </row>
    <row r="58" ht="20.25" spans="1:60">
      <c r="A58" s="822" t="s">
        <v>260</v>
      </c>
      <c r="B58" s="827" t="s">
        <v>374</v>
      </c>
      <c r="C58" s="824" t="s">
        <v>375</v>
      </c>
      <c r="D58" s="824" t="s">
        <v>376</v>
      </c>
      <c r="E58" s="824" t="s">
        <v>264</v>
      </c>
      <c r="F58" s="825" t="s">
        <v>264</v>
      </c>
      <c r="G58" s="830"/>
      <c r="H58" s="830"/>
      <c r="I58" s="830"/>
      <c r="J58" s="831"/>
      <c r="K58" s="831"/>
      <c r="L58" s="831"/>
      <c r="M58" s="831"/>
      <c r="N58" s="831"/>
      <c r="O58" s="846"/>
      <c r="P58" s="851"/>
      <c r="Q58" s="851"/>
      <c r="R58" s="851"/>
      <c r="S58" s="851"/>
      <c r="T58" s="851"/>
      <c r="U58" s="851"/>
      <c r="V58" s="851"/>
      <c r="W58" s="851"/>
      <c r="X58" s="857"/>
      <c r="Y58" s="857"/>
      <c r="Z58" s="855"/>
      <c r="AA58" s="855"/>
      <c r="AB58" s="855"/>
      <c r="AC58" s="855"/>
      <c r="AD58" s="855"/>
      <c r="AE58" s="855"/>
      <c r="AF58" s="855"/>
      <c r="AG58" s="855"/>
      <c r="AH58" s="862"/>
      <c r="AI58" s="862"/>
      <c r="AJ58" s="862"/>
      <c r="AK58" s="862"/>
      <c r="AL58" s="862"/>
      <c r="AM58" s="862"/>
      <c r="AN58" s="862"/>
      <c r="AO58" s="862"/>
      <c r="AP58" s="862"/>
      <c r="AQ58" s="862"/>
      <c r="AR58" s="872"/>
      <c r="AS58" s="872"/>
      <c r="AT58" s="872"/>
      <c r="AU58" s="872"/>
      <c r="AV58" s="872"/>
      <c r="AW58" s="872"/>
      <c r="AX58" s="872"/>
      <c r="AY58" s="872"/>
      <c r="AZ58" s="877"/>
      <c r="BA58" s="878"/>
      <c r="BB58" s="878"/>
      <c r="BC58" s="878"/>
      <c r="BD58" s="878"/>
      <c r="BE58" s="878"/>
      <c r="BF58" s="878"/>
      <c r="BG58" s="878"/>
      <c r="BH58" s="878"/>
    </row>
    <row r="59" ht="20.25" spans="1:60">
      <c r="A59" s="822" t="s">
        <v>260</v>
      </c>
      <c r="B59" s="827"/>
      <c r="C59" s="824" t="s">
        <v>377</v>
      </c>
      <c r="D59" s="824" t="s">
        <v>378</v>
      </c>
      <c r="E59" s="824" t="s">
        <v>264</v>
      </c>
      <c r="F59" s="825" t="s">
        <v>264</v>
      </c>
      <c r="G59" s="830"/>
      <c r="H59" s="830"/>
      <c r="I59" s="830"/>
      <c r="J59" s="830"/>
      <c r="K59" s="832"/>
      <c r="L59" s="832"/>
      <c r="M59" s="832"/>
      <c r="N59" s="832"/>
      <c r="O59" s="832"/>
      <c r="P59" s="832"/>
      <c r="Q59" s="846"/>
      <c r="R59" s="846"/>
      <c r="S59" s="846"/>
      <c r="T59" s="846"/>
      <c r="U59" s="846"/>
      <c r="V59" s="846"/>
      <c r="W59" s="846"/>
      <c r="X59" s="855"/>
      <c r="Y59" s="857"/>
      <c r="Z59" s="855"/>
      <c r="AA59" s="855"/>
      <c r="AB59" s="855"/>
      <c r="AC59" s="855"/>
      <c r="AD59" s="855"/>
      <c r="AE59" s="855"/>
      <c r="AF59" s="855"/>
      <c r="AG59" s="855"/>
      <c r="AH59" s="862"/>
      <c r="AI59" s="862"/>
      <c r="AJ59" s="862"/>
      <c r="AK59" s="862"/>
      <c r="AL59" s="862"/>
      <c r="AM59" s="862"/>
      <c r="AN59" s="862"/>
      <c r="AO59" s="862"/>
      <c r="AP59" s="862"/>
      <c r="AQ59" s="862"/>
      <c r="AR59" s="872"/>
      <c r="AS59" s="872"/>
      <c r="AT59" s="872"/>
      <c r="AU59" s="872"/>
      <c r="AV59" s="872"/>
      <c r="AW59" s="872"/>
      <c r="AX59" s="872"/>
      <c r="AY59" s="872"/>
      <c r="AZ59" s="877"/>
      <c r="BA59" s="878"/>
      <c r="BB59" s="878"/>
      <c r="BC59" s="878"/>
      <c r="BD59" s="878"/>
      <c r="BE59" s="878"/>
      <c r="BF59" s="878"/>
      <c r="BG59" s="878"/>
      <c r="BH59" s="878"/>
    </row>
    <row r="60" ht="20.25" spans="1:60">
      <c r="A60" s="822" t="s">
        <v>260</v>
      </c>
      <c r="B60" s="827"/>
      <c r="C60" s="824" t="s">
        <v>379</v>
      </c>
      <c r="D60" s="824" t="s">
        <v>380</v>
      </c>
      <c r="E60" s="824" t="s">
        <v>264</v>
      </c>
      <c r="F60" s="825" t="s">
        <v>264</v>
      </c>
      <c r="G60" s="830"/>
      <c r="H60" s="830"/>
      <c r="I60" s="830"/>
      <c r="J60" s="830"/>
      <c r="K60" s="830"/>
      <c r="L60" s="830"/>
      <c r="M60" s="830"/>
      <c r="N60" s="830"/>
      <c r="O60" s="831"/>
      <c r="P60" s="831"/>
      <c r="Q60" s="846"/>
      <c r="R60" s="846"/>
      <c r="S60" s="846"/>
      <c r="T60" s="846"/>
      <c r="U60" s="846"/>
      <c r="V60" s="846"/>
      <c r="W60" s="858"/>
      <c r="X60" s="855"/>
      <c r="Y60" s="857"/>
      <c r="Z60" s="855"/>
      <c r="AA60" s="855"/>
      <c r="AB60" s="855"/>
      <c r="AC60" s="855"/>
      <c r="AD60" s="855"/>
      <c r="AE60" s="855"/>
      <c r="AF60" s="855"/>
      <c r="AG60" s="855"/>
      <c r="AH60" s="862"/>
      <c r="AI60" s="862"/>
      <c r="AJ60" s="862"/>
      <c r="AK60" s="862"/>
      <c r="AL60" s="862"/>
      <c r="AM60" s="862"/>
      <c r="AN60" s="862"/>
      <c r="AO60" s="862"/>
      <c r="AP60" s="862"/>
      <c r="AQ60" s="862"/>
      <c r="AR60" s="872"/>
      <c r="AS60" s="872"/>
      <c r="AT60" s="872"/>
      <c r="AU60" s="872"/>
      <c r="AV60" s="872"/>
      <c r="AW60" s="872"/>
      <c r="AX60" s="872"/>
      <c r="AY60" s="872"/>
      <c r="AZ60" s="877"/>
      <c r="BA60" s="878"/>
      <c r="BB60" s="878"/>
      <c r="BC60" s="878"/>
      <c r="BD60" s="878"/>
      <c r="BE60" s="878"/>
      <c r="BF60" s="878"/>
      <c r="BG60" s="878"/>
      <c r="BH60" s="878"/>
    </row>
    <row r="61" ht="20.25" spans="1:60">
      <c r="A61" s="822" t="s">
        <v>260</v>
      </c>
      <c r="B61" s="827"/>
      <c r="C61" s="824" t="s">
        <v>381</v>
      </c>
      <c r="D61" s="824" t="s">
        <v>382</v>
      </c>
      <c r="E61" s="824" t="s">
        <v>264</v>
      </c>
      <c r="F61" s="825" t="s">
        <v>264</v>
      </c>
      <c r="G61" s="830"/>
      <c r="H61" s="830"/>
      <c r="I61" s="830"/>
      <c r="J61" s="830"/>
      <c r="K61" s="830"/>
      <c r="L61" s="830"/>
      <c r="M61" s="830"/>
      <c r="N61" s="830"/>
      <c r="O61" s="846"/>
      <c r="P61" s="846"/>
      <c r="Q61" s="832"/>
      <c r="R61" s="846"/>
      <c r="S61" s="846"/>
      <c r="T61" s="846"/>
      <c r="U61" s="846"/>
      <c r="V61" s="846"/>
      <c r="W61" s="846"/>
      <c r="X61" s="855"/>
      <c r="Y61" s="857"/>
      <c r="Z61" s="857"/>
      <c r="AA61" s="855"/>
      <c r="AB61" s="855"/>
      <c r="AC61" s="855"/>
      <c r="AD61" s="855"/>
      <c r="AE61" s="855"/>
      <c r="AF61" s="855"/>
      <c r="AG61" s="855"/>
      <c r="AH61" s="862"/>
      <c r="AI61" s="862"/>
      <c r="AJ61" s="862"/>
      <c r="AK61" s="862"/>
      <c r="AL61" s="862"/>
      <c r="AM61" s="862"/>
      <c r="AN61" s="862"/>
      <c r="AO61" s="862"/>
      <c r="AP61" s="862"/>
      <c r="AQ61" s="862"/>
      <c r="AR61" s="872"/>
      <c r="AS61" s="872"/>
      <c r="AT61" s="872"/>
      <c r="AU61" s="872"/>
      <c r="AV61" s="872"/>
      <c r="AW61" s="872"/>
      <c r="AX61" s="872"/>
      <c r="AY61" s="872"/>
      <c r="AZ61" s="877"/>
      <c r="BA61" s="878"/>
      <c r="BB61" s="878"/>
      <c r="BC61" s="878"/>
      <c r="BD61" s="878"/>
      <c r="BE61" s="878"/>
      <c r="BF61" s="878"/>
      <c r="BG61" s="878"/>
      <c r="BH61" s="878"/>
    </row>
    <row r="62" ht="20.25" spans="1:60">
      <c r="A62" s="822" t="s">
        <v>260</v>
      </c>
      <c r="B62" s="827"/>
      <c r="C62" s="824" t="s">
        <v>383</v>
      </c>
      <c r="D62" s="824" t="s">
        <v>376</v>
      </c>
      <c r="E62" s="824" t="s">
        <v>264</v>
      </c>
      <c r="F62" s="825" t="s">
        <v>264</v>
      </c>
      <c r="G62" s="830"/>
      <c r="H62" s="830"/>
      <c r="I62" s="830"/>
      <c r="J62" s="830"/>
      <c r="K62" s="830"/>
      <c r="L62" s="830"/>
      <c r="M62" s="830"/>
      <c r="N62" s="830"/>
      <c r="O62" s="846"/>
      <c r="P62" s="846"/>
      <c r="Q62" s="846"/>
      <c r="R62" s="831"/>
      <c r="S62" s="846"/>
      <c r="T62" s="846"/>
      <c r="U62" s="846"/>
      <c r="V62" s="846"/>
      <c r="W62" s="846"/>
      <c r="X62" s="855"/>
      <c r="Y62" s="855"/>
      <c r="Z62" s="857"/>
      <c r="AA62" s="857"/>
      <c r="AB62" s="855"/>
      <c r="AC62" s="855"/>
      <c r="AD62" s="855"/>
      <c r="AE62" s="855"/>
      <c r="AF62" s="855"/>
      <c r="AG62" s="855"/>
      <c r="AH62" s="862"/>
      <c r="AI62" s="862"/>
      <c r="AJ62" s="862"/>
      <c r="AK62" s="862"/>
      <c r="AL62" s="862"/>
      <c r="AM62" s="862"/>
      <c r="AN62" s="862"/>
      <c r="AO62" s="862"/>
      <c r="AP62" s="862"/>
      <c r="AQ62" s="862"/>
      <c r="AR62" s="872"/>
      <c r="AS62" s="872"/>
      <c r="AT62" s="872"/>
      <c r="AU62" s="872"/>
      <c r="AV62" s="872"/>
      <c r="AW62" s="872"/>
      <c r="AX62" s="872"/>
      <c r="AY62" s="872"/>
      <c r="AZ62" s="877"/>
      <c r="BA62" s="878"/>
      <c r="BB62" s="878"/>
      <c r="BC62" s="878"/>
      <c r="BD62" s="878"/>
      <c r="BE62" s="878"/>
      <c r="BF62" s="878"/>
      <c r="BG62" s="878"/>
      <c r="BH62" s="878"/>
    </row>
    <row r="63" ht="20.25" spans="1:60">
      <c r="A63" s="822" t="s">
        <v>260</v>
      </c>
      <c r="B63" s="827"/>
      <c r="C63" s="824" t="s">
        <v>384</v>
      </c>
      <c r="D63" s="824" t="s">
        <v>385</v>
      </c>
      <c r="E63" s="824" t="s">
        <v>264</v>
      </c>
      <c r="F63" s="825" t="s">
        <v>264</v>
      </c>
      <c r="G63" s="830"/>
      <c r="H63" s="830"/>
      <c r="I63" s="830"/>
      <c r="J63" s="830"/>
      <c r="K63" s="830"/>
      <c r="L63" s="830"/>
      <c r="M63" s="830"/>
      <c r="N63" s="830"/>
      <c r="O63" s="846"/>
      <c r="P63" s="846"/>
      <c r="Q63" s="846"/>
      <c r="R63" s="832"/>
      <c r="S63" s="832"/>
      <c r="T63" s="832"/>
      <c r="U63" s="832"/>
      <c r="V63" s="832"/>
      <c r="W63" s="846"/>
      <c r="X63" s="855"/>
      <c r="Y63" s="855"/>
      <c r="Z63" s="855"/>
      <c r="AA63" s="855"/>
      <c r="AB63" s="855"/>
      <c r="AC63" s="855"/>
      <c r="AD63" s="855"/>
      <c r="AE63" s="855"/>
      <c r="AF63" s="855"/>
      <c r="AG63" s="855"/>
      <c r="AH63" s="862"/>
      <c r="AI63" s="862"/>
      <c r="AJ63" s="862"/>
      <c r="AK63" s="862"/>
      <c r="AL63" s="862"/>
      <c r="AM63" s="862"/>
      <c r="AN63" s="862"/>
      <c r="AO63" s="862"/>
      <c r="AP63" s="862"/>
      <c r="AQ63" s="862"/>
      <c r="AR63" s="872"/>
      <c r="AS63" s="872"/>
      <c r="AT63" s="872"/>
      <c r="AU63" s="872"/>
      <c r="AV63" s="872"/>
      <c r="AW63" s="872"/>
      <c r="AX63" s="872"/>
      <c r="AY63" s="872"/>
      <c r="AZ63" s="877"/>
      <c r="BA63" s="878"/>
      <c r="BB63" s="878"/>
      <c r="BC63" s="878"/>
      <c r="BD63" s="878"/>
      <c r="BE63" s="878"/>
      <c r="BF63" s="878"/>
      <c r="BG63" s="878"/>
      <c r="BH63" s="878"/>
    </row>
    <row r="64" ht="20.25" spans="1:60">
      <c r="A64" s="822" t="s">
        <v>260</v>
      </c>
      <c r="B64" s="827"/>
      <c r="C64" s="841" t="s">
        <v>386</v>
      </c>
      <c r="D64" s="824" t="s">
        <v>387</v>
      </c>
      <c r="E64" s="824" t="s">
        <v>264</v>
      </c>
      <c r="F64" s="825" t="s">
        <v>264</v>
      </c>
      <c r="G64" s="830"/>
      <c r="H64" s="830"/>
      <c r="I64" s="830"/>
      <c r="J64" s="830"/>
      <c r="K64" s="830"/>
      <c r="L64" s="830"/>
      <c r="M64" s="830"/>
      <c r="N64" s="830"/>
      <c r="O64" s="846"/>
      <c r="P64" s="846"/>
      <c r="Q64" s="846"/>
      <c r="R64" s="846"/>
      <c r="S64" s="846"/>
      <c r="T64" s="846"/>
      <c r="U64" s="831"/>
      <c r="V64" s="831"/>
      <c r="W64" s="831"/>
      <c r="X64" s="855"/>
      <c r="Y64" s="855"/>
      <c r="Z64" s="855"/>
      <c r="AA64" s="855"/>
      <c r="AB64" s="855"/>
      <c r="AC64" s="855"/>
      <c r="AD64" s="855"/>
      <c r="AE64" s="855"/>
      <c r="AF64" s="855"/>
      <c r="AG64" s="855"/>
      <c r="AH64" s="862"/>
      <c r="AI64" s="862"/>
      <c r="AJ64" s="862"/>
      <c r="AK64" s="862"/>
      <c r="AL64" s="862"/>
      <c r="AM64" s="862"/>
      <c r="AN64" s="862"/>
      <c r="AO64" s="862"/>
      <c r="AP64" s="862"/>
      <c r="AQ64" s="862"/>
      <c r="AR64" s="872"/>
      <c r="AS64" s="872"/>
      <c r="AT64" s="872"/>
      <c r="AU64" s="872"/>
      <c r="AV64" s="872"/>
      <c r="AW64" s="872"/>
      <c r="AX64" s="872"/>
      <c r="AY64" s="872"/>
      <c r="AZ64" s="878"/>
      <c r="BA64" s="878"/>
      <c r="BB64" s="878"/>
      <c r="BC64" s="878"/>
      <c r="BD64" s="878"/>
      <c r="BE64" s="878"/>
      <c r="BF64" s="878"/>
      <c r="BG64" s="878"/>
      <c r="BH64" s="878"/>
    </row>
    <row r="65" ht="20.25" spans="1:60">
      <c r="A65" s="822" t="s">
        <v>260</v>
      </c>
      <c r="B65" s="827"/>
      <c r="C65" s="824" t="s">
        <v>388</v>
      </c>
      <c r="D65" s="824" t="s">
        <v>389</v>
      </c>
      <c r="E65" s="824" t="s">
        <v>264</v>
      </c>
      <c r="F65" s="825" t="s">
        <v>264</v>
      </c>
      <c r="G65" s="830"/>
      <c r="H65" s="830"/>
      <c r="I65" s="830"/>
      <c r="J65" s="830"/>
      <c r="K65" s="830"/>
      <c r="L65" s="830"/>
      <c r="M65" s="830"/>
      <c r="N65" s="830"/>
      <c r="O65" s="846"/>
      <c r="P65" s="846"/>
      <c r="Q65" s="832"/>
      <c r="R65" s="832"/>
      <c r="S65" s="832"/>
      <c r="T65" s="846"/>
      <c r="U65" s="846"/>
      <c r="V65" s="846"/>
      <c r="W65" s="846"/>
      <c r="X65" s="855"/>
      <c r="Y65" s="855"/>
      <c r="Z65" s="855"/>
      <c r="AA65" s="855"/>
      <c r="AB65" s="855"/>
      <c r="AC65" s="855"/>
      <c r="AD65" s="855"/>
      <c r="AE65" s="855"/>
      <c r="AF65" s="855"/>
      <c r="AG65" s="855"/>
      <c r="AH65" s="862"/>
      <c r="AI65" s="862"/>
      <c r="AJ65" s="862"/>
      <c r="AK65" s="862"/>
      <c r="AL65" s="862"/>
      <c r="AM65" s="862"/>
      <c r="AN65" s="862"/>
      <c r="AO65" s="862"/>
      <c r="AP65" s="862"/>
      <c r="AQ65" s="862"/>
      <c r="AR65" s="872"/>
      <c r="AS65" s="872"/>
      <c r="AT65" s="872"/>
      <c r="AU65" s="872"/>
      <c r="AV65" s="872"/>
      <c r="AW65" s="872"/>
      <c r="AX65" s="872"/>
      <c r="AY65" s="872"/>
      <c r="AZ65" s="877"/>
      <c r="BA65" s="878"/>
      <c r="BB65" s="878"/>
      <c r="BC65" s="878"/>
      <c r="BD65" s="878"/>
      <c r="BE65" s="878"/>
      <c r="BF65" s="878"/>
      <c r="BG65" s="878"/>
      <c r="BH65" s="878"/>
    </row>
    <row r="66" ht="20.25" spans="1:60">
      <c r="A66" s="822" t="s">
        <v>260</v>
      </c>
      <c r="B66" s="829"/>
      <c r="C66" s="824" t="s">
        <v>390</v>
      </c>
      <c r="D66" s="824" t="s">
        <v>391</v>
      </c>
      <c r="E66" s="824" t="s">
        <v>264</v>
      </c>
      <c r="F66" s="825" t="s">
        <v>264</v>
      </c>
      <c r="G66" s="830"/>
      <c r="H66" s="830"/>
      <c r="I66" s="830"/>
      <c r="J66" s="830"/>
      <c r="K66" s="830"/>
      <c r="L66" s="830"/>
      <c r="M66" s="830"/>
      <c r="N66" s="830"/>
      <c r="O66" s="846"/>
      <c r="P66" s="846"/>
      <c r="Q66" s="846"/>
      <c r="R66" s="831"/>
      <c r="S66" s="831"/>
      <c r="T66" s="831"/>
      <c r="U66" s="831"/>
      <c r="V66" s="846"/>
      <c r="W66" s="846"/>
      <c r="X66" s="855"/>
      <c r="Y66" s="855"/>
      <c r="Z66" s="855"/>
      <c r="AA66" s="855"/>
      <c r="AB66" s="855"/>
      <c r="AC66" s="855"/>
      <c r="AD66" s="855"/>
      <c r="AE66" s="855"/>
      <c r="AF66" s="855"/>
      <c r="AG66" s="855"/>
      <c r="AH66" s="862"/>
      <c r="AI66" s="862"/>
      <c r="AJ66" s="862"/>
      <c r="AK66" s="862"/>
      <c r="AL66" s="862"/>
      <c r="AM66" s="862"/>
      <c r="AN66" s="862"/>
      <c r="AO66" s="862"/>
      <c r="AP66" s="862"/>
      <c r="AQ66" s="862"/>
      <c r="AR66" s="872"/>
      <c r="AS66" s="872"/>
      <c r="AT66" s="872"/>
      <c r="AU66" s="872"/>
      <c r="AV66" s="872"/>
      <c r="AW66" s="872"/>
      <c r="AX66" s="872"/>
      <c r="AY66" s="872"/>
      <c r="AZ66" s="877"/>
      <c r="BA66" s="878"/>
      <c r="BB66" s="878"/>
      <c r="BC66" s="878"/>
      <c r="BD66" s="878"/>
      <c r="BE66" s="878"/>
      <c r="BF66" s="878"/>
      <c r="BG66" s="878"/>
      <c r="BH66" s="878"/>
    </row>
    <row r="67" ht="20.25" spans="1:60">
      <c r="A67" s="822" t="s">
        <v>260</v>
      </c>
      <c r="B67" s="823" t="s">
        <v>392</v>
      </c>
      <c r="C67" s="824" t="s">
        <v>393</v>
      </c>
      <c r="D67" s="824" t="s">
        <v>394</v>
      </c>
      <c r="E67" s="824" t="s">
        <v>264</v>
      </c>
      <c r="F67" s="825" t="s">
        <v>264</v>
      </c>
      <c r="G67" s="830"/>
      <c r="H67" s="830"/>
      <c r="I67" s="830"/>
      <c r="J67" s="830"/>
      <c r="K67" s="830"/>
      <c r="L67" s="830"/>
      <c r="M67" s="830"/>
      <c r="N67" s="830"/>
      <c r="O67" s="846"/>
      <c r="P67" s="846"/>
      <c r="Q67" s="846"/>
      <c r="R67" s="846"/>
      <c r="S67" s="846"/>
      <c r="T67" s="846"/>
      <c r="U67" s="832"/>
      <c r="V67" s="832"/>
      <c r="W67" s="832"/>
      <c r="X67" s="855"/>
      <c r="Y67" s="855"/>
      <c r="Z67" s="855"/>
      <c r="AA67" s="855"/>
      <c r="AB67" s="855"/>
      <c r="AC67" s="855"/>
      <c r="AD67" s="855"/>
      <c r="AE67" s="855"/>
      <c r="AF67" s="855"/>
      <c r="AG67" s="855"/>
      <c r="AH67" s="862"/>
      <c r="AI67" s="862"/>
      <c r="AJ67" s="862"/>
      <c r="AK67" s="862"/>
      <c r="AL67" s="862"/>
      <c r="AM67" s="862"/>
      <c r="AN67" s="862"/>
      <c r="AO67" s="862"/>
      <c r="AP67" s="862"/>
      <c r="AQ67" s="862"/>
      <c r="AR67" s="872"/>
      <c r="AS67" s="872"/>
      <c r="AT67" s="872"/>
      <c r="AU67" s="872"/>
      <c r="AV67" s="872"/>
      <c r="AW67" s="872"/>
      <c r="AX67" s="872"/>
      <c r="AY67" s="872"/>
      <c r="AZ67" s="877"/>
      <c r="BA67" s="878"/>
      <c r="BB67" s="878"/>
      <c r="BC67" s="878"/>
      <c r="BD67" s="878"/>
      <c r="BE67" s="878"/>
      <c r="BF67" s="878"/>
      <c r="BG67" s="878"/>
      <c r="BH67" s="878"/>
    </row>
    <row r="68" ht="20.25" spans="1:60">
      <c r="A68" s="822" t="s">
        <v>260</v>
      </c>
      <c r="B68" s="827"/>
      <c r="C68" s="824" t="s">
        <v>395</v>
      </c>
      <c r="D68" s="824" t="s">
        <v>396</v>
      </c>
      <c r="E68" s="824" t="s">
        <v>264</v>
      </c>
      <c r="F68" s="825" t="s">
        <v>264</v>
      </c>
      <c r="G68" s="830"/>
      <c r="H68" s="830"/>
      <c r="I68" s="830"/>
      <c r="J68" s="830"/>
      <c r="K68" s="830"/>
      <c r="L68" s="830"/>
      <c r="M68" s="830"/>
      <c r="N68" s="830"/>
      <c r="O68" s="846"/>
      <c r="P68" s="846"/>
      <c r="Q68" s="846"/>
      <c r="R68" s="846"/>
      <c r="S68" s="846"/>
      <c r="T68" s="846"/>
      <c r="U68" s="846"/>
      <c r="V68" s="846"/>
      <c r="W68" s="846"/>
      <c r="X68" s="855"/>
      <c r="Y68" s="855"/>
      <c r="Z68" s="855"/>
      <c r="AA68" s="855"/>
      <c r="AB68" s="855"/>
      <c r="AC68" s="855"/>
      <c r="AD68" s="855"/>
      <c r="AE68" s="855"/>
      <c r="AF68" s="855"/>
      <c r="AG68" s="855"/>
      <c r="AH68" s="862"/>
      <c r="AI68" s="862"/>
      <c r="AJ68" s="862"/>
      <c r="AK68" s="862"/>
      <c r="AL68" s="862"/>
      <c r="AM68" s="862"/>
      <c r="AN68" s="862"/>
      <c r="AO68" s="862"/>
      <c r="AP68" s="862"/>
      <c r="AQ68" s="862"/>
      <c r="AR68" s="872"/>
      <c r="AS68" s="872"/>
      <c r="AT68" s="872"/>
      <c r="AU68" s="872"/>
      <c r="AV68" s="872"/>
      <c r="AW68" s="872"/>
      <c r="AX68" s="872"/>
      <c r="AY68" s="872"/>
      <c r="AZ68" s="877"/>
      <c r="BA68" s="878"/>
      <c r="BB68" s="878"/>
      <c r="BC68" s="878"/>
      <c r="BD68" s="878"/>
      <c r="BE68" s="878"/>
      <c r="BF68" s="878"/>
      <c r="BG68" s="878"/>
      <c r="BH68" s="878"/>
    </row>
    <row r="69" ht="20.25" spans="1:60">
      <c r="A69" s="822" t="s">
        <v>260</v>
      </c>
      <c r="B69" s="827"/>
      <c r="C69" s="824" t="s">
        <v>397</v>
      </c>
      <c r="D69" s="824" t="s">
        <v>398</v>
      </c>
      <c r="E69" s="824" t="s">
        <v>264</v>
      </c>
      <c r="F69" s="825" t="s">
        <v>264</v>
      </c>
      <c r="G69" s="830"/>
      <c r="H69" s="830"/>
      <c r="I69" s="830"/>
      <c r="J69" s="830"/>
      <c r="K69" s="830"/>
      <c r="L69" s="830"/>
      <c r="M69" s="830"/>
      <c r="N69" s="830"/>
      <c r="O69" s="846"/>
      <c r="P69" s="846"/>
      <c r="Q69" s="846"/>
      <c r="R69" s="832"/>
      <c r="S69" s="832"/>
      <c r="T69" s="832"/>
      <c r="U69" s="832"/>
      <c r="V69" s="832"/>
      <c r="W69" s="846"/>
      <c r="X69" s="855"/>
      <c r="Y69" s="855"/>
      <c r="Z69" s="855"/>
      <c r="AA69" s="855"/>
      <c r="AB69" s="855"/>
      <c r="AC69" s="855"/>
      <c r="AD69" s="855"/>
      <c r="AE69" s="855"/>
      <c r="AF69" s="855"/>
      <c r="AG69" s="855"/>
      <c r="AH69" s="862"/>
      <c r="AI69" s="862"/>
      <c r="AJ69" s="862"/>
      <c r="AK69" s="862"/>
      <c r="AL69" s="862"/>
      <c r="AM69" s="862"/>
      <c r="AN69" s="862"/>
      <c r="AO69" s="862"/>
      <c r="AP69" s="862"/>
      <c r="AQ69" s="862"/>
      <c r="AR69" s="872"/>
      <c r="AS69" s="872"/>
      <c r="AT69" s="872"/>
      <c r="AU69" s="872"/>
      <c r="AV69" s="872"/>
      <c r="AW69" s="872"/>
      <c r="AX69" s="872"/>
      <c r="AY69" s="872"/>
      <c r="AZ69" s="877"/>
      <c r="BA69" s="878"/>
      <c r="BB69" s="878"/>
      <c r="BC69" s="878"/>
      <c r="BD69" s="878"/>
      <c r="BE69" s="878"/>
      <c r="BF69" s="878"/>
      <c r="BG69" s="878"/>
      <c r="BH69" s="878"/>
    </row>
    <row r="70" ht="20.25" spans="1:60">
      <c r="A70" s="822" t="s">
        <v>260</v>
      </c>
      <c r="B70" s="827"/>
      <c r="C70" s="824" t="s">
        <v>399</v>
      </c>
      <c r="D70" s="824" t="s">
        <v>400</v>
      </c>
      <c r="E70" s="824" t="s">
        <v>264</v>
      </c>
      <c r="F70" s="825" t="s">
        <v>264</v>
      </c>
      <c r="G70" s="830"/>
      <c r="H70" s="830"/>
      <c r="I70" s="830"/>
      <c r="J70" s="830"/>
      <c r="K70" s="830"/>
      <c r="L70" s="830"/>
      <c r="M70" s="830"/>
      <c r="N70" s="830"/>
      <c r="O70" s="846"/>
      <c r="P70" s="846"/>
      <c r="Q70" s="846"/>
      <c r="R70" s="846"/>
      <c r="S70" s="846"/>
      <c r="T70" s="846"/>
      <c r="U70" s="846"/>
      <c r="V70" s="831"/>
      <c r="W70" s="831"/>
      <c r="X70" s="855"/>
      <c r="Y70" s="855"/>
      <c r="Z70" s="855"/>
      <c r="AA70" s="855"/>
      <c r="AB70" s="855"/>
      <c r="AC70" s="855"/>
      <c r="AD70" s="855"/>
      <c r="AE70" s="855"/>
      <c r="AF70" s="855"/>
      <c r="AG70" s="855"/>
      <c r="AH70" s="862"/>
      <c r="AI70" s="862"/>
      <c r="AJ70" s="862"/>
      <c r="AK70" s="862"/>
      <c r="AL70" s="862"/>
      <c r="AM70" s="862"/>
      <c r="AN70" s="862"/>
      <c r="AO70" s="862"/>
      <c r="AP70" s="862"/>
      <c r="AQ70" s="862"/>
      <c r="AR70" s="872"/>
      <c r="AS70" s="872"/>
      <c r="AT70" s="872"/>
      <c r="AU70" s="872"/>
      <c r="AV70" s="872"/>
      <c r="AW70" s="872"/>
      <c r="AX70" s="872"/>
      <c r="AY70" s="872"/>
      <c r="AZ70" s="877"/>
      <c r="BA70" s="878"/>
      <c r="BB70" s="878"/>
      <c r="BC70" s="878"/>
      <c r="BD70" s="878"/>
      <c r="BE70" s="878"/>
      <c r="BF70" s="878"/>
      <c r="BG70" s="878"/>
      <c r="BH70" s="878"/>
    </row>
    <row r="71" ht="20.25" spans="1:60">
      <c r="A71" s="822" t="s">
        <v>260</v>
      </c>
      <c r="B71" s="827"/>
      <c r="C71" s="824" t="s">
        <v>401</v>
      </c>
      <c r="D71" s="824" t="s">
        <v>400</v>
      </c>
      <c r="E71" s="824" t="s">
        <v>264</v>
      </c>
      <c r="F71" s="825" t="s">
        <v>264</v>
      </c>
      <c r="G71" s="830"/>
      <c r="H71" s="830"/>
      <c r="I71" s="830"/>
      <c r="J71" s="830"/>
      <c r="K71" s="830"/>
      <c r="L71" s="830"/>
      <c r="M71" s="830"/>
      <c r="N71" s="830"/>
      <c r="O71" s="846"/>
      <c r="P71" s="846"/>
      <c r="Q71" s="846"/>
      <c r="R71" s="846"/>
      <c r="S71" s="846"/>
      <c r="T71" s="832"/>
      <c r="U71" s="832"/>
      <c r="V71" s="832"/>
      <c r="W71" s="832"/>
      <c r="X71" s="855"/>
      <c r="Y71" s="855"/>
      <c r="Z71" s="855"/>
      <c r="AA71" s="855"/>
      <c r="AB71" s="855"/>
      <c r="AC71" s="855"/>
      <c r="AD71" s="855"/>
      <c r="AE71" s="855"/>
      <c r="AF71" s="855"/>
      <c r="AG71" s="855"/>
      <c r="AH71" s="862"/>
      <c r="AI71" s="862"/>
      <c r="AJ71" s="862"/>
      <c r="AK71" s="862"/>
      <c r="AL71" s="862"/>
      <c r="AM71" s="862"/>
      <c r="AN71" s="862"/>
      <c r="AO71" s="862"/>
      <c r="AP71" s="862"/>
      <c r="AQ71" s="862"/>
      <c r="AR71" s="872"/>
      <c r="AS71" s="872"/>
      <c r="AT71" s="872"/>
      <c r="AU71" s="872"/>
      <c r="AV71" s="872"/>
      <c r="AW71" s="872"/>
      <c r="AX71" s="872"/>
      <c r="AY71" s="872"/>
      <c r="AZ71" s="877"/>
      <c r="BA71" s="878"/>
      <c r="BB71" s="878"/>
      <c r="BC71" s="878"/>
      <c r="BD71" s="878"/>
      <c r="BE71" s="878"/>
      <c r="BF71" s="878"/>
      <c r="BG71" s="878"/>
      <c r="BH71" s="878"/>
    </row>
    <row r="72" ht="20.25" spans="1:60">
      <c r="A72" s="822" t="s">
        <v>260</v>
      </c>
      <c r="B72" s="827"/>
      <c r="C72" s="824" t="s">
        <v>399</v>
      </c>
      <c r="D72" s="824" t="s">
        <v>400</v>
      </c>
      <c r="E72" s="824" t="s">
        <v>264</v>
      </c>
      <c r="F72" s="825" t="s">
        <v>264</v>
      </c>
      <c r="G72" s="830"/>
      <c r="H72" s="830"/>
      <c r="I72" s="830"/>
      <c r="J72" s="830"/>
      <c r="K72" s="830"/>
      <c r="L72" s="830"/>
      <c r="M72" s="830"/>
      <c r="N72" s="830"/>
      <c r="O72" s="846"/>
      <c r="P72" s="846"/>
      <c r="Q72" s="846"/>
      <c r="R72" s="831"/>
      <c r="S72" s="831"/>
      <c r="T72" s="831"/>
      <c r="U72" s="831"/>
      <c r="V72" s="831"/>
      <c r="W72" s="831"/>
      <c r="X72" s="831"/>
      <c r="Y72" s="855"/>
      <c r="Z72" s="855"/>
      <c r="AA72" s="855"/>
      <c r="AB72" s="855"/>
      <c r="AC72" s="855"/>
      <c r="AD72" s="855"/>
      <c r="AE72" s="855"/>
      <c r="AF72" s="855"/>
      <c r="AG72" s="855"/>
      <c r="AH72" s="862"/>
      <c r="AI72" s="862"/>
      <c r="AJ72" s="862"/>
      <c r="AK72" s="862"/>
      <c r="AL72" s="862"/>
      <c r="AM72" s="862"/>
      <c r="AN72" s="862"/>
      <c r="AO72" s="862"/>
      <c r="AP72" s="862"/>
      <c r="AQ72" s="862"/>
      <c r="AR72" s="872"/>
      <c r="AS72" s="872"/>
      <c r="AT72" s="872"/>
      <c r="AU72" s="872"/>
      <c r="AV72" s="872"/>
      <c r="AW72" s="872"/>
      <c r="AX72" s="872"/>
      <c r="AY72" s="872"/>
      <c r="AZ72" s="877"/>
      <c r="BA72" s="878"/>
      <c r="BB72" s="878"/>
      <c r="BC72" s="878"/>
      <c r="BD72" s="878"/>
      <c r="BE72" s="878"/>
      <c r="BF72" s="878"/>
      <c r="BG72" s="878"/>
      <c r="BH72" s="878"/>
    </row>
    <row r="73" ht="20.25" spans="1:60">
      <c r="A73" s="822" t="s">
        <v>260</v>
      </c>
      <c r="B73" s="827"/>
      <c r="C73" s="885" t="s">
        <v>402</v>
      </c>
      <c r="D73" s="824" t="s">
        <v>400</v>
      </c>
      <c r="E73" s="824" t="s">
        <v>264</v>
      </c>
      <c r="F73" s="825" t="s">
        <v>264</v>
      </c>
      <c r="G73" s="830"/>
      <c r="H73" s="830"/>
      <c r="I73" s="830"/>
      <c r="J73" s="831"/>
      <c r="K73" s="831"/>
      <c r="L73" s="831"/>
      <c r="M73" s="831"/>
      <c r="N73" s="831"/>
      <c r="O73" s="846"/>
      <c r="P73" s="851"/>
      <c r="Q73" s="851"/>
      <c r="R73" s="851"/>
      <c r="S73" s="851"/>
      <c r="T73" s="846"/>
      <c r="U73" s="846"/>
      <c r="V73" s="846"/>
      <c r="W73" s="846"/>
      <c r="X73" s="855"/>
      <c r="Y73" s="855"/>
      <c r="Z73" s="855"/>
      <c r="AA73" s="855"/>
      <c r="AB73" s="855"/>
      <c r="AC73" s="855"/>
      <c r="AD73" s="855"/>
      <c r="AE73" s="855"/>
      <c r="AF73" s="855"/>
      <c r="AG73" s="855"/>
      <c r="AH73" s="862"/>
      <c r="AI73" s="862"/>
      <c r="AJ73" s="862"/>
      <c r="AK73" s="862"/>
      <c r="AL73" s="862"/>
      <c r="AM73" s="862"/>
      <c r="AN73" s="862"/>
      <c r="AO73" s="862"/>
      <c r="AP73" s="862"/>
      <c r="AQ73" s="862"/>
      <c r="AR73" s="872"/>
      <c r="AS73" s="872"/>
      <c r="AT73" s="872"/>
      <c r="AU73" s="872"/>
      <c r="AV73" s="872"/>
      <c r="AW73" s="872"/>
      <c r="AX73" s="872"/>
      <c r="AY73" s="872"/>
      <c r="AZ73" s="877"/>
      <c r="BA73" s="878"/>
      <c r="BB73" s="878"/>
      <c r="BC73" s="878"/>
      <c r="BD73" s="878"/>
      <c r="BE73" s="878"/>
      <c r="BF73" s="878"/>
      <c r="BG73" s="878"/>
      <c r="BH73" s="878"/>
    </row>
    <row r="74" ht="20.25" spans="1:60">
      <c r="A74" s="822" t="s">
        <v>260</v>
      </c>
      <c r="B74" s="827"/>
      <c r="C74" s="885" t="s">
        <v>399</v>
      </c>
      <c r="D74" s="824" t="s">
        <v>400</v>
      </c>
      <c r="E74" s="824" t="s">
        <v>264</v>
      </c>
      <c r="F74" s="825" t="s">
        <v>264</v>
      </c>
      <c r="G74" s="830"/>
      <c r="H74" s="830"/>
      <c r="I74" s="830"/>
      <c r="J74" s="830"/>
      <c r="K74" s="832"/>
      <c r="L74" s="832"/>
      <c r="M74" s="832"/>
      <c r="N74" s="832"/>
      <c r="O74" s="832"/>
      <c r="P74" s="832"/>
      <c r="Q74" s="846"/>
      <c r="R74" s="846"/>
      <c r="S74" s="846"/>
      <c r="T74" s="846"/>
      <c r="U74" s="846"/>
      <c r="V74" s="846"/>
      <c r="W74" s="846"/>
      <c r="X74" s="855"/>
      <c r="Y74" s="855"/>
      <c r="Z74" s="855"/>
      <c r="AA74" s="855"/>
      <c r="AB74" s="855"/>
      <c r="AC74" s="855"/>
      <c r="AD74" s="855"/>
      <c r="AE74" s="855"/>
      <c r="AF74" s="855"/>
      <c r="AG74" s="855"/>
      <c r="AH74" s="862"/>
      <c r="AI74" s="862"/>
      <c r="AJ74" s="862"/>
      <c r="AK74" s="862"/>
      <c r="AL74" s="862"/>
      <c r="AM74" s="862"/>
      <c r="AN74" s="862"/>
      <c r="AO74" s="862"/>
      <c r="AP74" s="862"/>
      <c r="AQ74" s="862"/>
      <c r="AR74" s="872"/>
      <c r="AS74" s="872"/>
      <c r="AT74" s="872"/>
      <c r="AU74" s="872"/>
      <c r="AV74" s="872"/>
      <c r="AW74" s="872"/>
      <c r="AX74" s="872"/>
      <c r="AY74" s="872"/>
      <c r="AZ74" s="877"/>
      <c r="BA74" s="878"/>
      <c r="BB74" s="878"/>
      <c r="BC74" s="878"/>
      <c r="BD74" s="878"/>
      <c r="BE74" s="878"/>
      <c r="BF74" s="878"/>
      <c r="BG74" s="878"/>
      <c r="BH74" s="878"/>
    </row>
    <row r="75" ht="20.25" spans="1:60">
      <c r="A75" s="822" t="s">
        <v>260</v>
      </c>
      <c r="B75" s="827"/>
      <c r="C75" s="824" t="s">
        <v>403</v>
      </c>
      <c r="D75" s="824" t="s">
        <v>400</v>
      </c>
      <c r="E75" s="824" t="s">
        <v>264</v>
      </c>
      <c r="F75" s="825" t="s">
        <v>264</v>
      </c>
      <c r="G75" s="830"/>
      <c r="H75" s="830"/>
      <c r="I75" s="830"/>
      <c r="J75" s="830"/>
      <c r="K75" s="830"/>
      <c r="L75" s="830"/>
      <c r="M75" s="830"/>
      <c r="N75" s="830"/>
      <c r="O75" s="831"/>
      <c r="P75" s="831"/>
      <c r="Q75" s="846"/>
      <c r="R75" s="846"/>
      <c r="S75" s="846"/>
      <c r="T75" s="846"/>
      <c r="U75" s="846"/>
      <c r="V75" s="846"/>
      <c r="W75" s="846"/>
      <c r="X75" s="855"/>
      <c r="Y75" s="855"/>
      <c r="Z75" s="855"/>
      <c r="AA75" s="855"/>
      <c r="AB75" s="855"/>
      <c r="AC75" s="855"/>
      <c r="AD75" s="855"/>
      <c r="AE75" s="855"/>
      <c r="AF75" s="855"/>
      <c r="AG75" s="855"/>
      <c r="AH75" s="862"/>
      <c r="AI75" s="862"/>
      <c r="AJ75" s="862"/>
      <c r="AK75" s="862"/>
      <c r="AL75" s="862"/>
      <c r="AM75" s="862"/>
      <c r="AN75" s="862"/>
      <c r="AO75" s="862"/>
      <c r="AP75" s="862"/>
      <c r="AQ75" s="862"/>
      <c r="AR75" s="872"/>
      <c r="AS75" s="872"/>
      <c r="AT75" s="872"/>
      <c r="AU75" s="872"/>
      <c r="AV75" s="872"/>
      <c r="AW75" s="872"/>
      <c r="AX75" s="872"/>
      <c r="AY75" s="872"/>
      <c r="AZ75" s="877"/>
      <c r="BA75" s="878"/>
      <c r="BB75" s="878"/>
      <c r="BC75" s="878"/>
      <c r="BD75" s="878"/>
      <c r="BE75" s="878"/>
      <c r="BF75" s="878"/>
      <c r="BG75" s="878"/>
      <c r="BH75" s="878"/>
    </row>
    <row r="76" ht="20.25" spans="1:60">
      <c r="A76" s="822" t="s">
        <v>260</v>
      </c>
      <c r="B76" s="827"/>
      <c r="C76" s="824" t="s">
        <v>404</v>
      </c>
      <c r="D76" s="824" t="s">
        <v>400</v>
      </c>
      <c r="E76" s="824" t="s">
        <v>264</v>
      </c>
      <c r="F76" s="825" t="s">
        <v>264</v>
      </c>
      <c r="G76" s="830"/>
      <c r="H76" s="830"/>
      <c r="I76" s="830"/>
      <c r="J76" s="830"/>
      <c r="K76" s="830"/>
      <c r="L76" s="830"/>
      <c r="M76" s="830"/>
      <c r="N76" s="830"/>
      <c r="O76" s="846"/>
      <c r="P76" s="846"/>
      <c r="Q76" s="832"/>
      <c r="R76" s="846"/>
      <c r="S76" s="846"/>
      <c r="T76" s="846"/>
      <c r="U76" s="846"/>
      <c r="V76" s="846"/>
      <c r="W76" s="846"/>
      <c r="X76" s="855"/>
      <c r="Y76" s="855"/>
      <c r="Z76" s="855"/>
      <c r="AA76" s="855"/>
      <c r="AB76" s="855"/>
      <c r="AC76" s="855"/>
      <c r="AD76" s="855"/>
      <c r="AE76" s="855"/>
      <c r="AF76" s="855"/>
      <c r="AG76" s="855"/>
      <c r="AH76" s="862"/>
      <c r="AI76" s="862"/>
      <c r="AJ76" s="862"/>
      <c r="AK76" s="862"/>
      <c r="AL76" s="862"/>
      <c r="AM76" s="862"/>
      <c r="AN76" s="862"/>
      <c r="AO76" s="862"/>
      <c r="AP76" s="862"/>
      <c r="AQ76" s="862"/>
      <c r="AR76" s="872"/>
      <c r="AS76" s="872"/>
      <c r="AT76" s="872"/>
      <c r="AU76" s="872"/>
      <c r="AV76" s="872"/>
      <c r="AW76" s="872"/>
      <c r="AX76" s="872"/>
      <c r="AY76" s="872"/>
      <c r="AZ76" s="877"/>
      <c r="BA76" s="878"/>
      <c r="BB76" s="878"/>
      <c r="BC76" s="878"/>
      <c r="BD76" s="878"/>
      <c r="BE76" s="878"/>
      <c r="BF76" s="878"/>
      <c r="BG76" s="878"/>
      <c r="BH76" s="878"/>
    </row>
    <row r="77" ht="20.25" spans="1:60">
      <c r="A77" s="822" t="s">
        <v>260</v>
      </c>
      <c r="B77" s="827"/>
      <c r="C77" s="824" t="s">
        <v>405</v>
      </c>
      <c r="D77" s="824" t="s">
        <v>406</v>
      </c>
      <c r="E77" s="824" t="s">
        <v>264</v>
      </c>
      <c r="F77" s="825" t="s">
        <v>264</v>
      </c>
      <c r="G77" s="830"/>
      <c r="H77" s="830"/>
      <c r="I77" s="830"/>
      <c r="J77" s="830"/>
      <c r="K77" s="830"/>
      <c r="L77" s="830"/>
      <c r="M77" s="830"/>
      <c r="N77" s="830"/>
      <c r="O77" s="846"/>
      <c r="P77" s="846"/>
      <c r="Q77" s="846"/>
      <c r="R77" s="831"/>
      <c r="S77" s="846"/>
      <c r="T77" s="846"/>
      <c r="U77" s="846"/>
      <c r="V77" s="846"/>
      <c r="W77" s="846"/>
      <c r="X77" s="855"/>
      <c r="Y77" s="855"/>
      <c r="Z77" s="855"/>
      <c r="AA77" s="855"/>
      <c r="AB77" s="855"/>
      <c r="AC77" s="855"/>
      <c r="AD77" s="855"/>
      <c r="AE77" s="855"/>
      <c r="AF77" s="855"/>
      <c r="AG77" s="855"/>
      <c r="AH77" s="862"/>
      <c r="AI77" s="862"/>
      <c r="AJ77" s="862"/>
      <c r="AK77" s="862"/>
      <c r="AL77" s="862"/>
      <c r="AM77" s="862"/>
      <c r="AN77" s="862"/>
      <c r="AO77" s="862"/>
      <c r="AP77" s="862"/>
      <c r="AQ77" s="862"/>
      <c r="AR77" s="872"/>
      <c r="AS77" s="872"/>
      <c r="AT77" s="872"/>
      <c r="AU77" s="872"/>
      <c r="AV77" s="872"/>
      <c r="AW77" s="872"/>
      <c r="AX77" s="872"/>
      <c r="AY77" s="872"/>
      <c r="AZ77" s="877"/>
      <c r="BA77" s="878"/>
      <c r="BB77" s="878"/>
      <c r="BC77" s="878"/>
      <c r="BD77" s="878"/>
      <c r="BE77" s="878"/>
      <c r="BF77" s="878"/>
      <c r="BG77" s="878"/>
      <c r="BH77" s="878"/>
    </row>
    <row r="78" ht="21" spans="1:60">
      <c r="A78" s="807">
        <v>5</v>
      </c>
      <c r="B78" s="836" t="s">
        <v>407</v>
      </c>
      <c r="C78" s="837"/>
      <c r="D78" s="837"/>
      <c r="E78" s="837"/>
      <c r="F78" s="837"/>
      <c r="G78" s="830"/>
      <c r="H78" s="830"/>
      <c r="I78" s="830"/>
      <c r="J78" s="830"/>
      <c r="K78" s="830"/>
      <c r="L78" s="830"/>
      <c r="M78" s="830"/>
      <c r="N78" s="830"/>
      <c r="O78" s="846"/>
      <c r="P78" s="846"/>
      <c r="Q78" s="846"/>
      <c r="R78" s="832"/>
      <c r="S78" s="832"/>
      <c r="T78" s="846"/>
      <c r="U78" s="846"/>
      <c r="V78" s="846"/>
      <c r="W78" s="846"/>
      <c r="X78" s="855"/>
      <c r="Y78" s="855"/>
      <c r="Z78" s="855"/>
      <c r="AA78" s="855"/>
      <c r="AB78" s="855"/>
      <c r="AC78" s="855"/>
      <c r="AD78" s="855"/>
      <c r="AE78" s="855"/>
      <c r="AF78" s="855"/>
      <c r="AG78" s="855"/>
      <c r="AH78" s="862"/>
      <c r="AI78" s="862"/>
      <c r="AJ78" s="862"/>
      <c r="AK78" s="862"/>
      <c r="AL78" s="862"/>
      <c r="AM78" s="862"/>
      <c r="AN78" s="862"/>
      <c r="AO78" s="862"/>
      <c r="AP78" s="862"/>
      <c r="AQ78" s="862"/>
      <c r="AR78" s="872"/>
      <c r="AS78" s="872"/>
      <c r="AT78" s="872"/>
      <c r="AU78" s="872"/>
      <c r="AV78" s="872"/>
      <c r="AW78" s="872"/>
      <c r="AX78" s="872"/>
      <c r="AY78" s="872"/>
      <c r="AZ78" s="877"/>
      <c r="BA78" s="878"/>
      <c r="BB78" s="878"/>
      <c r="BC78" s="878"/>
      <c r="BD78" s="878"/>
      <c r="BE78" s="878"/>
      <c r="BF78" s="878"/>
      <c r="BG78" s="878"/>
      <c r="BH78" s="878"/>
    </row>
    <row r="79" ht="21" spans="1:60">
      <c r="A79" s="838"/>
      <c r="B79" s="839" t="s">
        <v>408</v>
      </c>
      <c r="C79" s="840"/>
      <c r="D79" s="840"/>
      <c r="E79" s="840"/>
      <c r="F79" s="840"/>
      <c r="G79" s="830"/>
      <c r="H79" s="830"/>
      <c r="I79" s="830"/>
      <c r="J79" s="830"/>
      <c r="K79" s="830"/>
      <c r="L79" s="830"/>
      <c r="M79" s="830"/>
      <c r="N79" s="830"/>
      <c r="O79" s="846"/>
      <c r="P79" s="846"/>
      <c r="Q79" s="846"/>
      <c r="R79" s="846"/>
      <c r="S79" s="846"/>
      <c r="T79" s="846"/>
      <c r="U79" s="846"/>
      <c r="V79" s="846"/>
      <c r="W79" s="846"/>
      <c r="X79" s="855"/>
      <c r="Y79" s="855"/>
      <c r="Z79" s="855"/>
      <c r="AA79" s="855"/>
      <c r="AB79" s="855"/>
      <c r="AC79" s="855"/>
      <c r="AD79" s="855"/>
      <c r="AE79" s="855"/>
      <c r="AF79" s="855"/>
      <c r="AG79" s="855"/>
      <c r="AH79" s="862"/>
      <c r="AI79" s="862"/>
      <c r="AJ79" s="862"/>
      <c r="AK79" s="862"/>
      <c r="AL79" s="862"/>
      <c r="AM79" s="862"/>
      <c r="AN79" s="862"/>
      <c r="AO79" s="862"/>
      <c r="AP79" s="862"/>
      <c r="AQ79" s="862"/>
      <c r="AR79" s="872"/>
      <c r="AS79" s="872"/>
      <c r="AT79" s="872"/>
      <c r="AU79" s="872"/>
      <c r="AV79" s="872"/>
      <c r="AW79" s="872"/>
      <c r="AX79" s="872"/>
      <c r="AY79" s="872"/>
      <c r="AZ79" s="877"/>
      <c r="BA79" s="878"/>
      <c r="BB79" s="878"/>
      <c r="BC79" s="878"/>
      <c r="BD79" s="878"/>
      <c r="BE79" s="878"/>
      <c r="BF79" s="878"/>
      <c r="BG79" s="878"/>
      <c r="BH79" s="878"/>
    </row>
    <row r="80" ht="20.25" spans="1:60">
      <c r="A80" s="822" t="s">
        <v>260</v>
      </c>
      <c r="B80" s="823" t="s">
        <v>408</v>
      </c>
      <c r="C80" s="824" t="s">
        <v>409</v>
      </c>
      <c r="D80" s="824" t="s">
        <v>400</v>
      </c>
      <c r="E80" s="824" t="s">
        <v>264</v>
      </c>
      <c r="F80" s="825" t="s">
        <v>264</v>
      </c>
      <c r="G80" s="830"/>
      <c r="H80" s="830"/>
      <c r="I80" s="830"/>
      <c r="J80" s="830"/>
      <c r="K80" s="830"/>
      <c r="L80" s="830"/>
      <c r="M80" s="830"/>
      <c r="N80" s="830"/>
      <c r="O80" s="846"/>
      <c r="P80" s="846"/>
      <c r="Q80" s="832"/>
      <c r="R80" s="832"/>
      <c r="S80" s="832"/>
      <c r="T80" s="846"/>
      <c r="U80" s="846"/>
      <c r="V80" s="846"/>
      <c r="W80" s="846"/>
      <c r="X80" s="855"/>
      <c r="Y80" s="855"/>
      <c r="Z80" s="855"/>
      <c r="AA80" s="855"/>
      <c r="AB80" s="855"/>
      <c r="AC80" s="855"/>
      <c r="AD80" s="855"/>
      <c r="AE80" s="855"/>
      <c r="AF80" s="855"/>
      <c r="AG80" s="855"/>
      <c r="AH80" s="862"/>
      <c r="AI80" s="862"/>
      <c r="AJ80" s="862"/>
      <c r="AK80" s="862"/>
      <c r="AL80" s="862"/>
      <c r="AM80" s="862"/>
      <c r="AN80" s="862"/>
      <c r="AO80" s="862"/>
      <c r="AP80" s="862"/>
      <c r="AQ80" s="862"/>
      <c r="AR80" s="872"/>
      <c r="AS80" s="872"/>
      <c r="AT80" s="872"/>
      <c r="AU80" s="872"/>
      <c r="AV80" s="872"/>
      <c r="AW80" s="872"/>
      <c r="AX80" s="872"/>
      <c r="AY80" s="872"/>
      <c r="AZ80" s="877"/>
      <c r="BA80" s="878"/>
      <c r="BB80" s="878"/>
      <c r="BC80" s="878"/>
      <c r="BD80" s="878"/>
      <c r="BE80" s="878"/>
      <c r="BF80" s="878"/>
      <c r="BG80" s="878"/>
      <c r="BH80" s="878"/>
    </row>
    <row r="81" ht="20.25" spans="1:60">
      <c r="A81" s="822" t="s">
        <v>260</v>
      </c>
      <c r="B81" s="827"/>
      <c r="C81" s="886" t="s">
        <v>410</v>
      </c>
      <c r="D81" s="824" t="s">
        <v>400</v>
      </c>
      <c r="E81" s="824" t="s">
        <v>264</v>
      </c>
      <c r="F81" s="825" t="s">
        <v>264</v>
      </c>
      <c r="G81" s="830"/>
      <c r="H81" s="830"/>
      <c r="I81" s="830"/>
      <c r="J81" s="830"/>
      <c r="K81" s="830"/>
      <c r="L81" s="830"/>
      <c r="M81" s="830"/>
      <c r="N81" s="830"/>
      <c r="O81" s="846"/>
      <c r="P81" s="846"/>
      <c r="Q81" s="846"/>
      <c r="R81" s="831"/>
      <c r="S81" s="831"/>
      <c r="T81" s="846"/>
      <c r="U81" s="846"/>
      <c r="V81" s="846"/>
      <c r="W81" s="846"/>
      <c r="X81" s="855"/>
      <c r="Y81" s="855"/>
      <c r="Z81" s="855"/>
      <c r="AA81" s="855"/>
      <c r="AB81" s="855"/>
      <c r="AC81" s="855"/>
      <c r="AD81" s="855"/>
      <c r="AE81" s="855"/>
      <c r="AF81" s="855"/>
      <c r="AG81" s="855"/>
      <c r="AH81" s="862"/>
      <c r="AI81" s="862"/>
      <c r="AJ81" s="862"/>
      <c r="AK81" s="862"/>
      <c r="AL81" s="862"/>
      <c r="AM81" s="862"/>
      <c r="AN81" s="862"/>
      <c r="AO81" s="862"/>
      <c r="AP81" s="862"/>
      <c r="AQ81" s="862"/>
      <c r="AR81" s="872"/>
      <c r="AS81" s="872"/>
      <c r="AT81" s="872"/>
      <c r="AU81" s="872"/>
      <c r="AV81" s="872"/>
      <c r="AW81" s="872"/>
      <c r="AX81" s="872"/>
      <c r="AY81" s="872"/>
      <c r="AZ81" s="877"/>
      <c r="BA81" s="878"/>
      <c r="BB81" s="878"/>
      <c r="BC81" s="878"/>
      <c r="BD81" s="878"/>
      <c r="BE81" s="878"/>
      <c r="BF81" s="878"/>
      <c r="BG81" s="878"/>
      <c r="BH81" s="878"/>
    </row>
    <row r="82" ht="20.25" spans="1:60">
      <c r="A82" s="822" t="s">
        <v>260</v>
      </c>
      <c r="B82" s="827"/>
      <c r="C82" s="824" t="s">
        <v>411</v>
      </c>
      <c r="D82" s="824" t="s">
        <v>412</v>
      </c>
      <c r="E82" s="824" t="s">
        <v>264</v>
      </c>
      <c r="F82" s="825" t="s">
        <v>264</v>
      </c>
      <c r="G82" s="830"/>
      <c r="H82" s="830"/>
      <c r="I82" s="830"/>
      <c r="J82" s="830"/>
      <c r="K82" s="830"/>
      <c r="L82" s="830"/>
      <c r="M82" s="830"/>
      <c r="N82" s="830"/>
      <c r="O82" s="846"/>
      <c r="P82" s="846"/>
      <c r="Q82" s="846"/>
      <c r="R82" s="846"/>
      <c r="S82" s="846"/>
      <c r="T82" s="846"/>
      <c r="U82" s="846"/>
      <c r="V82" s="846"/>
      <c r="W82" s="846"/>
      <c r="X82" s="855"/>
      <c r="Y82" s="855"/>
      <c r="Z82" s="855"/>
      <c r="AA82" s="855"/>
      <c r="AB82" s="855"/>
      <c r="AC82" s="855"/>
      <c r="AD82" s="855"/>
      <c r="AE82" s="855"/>
      <c r="AF82" s="855"/>
      <c r="AG82" s="855"/>
      <c r="AH82" s="862"/>
      <c r="AI82" s="862"/>
      <c r="AJ82" s="862"/>
      <c r="AK82" s="862"/>
      <c r="AL82" s="862"/>
      <c r="AM82" s="862"/>
      <c r="AN82" s="862"/>
      <c r="AO82" s="862"/>
      <c r="AP82" s="862"/>
      <c r="AQ82" s="862"/>
      <c r="AR82" s="872"/>
      <c r="AS82" s="872"/>
      <c r="AT82" s="872"/>
      <c r="AU82" s="872"/>
      <c r="AV82" s="872"/>
      <c r="AW82" s="872"/>
      <c r="AX82" s="872"/>
      <c r="AY82" s="872"/>
      <c r="AZ82" s="877"/>
      <c r="BA82" s="878"/>
      <c r="BB82" s="878"/>
      <c r="BC82" s="878"/>
      <c r="BD82" s="878"/>
      <c r="BE82" s="878"/>
      <c r="BF82" s="878"/>
      <c r="BG82" s="878"/>
      <c r="BH82" s="878"/>
    </row>
    <row r="83" ht="20.25" spans="1:60">
      <c r="A83" s="822" t="s">
        <v>260</v>
      </c>
      <c r="B83" s="827"/>
      <c r="C83" s="824" t="s">
        <v>413</v>
      </c>
      <c r="D83" s="824" t="s">
        <v>414</v>
      </c>
      <c r="E83" s="824" t="s">
        <v>264</v>
      </c>
      <c r="F83" s="825" t="s">
        <v>264</v>
      </c>
      <c r="G83" s="830"/>
      <c r="H83" s="830"/>
      <c r="I83" s="830"/>
      <c r="J83" s="830"/>
      <c r="K83" s="830"/>
      <c r="L83" s="830"/>
      <c r="M83" s="830"/>
      <c r="N83" s="830"/>
      <c r="O83" s="846"/>
      <c r="P83" s="846"/>
      <c r="Q83" s="846"/>
      <c r="R83" s="846"/>
      <c r="S83" s="846"/>
      <c r="T83" s="846"/>
      <c r="U83" s="846"/>
      <c r="V83" s="846"/>
      <c r="W83" s="846"/>
      <c r="X83" s="855"/>
      <c r="Y83" s="855"/>
      <c r="Z83" s="855"/>
      <c r="AA83" s="855"/>
      <c r="AB83" s="855"/>
      <c r="AC83" s="855"/>
      <c r="AD83" s="855"/>
      <c r="AE83" s="855"/>
      <c r="AF83" s="855"/>
      <c r="AG83" s="855"/>
      <c r="AH83" s="862"/>
      <c r="AI83" s="862"/>
      <c r="AJ83" s="862"/>
      <c r="AK83" s="862"/>
      <c r="AL83" s="862"/>
      <c r="AM83" s="862"/>
      <c r="AN83" s="862"/>
      <c r="AO83" s="862"/>
      <c r="AP83" s="862"/>
      <c r="AQ83" s="862"/>
      <c r="AR83" s="872"/>
      <c r="AS83" s="872"/>
      <c r="AT83" s="872"/>
      <c r="AU83" s="872"/>
      <c r="AV83" s="872"/>
      <c r="AW83" s="872"/>
      <c r="AX83" s="872"/>
      <c r="AY83" s="872"/>
      <c r="AZ83" s="877"/>
      <c r="BA83" s="878"/>
      <c r="BB83" s="878"/>
      <c r="BC83" s="878"/>
      <c r="BD83" s="878"/>
      <c r="BE83" s="878"/>
      <c r="BF83" s="878"/>
      <c r="BG83" s="878"/>
      <c r="BH83" s="878"/>
    </row>
    <row r="84" ht="20.25" spans="1:60">
      <c r="A84" s="822" t="s">
        <v>260</v>
      </c>
      <c r="B84" s="827"/>
      <c r="C84" s="824" t="s">
        <v>415</v>
      </c>
      <c r="D84" s="824" t="s">
        <v>416</v>
      </c>
      <c r="E84" s="824" t="s">
        <v>264</v>
      </c>
      <c r="F84" s="825" t="s">
        <v>264</v>
      </c>
      <c r="G84" s="830"/>
      <c r="H84" s="830"/>
      <c r="I84" s="830"/>
      <c r="J84" s="830"/>
      <c r="K84" s="830"/>
      <c r="L84" s="830"/>
      <c r="M84" s="830"/>
      <c r="N84" s="830"/>
      <c r="O84" s="846"/>
      <c r="P84" s="846"/>
      <c r="Q84" s="846"/>
      <c r="R84" s="832"/>
      <c r="S84" s="832"/>
      <c r="T84" s="846"/>
      <c r="U84" s="846"/>
      <c r="V84" s="846"/>
      <c r="W84" s="846"/>
      <c r="X84" s="855"/>
      <c r="Y84" s="855"/>
      <c r="Z84" s="855"/>
      <c r="AA84" s="855"/>
      <c r="AB84" s="855"/>
      <c r="AC84" s="855"/>
      <c r="AD84" s="855"/>
      <c r="AE84" s="855"/>
      <c r="AF84" s="855"/>
      <c r="AG84" s="855"/>
      <c r="AH84" s="862"/>
      <c r="AI84" s="862"/>
      <c r="AJ84" s="862"/>
      <c r="AK84" s="862"/>
      <c r="AL84" s="862"/>
      <c r="AM84" s="862"/>
      <c r="AN84" s="862"/>
      <c r="AO84" s="862"/>
      <c r="AP84" s="862"/>
      <c r="AQ84" s="862"/>
      <c r="AR84" s="872"/>
      <c r="AS84" s="872"/>
      <c r="AT84" s="872"/>
      <c r="AU84" s="872"/>
      <c r="AV84" s="872"/>
      <c r="AW84" s="872"/>
      <c r="AX84" s="872"/>
      <c r="AY84" s="872"/>
      <c r="AZ84" s="877"/>
      <c r="BA84" s="878"/>
      <c r="BB84" s="878"/>
      <c r="BC84" s="878"/>
      <c r="BD84" s="878"/>
      <c r="BE84" s="878"/>
      <c r="BF84" s="878"/>
      <c r="BG84" s="878"/>
      <c r="BH84" s="878"/>
    </row>
    <row r="85" ht="20.25" spans="1:60">
      <c r="A85" s="822" t="s">
        <v>260</v>
      </c>
      <c r="B85" s="829"/>
      <c r="C85" s="824" t="s">
        <v>417</v>
      </c>
      <c r="D85" s="824" t="s">
        <v>400</v>
      </c>
      <c r="E85" s="824" t="s">
        <v>264</v>
      </c>
      <c r="F85" s="825" t="s">
        <v>264</v>
      </c>
      <c r="G85" s="830"/>
      <c r="H85" s="830"/>
      <c r="I85" s="830"/>
      <c r="J85" s="830"/>
      <c r="K85" s="830"/>
      <c r="L85" s="830"/>
      <c r="M85" s="830"/>
      <c r="N85" s="830"/>
      <c r="O85" s="846"/>
      <c r="P85" s="846"/>
      <c r="Q85" s="846"/>
      <c r="R85" s="846"/>
      <c r="S85" s="846"/>
      <c r="T85" s="846"/>
      <c r="U85" s="846"/>
      <c r="V85" s="846"/>
      <c r="W85" s="846"/>
      <c r="X85" s="855"/>
      <c r="Y85" s="855"/>
      <c r="Z85" s="855"/>
      <c r="AA85" s="855"/>
      <c r="AB85" s="855"/>
      <c r="AC85" s="855"/>
      <c r="AD85" s="855"/>
      <c r="AE85" s="855"/>
      <c r="AF85" s="855"/>
      <c r="AG85" s="855"/>
      <c r="AH85" s="862"/>
      <c r="AI85" s="862"/>
      <c r="AJ85" s="862"/>
      <c r="AK85" s="862"/>
      <c r="AL85" s="862"/>
      <c r="AM85" s="862"/>
      <c r="AN85" s="862"/>
      <c r="AO85" s="862"/>
      <c r="AP85" s="862"/>
      <c r="AQ85" s="862"/>
      <c r="AR85" s="872"/>
      <c r="AS85" s="872"/>
      <c r="AT85" s="872"/>
      <c r="AU85" s="872"/>
      <c r="AV85" s="872"/>
      <c r="AW85" s="872"/>
      <c r="AX85" s="872"/>
      <c r="AY85" s="872"/>
      <c r="AZ85" s="877"/>
      <c r="BA85" s="878"/>
      <c r="BB85" s="878"/>
      <c r="BC85" s="878"/>
      <c r="BD85" s="878"/>
      <c r="BE85" s="878"/>
      <c r="BF85" s="878"/>
      <c r="BG85" s="878"/>
      <c r="BH85" s="878"/>
    </row>
    <row r="86" ht="21" spans="1:60">
      <c r="A86" s="838"/>
      <c r="B86" s="839" t="s">
        <v>418</v>
      </c>
      <c r="C86" s="840"/>
      <c r="D86" s="840"/>
      <c r="E86" s="840"/>
      <c r="F86" s="840"/>
      <c r="G86" s="830"/>
      <c r="H86" s="830"/>
      <c r="I86" s="830"/>
      <c r="J86" s="830"/>
      <c r="K86" s="830"/>
      <c r="L86" s="830"/>
      <c r="M86" s="830"/>
      <c r="N86" s="830"/>
      <c r="O86" s="846"/>
      <c r="P86" s="846"/>
      <c r="Q86" s="846"/>
      <c r="R86" s="846"/>
      <c r="S86" s="846"/>
      <c r="T86" s="846"/>
      <c r="U86" s="846"/>
      <c r="V86" s="846"/>
      <c r="W86" s="846"/>
      <c r="X86" s="855"/>
      <c r="Y86" s="855"/>
      <c r="Z86" s="855"/>
      <c r="AA86" s="855"/>
      <c r="AB86" s="855"/>
      <c r="AC86" s="855"/>
      <c r="AD86" s="855"/>
      <c r="AE86" s="855"/>
      <c r="AF86" s="855"/>
      <c r="AG86" s="855"/>
      <c r="AH86" s="862"/>
      <c r="AI86" s="862"/>
      <c r="AJ86" s="862"/>
      <c r="AK86" s="862"/>
      <c r="AL86" s="862"/>
      <c r="AM86" s="862"/>
      <c r="AN86" s="862"/>
      <c r="AO86" s="862"/>
      <c r="AP86" s="862"/>
      <c r="AQ86" s="862"/>
      <c r="AR86" s="872"/>
      <c r="AS86" s="872"/>
      <c r="AT86" s="872"/>
      <c r="AU86" s="872"/>
      <c r="AV86" s="872"/>
      <c r="AW86" s="872"/>
      <c r="AX86" s="872"/>
      <c r="AY86" s="872"/>
      <c r="AZ86" s="877"/>
      <c r="BA86" s="878"/>
      <c r="BB86" s="878"/>
      <c r="BC86" s="878"/>
      <c r="BD86" s="878"/>
      <c r="BE86" s="878"/>
      <c r="BF86" s="878"/>
      <c r="BG86" s="878"/>
      <c r="BH86" s="878"/>
    </row>
    <row r="87" ht="20.25" spans="1:60">
      <c r="A87" s="822" t="s">
        <v>260</v>
      </c>
      <c r="B87" s="823" t="s">
        <v>418</v>
      </c>
      <c r="C87" s="824" t="s">
        <v>409</v>
      </c>
      <c r="D87" s="824" t="s">
        <v>400</v>
      </c>
      <c r="E87" s="824" t="s">
        <v>264</v>
      </c>
      <c r="F87" s="825" t="s">
        <v>264</v>
      </c>
      <c r="G87" s="830"/>
      <c r="H87" s="830"/>
      <c r="I87" s="830"/>
      <c r="J87" s="830"/>
      <c r="K87" s="830"/>
      <c r="L87" s="830"/>
      <c r="M87" s="830"/>
      <c r="N87" s="830"/>
      <c r="O87" s="846"/>
      <c r="P87" s="846"/>
      <c r="Q87" s="846"/>
      <c r="R87" s="846"/>
      <c r="S87" s="846"/>
      <c r="T87" s="846"/>
      <c r="U87" s="846"/>
      <c r="V87" s="846"/>
      <c r="W87" s="846"/>
      <c r="X87" s="855"/>
      <c r="Y87" s="855"/>
      <c r="Z87" s="855"/>
      <c r="AA87" s="855"/>
      <c r="AB87" s="855"/>
      <c r="AC87" s="855"/>
      <c r="AD87" s="855"/>
      <c r="AE87" s="855"/>
      <c r="AF87" s="855"/>
      <c r="AG87" s="855"/>
      <c r="AH87" s="862"/>
      <c r="AI87" s="862"/>
      <c r="AJ87" s="862"/>
      <c r="AK87" s="862"/>
      <c r="AL87" s="862"/>
      <c r="AM87" s="862"/>
      <c r="AN87" s="862"/>
      <c r="AO87" s="862"/>
      <c r="AP87" s="862"/>
      <c r="AQ87" s="862"/>
      <c r="AR87" s="872"/>
      <c r="AS87" s="872"/>
      <c r="AT87" s="872"/>
      <c r="AU87" s="872"/>
      <c r="AV87" s="872"/>
      <c r="AW87" s="872"/>
      <c r="AX87" s="872"/>
      <c r="AY87" s="872"/>
      <c r="AZ87" s="877"/>
      <c r="BA87" s="878"/>
      <c r="BB87" s="878"/>
      <c r="BC87" s="878"/>
      <c r="BD87" s="878"/>
      <c r="BE87" s="878"/>
      <c r="BF87" s="878"/>
      <c r="BG87" s="878"/>
      <c r="BH87" s="878"/>
    </row>
    <row r="88" ht="20.25" spans="1:60">
      <c r="A88" s="822" t="s">
        <v>260</v>
      </c>
      <c r="B88" s="827"/>
      <c r="C88" s="824" t="s">
        <v>419</v>
      </c>
      <c r="D88" s="824" t="s">
        <v>400</v>
      </c>
      <c r="E88" s="824" t="s">
        <v>264</v>
      </c>
      <c r="F88" s="825" t="s">
        <v>264</v>
      </c>
      <c r="G88" s="830"/>
      <c r="H88" s="830"/>
      <c r="I88" s="830"/>
      <c r="J88" s="830"/>
      <c r="K88" s="830"/>
      <c r="L88" s="830"/>
      <c r="M88" s="830"/>
      <c r="N88" s="830"/>
      <c r="O88" s="846"/>
      <c r="P88" s="846"/>
      <c r="Q88" s="846"/>
      <c r="R88" s="846"/>
      <c r="S88" s="846"/>
      <c r="T88" s="846"/>
      <c r="U88" s="846"/>
      <c r="V88" s="846"/>
      <c r="W88" s="846"/>
      <c r="X88" s="855"/>
      <c r="Y88" s="855"/>
      <c r="Z88" s="855"/>
      <c r="AA88" s="855"/>
      <c r="AB88" s="855"/>
      <c r="AC88" s="855"/>
      <c r="AD88" s="855"/>
      <c r="AE88" s="855"/>
      <c r="AF88" s="855"/>
      <c r="AG88" s="855"/>
      <c r="AH88" s="862"/>
      <c r="AI88" s="862"/>
      <c r="AJ88" s="862"/>
      <c r="AK88" s="862"/>
      <c r="AL88" s="862"/>
      <c r="AM88" s="862"/>
      <c r="AN88" s="862"/>
      <c r="AO88" s="862"/>
      <c r="AP88" s="862"/>
      <c r="AQ88" s="862"/>
      <c r="AR88" s="872"/>
      <c r="AS88" s="872"/>
      <c r="AT88" s="872"/>
      <c r="AU88" s="872"/>
      <c r="AV88" s="872"/>
      <c r="AW88" s="872"/>
      <c r="AX88" s="872"/>
      <c r="AY88" s="872"/>
      <c r="AZ88" s="877"/>
      <c r="BA88" s="878"/>
      <c r="BB88" s="878"/>
      <c r="BC88" s="878"/>
      <c r="BD88" s="878"/>
      <c r="BE88" s="878"/>
      <c r="BF88" s="878"/>
      <c r="BG88" s="878"/>
      <c r="BH88" s="878"/>
    </row>
    <row r="89" ht="20.25" spans="1:60">
      <c r="A89" s="822" t="s">
        <v>260</v>
      </c>
      <c r="B89" s="827"/>
      <c r="C89" s="824" t="s">
        <v>420</v>
      </c>
      <c r="D89" s="824" t="s">
        <v>400</v>
      </c>
      <c r="E89" s="824" t="s">
        <v>264</v>
      </c>
      <c r="F89" s="825" t="s">
        <v>264</v>
      </c>
      <c r="G89" s="830"/>
      <c r="H89" s="830"/>
      <c r="I89" s="830"/>
      <c r="J89" s="830"/>
      <c r="K89" s="830"/>
      <c r="L89" s="830"/>
      <c r="M89" s="830"/>
      <c r="N89" s="830"/>
      <c r="O89" s="846"/>
      <c r="P89" s="846"/>
      <c r="Q89" s="846"/>
      <c r="R89" s="846"/>
      <c r="S89" s="846"/>
      <c r="T89" s="846"/>
      <c r="U89" s="846"/>
      <c r="V89" s="846"/>
      <c r="W89" s="846"/>
      <c r="X89" s="855"/>
      <c r="Y89" s="855"/>
      <c r="Z89" s="855"/>
      <c r="AA89" s="855"/>
      <c r="AB89" s="855"/>
      <c r="AC89" s="855"/>
      <c r="AD89" s="855"/>
      <c r="AE89" s="855"/>
      <c r="AF89" s="855"/>
      <c r="AG89" s="855"/>
      <c r="AH89" s="862"/>
      <c r="AI89" s="862"/>
      <c r="AJ89" s="862"/>
      <c r="AK89" s="862"/>
      <c r="AL89" s="862"/>
      <c r="AM89" s="862"/>
      <c r="AN89" s="862"/>
      <c r="AO89" s="862"/>
      <c r="AP89" s="862"/>
      <c r="AQ89" s="862"/>
      <c r="AR89" s="872"/>
      <c r="AS89" s="872"/>
      <c r="AT89" s="872"/>
      <c r="AU89" s="872"/>
      <c r="AV89" s="872"/>
      <c r="AW89" s="872"/>
      <c r="AX89" s="872"/>
      <c r="AY89" s="872"/>
      <c r="AZ89" s="877"/>
      <c r="BA89" s="878"/>
      <c r="BB89" s="878"/>
      <c r="BC89" s="878"/>
      <c r="BD89" s="878"/>
      <c r="BE89" s="878"/>
      <c r="BF89" s="878"/>
      <c r="BG89" s="878"/>
      <c r="BH89" s="878"/>
    </row>
    <row r="90" ht="20.25" spans="1:60">
      <c r="A90" s="822" t="s">
        <v>260</v>
      </c>
      <c r="B90" s="827"/>
      <c r="C90" s="824" t="s">
        <v>421</v>
      </c>
      <c r="D90" s="824" t="s">
        <v>400</v>
      </c>
      <c r="E90" s="824" t="s">
        <v>264</v>
      </c>
      <c r="F90" s="825" t="s">
        <v>264</v>
      </c>
      <c r="G90" s="830"/>
      <c r="H90" s="830"/>
      <c r="I90" s="830"/>
      <c r="J90" s="830"/>
      <c r="K90" s="830"/>
      <c r="L90" s="830"/>
      <c r="M90" s="830"/>
      <c r="N90" s="830"/>
      <c r="O90" s="846"/>
      <c r="P90" s="846"/>
      <c r="Q90" s="846"/>
      <c r="R90" s="846"/>
      <c r="S90" s="846"/>
      <c r="T90" s="846"/>
      <c r="U90" s="846"/>
      <c r="V90" s="846"/>
      <c r="W90" s="846"/>
      <c r="X90" s="855"/>
      <c r="Y90" s="855"/>
      <c r="Z90" s="855"/>
      <c r="AA90" s="855"/>
      <c r="AB90" s="855"/>
      <c r="AC90" s="855"/>
      <c r="AD90" s="855"/>
      <c r="AE90" s="855"/>
      <c r="AF90" s="855"/>
      <c r="AG90" s="855"/>
      <c r="AH90" s="862"/>
      <c r="AI90" s="862"/>
      <c r="AJ90" s="862"/>
      <c r="AK90" s="862"/>
      <c r="AL90" s="862"/>
      <c r="AM90" s="862"/>
      <c r="AN90" s="862"/>
      <c r="AO90" s="862"/>
      <c r="AP90" s="862"/>
      <c r="AQ90" s="862"/>
      <c r="AR90" s="872"/>
      <c r="AS90" s="872"/>
      <c r="AT90" s="872"/>
      <c r="AU90" s="872"/>
      <c r="AV90" s="872"/>
      <c r="AW90" s="872"/>
      <c r="AX90" s="872"/>
      <c r="AY90" s="872"/>
      <c r="AZ90" s="877"/>
      <c r="BA90" s="878"/>
      <c r="BB90" s="878"/>
      <c r="BC90" s="878"/>
      <c r="BD90" s="878"/>
      <c r="BE90" s="878"/>
      <c r="BF90" s="878"/>
      <c r="BG90" s="878"/>
      <c r="BH90" s="878"/>
    </row>
    <row r="91" ht="20.25" spans="1:60">
      <c r="A91" s="822" t="s">
        <v>260</v>
      </c>
      <c r="B91" s="827"/>
      <c r="C91" s="824" t="s">
        <v>422</v>
      </c>
      <c r="D91" s="824" t="s">
        <v>400</v>
      </c>
      <c r="E91" s="824" t="s">
        <v>264</v>
      </c>
      <c r="F91" s="825" t="s">
        <v>264</v>
      </c>
      <c r="G91" s="830"/>
      <c r="H91" s="830"/>
      <c r="I91" s="830"/>
      <c r="J91" s="830"/>
      <c r="K91" s="830"/>
      <c r="L91" s="830"/>
      <c r="M91" s="830"/>
      <c r="N91" s="830"/>
      <c r="O91" s="846"/>
      <c r="P91" s="846"/>
      <c r="Q91" s="846"/>
      <c r="R91" s="846"/>
      <c r="S91" s="846"/>
      <c r="T91" s="846"/>
      <c r="U91" s="846"/>
      <c r="V91" s="846"/>
      <c r="W91" s="846"/>
      <c r="X91" s="855"/>
      <c r="Y91" s="855"/>
      <c r="Z91" s="855"/>
      <c r="AA91" s="855"/>
      <c r="AB91" s="855"/>
      <c r="AC91" s="855"/>
      <c r="AD91" s="855"/>
      <c r="AE91" s="855"/>
      <c r="AF91" s="855"/>
      <c r="AG91" s="855"/>
      <c r="AH91" s="862"/>
      <c r="AI91" s="862"/>
      <c r="AJ91" s="862"/>
      <c r="AK91" s="862"/>
      <c r="AL91" s="862"/>
      <c r="AM91" s="862"/>
      <c r="AN91" s="862"/>
      <c r="AO91" s="862"/>
      <c r="AP91" s="862"/>
      <c r="AQ91" s="862"/>
      <c r="AR91" s="872"/>
      <c r="AS91" s="872"/>
      <c r="AT91" s="872"/>
      <c r="AU91" s="872"/>
      <c r="AV91" s="872"/>
      <c r="AW91" s="872"/>
      <c r="AX91" s="872"/>
      <c r="AY91" s="872"/>
      <c r="AZ91" s="877"/>
      <c r="BA91" s="878"/>
      <c r="BB91" s="878"/>
      <c r="BC91" s="878"/>
      <c r="BD91" s="878"/>
      <c r="BE91" s="878"/>
      <c r="BF91" s="878"/>
      <c r="BG91" s="878"/>
      <c r="BH91" s="878"/>
    </row>
    <row r="92" ht="20.25" spans="1:60">
      <c r="A92" s="822" t="s">
        <v>260</v>
      </c>
      <c r="B92" s="827"/>
      <c r="C92" s="824" t="s">
        <v>423</v>
      </c>
      <c r="D92" s="824" t="s">
        <v>400</v>
      </c>
      <c r="E92" s="824" t="s">
        <v>264</v>
      </c>
      <c r="F92" s="825" t="s">
        <v>264</v>
      </c>
      <c r="G92" s="830"/>
      <c r="H92" s="830"/>
      <c r="I92" s="830"/>
      <c r="J92" s="830"/>
      <c r="K92" s="830"/>
      <c r="L92" s="830"/>
      <c r="M92" s="830"/>
      <c r="N92" s="830"/>
      <c r="O92" s="846"/>
      <c r="P92" s="846"/>
      <c r="Q92" s="846"/>
      <c r="R92" s="846"/>
      <c r="S92" s="846"/>
      <c r="T92" s="846"/>
      <c r="U92" s="846"/>
      <c r="V92" s="846"/>
      <c r="W92" s="846"/>
      <c r="X92" s="855"/>
      <c r="Y92" s="855"/>
      <c r="Z92" s="855"/>
      <c r="AA92" s="855"/>
      <c r="AB92" s="855"/>
      <c r="AC92" s="855"/>
      <c r="AD92" s="855"/>
      <c r="AE92" s="855"/>
      <c r="AF92" s="855"/>
      <c r="AG92" s="855"/>
      <c r="AH92" s="862"/>
      <c r="AI92" s="862"/>
      <c r="AJ92" s="862"/>
      <c r="AK92" s="862"/>
      <c r="AL92" s="862"/>
      <c r="AM92" s="862"/>
      <c r="AN92" s="862"/>
      <c r="AO92" s="862"/>
      <c r="AP92" s="862"/>
      <c r="AQ92" s="862"/>
      <c r="AR92" s="872"/>
      <c r="AS92" s="872"/>
      <c r="AT92" s="872"/>
      <c r="AU92" s="872"/>
      <c r="AV92" s="872"/>
      <c r="AW92" s="872"/>
      <c r="AX92" s="872"/>
      <c r="AY92" s="872"/>
      <c r="AZ92" s="877"/>
      <c r="BA92" s="878"/>
      <c r="BB92" s="878"/>
      <c r="BC92" s="878"/>
      <c r="BD92" s="878"/>
      <c r="BE92" s="878"/>
      <c r="BF92" s="878"/>
      <c r="BG92" s="878"/>
      <c r="BH92" s="878"/>
    </row>
    <row r="93" ht="20.25" spans="1:60">
      <c r="A93" s="822" t="s">
        <v>260</v>
      </c>
      <c r="B93" s="827"/>
      <c r="C93" s="886" t="s">
        <v>424</v>
      </c>
      <c r="D93" s="824" t="s">
        <v>400</v>
      </c>
      <c r="E93" s="824" t="s">
        <v>264</v>
      </c>
      <c r="F93" s="825" t="s">
        <v>264</v>
      </c>
      <c r="G93" s="830"/>
      <c r="H93" s="830"/>
      <c r="I93" s="830"/>
      <c r="J93" s="830"/>
      <c r="K93" s="830"/>
      <c r="L93" s="830"/>
      <c r="M93" s="830"/>
      <c r="N93" s="830"/>
      <c r="O93" s="846"/>
      <c r="P93" s="846"/>
      <c r="Q93" s="846"/>
      <c r="R93" s="846"/>
      <c r="S93" s="846"/>
      <c r="T93" s="846"/>
      <c r="U93" s="846"/>
      <c r="V93" s="846"/>
      <c r="W93" s="846"/>
      <c r="X93" s="855"/>
      <c r="Y93" s="855"/>
      <c r="Z93" s="855"/>
      <c r="AA93" s="855"/>
      <c r="AB93" s="855"/>
      <c r="AC93" s="855"/>
      <c r="AD93" s="855"/>
      <c r="AE93" s="855"/>
      <c r="AF93" s="855"/>
      <c r="AG93" s="855"/>
      <c r="AH93" s="862"/>
      <c r="AI93" s="862"/>
      <c r="AJ93" s="862"/>
      <c r="AK93" s="862"/>
      <c r="AL93" s="862"/>
      <c r="AM93" s="862"/>
      <c r="AN93" s="862"/>
      <c r="AO93" s="862"/>
      <c r="AP93" s="862"/>
      <c r="AQ93" s="862"/>
      <c r="AR93" s="872"/>
      <c r="AS93" s="872"/>
      <c r="AT93" s="872"/>
      <c r="AU93" s="872"/>
      <c r="AV93" s="872"/>
      <c r="AW93" s="872"/>
      <c r="AX93" s="872"/>
      <c r="AY93" s="872"/>
      <c r="AZ93" s="877"/>
      <c r="BA93" s="878"/>
      <c r="BB93" s="878"/>
      <c r="BC93" s="878"/>
      <c r="BD93" s="878"/>
      <c r="BE93" s="878"/>
      <c r="BF93" s="878"/>
      <c r="BG93" s="878"/>
      <c r="BH93" s="878"/>
    </row>
    <row r="94" ht="20.25" spans="1:60">
      <c r="A94" s="822" t="s">
        <v>260</v>
      </c>
      <c r="B94" s="827"/>
      <c r="C94" s="886" t="s">
        <v>425</v>
      </c>
      <c r="D94" s="824" t="s">
        <v>400</v>
      </c>
      <c r="E94" s="824" t="s">
        <v>264</v>
      </c>
      <c r="F94" s="825" t="s">
        <v>264</v>
      </c>
      <c r="G94" s="830"/>
      <c r="H94" s="830"/>
      <c r="I94" s="830"/>
      <c r="J94" s="830"/>
      <c r="K94" s="830"/>
      <c r="L94" s="830"/>
      <c r="M94" s="830"/>
      <c r="N94" s="830"/>
      <c r="O94" s="846"/>
      <c r="P94" s="846"/>
      <c r="Q94" s="846"/>
      <c r="R94" s="846"/>
      <c r="S94" s="846"/>
      <c r="T94" s="846"/>
      <c r="U94" s="846"/>
      <c r="V94" s="846"/>
      <c r="W94" s="846"/>
      <c r="X94" s="855"/>
      <c r="Y94" s="855"/>
      <c r="Z94" s="855"/>
      <c r="AA94" s="855"/>
      <c r="AB94" s="855"/>
      <c r="AC94" s="855"/>
      <c r="AD94" s="855"/>
      <c r="AE94" s="855"/>
      <c r="AF94" s="855"/>
      <c r="AG94" s="855"/>
      <c r="AH94" s="862"/>
      <c r="AI94" s="862"/>
      <c r="AJ94" s="862"/>
      <c r="AK94" s="862"/>
      <c r="AL94" s="862"/>
      <c r="AM94" s="862"/>
      <c r="AN94" s="862"/>
      <c r="AO94" s="862"/>
      <c r="AP94" s="862"/>
      <c r="AQ94" s="862"/>
      <c r="AR94" s="872"/>
      <c r="AS94" s="872"/>
      <c r="AT94" s="872"/>
      <c r="AU94" s="872"/>
      <c r="AV94" s="872"/>
      <c r="AW94" s="872"/>
      <c r="AX94" s="872"/>
      <c r="AY94" s="872"/>
      <c r="AZ94" s="877"/>
      <c r="BA94" s="878"/>
      <c r="BB94" s="878"/>
      <c r="BC94" s="878"/>
      <c r="BD94" s="878"/>
      <c r="BE94" s="878"/>
      <c r="BF94" s="878"/>
      <c r="BG94" s="878"/>
      <c r="BH94" s="878"/>
    </row>
    <row r="95" ht="20.25" spans="1:60">
      <c r="A95" s="822" t="s">
        <v>260</v>
      </c>
      <c r="B95" s="827"/>
      <c r="C95" s="824" t="s">
        <v>426</v>
      </c>
      <c r="D95" s="824" t="s">
        <v>400</v>
      </c>
      <c r="E95" s="824" t="s">
        <v>264</v>
      </c>
      <c r="F95" s="825" t="s">
        <v>264</v>
      </c>
      <c r="G95" s="830"/>
      <c r="H95" s="830"/>
      <c r="I95" s="830"/>
      <c r="J95" s="830"/>
      <c r="K95" s="830"/>
      <c r="L95" s="830"/>
      <c r="M95" s="830"/>
      <c r="N95" s="830"/>
      <c r="O95" s="846"/>
      <c r="P95" s="846"/>
      <c r="Q95" s="846"/>
      <c r="R95" s="846"/>
      <c r="S95" s="846"/>
      <c r="T95" s="846"/>
      <c r="U95" s="846"/>
      <c r="V95" s="846"/>
      <c r="W95" s="846"/>
      <c r="X95" s="855"/>
      <c r="Y95" s="855"/>
      <c r="Z95" s="855"/>
      <c r="AA95" s="855"/>
      <c r="AB95" s="855"/>
      <c r="AC95" s="855"/>
      <c r="AD95" s="855"/>
      <c r="AE95" s="855"/>
      <c r="AF95" s="855"/>
      <c r="AG95" s="855"/>
      <c r="AH95" s="862"/>
      <c r="AI95" s="862"/>
      <c r="AJ95" s="862"/>
      <c r="AK95" s="862"/>
      <c r="AL95" s="862"/>
      <c r="AM95" s="862"/>
      <c r="AN95" s="862"/>
      <c r="AO95" s="862"/>
      <c r="AP95" s="862"/>
      <c r="AQ95" s="862"/>
      <c r="AR95" s="872"/>
      <c r="AS95" s="872"/>
      <c r="AT95" s="872"/>
      <c r="AU95" s="872"/>
      <c r="AV95" s="872"/>
      <c r="AW95" s="872"/>
      <c r="AX95" s="872"/>
      <c r="AY95" s="872"/>
      <c r="AZ95" s="877"/>
      <c r="BA95" s="878"/>
      <c r="BB95" s="878"/>
      <c r="BC95" s="878"/>
      <c r="BD95" s="878"/>
      <c r="BE95" s="878"/>
      <c r="BF95" s="878"/>
      <c r="BG95" s="878"/>
      <c r="BH95" s="878"/>
    </row>
    <row r="96" ht="20.25" spans="1:60">
      <c r="A96" s="822" t="s">
        <v>260</v>
      </c>
      <c r="B96" s="829"/>
      <c r="C96" s="824" t="s">
        <v>427</v>
      </c>
      <c r="D96" s="824" t="s">
        <v>400</v>
      </c>
      <c r="E96" s="824" t="s">
        <v>264</v>
      </c>
      <c r="F96" s="825" t="s">
        <v>264</v>
      </c>
      <c r="G96" s="830"/>
      <c r="H96" s="830"/>
      <c r="I96" s="830"/>
      <c r="J96" s="830"/>
      <c r="K96" s="830"/>
      <c r="L96" s="830"/>
      <c r="M96" s="830"/>
      <c r="N96" s="830"/>
      <c r="O96" s="846"/>
      <c r="P96" s="846"/>
      <c r="Q96" s="846"/>
      <c r="R96" s="846"/>
      <c r="S96" s="846"/>
      <c r="T96" s="846"/>
      <c r="U96" s="846"/>
      <c r="V96" s="846"/>
      <c r="W96" s="846"/>
      <c r="X96" s="855"/>
      <c r="Y96" s="855"/>
      <c r="Z96" s="855"/>
      <c r="AA96" s="855"/>
      <c r="AB96" s="855"/>
      <c r="AC96" s="855"/>
      <c r="AD96" s="855"/>
      <c r="AE96" s="855"/>
      <c r="AF96" s="855"/>
      <c r="AG96" s="855"/>
      <c r="AH96" s="862"/>
      <c r="AI96" s="862"/>
      <c r="AJ96" s="862"/>
      <c r="AK96" s="862"/>
      <c r="AL96" s="862"/>
      <c r="AM96" s="862"/>
      <c r="AN96" s="862"/>
      <c r="AO96" s="862"/>
      <c r="AP96" s="862"/>
      <c r="AQ96" s="862"/>
      <c r="AR96" s="872"/>
      <c r="AS96" s="872"/>
      <c r="AT96" s="872"/>
      <c r="AU96" s="872"/>
      <c r="AV96" s="872"/>
      <c r="AW96" s="872"/>
      <c r="AX96" s="872"/>
      <c r="AY96" s="872"/>
      <c r="AZ96" s="877"/>
      <c r="BA96" s="878"/>
      <c r="BB96" s="878"/>
      <c r="BC96" s="878"/>
      <c r="BD96" s="878"/>
      <c r="BE96" s="878"/>
      <c r="BF96" s="878"/>
      <c r="BG96" s="878"/>
      <c r="BH96" s="878"/>
    </row>
    <row r="97" ht="21" spans="1:60">
      <c r="A97" s="807">
        <v>6</v>
      </c>
      <c r="B97" s="836" t="s">
        <v>428</v>
      </c>
      <c r="C97" s="837"/>
      <c r="D97" s="837"/>
      <c r="E97" s="837"/>
      <c r="F97" s="837"/>
      <c r="G97" s="830"/>
      <c r="H97" s="830"/>
      <c r="I97" s="830"/>
      <c r="J97" s="830"/>
      <c r="K97" s="830"/>
      <c r="L97" s="830"/>
      <c r="M97" s="830"/>
      <c r="N97" s="830"/>
      <c r="O97" s="846"/>
      <c r="P97" s="846"/>
      <c r="Q97" s="846"/>
      <c r="R97" s="846"/>
      <c r="S97" s="846"/>
      <c r="T97" s="846"/>
      <c r="U97" s="846"/>
      <c r="V97" s="846"/>
      <c r="W97" s="846"/>
      <c r="X97" s="855"/>
      <c r="Y97" s="855"/>
      <c r="Z97" s="855"/>
      <c r="AA97" s="855"/>
      <c r="AB97" s="855"/>
      <c r="AC97" s="855"/>
      <c r="AD97" s="855"/>
      <c r="AE97" s="855"/>
      <c r="AF97" s="855"/>
      <c r="AG97" s="855"/>
      <c r="AH97" s="862"/>
      <c r="AI97" s="862"/>
      <c r="AJ97" s="862"/>
      <c r="AK97" s="862"/>
      <c r="AL97" s="862"/>
      <c r="AM97" s="862"/>
      <c r="AN97" s="862"/>
      <c r="AO97" s="862"/>
      <c r="AP97" s="862"/>
      <c r="AQ97" s="862"/>
      <c r="AR97" s="872"/>
      <c r="AS97" s="872"/>
      <c r="AT97" s="872"/>
      <c r="AU97" s="872"/>
      <c r="AV97" s="872"/>
      <c r="AW97" s="872"/>
      <c r="AX97" s="872"/>
      <c r="AY97" s="872"/>
      <c r="AZ97" s="877"/>
      <c r="BA97" s="878"/>
      <c r="BB97" s="878"/>
      <c r="BC97" s="878"/>
      <c r="BD97" s="878"/>
      <c r="BE97" s="878"/>
      <c r="BF97" s="878"/>
      <c r="BG97" s="878"/>
      <c r="BH97" s="878"/>
    </row>
    <row r="98" ht="21" spans="1:60">
      <c r="A98" s="838"/>
      <c r="B98" s="839" t="s">
        <v>428</v>
      </c>
      <c r="C98" s="840"/>
      <c r="D98" s="840"/>
      <c r="E98" s="840"/>
      <c r="F98" s="840"/>
      <c r="G98" s="830"/>
      <c r="H98" s="830"/>
      <c r="I98" s="830"/>
      <c r="J98" s="830"/>
      <c r="K98" s="830"/>
      <c r="L98" s="830"/>
      <c r="M98" s="830"/>
      <c r="N98" s="830"/>
      <c r="O98" s="846"/>
      <c r="P98" s="846"/>
      <c r="Q98" s="846"/>
      <c r="R98" s="846"/>
      <c r="S98" s="846"/>
      <c r="T98" s="846"/>
      <c r="U98" s="846"/>
      <c r="V98" s="846"/>
      <c r="W98" s="846"/>
      <c r="X98" s="855"/>
      <c r="Y98" s="855"/>
      <c r="Z98" s="855"/>
      <c r="AA98" s="855"/>
      <c r="AB98" s="855"/>
      <c r="AC98" s="855"/>
      <c r="AD98" s="855"/>
      <c r="AE98" s="855"/>
      <c r="AF98" s="855"/>
      <c r="AG98" s="855"/>
      <c r="AH98" s="862"/>
      <c r="AI98" s="862"/>
      <c r="AJ98" s="862"/>
      <c r="AK98" s="862"/>
      <c r="AL98" s="862"/>
      <c r="AM98" s="862"/>
      <c r="AN98" s="862"/>
      <c r="AO98" s="862"/>
      <c r="AP98" s="862"/>
      <c r="AQ98" s="862"/>
      <c r="AR98" s="872"/>
      <c r="AS98" s="872"/>
      <c r="AT98" s="872"/>
      <c r="AU98" s="872"/>
      <c r="AV98" s="872"/>
      <c r="AW98" s="872"/>
      <c r="AX98" s="872"/>
      <c r="AY98" s="872"/>
      <c r="AZ98" s="877"/>
      <c r="BA98" s="878"/>
      <c r="BB98" s="878"/>
      <c r="BC98" s="878"/>
      <c r="BD98" s="878"/>
      <c r="BE98" s="878"/>
      <c r="BF98" s="878"/>
      <c r="BG98" s="878"/>
      <c r="BH98" s="878"/>
    </row>
    <row r="99" ht="20.25" spans="1:60">
      <c r="A99" s="822" t="s">
        <v>260</v>
      </c>
      <c r="B99" s="834" t="s">
        <v>429</v>
      </c>
      <c r="C99" s="824" t="s">
        <v>430</v>
      </c>
      <c r="D99" s="824" t="s">
        <v>431</v>
      </c>
      <c r="E99" s="824" t="s">
        <v>264</v>
      </c>
      <c r="F99" s="825" t="s">
        <v>264</v>
      </c>
      <c r="G99" s="830"/>
      <c r="H99" s="830"/>
      <c r="I99" s="830"/>
      <c r="J99" s="830"/>
      <c r="K99" s="830"/>
      <c r="L99" s="830"/>
      <c r="M99" s="830"/>
      <c r="N99" s="830"/>
      <c r="O99" s="846"/>
      <c r="P99" s="846"/>
      <c r="Q99" s="846"/>
      <c r="R99" s="846"/>
      <c r="S99" s="846"/>
      <c r="T99" s="846"/>
      <c r="U99" s="846"/>
      <c r="V99" s="846"/>
      <c r="W99" s="846"/>
      <c r="X99" s="855"/>
      <c r="Y99" s="855"/>
      <c r="Z99" s="855"/>
      <c r="AA99" s="855"/>
      <c r="AB99" s="855"/>
      <c r="AC99" s="855"/>
      <c r="AD99" s="855"/>
      <c r="AE99" s="855"/>
      <c r="AF99" s="855"/>
      <c r="AG99" s="855"/>
      <c r="AH99" s="862"/>
      <c r="AI99" s="862"/>
      <c r="AJ99" s="862"/>
      <c r="AK99" s="862"/>
      <c r="AL99" s="862"/>
      <c r="AM99" s="862"/>
      <c r="AN99" s="862"/>
      <c r="AO99" s="862"/>
      <c r="AP99" s="862"/>
      <c r="AQ99" s="862"/>
      <c r="AR99" s="872"/>
      <c r="AS99" s="872"/>
      <c r="AT99" s="872"/>
      <c r="AU99" s="872"/>
      <c r="AV99" s="872"/>
      <c r="AW99" s="872"/>
      <c r="AX99" s="872"/>
      <c r="AY99" s="872"/>
      <c r="AZ99" s="878"/>
      <c r="BA99" s="878"/>
      <c r="BB99" s="878"/>
      <c r="BC99" s="878"/>
      <c r="BD99" s="878"/>
      <c r="BE99" s="878"/>
      <c r="BF99" s="878"/>
      <c r="BG99" s="878"/>
      <c r="BH99" s="878"/>
    </row>
    <row r="100" ht="20.25" spans="1:60">
      <c r="A100" s="822" t="s">
        <v>260</v>
      </c>
      <c r="B100" s="834"/>
      <c r="C100" s="824" t="s">
        <v>432</v>
      </c>
      <c r="D100" s="824" t="s">
        <v>433</v>
      </c>
      <c r="E100" s="824" t="s">
        <v>264</v>
      </c>
      <c r="F100" s="825" t="s">
        <v>264</v>
      </c>
      <c r="G100" s="830"/>
      <c r="H100" s="830"/>
      <c r="I100" s="830"/>
      <c r="J100" s="830"/>
      <c r="K100" s="830"/>
      <c r="L100" s="830"/>
      <c r="M100" s="830"/>
      <c r="N100" s="830"/>
      <c r="O100" s="846"/>
      <c r="P100" s="846"/>
      <c r="Q100" s="846"/>
      <c r="R100" s="846"/>
      <c r="S100" s="846"/>
      <c r="T100" s="846"/>
      <c r="U100" s="846"/>
      <c r="V100" s="846"/>
      <c r="W100" s="846"/>
      <c r="X100" s="855"/>
      <c r="Y100" s="855"/>
      <c r="Z100" s="855"/>
      <c r="AA100" s="855"/>
      <c r="AB100" s="855"/>
      <c r="AC100" s="855"/>
      <c r="AD100" s="855"/>
      <c r="AE100" s="855"/>
      <c r="AF100" s="855"/>
      <c r="AG100" s="855"/>
      <c r="AH100" s="862"/>
      <c r="AI100" s="862"/>
      <c r="AJ100" s="862"/>
      <c r="AK100" s="862"/>
      <c r="AL100" s="862"/>
      <c r="AM100" s="862"/>
      <c r="AN100" s="862"/>
      <c r="AO100" s="862"/>
      <c r="AP100" s="862"/>
      <c r="AQ100" s="862"/>
      <c r="AR100" s="872"/>
      <c r="AS100" s="872"/>
      <c r="AT100" s="872"/>
      <c r="AU100" s="872"/>
      <c r="AV100" s="872"/>
      <c r="AW100" s="872"/>
      <c r="AX100" s="872"/>
      <c r="AY100" s="872"/>
      <c r="AZ100" s="878"/>
      <c r="BA100" s="878"/>
      <c r="BB100" s="878"/>
      <c r="BC100" s="878"/>
      <c r="BD100" s="878"/>
      <c r="BE100" s="878"/>
      <c r="BF100" s="878"/>
      <c r="BG100" s="878"/>
      <c r="BH100" s="878"/>
    </row>
    <row r="101" ht="20.25" spans="1:60">
      <c r="A101" s="822" t="s">
        <v>260</v>
      </c>
      <c r="B101" s="834"/>
      <c r="C101" s="824" t="s">
        <v>434</v>
      </c>
      <c r="D101" s="824" t="s">
        <v>431</v>
      </c>
      <c r="E101" s="824" t="s">
        <v>264</v>
      </c>
      <c r="F101" s="825" t="s">
        <v>264</v>
      </c>
      <c r="G101" s="830"/>
      <c r="H101" s="830"/>
      <c r="I101" s="830"/>
      <c r="J101" s="830"/>
      <c r="K101" s="830"/>
      <c r="L101" s="830"/>
      <c r="M101" s="830"/>
      <c r="N101" s="830"/>
      <c r="O101" s="846"/>
      <c r="P101" s="846"/>
      <c r="Q101" s="846"/>
      <c r="R101" s="846"/>
      <c r="S101" s="846"/>
      <c r="T101" s="846"/>
      <c r="U101" s="846"/>
      <c r="V101" s="846"/>
      <c r="W101" s="846"/>
      <c r="X101" s="855"/>
      <c r="Y101" s="855"/>
      <c r="Z101" s="855"/>
      <c r="AA101" s="855"/>
      <c r="AB101" s="855"/>
      <c r="AC101" s="855"/>
      <c r="AD101" s="855"/>
      <c r="AE101" s="855"/>
      <c r="AF101" s="855"/>
      <c r="AG101" s="855"/>
      <c r="AH101" s="862"/>
      <c r="AI101" s="862"/>
      <c r="AJ101" s="862"/>
      <c r="AK101" s="862"/>
      <c r="AL101" s="862"/>
      <c r="AM101" s="862"/>
      <c r="AN101" s="862"/>
      <c r="AO101" s="862"/>
      <c r="AP101" s="862"/>
      <c r="AQ101" s="862"/>
      <c r="AR101" s="872"/>
      <c r="AS101" s="872"/>
      <c r="AT101" s="872"/>
      <c r="AU101" s="872"/>
      <c r="AV101" s="872"/>
      <c r="AW101" s="872"/>
      <c r="AX101" s="872"/>
      <c r="AY101" s="872"/>
      <c r="AZ101" s="878"/>
      <c r="BA101" s="878"/>
      <c r="BB101" s="878"/>
      <c r="BC101" s="878"/>
      <c r="BD101" s="878"/>
      <c r="BE101" s="878"/>
      <c r="BF101" s="878"/>
      <c r="BG101" s="878"/>
      <c r="BH101" s="878"/>
    </row>
    <row r="102" ht="20.25" spans="1:60">
      <c r="A102" s="822" t="s">
        <v>260</v>
      </c>
      <c r="B102" s="834"/>
      <c r="C102" s="824" t="s">
        <v>435</v>
      </c>
      <c r="D102" s="824" t="s">
        <v>436</v>
      </c>
      <c r="E102" s="824" t="s">
        <v>264</v>
      </c>
      <c r="F102" s="825" t="s">
        <v>264</v>
      </c>
      <c r="G102" s="830"/>
      <c r="H102" s="830"/>
      <c r="I102" s="830"/>
      <c r="J102" s="830"/>
      <c r="K102" s="830"/>
      <c r="L102" s="830"/>
      <c r="M102" s="830"/>
      <c r="N102" s="830"/>
      <c r="O102" s="846"/>
      <c r="P102" s="846"/>
      <c r="Q102" s="846"/>
      <c r="R102" s="846"/>
      <c r="S102" s="846"/>
      <c r="T102" s="846"/>
      <c r="U102" s="846"/>
      <c r="V102" s="846"/>
      <c r="W102" s="846"/>
      <c r="X102" s="855"/>
      <c r="Y102" s="855"/>
      <c r="Z102" s="855"/>
      <c r="AA102" s="855"/>
      <c r="AB102" s="855"/>
      <c r="AC102" s="855"/>
      <c r="AD102" s="855"/>
      <c r="AE102" s="855"/>
      <c r="AF102" s="855"/>
      <c r="AG102" s="855"/>
      <c r="AH102" s="862"/>
      <c r="AI102" s="862"/>
      <c r="AJ102" s="862"/>
      <c r="AK102" s="862"/>
      <c r="AL102" s="862"/>
      <c r="AM102" s="862"/>
      <c r="AN102" s="862"/>
      <c r="AO102" s="862"/>
      <c r="AP102" s="862"/>
      <c r="AQ102" s="862"/>
      <c r="AR102" s="872"/>
      <c r="AS102" s="872"/>
      <c r="AT102" s="872"/>
      <c r="AU102" s="872"/>
      <c r="AV102" s="872"/>
      <c r="AW102" s="872"/>
      <c r="AX102" s="872"/>
      <c r="AY102" s="872"/>
      <c r="AZ102" s="878"/>
      <c r="BA102" s="878"/>
      <c r="BB102" s="878"/>
      <c r="BC102" s="878"/>
      <c r="BD102" s="878"/>
      <c r="BE102" s="878"/>
      <c r="BF102" s="878"/>
      <c r="BG102" s="878"/>
      <c r="BH102" s="878"/>
    </row>
    <row r="103" ht="20.25" spans="1:60">
      <c r="A103" s="822" t="s">
        <v>260</v>
      </c>
      <c r="B103" s="834"/>
      <c r="C103" s="824" t="s">
        <v>437</v>
      </c>
      <c r="D103" s="824" t="s">
        <v>436</v>
      </c>
      <c r="E103" s="824" t="s">
        <v>264</v>
      </c>
      <c r="F103" s="825" t="s">
        <v>264</v>
      </c>
      <c r="G103" s="830"/>
      <c r="H103" s="830"/>
      <c r="I103" s="830"/>
      <c r="J103" s="830"/>
      <c r="K103" s="830"/>
      <c r="L103" s="830"/>
      <c r="M103" s="830"/>
      <c r="N103" s="830"/>
      <c r="O103" s="846"/>
      <c r="P103" s="846"/>
      <c r="Q103" s="846"/>
      <c r="R103" s="846"/>
      <c r="S103" s="846"/>
      <c r="T103" s="846"/>
      <c r="U103" s="846"/>
      <c r="V103" s="846"/>
      <c r="W103" s="846"/>
      <c r="X103" s="855"/>
      <c r="Y103" s="855"/>
      <c r="Z103" s="855"/>
      <c r="AA103" s="855"/>
      <c r="AB103" s="855"/>
      <c r="AC103" s="855"/>
      <c r="AD103" s="855"/>
      <c r="AE103" s="855"/>
      <c r="AF103" s="855"/>
      <c r="AG103" s="855"/>
      <c r="AH103" s="862"/>
      <c r="AI103" s="862"/>
      <c r="AJ103" s="862"/>
      <c r="AK103" s="862"/>
      <c r="AL103" s="862"/>
      <c r="AM103" s="862"/>
      <c r="AN103" s="862"/>
      <c r="AO103" s="862"/>
      <c r="AP103" s="862"/>
      <c r="AQ103" s="862"/>
      <c r="AR103" s="872"/>
      <c r="AS103" s="872"/>
      <c r="AT103" s="872"/>
      <c r="AU103" s="872"/>
      <c r="AV103" s="872"/>
      <c r="AW103" s="872"/>
      <c r="AX103" s="872"/>
      <c r="AY103" s="872"/>
      <c r="AZ103" s="878"/>
      <c r="BA103" s="878"/>
      <c r="BB103" s="878"/>
      <c r="BC103" s="878"/>
      <c r="BD103" s="878"/>
      <c r="BE103" s="878"/>
      <c r="BF103" s="878"/>
      <c r="BG103" s="878"/>
      <c r="BH103" s="878"/>
    </row>
    <row r="104" ht="20.25" spans="1:60">
      <c r="A104" s="822" t="s">
        <v>260</v>
      </c>
      <c r="B104" s="834"/>
      <c r="C104" s="824" t="s">
        <v>438</v>
      </c>
      <c r="D104" s="824" t="s">
        <v>439</v>
      </c>
      <c r="E104" s="824" t="s">
        <v>264</v>
      </c>
      <c r="F104" s="825" t="s">
        <v>264</v>
      </c>
      <c r="G104" s="830"/>
      <c r="H104" s="830"/>
      <c r="I104" s="830"/>
      <c r="J104" s="830"/>
      <c r="K104" s="830"/>
      <c r="L104" s="830"/>
      <c r="M104" s="830"/>
      <c r="N104" s="830"/>
      <c r="O104" s="846"/>
      <c r="P104" s="846"/>
      <c r="Q104" s="846"/>
      <c r="R104" s="846"/>
      <c r="S104" s="846"/>
      <c r="T104" s="846"/>
      <c r="U104" s="846"/>
      <c r="V104" s="846"/>
      <c r="W104" s="846"/>
      <c r="X104" s="855"/>
      <c r="Y104" s="855"/>
      <c r="Z104" s="855"/>
      <c r="AA104" s="855"/>
      <c r="AB104" s="855"/>
      <c r="AC104" s="855"/>
      <c r="AD104" s="855"/>
      <c r="AE104" s="855"/>
      <c r="AF104" s="855"/>
      <c r="AG104" s="855"/>
      <c r="AH104" s="862"/>
      <c r="AI104" s="862"/>
      <c r="AJ104" s="862"/>
      <c r="AK104" s="862"/>
      <c r="AL104" s="862"/>
      <c r="AM104" s="862"/>
      <c r="AN104" s="862"/>
      <c r="AO104" s="862"/>
      <c r="AP104" s="862"/>
      <c r="AQ104" s="862"/>
      <c r="AR104" s="872"/>
      <c r="AS104" s="872"/>
      <c r="AT104" s="872"/>
      <c r="AU104" s="872"/>
      <c r="AV104" s="872"/>
      <c r="AW104" s="872"/>
      <c r="AX104" s="872"/>
      <c r="AY104" s="872"/>
      <c r="AZ104" s="878"/>
      <c r="BA104" s="878"/>
      <c r="BB104" s="878"/>
      <c r="BC104" s="878"/>
      <c r="BD104" s="878"/>
      <c r="BE104" s="878"/>
      <c r="BF104" s="878"/>
      <c r="BG104" s="878"/>
      <c r="BH104" s="878"/>
    </row>
    <row r="105" ht="20.25" spans="1:60">
      <c r="A105" s="822" t="s">
        <v>260</v>
      </c>
      <c r="B105" s="823" t="s">
        <v>16</v>
      </c>
      <c r="C105" s="824" t="s">
        <v>440</v>
      </c>
      <c r="D105" s="824" t="s">
        <v>441</v>
      </c>
      <c r="E105" s="824" t="s">
        <v>264</v>
      </c>
      <c r="F105" s="825" t="s">
        <v>264</v>
      </c>
      <c r="G105" s="830"/>
      <c r="H105" s="830"/>
      <c r="I105" s="830"/>
      <c r="J105" s="830"/>
      <c r="K105" s="830"/>
      <c r="L105" s="830"/>
      <c r="M105" s="830"/>
      <c r="N105" s="830"/>
      <c r="O105" s="846"/>
      <c r="P105" s="846"/>
      <c r="Q105" s="846"/>
      <c r="R105" s="846"/>
      <c r="S105" s="846"/>
      <c r="T105" s="846"/>
      <c r="U105" s="846"/>
      <c r="V105" s="846"/>
      <c r="W105" s="846"/>
      <c r="X105" s="855"/>
      <c r="Y105" s="855"/>
      <c r="Z105" s="855"/>
      <c r="AA105" s="855"/>
      <c r="AB105" s="855"/>
      <c r="AC105" s="855"/>
      <c r="AD105" s="855"/>
      <c r="AE105" s="855"/>
      <c r="AF105" s="855"/>
      <c r="AG105" s="855"/>
      <c r="AH105" s="862"/>
      <c r="AI105" s="862"/>
      <c r="AJ105" s="862"/>
      <c r="AK105" s="862"/>
      <c r="AL105" s="862"/>
      <c r="AM105" s="862"/>
      <c r="AN105" s="862"/>
      <c r="AO105" s="862"/>
      <c r="AP105" s="862"/>
      <c r="AQ105" s="862"/>
      <c r="AR105" s="872"/>
      <c r="AS105" s="872"/>
      <c r="AT105" s="872"/>
      <c r="AU105" s="872"/>
      <c r="AV105" s="872"/>
      <c r="AW105" s="872"/>
      <c r="AX105" s="872"/>
      <c r="AY105" s="872"/>
      <c r="AZ105" s="878"/>
      <c r="BA105" s="878"/>
      <c r="BB105" s="878"/>
      <c r="BC105" s="878"/>
      <c r="BD105" s="878"/>
      <c r="BE105" s="878"/>
      <c r="BF105" s="878"/>
      <c r="BG105" s="878"/>
      <c r="BH105" s="878"/>
    </row>
    <row r="106" ht="20.25" spans="1:60">
      <c r="A106" s="822" t="s">
        <v>260</v>
      </c>
      <c r="B106" s="829"/>
      <c r="C106" s="824" t="s">
        <v>442</v>
      </c>
      <c r="D106" s="824" t="s">
        <v>443</v>
      </c>
      <c r="E106" s="824" t="s">
        <v>264</v>
      </c>
      <c r="F106" s="825" t="s">
        <v>264</v>
      </c>
      <c r="G106" s="830"/>
      <c r="H106" s="830"/>
      <c r="I106" s="830"/>
      <c r="J106" s="830"/>
      <c r="K106" s="830"/>
      <c r="L106" s="830"/>
      <c r="M106" s="830"/>
      <c r="N106" s="830"/>
      <c r="O106" s="846"/>
      <c r="P106" s="846"/>
      <c r="Q106" s="846"/>
      <c r="R106" s="846"/>
      <c r="S106" s="846"/>
      <c r="T106" s="846"/>
      <c r="U106" s="846"/>
      <c r="V106" s="846"/>
      <c r="W106" s="846"/>
      <c r="X106" s="855"/>
      <c r="Y106" s="855"/>
      <c r="Z106" s="855"/>
      <c r="AA106" s="855"/>
      <c r="AB106" s="855"/>
      <c r="AC106" s="855"/>
      <c r="AD106" s="855"/>
      <c r="AE106" s="855"/>
      <c r="AF106" s="855"/>
      <c r="AG106" s="855"/>
      <c r="AH106" s="862"/>
      <c r="AI106" s="862"/>
      <c r="AJ106" s="862"/>
      <c r="AK106" s="862"/>
      <c r="AL106" s="862"/>
      <c r="AM106" s="862"/>
      <c r="AN106" s="862"/>
      <c r="AO106" s="862"/>
      <c r="AP106" s="862"/>
      <c r="AQ106" s="862"/>
      <c r="AR106" s="872"/>
      <c r="AS106" s="872"/>
      <c r="AT106" s="872"/>
      <c r="AU106" s="872"/>
      <c r="AV106" s="872"/>
      <c r="AW106" s="872"/>
      <c r="AX106" s="872"/>
      <c r="AY106" s="872"/>
      <c r="AZ106" s="878"/>
      <c r="BA106" s="878"/>
      <c r="BB106" s="878"/>
      <c r="BC106" s="878"/>
      <c r="BD106" s="878"/>
      <c r="BE106" s="878"/>
      <c r="BF106" s="878"/>
      <c r="BG106" s="878"/>
      <c r="BH106" s="878"/>
    </row>
    <row r="107" ht="30" customHeight="1" spans="1:60">
      <c r="A107" s="822" t="s">
        <v>260</v>
      </c>
      <c r="B107" s="834" t="s">
        <v>444</v>
      </c>
      <c r="C107" s="887" t="s">
        <v>445</v>
      </c>
      <c r="D107" s="824" t="s">
        <v>446</v>
      </c>
      <c r="E107" s="824" t="s">
        <v>264</v>
      </c>
      <c r="F107" s="825" t="s">
        <v>264</v>
      </c>
      <c r="G107" s="830"/>
      <c r="H107" s="830"/>
      <c r="I107" s="830"/>
      <c r="J107" s="830"/>
      <c r="K107" s="830"/>
      <c r="L107" s="830"/>
      <c r="M107" s="830"/>
      <c r="N107" s="830"/>
      <c r="O107" s="846"/>
      <c r="P107" s="846"/>
      <c r="Q107" s="846"/>
      <c r="R107" s="846"/>
      <c r="S107" s="846"/>
      <c r="T107" s="846"/>
      <c r="U107" s="846"/>
      <c r="V107" s="846"/>
      <c r="W107" s="846"/>
      <c r="X107" s="855"/>
      <c r="Y107" s="855"/>
      <c r="Z107" s="855"/>
      <c r="AA107" s="855"/>
      <c r="AB107" s="855"/>
      <c r="AC107" s="855"/>
      <c r="AD107" s="855"/>
      <c r="AE107" s="855"/>
      <c r="AF107" s="855"/>
      <c r="AG107" s="855"/>
      <c r="AH107" s="862"/>
      <c r="AI107" s="862"/>
      <c r="AJ107" s="862"/>
      <c r="AK107" s="862"/>
      <c r="AL107" s="862"/>
      <c r="AM107" s="862"/>
      <c r="AN107" s="862"/>
      <c r="AO107" s="862"/>
      <c r="AP107" s="862"/>
      <c r="AQ107" s="862"/>
      <c r="AR107" s="872"/>
      <c r="AS107" s="872"/>
      <c r="AT107" s="872"/>
      <c r="AU107" s="872"/>
      <c r="AV107" s="872"/>
      <c r="AW107" s="872"/>
      <c r="AX107" s="872"/>
      <c r="AY107" s="872"/>
      <c r="AZ107" s="878"/>
      <c r="BA107" s="878"/>
      <c r="BB107" s="878"/>
      <c r="BC107" s="878"/>
      <c r="BD107" s="878"/>
      <c r="BE107" s="878"/>
      <c r="BF107" s="878"/>
      <c r="BG107" s="878"/>
      <c r="BH107" s="878"/>
    </row>
    <row r="108" ht="20.25" spans="1:60">
      <c r="A108" s="822" t="s">
        <v>260</v>
      </c>
      <c r="B108" s="823" t="s">
        <v>447</v>
      </c>
      <c r="C108" s="886" t="s">
        <v>448</v>
      </c>
      <c r="D108" s="824" t="s">
        <v>449</v>
      </c>
      <c r="E108" s="824" t="s">
        <v>264</v>
      </c>
      <c r="F108" s="825" t="s">
        <v>264</v>
      </c>
      <c r="G108" s="830"/>
      <c r="H108" s="830"/>
      <c r="I108" s="830"/>
      <c r="J108" s="830"/>
      <c r="K108" s="830"/>
      <c r="L108" s="830"/>
      <c r="M108" s="830"/>
      <c r="N108" s="830"/>
      <c r="O108" s="846"/>
      <c r="P108" s="846"/>
      <c r="Q108" s="846"/>
      <c r="R108" s="846"/>
      <c r="S108" s="846"/>
      <c r="T108" s="846"/>
      <c r="U108" s="846"/>
      <c r="V108" s="846"/>
      <c r="W108" s="846"/>
      <c r="X108" s="855"/>
      <c r="Y108" s="855"/>
      <c r="Z108" s="855"/>
      <c r="AA108" s="855"/>
      <c r="AB108" s="855"/>
      <c r="AC108" s="855"/>
      <c r="AD108" s="855"/>
      <c r="AE108" s="855"/>
      <c r="AF108" s="855"/>
      <c r="AG108" s="855"/>
      <c r="AH108" s="862"/>
      <c r="AI108" s="862"/>
      <c r="AJ108" s="862"/>
      <c r="AK108" s="862"/>
      <c r="AL108" s="862"/>
      <c r="AM108" s="862"/>
      <c r="AN108" s="862"/>
      <c r="AO108" s="862"/>
      <c r="AP108" s="862"/>
      <c r="AQ108" s="862"/>
      <c r="AR108" s="872"/>
      <c r="AS108" s="872"/>
      <c r="AT108" s="872"/>
      <c r="AU108" s="872"/>
      <c r="AV108" s="872"/>
      <c r="AW108" s="872"/>
      <c r="AX108" s="872"/>
      <c r="AY108" s="872"/>
      <c r="AZ108" s="878"/>
      <c r="BA108" s="878"/>
      <c r="BB108" s="878"/>
      <c r="BC108" s="878"/>
      <c r="BD108" s="878"/>
      <c r="BE108" s="878"/>
      <c r="BF108" s="878"/>
      <c r="BG108" s="878"/>
      <c r="BH108" s="878"/>
    </row>
    <row r="109" ht="20.25" spans="1:60">
      <c r="A109" s="822" t="s">
        <v>260</v>
      </c>
      <c r="B109" s="827"/>
      <c r="C109" s="887" t="s">
        <v>450</v>
      </c>
      <c r="D109" s="824" t="s">
        <v>436</v>
      </c>
      <c r="E109" s="824" t="s">
        <v>264</v>
      </c>
      <c r="F109" s="825" t="s">
        <v>264</v>
      </c>
      <c r="G109" s="830"/>
      <c r="H109" s="830"/>
      <c r="I109" s="830"/>
      <c r="J109" s="830"/>
      <c r="K109" s="830"/>
      <c r="L109" s="830"/>
      <c r="M109" s="830"/>
      <c r="N109" s="830"/>
      <c r="O109" s="846"/>
      <c r="P109" s="846"/>
      <c r="Q109" s="846"/>
      <c r="R109" s="846"/>
      <c r="S109" s="846"/>
      <c r="T109" s="846"/>
      <c r="U109" s="846"/>
      <c r="V109" s="846"/>
      <c r="W109" s="846"/>
      <c r="X109" s="855"/>
      <c r="Y109" s="855"/>
      <c r="Z109" s="855"/>
      <c r="AA109" s="855"/>
      <c r="AB109" s="855"/>
      <c r="AC109" s="855"/>
      <c r="AD109" s="855"/>
      <c r="AE109" s="855"/>
      <c r="AF109" s="855"/>
      <c r="AG109" s="855"/>
      <c r="AH109" s="862"/>
      <c r="AI109" s="862"/>
      <c r="AJ109" s="862"/>
      <c r="AK109" s="862"/>
      <c r="AL109" s="862"/>
      <c r="AM109" s="862"/>
      <c r="AN109" s="862"/>
      <c r="AO109" s="862"/>
      <c r="AP109" s="862"/>
      <c r="AQ109" s="862"/>
      <c r="AR109" s="872"/>
      <c r="AS109" s="872"/>
      <c r="AT109" s="872"/>
      <c r="AU109" s="872"/>
      <c r="AV109" s="872"/>
      <c r="AW109" s="872"/>
      <c r="AX109" s="872"/>
      <c r="AY109" s="872"/>
      <c r="AZ109" s="878"/>
      <c r="BA109" s="878"/>
      <c r="BB109" s="878"/>
      <c r="BC109" s="878"/>
      <c r="BD109" s="878"/>
      <c r="BE109" s="878"/>
      <c r="BF109" s="878"/>
      <c r="BG109" s="878"/>
      <c r="BH109" s="878"/>
    </row>
    <row r="110" ht="20.25" spans="1:60">
      <c r="A110" s="822" t="s">
        <v>260</v>
      </c>
      <c r="B110" s="827"/>
      <c r="C110" s="888" t="s">
        <v>451</v>
      </c>
      <c r="D110" s="824" t="s">
        <v>452</v>
      </c>
      <c r="E110" s="824" t="s">
        <v>264</v>
      </c>
      <c r="F110" s="825" t="s">
        <v>264</v>
      </c>
      <c r="G110" s="830"/>
      <c r="H110" s="830"/>
      <c r="I110" s="830"/>
      <c r="J110" s="830"/>
      <c r="K110" s="830"/>
      <c r="L110" s="830"/>
      <c r="M110" s="830"/>
      <c r="N110" s="830"/>
      <c r="O110" s="846"/>
      <c r="P110" s="846"/>
      <c r="Q110" s="846"/>
      <c r="R110" s="846"/>
      <c r="S110" s="846"/>
      <c r="T110" s="846"/>
      <c r="U110" s="846"/>
      <c r="V110" s="846"/>
      <c r="W110" s="846"/>
      <c r="X110" s="855"/>
      <c r="Y110" s="855"/>
      <c r="Z110" s="855"/>
      <c r="AA110" s="855"/>
      <c r="AB110" s="855"/>
      <c r="AC110" s="855"/>
      <c r="AD110" s="855"/>
      <c r="AE110" s="855"/>
      <c r="AF110" s="855"/>
      <c r="AG110" s="855"/>
      <c r="AH110" s="862"/>
      <c r="AI110" s="862"/>
      <c r="AJ110" s="862"/>
      <c r="AK110" s="862"/>
      <c r="AL110" s="862"/>
      <c r="AM110" s="862"/>
      <c r="AN110" s="862"/>
      <c r="AO110" s="862"/>
      <c r="AP110" s="862"/>
      <c r="AQ110" s="862"/>
      <c r="AR110" s="872"/>
      <c r="AS110" s="872"/>
      <c r="AT110" s="872"/>
      <c r="AU110" s="872"/>
      <c r="AV110" s="872"/>
      <c r="AW110" s="872"/>
      <c r="AX110" s="872"/>
      <c r="AY110" s="872"/>
      <c r="AZ110" s="878"/>
      <c r="BA110" s="878"/>
      <c r="BB110" s="878"/>
      <c r="BC110" s="878"/>
      <c r="BD110" s="878"/>
      <c r="BE110" s="878"/>
      <c r="BF110" s="878"/>
      <c r="BG110" s="878"/>
      <c r="BH110" s="878"/>
    </row>
    <row r="111" ht="20.25" spans="1:60">
      <c r="A111" s="822" t="s">
        <v>260</v>
      </c>
      <c r="B111" s="829"/>
      <c r="C111" s="888" t="s">
        <v>453</v>
      </c>
      <c r="D111" s="824" t="s">
        <v>454</v>
      </c>
      <c r="E111" s="824" t="s">
        <v>264</v>
      </c>
      <c r="F111" s="825" t="s">
        <v>264</v>
      </c>
      <c r="G111" s="830"/>
      <c r="H111" s="830"/>
      <c r="I111" s="830"/>
      <c r="J111" s="830"/>
      <c r="K111" s="830"/>
      <c r="L111" s="830"/>
      <c r="M111" s="830"/>
      <c r="N111" s="830"/>
      <c r="O111" s="846"/>
      <c r="P111" s="846"/>
      <c r="Q111" s="846"/>
      <c r="R111" s="846"/>
      <c r="S111" s="846"/>
      <c r="T111" s="846"/>
      <c r="U111" s="846"/>
      <c r="V111" s="846"/>
      <c r="W111" s="846"/>
      <c r="X111" s="855"/>
      <c r="Y111" s="855"/>
      <c r="Z111" s="855"/>
      <c r="AA111" s="855"/>
      <c r="AB111" s="855"/>
      <c r="AC111" s="855"/>
      <c r="AD111" s="855"/>
      <c r="AE111" s="855"/>
      <c r="AF111" s="855"/>
      <c r="AG111" s="855"/>
      <c r="AH111" s="862"/>
      <c r="AI111" s="862"/>
      <c r="AJ111" s="862"/>
      <c r="AK111" s="862"/>
      <c r="AL111" s="862"/>
      <c r="AM111" s="862"/>
      <c r="AN111" s="862"/>
      <c r="AO111" s="862"/>
      <c r="AP111" s="862"/>
      <c r="AQ111" s="862"/>
      <c r="AR111" s="872"/>
      <c r="AS111" s="872"/>
      <c r="AT111" s="872"/>
      <c r="AU111" s="872"/>
      <c r="AV111" s="872"/>
      <c r="AW111" s="872"/>
      <c r="AX111" s="872"/>
      <c r="AY111" s="872"/>
      <c r="AZ111" s="878"/>
      <c r="BA111" s="878"/>
      <c r="BB111" s="878"/>
      <c r="BC111" s="878"/>
      <c r="BD111" s="878"/>
      <c r="BE111" s="878"/>
      <c r="BF111" s="878"/>
      <c r="BG111" s="878"/>
      <c r="BH111" s="878"/>
    </row>
    <row r="112" ht="20.25" spans="1:60">
      <c r="A112" s="822" t="s">
        <v>260</v>
      </c>
      <c r="B112" s="834" t="s">
        <v>455</v>
      </c>
      <c r="C112" s="886" t="s">
        <v>456</v>
      </c>
      <c r="D112" s="824" t="s">
        <v>449</v>
      </c>
      <c r="E112" s="824" t="s">
        <v>264</v>
      </c>
      <c r="F112" s="825" t="s">
        <v>264</v>
      </c>
      <c r="G112" s="830"/>
      <c r="H112" s="830"/>
      <c r="I112" s="830"/>
      <c r="J112" s="830"/>
      <c r="K112" s="830"/>
      <c r="L112" s="830"/>
      <c r="M112" s="830"/>
      <c r="N112" s="830"/>
      <c r="O112" s="846"/>
      <c r="P112" s="846"/>
      <c r="Q112" s="846"/>
      <c r="R112" s="846"/>
      <c r="S112" s="846"/>
      <c r="T112" s="846"/>
      <c r="U112" s="846"/>
      <c r="V112" s="846"/>
      <c r="W112" s="846"/>
      <c r="X112" s="855"/>
      <c r="Y112" s="855"/>
      <c r="Z112" s="855"/>
      <c r="AA112" s="855"/>
      <c r="AB112" s="855"/>
      <c r="AC112" s="855"/>
      <c r="AD112" s="855"/>
      <c r="AE112" s="855"/>
      <c r="AF112" s="855"/>
      <c r="AG112" s="855"/>
      <c r="AH112" s="862"/>
      <c r="AI112" s="862"/>
      <c r="AJ112" s="862"/>
      <c r="AK112" s="862"/>
      <c r="AL112" s="862"/>
      <c r="AM112" s="862"/>
      <c r="AN112" s="862"/>
      <c r="AO112" s="862"/>
      <c r="AP112" s="862"/>
      <c r="AQ112" s="862"/>
      <c r="AR112" s="872"/>
      <c r="AS112" s="872"/>
      <c r="AT112" s="872"/>
      <c r="AU112" s="872"/>
      <c r="AV112" s="872"/>
      <c r="AW112" s="872"/>
      <c r="AX112" s="872"/>
      <c r="AY112" s="872"/>
      <c r="AZ112" s="877"/>
      <c r="BA112" s="878"/>
      <c r="BB112" s="878"/>
      <c r="BC112" s="878"/>
      <c r="BD112" s="878"/>
      <c r="BE112" s="878"/>
      <c r="BF112" s="878"/>
      <c r="BG112" s="878"/>
      <c r="BH112" s="878"/>
    </row>
    <row r="113" ht="20.25" spans="1:60">
      <c r="A113" s="822" t="s">
        <v>260</v>
      </c>
      <c r="B113" s="834"/>
      <c r="C113" s="887" t="s">
        <v>457</v>
      </c>
      <c r="D113" s="824" t="s">
        <v>436</v>
      </c>
      <c r="E113" s="824" t="s">
        <v>264</v>
      </c>
      <c r="F113" s="825" t="s">
        <v>264</v>
      </c>
      <c r="G113" s="830"/>
      <c r="H113" s="830"/>
      <c r="I113" s="830"/>
      <c r="J113" s="830"/>
      <c r="K113" s="830"/>
      <c r="L113" s="830"/>
      <c r="M113" s="830"/>
      <c r="N113" s="830"/>
      <c r="O113" s="846"/>
      <c r="P113" s="846"/>
      <c r="Q113" s="846"/>
      <c r="R113" s="846"/>
      <c r="S113" s="846"/>
      <c r="T113" s="846"/>
      <c r="U113" s="846"/>
      <c r="V113" s="846"/>
      <c r="W113" s="846"/>
      <c r="X113" s="855"/>
      <c r="Y113" s="855"/>
      <c r="Z113" s="855"/>
      <c r="AA113" s="855"/>
      <c r="AB113" s="855"/>
      <c r="AC113" s="855"/>
      <c r="AD113" s="855"/>
      <c r="AE113" s="855"/>
      <c r="AF113" s="855"/>
      <c r="AG113" s="855"/>
      <c r="AH113" s="862"/>
      <c r="AI113" s="862"/>
      <c r="AJ113" s="862"/>
      <c r="AK113" s="862"/>
      <c r="AL113" s="862"/>
      <c r="AM113" s="862"/>
      <c r="AN113" s="862"/>
      <c r="AO113" s="862"/>
      <c r="AP113" s="862"/>
      <c r="AQ113" s="862"/>
      <c r="AR113" s="872"/>
      <c r="AS113" s="872"/>
      <c r="AT113" s="872"/>
      <c r="AU113" s="872"/>
      <c r="AV113" s="872"/>
      <c r="AW113" s="872"/>
      <c r="AX113" s="872"/>
      <c r="AY113" s="872"/>
      <c r="AZ113" s="877"/>
      <c r="BA113" s="878"/>
      <c r="BB113" s="878"/>
      <c r="BC113" s="878"/>
      <c r="BD113" s="878"/>
      <c r="BE113" s="878"/>
      <c r="BF113" s="878"/>
      <c r="BG113" s="878"/>
      <c r="BH113" s="878"/>
    </row>
    <row r="114" ht="20.25" spans="1:60">
      <c r="A114" s="822" t="s">
        <v>260</v>
      </c>
      <c r="B114" s="834"/>
      <c r="C114" s="888" t="s">
        <v>451</v>
      </c>
      <c r="D114" s="824" t="s">
        <v>449</v>
      </c>
      <c r="E114" s="824" t="s">
        <v>264</v>
      </c>
      <c r="F114" s="825" t="s">
        <v>264</v>
      </c>
      <c r="G114" s="830"/>
      <c r="H114" s="830"/>
      <c r="I114" s="830"/>
      <c r="J114" s="830"/>
      <c r="K114" s="830"/>
      <c r="L114" s="830"/>
      <c r="M114" s="830"/>
      <c r="N114" s="830"/>
      <c r="O114" s="846"/>
      <c r="P114" s="846"/>
      <c r="Q114" s="846"/>
      <c r="R114" s="846"/>
      <c r="S114" s="846"/>
      <c r="T114" s="846"/>
      <c r="U114" s="846"/>
      <c r="V114" s="846"/>
      <c r="W114" s="846"/>
      <c r="X114" s="855"/>
      <c r="Y114" s="855"/>
      <c r="Z114" s="855"/>
      <c r="AA114" s="855"/>
      <c r="AB114" s="855"/>
      <c r="AC114" s="855"/>
      <c r="AD114" s="855"/>
      <c r="AE114" s="855"/>
      <c r="AF114" s="855"/>
      <c r="AG114" s="855"/>
      <c r="AH114" s="862"/>
      <c r="AI114" s="862"/>
      <c r="AJ114" s="862"/>
      <c r="AK114" s="862"/>
      <c r="AL114" s="862"/>
      <c r="AM114" s="862"/>
      <c r="AN114" s="862"/>
      <c r="AO114" s="862"/>
      <c r="AP114" s="862"/>
      <c r="AQ114" s="862"/>
      <c r="AR114" s="872"/>
      <c r="AS114" s="872"/>
      <c r="AT114" s="872"/>
      <c r="AU114" s="872"/>
      <c r="AV114" s="872"/>
      <c r="AW114" s="872"/>
      <c r="AX114" s="872"/>
      <c r="AY114" s="872"/>
      <c r="AZ114" s="877"/>
      <c r="BA114" s="878"/>
      <c r="BB114" s="878"/>
      <c r="BC114" s="878"/>
      <c r="BD114" s="878"/>
      <c r="BE114" s="878"/>
      <c r="BF114" s="878"/>
      <c r="BG114" s="878"/>
      <c r="BH114" s="878"/>
    </row>
    <row r="115" ht="20.25" spans="1:60">
      <c r="A115" s="822" t="s">
        <v>260</v>
      </c>
      <c r="B115" s="834"/>
      <c r="C115" s="888" t="s">
        <v>453</v>
      </c>
      <c r="D115" s="824" t="s">
        <v>449</v>
      </c>
      <c r="E115" s="824" t="s">
        <v>264</v>
      </c>
      <c r="F115" s="825" t="s">
        <v>264</v>
      </c>
      <c r="G115" s="830"/>
      <c r="H115" s="830"/>
      <c r="I115" s="830"/>
      <c r="J115" s="830"/>
      <c r="K115" s="830"/>
      <c r="L115" s="830"/>
      <c r="M115" s="830"/>
      <c r="N115" s="830"/>
      <c r="O115" s="846"/>
      <c r="P115" s="846"/>
      <c r="Q115" s="846"/>
      <c r="R115" s="846"/>
      <c r="S115" s="846"/>
      <c r="T115" s="846"/>
      <c r="U115" s="846"/>
      <c r="V115" s="846"/>
      <c r="W115" s="846"/>
      <c r="X115" s="855"/>
      <c r="Y115" s="855"/>
      <c r="Z115" s="855"/>
      <c r="AA115" s="855"/>
      <c r="AB115" s="855"/>
      <c r="AC115" s="855"/>
      <c r="AD115" s="855"/>
      <c r="AE115" s="855"/>
      <c r="AF115" s="855"/>
      <c r="AG115" s="855"/>
      <c r="AH115" s="862"/>
      <c r="AI115" s="862"/>
      <c r="AJ115" s="862"/>
      <c r="AK115" s="862"/>
      <c r="AL115" s="862"/>
      <c r="AM115" s="862"/>
      <c r="AN115" s="862"/>
      <c r="AO115" s="862"/>
      <c r="AP115" s="862"/>
      <c r="AQ115" s="862"/>
      <c r="AR115" s="872"/>
      <c r="AS115" s="872"/>
      <c r="AT115" s="872"/>
      <c r="AU115" s="872"/>
      <c r="AV115" s="872"/>
      <c r="AW115" s="872"/>
      <c r="AX115" s="872"/>
      <c r="AY115" s="872"/>
      <c r="AZ115" s="877"/>
      <c r="BA115" s="878"/>
      <c r="BB115" s="878"/>
      <c r="BC115" s="878"/>
      <c r="BD115" s="878"/>
      <c r="BE115" s="878"/>
      <c r="BF115" s="878"/>
      <c r="BG115" s="878"/>
      <c r="BH115" s="878"/>
    </row>
    <row r="116" ht="21" spans="1:60">
      <c r="A116" s="807">
        <v>7</v>
      </c>
      <c r="B116" s="836" t="s">
        <v>458</v>
      </c>
      <c r="C116" s="837"/>
      <c r="D116" s="837"/>
      <c r="E116" s="837"/>
      <c r="F116" s="837"/>
      <c r="G116" s="830"/>
      <c r="H116" s="830"/>
      <c r="I116" s="830"/>
      <c r="J116" s="830"/>
      <c r="K116" s="830"/>
      <c r="L116" s="830"/>
      <c r="M116" s="830"/>
      <c r="N116" s="830"/>
      <c r="O116" s="846"/>
      <c r="P116" s="846"/>
      <c r="Q116" s="846"/>
      <c r="R116" s="846"/>
      <c r="S116" s="846"/>
      <c r="T116" s="846"/>
      <c r="U116" s="846"/>
      <c r="V116" s="846"/>
      <c r="W116" s="846"/>
      <c r="X116" s="855"/>
      <c r="Y116" s="855"/>
      <c r="Z116" s="855"/>
      <c r="AA116" s="855"/>
      <c r="AB116" s="855"/>
      <c r="AC116" s="855"/>
      <c r="AD116" s="855"/>
      <c r="AE116" s="855"/>
      <c r="AF116" s="855"/>
      <c r="AG116" s="855"/>
      <c r="AH116" s="862"/>
      <c r="AI116" s="862"/>
      <c r="AJ116" s="862"/>
      <c r="AK116" s="862"/>
      <c r="AL116" s="862"/>
      <c r="AM116" s="862"/>
      <c r="AN116" s="862"/>
      <c r="AO116" s="862"/>
      <c r="AP116" s="862"/>
      <c r="AQ116" s="862"/>
      <c r="AR116" s="872"/>
      <c r="AS116" s="872"/>
      <c r="AT116" s="872"/>
      <c r="AU116" s="872"/>
      <c r="AV116" s="872"/>
      <c r="AW116" s="872"/>
      <c r="AX116" s="872"/>
      <c r="AY116" s="872"/>
      <c r="AZ116" s="877"/>
      <c r="BA116" s="878"/>
      <c r="BB116" s="878"/>
      <c r="BC116" s="878"/>
      <c r="BD116" s="878"/>
      <c r="BE116" s="878"/>
      <c r="BF116" s="878"/>
      <c r="BG116" s="878"/>
      <c r="BH116" s="878"/>
    </row>
    <row r="117" ht="33" customHeight="1" spans="1:60">
      <c r="A117" s="822" t="s">
        <v>260</v>
      </c>
      <c r="B117" s="823" t="s">
        <v>459</v>
      </c>
      <c r="C117" s="824" t="s">
        <v>460</v>
      </c>
      <c r="D117" s="824" t="s">
        <v>461</v>
      </c>
      <c r="E117" s="824" t="s">
        <v>264</v>
      </c>
      <c r="F117" s="825" t="s">
        <v>264</v>
      </c>
      <c r="G117" s="830"/>
      <c r="H117" s="830"/>
      <c r="I117" s="830"/>
      <c r="J117" s="830"/>
      <c r="K117" s="830"/>
      <c r="L117" s="830"/>
      <c r="M117" s="830"/>
      <c r="N117" s="830"/>
      <c r="O117" s="846"/>
      <c r="P117" s="846"/>
      <c r="Q117" s="846"/>
      <c r="R117" s="846"/>
      <c r="S117" s="846"/>
      <c r="T117" s="846"/>
      <c r="U117" s="846"/>
      <c r="V117" s="846"/>
      <c r="W117" s="846"/>
      <c r="X117" s="855"/>
      <c r="Y117" s="855"/>
      <c r="Z117" s="855"/>
      <c r="AA117" s="855"/>
      <c r="AB117" s="855"/>
      <c r="AC117" s="855"/>
      <c r="AD117" s="855"/>
      <c r="AE117" s="855"/>
      <c r="AF117" s="855"/>
      <c r="AG117" s="855"/>
      <c r="AH117" s="862"/>
      <c r="AI117" s="862"/>
      <c r="AJ117" s="862"/>
      <c r="AK117" s="862"/>
      <c r="AL117" s="862"/>
      <c r="AM117" s="862"/>
      <c r="AN117" s="862"/>
      <c r="AO117" s="862"/>
      <c r="AP117" s="862"/>
      <c r="AQ117" s="862"/>
      <c r="AR117" s="872"/>
      <c r="AS117" s="872"/>
      <c r="AT117" s="872"/>
      <c r="AU117" s="872"/>
      <c r="AV117" s="872"/>
      <c r="AW117" s="872"/>
      <c r="AX117" s="872"/>
      <c r="AY117" s="872"/>
      <c r="AZ117" s="877"/>
      <c r="BA117" s="878"/>
      <c r="BB117" s="878"/>
      <c r="BC117" s="878"/>
      <c r="BD117" s="878"/>
      <c r="BE117" s="878"/>
      <c r="BF117" s="878"/>
      <c r="BG117" s="878"/>
      <c r="BH117" s="878"/>
    </row>
    <row r="118" ht="46.05" customHeight="1" spans="1:60">
      <c r="A118" s="822" t="s">
        <v>260</v>
      </c>
      <c r="B118" s="827"/>
      <c r="C118" s="824" t="s">
        <v>462</v>
      </c>
      <c r="D118" s="824" t="s">
        <v>463</v>
      </c>
      <c r="E118" s="824" t="s">
        <v>264</v>
      </c>
      <c r="F118" s="825" t="s">
        <v>264</v>
      </c>
      <c r="G118" s="830"/>
      <c r="H118" s="830"/>
      <c r="I118" s="830"/>
      <c r="J118" s="830"/>
      <c r="K118" s="830"/>
      <c r="L118" s="830"/>
      <c r="M118" s="830"/>
      <c r="N118" s="830"/>
      <c r="O118" s="846"/>
      <c r="P118" s="846"/>
      <c r="Q118" s="846"/>
      <c r="R118" s="846"/>
      <c r="S118" s="846"/>
      <c r="T118" s="846"/>
      <c r="U118" s="846"/>
      <c r="V118" s="846"/>
      <c r="W118" s="846"/>
      <c r="X118" s="855"/>
      <c r="Y118" s="855"/>
      <c r="Z118" s="855"/>
      <c r="AA118" s="855"/>
      <c r="AB118" s="855"/>
      <c r="AC118" s="855"/>
      <c r="AD118" s="855"/>
      <c r="AE118" s="855"/>
      <c r="AF118" s="855"/>
      <c r="AG118" s="855"/>
      <c r="AH118" s="862"/>
      <c r="AI118" s="862"/>
      <c r="AJ118" s="862"/>
      <c r="AK118" s="862"/>
      <c r="AL118" s="862"/>
      <c r="AM118" s="862"/>
      <c r="AN118" s="862"/>
      <c r="AO118" s="862"/>
      <c r="AP118" s="862"/>
      <c r="AQ118" s="862"/>
      <c r="AR118" s="872"/>
      <c r="AS118" s="872"/>
      <c r="AT118" s="872"/>
      <c r="AU118" s="872"/>
      <c r="AV118" s="872"/>
      <c r="AW118" s="872"/>
      <c r="AX118" s="872"/>
      <c r="AY118" s="872"/>
      <c r="AZ118" s="877"/>
      <c r="BA118" s="878"/>
      <c r="BB118" s="878"/>
      <c r="BC118" s="878"/>
      <c r="BD118" s="878"/>
      <c r="BE118" s="878"/>
      <c r="BF118" s="878"/>
      <c r="BG118" s="878"/>
      <c r="BH118" s="878"/>
    </row>
    <row r="119" ht="40.95" customHeight="1" spans="1:60">
      <c r="A119" s="822" t="s">
        <v>260</v>
      </c>
      <c r="B119" s="827"/>
      <c r="C119" s="824" t="s">
        <v>464</v>
      </c>
      <c r="D119" s="824" t="s">
        <v>465</v>
      </c>
      <c r="E119" s="824" t="s">
        <v>264</v>
      </c>
      <c r="F119" s="825" t="s">
        <v>264</v>
      </c>
      <c r="G119" s="830"/>
      <c r="H119" s="830"/>
      <c r="I119" s="830"/>
      <c r="J119" s="830"/>
      <c r="K119" s="830"/>
      <c r="L119" s="830"/>
      <c r="M119" s="830"/>
      <c r="N119" s="830"/>
      <c r="O119" s="846"/>
      <c r="P119" s="846"/>
      <c r="Q119" s="846"/>
      <c r="R119" s="846"/>
      <c r="S119" s="846"/>
      <c r="T119" s="846"/>
      <c r="U119" s="846"/>
      <c r="V119" s="846"/>
      <c r="W119" s="846"/>
      <c r="X119" s="855"/>
      <c r="Y119" s="855"/>
      <c r="Z119" s="855"/>
      <c r="AA119" s="855"/>
      <c r="AB119" s="855"/>
      <c r="AC119" s="855"/>
      <c r="AD119" s="855"/>
      <c r="AE119" s="855"/>
      <c r="AF119" s="855"/>
      <c r="AG119" s="855"/>
      <c r="AH119" s="862"/>
      <c r="AI119" s="862"/>
      <c r="AJ119" s="862"/>
      <c r="AK119" s="862"/>
      <c r="AL119" s="862"/>
      <c r="AM119" s="862"/>
      <c r="AN119" s="862"/>
      <c r="AO119" s="862"/>
      <c r="AP119" s="862"/>
      <c r="AQ119" s="862"/>
      <c r="AR119" s="872"/>
      <c r="AS119" s="872"/>
      <c r="AT119" s="872"/>
      <c r="AU119" s="872"/>
      <c r="AV119" s="872"/>
      <c r="AW119" s="872"/>
      <c r="AX119" s="872"/>
      <c r="AY119" s="872"/>
      <c r="AZ119" s="877"/>
      <c r="BA119" s="878"/>
      <c r="BB119" s="878"/>
      <c r="BC119" s="878"/>
      <c r="BD119" s="878"/>
      <c r="BE119" s="878"/>
      <c r="BF119" s="878"/>
      <c r="BG119" s="878"/>
      <c r="BH119" s="878"/>
    </row>
    <row r="120" ht="20.25" spans="1:60">
      <c r="A120" s="822" t="s">
        <v>260</v>
      </c>
      <c r="B120" s="829"/>
      <c r="C120" s="824" t="s">
        <v>466</v>
      </c>
      <c r="D120" s="824" t="s">
        <v>467</v>
      </c>
      <c r="E120" s="824" t="s">
        <v>264</v>
      </c>
      <c r="F120" s="825" t="s">
        <v>264</v>
      </c>
      <c r="G120" s="830"/>
      <c r="H120" s="830"/>
      <c r="I120" s="830"/>
      <c r="J120" s="830"/>
      <c r="K120" s="830"/>
      <c r="L120" s="830"/>
      <c r="M120" s="830"/>
      <c r="N120" s="830"/>
      <c r="O120" s="846"/>
      <c r="P120" s="846"/>
      <c r="Q120" s="846"/>
      <c r="R120" s="846"/>
      <c r="S120" s="846"/>
      <c r="T120" s="846"/>
      <c r="U120" s="846"/>
      <c r="V120" s="846"/>
      <c r="W120" s="846"/>
      <c r="X120" s="855"/>
      <c r="Y120" s="855"/>
      <c r="Z120" s="855"/>
      <c r="AA120" s="855"/>
      <c r="AB120" s="855"/>
      <c r="AC120" s="855"/>
      <c r="AD120" s="855"/>
      <c r="AE120" s="855"/>
      <c r="AF120" s="855"/>
      <c r="AG120" s="855"/>
      <c r="AH120" s="862"/>
      <c r="AI120" s="862"/>
      <c r="AJ120" s="862"/>
      <c r="AK120" s="862"/>
      <c r="AL120" s="862"/>
      <c r="AM120" s="862"/>
      <c r="AN120" s="862"/>
      <c r="AO120" s="862"/>
      <c r="AP120" s="862"/>
      <c r="AQ120" s="862"/>
      <c r="AR120" s="872"/>
      <c r="AS120" s="872"/>
      <c r="AT120" s="872"/>
      <c r="AU120" s="872"/>
      <c r="AV120" s="872"/>
      <c r="AW120" s="872"/>
      <c r="AX120" s="872"/>
      <c r="AY120" s="872"/>
      <c r="AZ120" s="877"/>
      <c r="BA120" s="878"/>
      <c r="BB120" s="878"/>
      <c r="BC120" s="878"/>
      <c r="BD120" s="878"/>
      <c r="BE120" s="878"/>
      <c r="BF120" s="878"/>
      <c r="BG120" s="878"/>
      <c r="BH120" s="878"/>
    </row>
    <row r="121" ht="21" spans="1:60">
      <c r="A121" s="807">
        <v>8</v>
      </c>
      <c r="B121" s="836" t="s">
        <v>468</v>
      </c>
      <c r="C121" s="837"/>
      <c r="D121" s="837"/>
      <c r="E121" s="837"/>
      <c r="F121" s="837"/>
      <c r="G121" s="830"/>
      <c r="H121" s="830"/>
      <c r="I121" s="830"/>
      <c r="J121" s="830"/>
      <c r="K121" s="830"/>
      <c r="L121" s="830"/>
      <c r="M121" s="830"/>
      <c r="N121" s="830"/>
      <c r="O121" s="846"/>
      <c r="P121" s="846"/>
      <c r="Q121" s="846"/>
      <c r="R121" s="846"/>
      <c r="S121" s="846"/>
      <c r="T121" s="846"/>
      <c r="U121" s="846"/>
      <c r="V121" s="846"/>
      <c r="W121" s="846"/>
      <c r="X121" s="855"/>
      <c r="Y121" s="855"/>
      <c r="Z121" s="855"/>
      <c r="AA121" s="855"/>
      <c r="AB121" s="855"/>
      <c r="AC121" s="855"/>
      <c r="AD121" s="855"/>
      <c r="AE121" s="855"/>
      <c r="AF121" s="855"/>
      <c r="AG121" s="855"/>
      <c r="AH121" s="862"/>
      <c r="AI121" s="862"/>
      <c r="AJ121" s="862"/>
      <c r="AK121" s="862"/>
      <c r="AL121" s="862"/>
      <c r="AM121" s="862"/>
      <c r="AN121" s="862"/>
      <c r="AO121" s="862"/>
      <c r="AP121" s="862"/>
      <c r="AQ121" s="862"/>
      <c r="AR121" s="872"/>
      <c r="AS121" s="872"/>
      <c r="AT121" s="872"/>
      <c r="AU121" s="872"/>
      <c r="AV121" s="872"/>
      <c r="AW121" s="872"/>
      <c r="AX121" s="872"/>
      <c r="AY121" s="872"/>
      <c r="AZ121" s="877"/>
      <c r="BA121" s="878"/>
      <c r="BB121" s="878"/>
      <c r="BC121" s="878"/>
      <c r="BD121" s="878"/>
      <c r="BE121" s="878"/>
      <c r="BF121" s="878"/>
      <c r="BG121" s="878"/>
      <c r="BH121" s="878"/>
    </row>
    <row r="122" ht="20.25" spans="1:60">
      <c r="A122" s="822" t="s">
        <v>260</v>
      </c>
      <c r="B122" s="827" t="s">
        <v>468</v>
      </c>
      <c r="C122" s="824" t="s">
        <v>469</v>
      </c>
      <c r="D122" s="824" t="s">
        <v>470</v>
      </c>
      <c r="E122" s="824" t="s">
        <v>264</v>
      </c>
      <c r="F122" s="825" t="s">
        <v>264</v>
      </c>
      <c r="G122" s="830"/>
      <c r="H122" s="830"/>
      <c r="I122" s="830"/>
      <c r="J122" s="830"/>
      <c r="K122" s="830"/>
      <c r="L122" s="830"/>
      <c r="M122" s="830"/>
      <c r="N122" s="830"/>
      <c r="O122" s="846"/>
      <c r="P122" s="846"/>
      <c r="Q122" s="846"/>
      <c r="R122" s="846"/>
      <c r="S122" s="846"/>
      <c r="T122" s="846"/>
      <c r="U122" s="846"/>
      <c r="V122" s="846"/>
      <c r="W122" s="846"/>
      <c r="X122" s="855"/>
      <c r="Y122" s="855"/>
      <c r="Z122" s="855"/>
      <c r="AA122" s="855"/>
      <c r="AB122" s="855"/>
      <c r="AC122" s="855"/>
      <c r="AD122" s="855"/>
      <c r="AE122" s="855"/>
      <c r="AF122" s="855"/>
      <c r="AG122" s="855"/>
      <c r="AH122" s="862"/>
      <c r="AI122" s="862"/>
      <c r="AJ122" s="862"/>
      <c r="AK122" s="862"/>
      <c r="AL122" s="862"/>
      <c r="AM122" s="862"/>
      <c r="AN122" s="862"/>
      <c r="AO122" s="862"/>
      <c r="AP122" s="862"/>
      <c r="AQ122" s="862"/>
      <c r="AR122" s="872"/>
      <c r="AS122" s="872"/>
      <c r="AT122" s="872"/>
      <c r="AU122" s="872"/>
      <c r="AV122" s="872"/>
      <c r="AW122" s="872"/>
      <c r="AX122" s="872"/>
      <c r="AY122" s="872"/>
      <c r="AZ122" s="877"/>
      <c r="BA122" s="878"/>
      <c r="BB122" s="878"/>
      <c r="BC122" s="878"/>
      <c r="BD122" s="878"/>
      <c r="BE122" s="878"/>
      <c r="BF122" s="878"/>
      <c r="BG122" s="878"/>
      <c r="BH122" s="878"/>
    </row>
    <row r="123" ht="20.25" spans="1:60">
      <c r="A123" s="822" t="s">
        <v>260</v>
      </c>
      <c r="B123" s="827"/>
      <c r="C123" s="824" t="s">
        <v>471</v>
      </c>
      <c r="D123" s="824" t="s">
        <v>472</v>
      </c>
      <c r="E123" s="824" t="s">
        <v>264</v>
      </c>
      <c r="F123" s="825" t="s">
        <v>264</v>
      </c>
      <c r="G123" s="830"/>
      <c r="H123" s="830"/>
      <c r="I123" s="830"/>
      <c r="J123" s="830"/>
      <c r="K123" s="830"/>
      <c r="L123" s="830"/>
      <c r="M123" s="830"/>
      <c r="N123" s="830"/>
      <c r="O123" s="846"/>
      <c r="P123" s="846"/>
      <c r="Q123" s="846"/>
      <c r="R123" s="846"/>
      <c r="S123" s="846"/>
      <c r="T123" s="846"/>
      <c r="U123" s="846"/>
      <c r="V123" s="846"/>
      <c r="W123" s="846"/>
      <c r="X123" s="855"/>
      <c r="Y123" s="855"/>
      <c r="Z123" s="855"/>
      <c r="AA123" s="855"/>
      <c r="AB123" s="855"/>
      <c r="AC123" s="855"/>
      <c r="AD123" s="855"/>
      <c r="AE123" s="855"/>
      <c r="AF123" s="855"/>
      <c r="AG123" s="855"/>
      <c r="AH123" s="862"/>
      <c r="AI123" s="862"/>
      <c r="AJ123" s="862"/>
      <c r="AK123" s="862"/>
      <c r="AL123" s="862"/>
      <c r="AM123" s="862"/>
      <c r="AN123" s="862"/>
      <c r="AO123" s="862"/>
      <c r="AP123" s="862"/>
      <c r="AQ123" s="862"/>
      <c r="AR123" s="872"/>
      <c r="AS123" s="872"/>
      <c r="AT123" s="872"/>
      <c r="AU123" s="872"/>
      <c r="AV123" s="872"/>
      <c r="AW123" s="872"/>
      <c r="AX123" s="872"/>
      <c r="AY123" s="872"/>
      <c r="AZ123" s="877"/>
      <c r="BA123" s="878"/>
      <c r="BB123" s="878"/>
      <c r="BC123" s="878"/>
      <c r="BD123" s="878"/>
      <c r="BE123" s="878"/>
      <c r="BF123" s="878"/>
      <c r="BG123" s="878"/>
      <c r="BH123" s="878"/>
    </row>
    <row r="124" ht="20.25" spans="1:60">
      <c r="A124" s="822" t="s">
        <v>260</v>
      </c>
      <c r="B124" s="827"/>
      <c r="C124" s="824" t="s">
        <v>473</v>
      </c>
      <c r="D124" s="824" t="s">
        <v>474</v>
      </c>
      <c r="E124" s="824" t="s">
        <v>264</v>
      </c>
      <c r="F124" s="825" t="s">
        <v>264</v>
      </c>
      <c r="G124" s="830"/>
      <c r="H124" s="830"/>
      <c r="I124" s="830"/>
      <c r="J124" s="830"/>
      <c r="K124" s="830"/>
      <c r="L124" s="830"/>
      <c r="M124" s="830"/>
      <c r="N124" s="830"/>
      <c r="O124" s="846"/>
      <c r="P124" s="846"/>
      <c r="Q124" s="846"/>
      <c r="R124" s="846"/>
      <c r="S124" s="846"/>
      <c r="T124" s="846"/>
      <c r="U124" s="846"/>
      <c r="V124" s="846"/>
      <c r="W124" s="846"/>
      <c r="X124" s="855"/>
      <c r="Y124" s="855"/>
      <c r="Z124" s="855"/>
      <c r="AA124" s="855"/>
      <c r="AB124" s="855"/>
      <c r="AC124" s="855"/>
      <c r="AD124" s="855"/>
      <c r="AE124" s="855"/>
      <c r="AF124" s="855"/>
      <c r="AG124" s="855"/>
      <c r="AH124" s="862"/>
      <c r="AI124" s="862"/>
      <c r="AJ124" s="862"/>
      <c r="AK124" s="862"/>
      <c r="AL124" s="862"/>
      <c r="AM124" s="862"/>
      <c r="AN124" s="862"/>
      <c r="AO124" s="862"/>
      <c r="AP124" s="862"/>
      <c r="AQ124" s="862"/>
      <c r="AR124" s="872"/>
      <c r="AS124" s="872"/>
      <c r="AT124" s="872"/>
      <c r="AU124" s="872"/>
      <c r="AV124" s="872"/>
      <c r="AW124" s="872"/>
      <c r="AX124" s="872"/>
      <c r="AY124" s="872"/>
      <c r="AZ124" s="877"/>
      <c r="BA124" s="878"/>
      <c r="BB124" s="878"/>
      <c r="BC124" s="878"/>
      <c r="BD124" s="878"/>
      <c r="BE124" s="878"/>
      <c r="BF124" s="878"/>
      <c r="BG124" s="878"/>
      <c r="BH124" s="878"/>
    </row>
    <row r="125" ht="20.25" spans="1:60">
      <c r="A125" s="822" t="s">
        <v>260</v>
      </c>
      <c r="B125" s="827"/>
      <c r="C125" s="824" t="s">
        <v>475</v>
      </c>
      <c r="D125" s="824" t="s">
        <v>476</v>
      </c>
      <c r="E125" s="824" t="s">
        <v>264</v>
      </c>
      <c r="F125" s="825" t="s">
        <v>264</v>
      </c>
      <c r="G125" s="830"/>
      <c r="H125" s="830"/>
      <c r="I125" s="830"/>
      <c r="J125" s="830"/>
      <c r="K125" s="830"/>
      <c r="L125" s="830"/>
      <c r="M125" s="830"/>
      <c r="N125" s="830"/>
      <c r="O125" s="846"/>
      <c r="P125" s="846"/>
      <c r="Q125" s="846"/>
      <c r="R125" s="846"/>
      <c r="S125" s="846"/>
      <c r="T125" s="846"/>
      <c r="U125" s="846"/>
      <c r="V125" s="846"/>
      <c r="W125" s="846"/>
      <c r="X125" s="855"/>
      <c r="Y125" s="855"/>
      <c r="Z125" s="855"/>
      <c r="AA125" s="855"/>
      <c r="AB125" s="855"/>
      <c r="AC125" s="855"/>
      <c r="AD125" s="855"/>
      <c r="AE125" s="855"/>
      <c r="AF125" s="855"/>
      <c r="AG125" s="855"/>
      <c r="AH125" s="862"/>
      <c r="AI125" s="862"/>
      <c r="AJ125" s="862"/>
      <c r="AK125" s="862"/>
      <c r="AL125" s="862"/>
      <c r="AM125" s="862"/>
      <c r="AN125" s="862"/>
      <c r="AO125" s="862"/>
      <c r="AP125" s="862"/>
      <c r="AQ125" s="862"/>
      <c r="AR125" s="872"/>
      <c r="AS125" s="872"/>
      <c r="AT125" s="872"/>
      <c r="AU125" s="872"/>
      <c r="AV125" s="872"/>
      <c r="AW125" s="872"/>
      <c r="AX125" s="872"/>
      <c r="AY125" s="872"/>
      <c r="AZ125" s="877"/>
      <c r="BA125" s="878"/>
      <c r="BB125" s="878"/>
      <c r="BC125" s="878"/>
      <c r="BD125" s="878"/>
      <c r="BE125" s="878"/>
      <c r="BF125" s="878"/>
      <c r="BG125" s="878"/>
      <c r="BH125" s="878"/>
    </row>
    <row r="126" ht="20.25" spans="1:60">
      <c r="A126" s="822" t="s">
        <v>260</v>
      </c>
      <c r="B126" s="829"/>
      <c r="C126" s="824" t="s">
        <v>477</v>
      </c>
      <c r="D126" s="824" t="s">
        <v>478</v>
      </c>
      <c r="E126" s="824" t="s">
        <v>264</v>
      </c>
      <c r="F126" s="825" t="s">
        <v>264</v>
      </c>
      <c r="G126" s="830"/>
      <c r="H126" s="830"/>
      <c r="I126" s="830"/>
      <c r="J126" s="830"/>
      <c r="K126" s="830"/>
      <c r="L126" s="830"/>
      <c r="M126" s="830"/>
      <c r="N126" s="830"/>
      <c r="O126" s="846"/>
      <c r="P126" s="846"/>
      <c r="Q126" s="846"/>
      <c r="R126" s="846"/>
      <c r="S126" s="846"/>
      <c r="T126" s="846"/>
      <c r="U126" s="846"/>
      <c r="V126" s="846"/>
      <c r="W126" s="846"/>
      <c r="X126" s="855"/>
      <c r="Y126" s="855"/>
      <c r="Z126" s="855"/>
      <c r="AA126" s="855"/>
      <c r="AB126" s="855"/>
      <c r="AC126" s="855"/>
      <c r="AD126" s="855"/>
      <c r="AE126" s="855"/>
      <c r="AF126" s="855"/>
      <c r="AG126" s="855"/>
      <c r="AH126" s="862"/>
      <c r="AI126" s="862"/>
      <c r="AJ126" s="862"/>
      <c r="AK126" s="862"/>
      <c r="AL126" s="862"/>
      <c r="AM126" s="862"/>
      <c r="AN126" s="862"/>
      <c r="AO126" s="862"/>
      <c r="AP126" s="862"/>
      <c r="AQ126" s="862"/>
      <c r="AR126" s="872"/>
      <c r="AS126" s="872"/>
      <c r="AT126" s="872"/>
      <c r="AU126" s="872"/>
      <c r="AV126" s="872"/>
      <c r="AW126" s="872"/>
      <c r="AX126" s="872"/>
      <c r="AY126" s="872"/>
      <c r="AZ126" s="877"/>
      <c r="BA126" s="878"/>
      <c r="BB126" s="878"/>
      <c r="BC126" s="878"/>
      <c r="BD126" s="878"/>
      <c r="BE126" s="878"/>
      <c r="BF126" s="878"/>
      <c r="BG126" s="878"/>
      <c r="BH126" s="878"/>
    </row>
    <row r="127" ht="21" spans="1:60">
      <c r="A127" s="807">
        <v>9</v>
      </c>
      <c r="B127" s="836" t="s">
        <v>479</v>
      </c>
      <c r="C127" s="837"/>
      <c r="D127" s="837"/>
      <c r="E127" s="837"/>
      <c r="F127" s="837"/>
      <c r="G127" s="830"/>
      <c r="H127" s="830"/>
      <c r="I127" s="830"/>
      <c r="J127" s="830"/>
      <c r="K127" s="830"/>
      <c r="L127" s="830"/>
      <c r="M127" s="830"/>
      <c r="N127" s="830"/>
      <c r="O127" s="846"/>
      <c r="P127" s="846"/>
      <c r="Q127" s="846"/>
      <c r="R127" s="846"/>
      <c r="S127" s="846"/>
      <c r="T127" s="846"/>
      <c r="U127" s="846"/>
      <c r="V127" s="846"/>
      <c r="W127" s="846"/>
      <c r="X127" s="855"/>
      <c r="Y127" s="855"/>
      <c r="Z127" s="855"/>
      <c r="AA127" s="855"/>
      <c r="AB127" s="855"/>
      <c r="AC127" s="855"/>
      <c r="AD127" s="855"/>
      <c r="AE127" s="855"/>
      <c r="AF127" s="855"/>
      <c r="AG127" s="855"/>
      <c r="AH127" s="862"/>
      <c r="AI127" s="862"/>
      <c r="AJ127" s="862"/>
      <c r="AK127" s="862"/>
      <c r="AL127" s="862"/>
      <c r="AM127" s="862"/>
      <c r="AN127" s="862"/>
      <c r="AO127" s="862"/>
      <c r="AP127" s="862"/>
      <c r="AQ127" s="862"/>
      <c r="AR127" s="872"/>
      <c r="AS127" s="872"/>
      <c r="AT127" s="872"/>
      <c r="AU127" s="872"/>
      <c r="AV127" s="872"/>
      <c r="AW127" s="872"/>
      <c r="AX127" s="872"/>
      <c r="AY127" s="872"/>
      <c r="AZ127" s="877"/>
      <c r="BA127" s="878"/>
      <c r="BB127" s="878"/>
      <c r="BC127" s="878"/>
      <c r="BD127" s="878"/>
      <c r="BE127" s="878"/>
      <c r="BF127" s="878"/>
      <c r="BG127" s="878"/>
      <c r="BH127" s="878"/>
    </row>
    <row r="128" ht="21" spans="1:60">
      <c r="A128" s="838"/>
      <c r="B128" s="839" t="s">
        <v>480</v>
      </c>
      <c r="C128" s="840"/>
      <c r="D128" s="840"/>
      <c r="E128" s="840"/>
      <c r="F128" s="840"/>
      <c r="G128" s="830"/>
      <c r="H128" s="830"/>
      <c r="I128" s="830"/>
      <c r="J128" s="830"/>
      <c r="K128" s="830"/>
      <c r="L128" s="830"/>
      <c r="M128" s="830"/>
      <c r="N128" s="830"/>
      <c r="O128" s="846"/>
      <c r="P128" s="846"/>
      <c r="Q128" s="846"/>
      <c r="R128" s="846"/>
      <c r="S128" s="846"/>
      <c r="T128" s="846"/>
      <c r="U128" s="846"/>
      <c r="V128" s="846"/>
      <c r="W128" s="846"/>
      <c r="X128" s="855"/>
      <c r="Y128" s="855"/>
      <c r="Z128" s="855"/>
      <c r="AA128" s="855"/>
      <c r="AB128" s="855"/>
      <c r="AC128" s="855"/>
      <c r="AD128" s="855"/>
      <c r="AE128" s="855"/>
      <c r="AF128" s="855"/>
      <c r="AG128" s="855"/>
      <c r="AH128" s="862"/>
      <c r="AI128" s="862"/>
      <c r="AJ128" s="862"/>
      <c r="AK128" s="862"/>
      <c r="AL128" s="862"/>
      <c r="AM128" s="862"/>
      <c r="AN128" s="862"/>
      <c r="AO128" s="862"/>
      <c r="AP128" s="862"/>
      <c r="AQ128" s="862"/>
      <c r="AR128" s="872"/>
      <c r="AS128" s="872"/>
      <c r="AT128" s="872"/>
      <c r="AU128" s="872"/>
      <c r="AV128" s="872"/>
      <c r="AW128" s="872"/>
      <c r="AX128" s="872"/>
      <c r="AY128" s="872"/>
      <c r="AZ128" s="877"/>
      <c r="BA128" s="878"/>
      <c r="BB128" s="878"/>
      <c r="BC128" s="878"/>
      <c r="BD128" s="878"/>
      <c r="BE128" s="878"/>
      <c r="BF128" s="878"/>
      <c r="BG128" s="878"/>
      <c r="BH128" s="878"/>
    </row>
    <row r="129" ht="20.25" spans="1:60">
      <c r="A129" s="822" t="s">
        <v>260</v>
      </c>
      <c r="B129" s="834" t="s">
        <v>480</v>
      </c>
      <c r="C129" s="889" t="s">
        <v>481</v>
      </c>
      <c r="D129" s="824" t="s">
        <v>482</v>
      </c>
      <c r="E129" s="824" t="s">
        <v>264</v>
      </c>
      <c r="F129" s="825" t="s">
        <v>264</v>
      </c>
      <c r="G129" s="830"/>
      <c r="H129" s="830"/>
      <c r="I129" s="830"/>
      <c r="J129" s="830"/>
      <c r="K129" s="830"/>
      <c r="L129" s="830"/>
      <c r="M129" s="830"/>
      <c r="N129" s="830"/>
      <c r="O129" s="846"/>
      <c r="P129" s="846"/>
      <c r="Q129" s="846"/>
      <c r="R129" s="846"/>
      <c r="S129" s="846"/>
      <c r="T129" s="846"/>
      <c r="U129" s="846"/>
      <c r="V129" s="846"/>
      <c r="W129" s="846"/>
      <c r="X129" s="855"/>
      <c r="Y129" s="855"/>
      <c r="Z129" s="855"/>
      <c r="AA129" s="855"/>
      <c r="AB129" s="855"/>
      <c r="AC129" s="855"/>
      <c r="AD129" s="855"/>
      <c r="AE129" s="855"/>
      <c r="AF129" s="855"/>
      <c r="AG129" s="855"/>
      <c r="AH129" s="862"/>
      <c r="AI129" s="862"/>
      <c r="AJ129" s="862"/>
      <c r="AK129" s="862"/>
      <c r="AL129" s="862"/>
      <c r="AM129" s="862"/>
      <c r="AN129" s="862"/>
      <c r="AO129" s="862"/>
      <c r="AP129" s="862"/>
      <c r="AQ129" s="862"/>
      <c r="AR129" s="872"/>
      <c r="AS129" s="872"/>
      <c r="AT129" s="872"/>
      <c r="AU129" s="872"/>
      <c r="AV129" s="872"/>
      <c r="AW129" s="872"/>
      <c r="AX129" s="872"/>
      <c r="AY129" s="872"/>
      <c r="AZ129" s="878"/>
      <c r="BA129" s="878"/>
      <c r="BB129" s="878"/>
      <c r="BC129" s="878"/>
      <c r="BD129" s="878"/>
      <c r="BE129" s="878"/>
      <c r="BF129" s="878"/>
      <c r="BG129" s="878"/>
      <c r="BH129" s="878"/>
    </row>
    <row r="130" ht="20.25" spans="1:60">
      <c r="A130" s="822" t="s">
        <v>260</v>
      </c>
      <c r="B130" s="834"/>
      <c r="C130" s="824" t="s">
        <v>483</v>
      </c>
      <c r="D130" s="824" t="s">
        <v>484</v>
      </c>
      <c r="E130" s="824" t="s">
        <v>264</v>
      </c>
      <c r="F130" s="825" t="s">
        <v>264</v>
      </c>
      <c r="G130" s="830"/>
      <c r="H130" s="830"/>
      <c r="I130" s="830"/>
      <c r="J130" s="830"/>
      <c r="K130" s="830"/>
      <c r="L130" s="830"/>
      <c r="M130" s="830"/>
      <c r="N130" s="830"/>
      <c r="O130" s="846"/>
      <c r="P130" s="846"/>
      <c r="Q130" s="846"/>
      <c r="R130" s="846"/>
      <c r="S130" s="846"/>
      <c r="T130" s="846"/>
      <c r="U130" s="846"/>
      <c r="V130" s="846"/>
      <c r="W130" s="846"/>
      <c r="X130" s="855"/>
      <c r="Y130" s="855"/>
      <c r="Z130" s="855"/>
      <c r="AA130" s="855"/>
      <c r="AB130" s="855"/>
      <c r="AC130" s="855"/>
      <c r="AD130" s="855"/>
      <c r="AE130" s="855"/>
      <c r="AF130" s="855"/>
      <c r="AG130" s="855"/>
      <c r="AH130" s="862"/>
      <c r="AI130" s="862"/>
      <c r="AJ130" s="862"/>
      <c r="AK130" s="862"/>
      <c r="AL130" s="862"/>
      <c r="AM130" s="862"/>
      <c r="AN130" s="862"/>
      <c r="AO130" s="862"/>
      <c r="AP130" s="862"/>
      <c r="AQ130" s="862"/>
      <c r="AR130" s="872"/>
      <c r="AS130" s="872"/>
      <c r="AT130" s="872"/>
      <c r="AU130" s="872"/>
      <c r="AV130" s="872"/>
      <c r="AW130" s="872"/>
      <c r="AX130" s="872"/>
      <c r="AY130" s="872"/>
      <c r="AZ130" s="878"/>
      <c r="BA130" s="878"/>
      <c r="BB130" s="878"/>
      <c r="BC130" s="878"/>
      <c r="BD130" s="878"/>
      <c r="BE130" s="878"/>
      <c r="BF130" s="878"/>
      <c r="BG130" s="878"/>
      <c r="BH130" s="878"/>
    </row>
    <row r="131" ht="20.25" spans="1:60">
      <c r="A131" s="822" t="s">
        <v>260</v>
      </c>
      <c r="B131" s="834"/>
      <c r="C131" s="824" t="s">
        <v>485</v>
      </c>
      <c r="D131" s="824" t="s">
        <v>486</v>
      </c>
      <c r="E131" s="824" t="s">
        <v>264</v>
      </c>
      <c r="F131" s="825" t="s">
        <v>264</v>
      </c>
      <c r="G131" s="830"/>
      <c r="H131" s="830"/>
      <c r="I131" s="830"/>
      <c r="J131" s="830"/>
      <c r="K131" s="830"/>
      <c r="L131" s="830"/>
      <c r="M131" s="830"/>
      <c r="N131" s="830"/>
      <c r="O131" s="846"/>
      <c r="P131" s="846"/>
      <c r="Q131" s="846"/>
      <c r="R131" s="846"/>
      <c r="S131" s="846"/>
      <c r="T131" s="846"/>
      <c r="U131" s="846"/>
      <c r="V131" s="846"/>
      <c r="W131" s="846"/>
      <c r="X131" s="855"/>
      <c r="Y131" s="855"/>
      <c r="Z131" s="855"/>
      <c r="AA131" s="855"/>
      <c r="AB131" s="855"/>
      <c r="AC131" s="855"/>
      <c r="AD131" s="855"/>
      <c r="AE131" s="855"/>
      <c r="AF131" s="855"/>
      <c r="AG131" s="855"/>
      <c r="AH131" s="862"/>
      <c r="AI131" s="862"/>
      <c r="AJ131" s="862"/>
      <c r="AK131" s="862"/>
      <c r="AL131" s="862"/>
      <c r="AM131" s="862"/>
      <c r="AN131" s="862"/>
      <c r="AO131" s="862"/>
      <c r="AP131" s="862"/>
      <c r="AQ131" s="862"/>
      <c r="AR131" s="872"/>
      <c r="AS131" s="872"/>
      <c r="AT131" s="872"/>
      <c r="AU131" s="872"/>
      <c r="AV131" s="872"/>
      <c r="AW131" s="872"/>
      <c r="AX131" s="872"/>
      <c r="AY131" s="872"/>
      <c r="AZ131" s="878"/>
      <c r="BA131" s="878"/>
      <c r="BB131" s="878"/>
      <c r="BC131" s="878"/>
      <c r="BD131" s="878"/>
      <c r="BE131" s="878"/>
      <c r="BF131" s="878"/>
      <c r="BG131" s="878"/>
      <c r="BH131" s="878"/>
    </row>
    <row r="132" ht="20.25" spans="1:60">
      <c r="A132" s="822" t="s">
        <v>260</v>
      </c>
      <c r="B132" s="834"/>
      <c r="C132" s="824" t="s">
        <v>487</v>
      </c>
      <c r="D132" s="824" t="s">
        <v>486</v>
      </c>
      <c r="E132" s="824" t="s">
        <v>264</v>
      </c>
      <c r="F132" s="825" t="s">
        <v>264</v>
      </c>
      <c r="G132" s="830"/>
      <c r="H132" s="830"/>
      <c r="I132" s="830"/>
      <c r="J132" s="830"/>
      <c r="K132" s="830"/>
      <c r="L132" s="830"/>
      <c r="M132" s="830"/>
      <c r="N132" s="830"/>
      <c r="O132" s="846"/>
      <c r="P132" s="846"/>
      <c r="Q132" s="846"/>
      <c r="R132" s="846"/>
      <c r="S132" s="846"/>
      <c r="T132" s="846"/>
      <c r="U132" s="846"/>
      <c r="V132" s="846"/>
      <c r="W132" s="846"/>
      <c r="X132" s="855"/>
      <c r="Y132" s="855"/>
      <c r="Z132" s="855"/>
      <c r="AA132" s="855"/>
      <c r="AB132" s="855"/>
      <c r="AC132" s="855"/>
      <c r="AD132" s="855"/>
      <c r="AE132" s="855"/>
      <c r="AF132" s="855"/>
      <c r="AG132" s="855"/>
      <c r="AH132" s="862"/>
      <c r="AI132" s="862"/>
      <c r="AJ132" s="862"/>
      <c r="AK132" s="862"/>
      <c r="AL132" s="862"/>
      <c r="AM132" s="862"/>
      <c r="AN132" s="862"/>
      <c r="AO132" s="862"/>
      <c r="AP132" s="862"/>
      <c r="AQ132" s="862"/>
      <c r="AR132" s="872"/>
      <c r="AS132" s="872"/>
      <c r="AT132" s="872"/>
      <c r="AU132" s="872"/>
      <c r="AV132" s="872"/>
      <c r="AW132" s="872"/>
      <c r="AX132" s="872"/>
      <c r="AY132" s="872"/>
      <c r="AZ132" s="878"/>
      <c r="BA132" s="878"/>
      <c r="BB132" s="878"/>
      <c r="BC132" s="878"/>
      <c r="BD132" s="878"/>
      <c r="BE132" s="878"/>
      <c r="BF132" s="878"/>
      <c r="BG132" s="878"/>
      <c r="BH132" s="878"/>
    </row>
    <row r="133" ht="21" spans="1:60">
      <c r="A133" s="838"/>
      <c r="B133" s="839" t="s">
        <v>488</v>
      </c>
      <c r="C133" s="840"/>
      <c r="D133" s="840"/>
      <c r="E133" s="840"/>
      <c r="F133" s="840"/>
      <c r="G133" s="830"/>
      <c r="H133" s="830"/>
      <c r="I133" s="830"/>
      <c r="J133" s="830"/>
      <c r="K133" s="830"/>
      <c r="L133" s="830"/>
      <c r="M133" s="830"/>
      <c r="N133" s="830"/>
      <c r="O133" s="846"/>
      <c r="P133" s="846"/>
      <c r="Q133" s="846"/>
      <c r="R133" s="846"/>
      <c r="S133" s="846"/>
      <c r="T133" s="846"/>
      <c r="U133" s="846"/>
      <c r="V133" s="846"/>
      <c r="W133" s="846"/>
      <c r="X133" s="855"/>
      <c r="Y133" s="855"/>
      <c r="Z133" s="855"/>
      <c r="AA133" s="855"/>
      <c r="AB133" s="855"/>
      <c r="AC133" s="855"/>
      <c r="AD133" s="855"/>
      <c r="AE133" s="855"/>
      <c r="AF133" s="855"/>
      <c r="AG133" s="855"/>
      <c r="AH133" s="862"/>
      <c r="AI133" s="862"/>
      <c r="AJ133" s="862"/>
      <c r="AK133" s="862"/>
      <c r="AL133" s="862"/>
      <c r="AM133" s="862"/>
      <c r="AN133" s="862"/>
      <c r="AO133" s="862"/>
      <c r="AP133" s="862"/>
      <c r="AQ133" s="862"/>
      <c r="AR133" s="872"/>
      <c r="AS133" s="872"/>
      <c r="AT133" s="872"/>
      <c r="AU133" s="872"/>
      <c r="AV133" s="872"/>
      <c r="AW133" s="872"/>
      <c r="AX133" s="872"/>
      <c r="AY133" s="872"/>
      <c r="AZ133" s="877"/>
      <c r="BA133" s="878"/>
      <c r="BB133" s="878"/>
      <c r="BC133" s="878"/>
      <c r="BD133" s="878"/>
      <c r="BE133" s="878"/>
      <c r="BF133" s="878"/>
      <c r="BG133" s="878"/>
      <c r="BH133" s="878"/>
    </row>
    <row r="134" ht="20.25" spans="1:60">
      <c r="A134" s="822" t="s">
        <v>260</v>
      </c>
      <c r="B134" s="823" t="s">
        <v>489</v>
      </c>
      <c r="C134" s="886" t="s">
        <v>490</v>
      </c>
      <c r="D134" s="824" t="s">
        <v>491</v>
      </c>
      <c r="E134" s="824" t="s">
        <v>264</v>
      </c>
      <c r="F134" s="825" t="s">
        <v>264</v>
      </c>
      <c r="G134" s="830"/>
      <c r="H134" s="830"/>
      <c r="I134" s="830"/>
      <c r="J134" s="830"/>
      <c r="K134" s="830"/>
      <c r="L134" s="830"/>
      <c r="M134" s="830"/>
      <c r="N134" s="830"/>
      <c r="O134" s="846"/>
      <c r="P134" s="846"/>
      <c r="Q134" s="846"/>
      <c r="R134" s="846"/>
      <c r="S134" s="846"/>
      <c r="T134" s="846"/>
      <c r="U134" s="846"/>
      <c r="V134" s="846"/>
      <c r="W134" s="846"/>
      <c r="X134" s="855"/>
      <c r="Y134" s="855"/>
      <c r="Z134" s="855"/>
      <c r="AA134" s="855"/>
      <c r="AB134" s="855"/>
      <c r="AC134" s="855"/>
      <c r="AD134" s="855"/>
      <c r="AE134" s="855"/>
      <c r="AF134" s="855"/>
      <c r="AG134" s="855"/>
      <c r="AH134" s="862"/>
      <c r="AI134" s="862"/>
      <c r="AJ134" s="862"/>
      <c r="AK134" s="862"/>
      <c r="AL134" s="862"/>
      <c r="AM134" s="862"/>
      <c r="AN134" s="862"/>
      <c r="AO134" s="862"/>
      <c r="AP134" s="862"/>
      <c r="AQ134" s="862"/>
      <c r="AR134" s="872"/>
      <c r="AS134" s="872"/>
      <c r="AT134" s="872"/>
      <c r="AU134" s="872"/>
      <c r="AV134" s="872"/>
      <c r="AW134" s="872"/>
      <c r="AX134" s="872"/>
      <c r="AY134" s="872"/>
      <c r="AZ134" s="878"/>
      <c r="BA134" s="878"/>
      <c r="BB134" s="878"/>
      <c r="BC134" s="878"/>
      <c r="BD134" s="878"/>
      <c r="BE134" s="878"/>
      <c r="BF134" s="878"/>
      <c r="BG134" s="878"/>
      <c r="BH134" s="878"/>
    </row>
    <row r="135" ht="20.25" spans="1:60">
      <c r="A135" s="822" t="s">
        <v>260</v>
      </c>
      <c r="B135" s="827"/>
      <c r="C135" s="886" t="s">
        <v>492</v>
      </c>
      <c r="D135" s="824" t="s">
        <v>486</v>
      </c>
      <c r="E135" s="824" t="s">
        <v>264</v>
      </c>
      <c r="F135" s="825" t="s">
        <v>264</v>
      </c>
      <c r="G135" s="830"/>
      <c r="H135" s="830"/>
      <c r="I135" s="830"/>
      <c r="J135" s="830"/>
      <c r="K135" s="830"/>
      <c r="L135" s="830"/>
      <c r="M135" s="830"/>
      <c r="N135" s="830"/>
      <c r="O135" s="846"/>
      <c r="P135" s="846"/>
      <c r="Q135" s="846"/>
      <c r="R135" s="846"/>
      <c r="S135" s="846"/>
      <c r="T135" s="846"/>
      <c r="U135" s="846"/>
      <c r="V135" s="846"/>
      <c r="W135" s="846"/>
      <c r="X135" s="855"/>
      <c r="Y135" s="855"/>
      <c r="Z135" s="855"/>
      <c r="AA135" s="855"/>
      <c r="AB135" s="855"/>
      <c r="AC135" s="855"/>
      <c r="AD135" s="855"/>
      <c r="AE135" s="855"/>
      <c r="AF135" s="855"/>
      <c r="AG135" s="855"/>
      <c r="AH135" s="862"/>
      <c r="AI135" s="862"/>
      <c r="AJ135" s="862"/>
      <c r="AK135" s="862"/>
      <c r="AL135" s="862"/>
      <c r="AM135" s="862"/>
      <c r="AN135" s="862"/>
      <c r="AO135" s="862"/>
      <c r="AP135" s="862"/>
      <c r="AQ135" s="862"/>
      <c r="AR135" s="872"/>
      <c r="AS135" s="872"/>
      <c r="AT135" s="872"/>
      <c r="AU135" s="872"/>
      <c r="AV135" s="872"/>
      <c r="AW135" s="872"/>
      <c r="AX135" s="872"/>
      <c r="AY135" s="872"/>
      <c r="AZ135" s="877"/>
      <c r="BA135" s="878"/>
      <c r="BB135" s="878"/>
      <c r="BC135" s="878"/>
      <c r="BD135" s="878"/>
      <c r="BE135" s="878"/>
      <c r="BF135" s="878"/>
      <c r="BG135" s="878"/>
      <c r="BH135" s="878"/>
    </row>
    <row r="136" ht="20.25" spans="1:60">
      <c r="A136" s="822" t="s">
        <v>260</v>
      </c>
      <c r="B136" s="827"/>
      <c r="C136" s="886" t="s">
        <v>493</v>
      </c>
      <c r="D136" s="824" t="s">
        <v>491</v>
      </c>
      <c r="E136" s="824" t="s">
        <v>264</v>
      </c>
      <c r="F136" s="825" t="s">
        <v>264</v>
      </c>
      <c r="G136" s="830"/>
      <c r="H136" s="830"/>
      <c r="I136" s="830"/>
      <c r="J136" s="830"/>
      <c r="K136" s="830"/>
      <c r="L136" s="830"/>
      <c r="M136" s="830"/>
      <c r="N136" s="830"/>
      <c r="O136" s="846"/>
      <c r="P136" s="846"/>
      <c r="Q136" s="846"/>
      <c r="R136" s="846"/>
      <c r="S136" s="846"/>
      <c r="T136" s="846"/>
      <c r="U136" s="846"/>
      <c r="V136" s="846"/>
      <c r="W136" s="846"/>
      <c r="X136" s="855"/>
      <c r="Y136" s="855"/>
      <c r="Z136" s="855"/>
      <c r="AA136" s="855"/>
      <c r="AB136" s="855"/>
      <c r="AC136" s="855"/>
      <c r="AD136" s="855"/>
      <c r="AE136" s="855"/>
      <c r="AF136" s="855"/>
      <c r="AG136" s="855"/>
      <c r="AH136" s="862"/>
      <c r="AI136" s="862"/>
      <c r="AJ136" s="862"/>
      <c r="AK136" s="862"/>
      <c r="AL136" s="862"/>
      <c r="AM136" s="862"/>
      <c r="AN136" s="862"/>
      <c r="AO136" s="862"/>
      <c r="AP136" s="862"/>
      <c r="AQ136" s="862"/>
      <c r="AR136" s="872"/>
      <c r="AS136" s="872"/>
      <c r="AT136" s="872"/>
      <c r="AU136" s="872"/>
      <c r="AV136" s="872"/>
      <c r="AW136" s="872"/>
      <c r="AX136" s="872"/>
      <c r="AY136" s="872"/>
      <c r="AZ136" s="878"/>
      <c r="BA136" s="878"/>
      <c r="BB136" s="878"/>
      <c r="BC136" s="878"/>
      <c r="BD136" s="878"/>
      <c r="BE136" s="878"/>
      <c r="BF136" s="878"/>
      <c r="BG136" s="878"/>
      <c r="BH136" s="878"/>
    </row>
    <row r="137" ht="20.25" spans="1:60">
      <c r="A137" s="822" t="s">
        <v>260</v>
      </c>
      <c r="B137" s="827"/>
      <c r="C137" s="886" t="s">
        <v>494</v>
      </c>
      <c r="D137" s="824" t="s">
        <v>495</v>
      </c>
      <c r="E137" s="824" t="s">
        <v>264</v>
      </c>
      <c r="F137" s="825" t="s">
        <v>264</v>
      </c>
      <c r="G137" s="830"/>
      <c r="H137" s="830"/>
      <c r="I137" s="830"/>
      <c r="J137" s="830"/>
      <c r="K137" s="830"/>
      <c r="L137" s="830"/>
      <c r="M137" s="830"/>
      <c r="N137" s="830"/>
      <c r="O137" s="846"/>
      <c r="P137" s="846"/>
      <c r="Q137" s="846"/>
      <c r="R137" s="846"/>
      <c r="S137" s="846"/>
      <c r="T137" s="846"/>
      <c r="U137" s="846"/>
      <c r="V137" s="846"/>
      <c r="W137" s="846"/>
      <c r="X137" s="855"/>
      <c r="Y137" s="855"/>
      <c r="Z137" s="855"/>
      <c r="AA137" s="855"/>
      <c r="AB137" s="855"/>
      <c r="AC137" s="855"/>
      <c r="AD137" s="855"/>
      <c r="AE137" s="855"/>
      <c r="AF137" s="855"/>
      <c r="AG137" s="855"/>
      <c r="AH137" s="862"/>
      <c r="AI137" s="862"/>
      <c r="AJ137" s="862"/>
      <c r="AK137" s="862"/>
      <c r="AL137" s="862"/>
      <c r="AM137" s="862"/>
      <c r="AN137" s="862"/>
      <c r="AO137" s="862"/>
      <c r="AP137" s="862"/>
      <c r="AQ137" s="862"/>
      <c r="AR137" s="872"/>
      <c r="AS137" s="872"/>
      <c r="AT137" s="872"/>
      <c r="AU137" s="872"/>
      <c r="AV137" s="872"/>
      <c r="AW137" s="872"/>
      <c r="AX137" s="872"/>
      <c r="AY137" s="872"/>
      <c r="AZ137" s="877"/>
      <c r="BA137" s="878"/>
      <c r="BB137" s="878"/>
      <c r="BC137" s="878"/>
      <c r="BD137" s="878"/>
      <c r="BE137" s="878"/>
      <c r="BF137" s="878"/>
      <c r="BG137" s="878"/>
      <c r="BH137" s="878"/>
    </row>
    <row r="138" ht="20.25" spans="1:60">
      <c r="A138" s="822" t="s">
        <v>260</v>
      </c>
      <c r="B138" s="827"/>
      <c r="C138" s="886" t="s">
        <v>496</v>
      </c>
      <c r="D138" s="824" t="s">
        <v>497</v>
      </c>
      <c r="E138" s="824" t="s">
        <v>264</v>
      </c>
      <c r="F138" s="825" t="s">
        <v>264</v>
      </c>
      <c r="G138" s="830"/>
      <c r="H138" s="830"/>
      <c r="I138" s="830"/>
      <c r="J138" s="830"/>
      <c r="K138" s="830"/>
      <c r="L138" s="830"/>
      <c r="M138" s="830"/>
      <c r="N138" s="830"/>
      <c r="O138" s="846"/>
      <c r="P138" s="846"/>
      <c r="Q138" s="846"/>
      <c r="R138" s="846"/>
      <c r="S138" s="846"/>
      <c r="T138" s="846"/>
      <c r="U138" s="846"/>
      <c r="V138" s="846"/>
      <c r="W138" s="846"/>
      <c r="X138" s="855"/>
      <c r="Y138" s="855"/>
      <c r="Z138" s="855"/>
      <c r="AA138" s="855"/>
      <c r="AB138" s="855"/>
      <c r="AC138" s="855"/>
      <c r="AD138" s="855"/>
      <c r="AE138" s="855"/>
      <c r="AF138" s="855"/>
      <c r="AG138" s="855"/>
      <c r="AH138" s="862"/>
      <c r="AI138" s="862"/>
      <c r="AJ138" s="862"/>
      <c r="AK138" s="862"/>
      <c r="AL138" s="862"/>
      <c r="AM138" s="862"/>
      <c r="AN138" s="862"/>
      <c r="AO138" s="862"/>
      <c r="AP138" s="862"/>
      <c r="AQ138" s="862"/>
      <c r="AR138" s="872"/>
      <c r="AS138" s="872"/>
      <c r="AT138" s="872"/>
      <c r="AU138" s="872"/>
      <c r="AV138" s="872"/>
      <c r="AW138" s="872"/>
      <c r="AX138" s="872"/>
      <c r="AY138" s="872"/>
      <c r="AZ138" s="878"/>
      <c r="BA138" s="878"/>
      <c r="BB138" s="878"/>
      <c r="BC138" s="878"/>
      <c r="BD138" s="878"/>
      <c r="BE138" s="878"/>
      <c r="BF138" s="878"/>
      <c r="BG138" s="878"/>
      <c r="BH138" s="878"/>
    </row>
    <row r="139" ht="20.25" spans="1:60">
      <c r="A139" s="822" t="s">
        <v>260</v>
      </c>
      <c r="B139" s="827"/>
      <c r="C139" s="887" t="s">
        <v>498</v>
      </c>
      <c r="D139" s="824" t="s">
        <v>499</v>
      </c>
      <c r="E139" s="824" t="s">
        <v>264</v>
      </c>
      <c r="F139" s="825" t="s">
        <v>264</v>
      </c>
      <c r="G139" s="830"/>
      <c r="H139" s="830"/>
      <c r="I139" s="830"/>
      <c r="J139" s="830"/>
      <c r="K139" s="830"/>
      <c r="L139" s="830"/>
      <c r="M139" s="830"/>
      <c r="N139" s="830"/>
      <c r="O139" s="846"/>
      <c r="P139" s="846"/>
      <c r="Q139" s="846"/>
      <c r="R139" s="846"/>
      <c r="S139" s="846"/>
      <c r="T139" s="846"/>
      <c r="U139" s="846"/>
      <c r="V139" s="846"/>
      <c r="W139" s="846"/>
      <c r="X139" s="855"/>
      <c r="Y139" s="855"/>
      <c r="Z139" s="855"/>
      <c r="AA139" s="855"/>
      <c r="AB139" s="855"/>
      <c r="AC139" s="855"/>
      <c r="AD139" s="855"/>
      <c r="AE139" s="855"/>
      <c r="AF139" s="855"/>
      <c r="AG139" s="855"/>
      <c r="AH139" s="862"/>
      <c r="AI139" s="862"/>
      <c r="AJ139" s="862"/>
      <c r="AK139" s="862"/>
      <c r="AL139" s="862"/>
      <c r="AM139" s="862"/>
      <c r="AN139" s="862"/>
      <c r="AO139" s="862"/>
      <c r="AP139" s="862"/>
      <c r="AQ139" s="862"/>
      <c r="AR139" s="872"/>
      <c r="AS139" s="872"/>
      <c r="AT139" s="872"/>
      <c r="AU139" s="872"/>
      <c r="AV139" s="872"/>
      <c r="AW139" s="872"/>
      <c r="AX139" s="872"/>
      <c r="AY139" s="872"/>
      <c r="AZ139" s="877"/>
      <c r="BA139" s="878"/>
      <c r="BB139" s="878"/>
      <c r="BC139" s="878"/>
      <c r="BD139" s="878"/>
      <c r="BE139" s="878"/>
      <c r="BF139" s="878"/>
      <c r="BG139" s="878"/>
      <c r="BH139" s="878"/>
    </row>
    <row r="140" ht="20.25" spans="1:60">
      <c r="A140" s="822" t="s">
        <v>260</v>
      </c>
      <c r="B140" s="827"/>
      <c r="C140" s="888" t="s">
        <v>500</v>
      </c>
      <c r="D140" s="824" t="s">
        <v>486</v>
      </c>
      <c r="E140" s="824" t="s">
        <v>264</v>
      </c>
      <c r="F140" s="825" t="s">
        <v>264</v>
      </c>
      <c r="G140" s="830"/>
      <c r="H140" s="830"/>
      <c r="I140" s="830"/>
      <c r="J140" s="830"/>
      <c r="K140" s="830"/>
      <c r="L140" s="830"/>
      <c r="M140" s="830"/>
      <c r="N140" s="830"/>
      <c r="O140" s="846"/>
      <c r="P140" s="846"/>
      <c r="Q140" s="846"/>
      <c r="R140" s="846"/>
      <c r="S140" s="846"/>
      <c r="T140" s="846"/>
      <c r="U140" s="846"/>
      <c r="V140" s="846"/>
      <c r="W140" s="846"/>
      <c r="X140" s="855"/>
      <c r="Y140" s="855"/>
      <c r="Z140" s="855"/>
      <c r="AA140" s="855"/>
      <c r="AB140" s="855"/>
      <c r="AC140" s="855"/>
      <c r="AD140" s="855"/>
      <c r="AE140" s="855"/>
      <c r="AF140" s="855"/>
      <c r="AG140" s="855"/>
      <c r="AH140" s="862"/>
      <c r="AI140" s="862"/>
      <c r="AJ140" s="862"/>
      <c r="AK140" s="862"/>
      <c r="AL140" s="862"/>
      <c r="AM140" s="862"/>
      <c r="AN140" s="862"/>
      <c r="AO140" s="862"/>
      <c r="AP140" s="862"/>
      <c r="AQ140" s="862"/>
      <c r="AR140" s="872"/>
      <c r="AS140" s="872"/>
      <c r="AT140" s="872"/>
      <c r="AU140" s="872"/>
      <c r="AV140" s="872"/>
      <c r="AW140" s="872"/>
      <c r="AX140" s="872"/>
      <c r="AY140" s="872"/>
      <c r="AZ140" s="877"/>
      <c r="BA140" s="878"/>
      <c r="BB140" s="878"/>
      <c r="BC140" s="878"/>
      <c r="BD140" s="878"/>
      <c r="BE140" s="878"/>
      <c r="BF140" s="878"/>
      <c r="BG140" s="878"/>
      <c r="BH140" s="878"/>
    </row>
    <row r="141" ht="40.5" spans="1:60">
      <c r="A141" s="822" t="s">
        <v>260</v>
      </c>
      <c r="B141" s="834" t="s">
        <v>501</v>
      </c>
      <c r="C141" s="886" t="s">
        <v>502</v>
      </c>
      <c r="D141" s="824" t="s">
        <v>503</v>
      </c>
      <c r="E141" s="824" t="s">
        <v>264</v>
      </c>
      <c r="F141" s="825" t="s">
        <v>264</v>
      </c>
      <c r="G141" s="830"/>
      <c r="H141" s="830"/>
      <c r="I141" s="830"/>
      <c r="J141" s="830"/>
      <c r="K141" s="830"/>
      <c r="L141" s="830"/>
      <c r="M141" s="830"/>
      <c r="N141" s="830"/>
      <c r="O141" s="846"/>
      <c r="P141" s="846"/>
      <c r="Q141" s="846"/>
      <c r="R141" s="846"/>
      <c r="S141" s="846"/>
      <c r="T141" s="846"/>
      <c r="U141" s="846"/>
      <c r="V141" s="846"/>
      <c r="W141" s="846"/>
      <c r="X141" s="855"/>
      <c r="Y141" s="855"/>
      <c r="Z141" s="855"/>
      <c r="AA141" s="855"/>
      <c r="AB141" s="855"/>
      <c r="AC141" s="855"/>
      <c r="AD141" s="855"/>
      <c r="AE141" s="855"/>
      <c r="AF141" s="855"/>
      <c r="AG141" s="855"/>
      <c r="AH141" s="862"/>
      <c r="AI141" s="862"/>
      <c r="AJ141" s="862"/>
      <c r="AK141" s="862"/>
      <c r="AL141" s="862"/>
      <c r="AM141" s="862"/>
      <c r="AN141" s="862"/>
      <c r="AO141" s="862"/>
      <c r="AP141" s="862"/>
      <c r="AQ141" s="862"/>
      <c r="AR141" s="872"/>
      <c r="AS141" s="872"/>
      <c r="AT141" s="872"/>
      <c r="AU141" s="872"/>
      <c r="AV141" s="872"/>
      <c r="AW141" s="872"/>
      <c r="AX141" s="872"/>
      <c r="AY141" s="872"/>
      <c r="AZ141" s="878"/>
      <c r="BA141" s="878"/>
      <c r="BB141" s="878"/>
      <c r="BC141" s="878"/>
      <c r="BD141" s="878"/>
      <c r="BE141" s="878"/>
      <c r="BF141" s="878"/>
      <c r="BG141" s="878"/>
      <c r="BH141" s="878"/>
    </row>
    <row r="142" ht="20.25" spans="1:60">
      <c r="A142" s="822" t="s">
        <v>260</v>
      </c>
      <c r="B142" s="834"/>
      <c r="C142" s="886" t="s">
        <v>504</v>
      </c>
      <c r="D142" s="824" t="s">
        <v>436</v>
      </c>
      <c r="E142" s="824" t="s">
        <v>264</v>
      </c>
      <c r="F142" s="825" t="s">
        <v>264</v>
      </c>
      <c r="G142" s="830"/>
      <c r="H142" s="830"/>
      <c r="I142" s="830"/>
      <c r="J142" s="830"/>
      <c r="K142" s="830"/>
      <c r="L142" s="830"/>
      <c r="M142" s="830"/>
      <c r="N142" s="830"/>
      <c r="O142" s="846"/>
      <c r="P142" s="846"/>
      <c r="Q142" s="846"/>
      <c r="R142" s="846"/>
      <c r="S142" s="846"/>
      <c r="T142" s="846"/>
      <c r="U142" s="846"/>
      <c r="V142" s="846"/>
      <c r="W142" s="846"/>
      <c r="X142" s="855"/>
      <c r="Y142" s="855"/>
      <c r="Z142" s="855"/>
      <c r="AA142" s="855"/>
      <c r="AB142" s="855"/>
      <c r="AC142" s="855"/>
      <c r="AD142" s="855"/>
      <c r="AE142" s="855"/>
      <c r="AF142" s="855"/>
      <c r="AG142" s="855"/>
      <c r="AH142" s="862"/>
      <c r="AI142" s="862"/>
      <c r="AJ142" s="862"/>
      <c r="AK142" s="862"/>
      <c r="AL142" s="862"/>
      <c r="AM142" s="862"/>
      <c r="AN142" s="862"/>
      <c r="AO142" s="862"/>
      <c r="AP142" s="862"/>
      <c r="AQ142" s="862"/>
      <c r="AR142" s="872"/>
      <c r="AS142" s="872"/>
      <c r="AT142" s="872"/>
      <c r="AU142" s="872"/>
      <c r="AV142" s="872"/>
      <c r="AW142" s="872"/>
      <c r="AX142" s="872"/>
      <c r="AY142" s="872"/>
      <c r="AZ142" s="877"/>
      <c r="BA142" s="878"/>
      <c r="BB142" s="878"/>
      <c r="BC142" s="878"/>
      <c r="BD142" s="878"/>
      <c r="BE142" s="878"/>
      <c r="BF142" s="878"/>
      <c r="BG142" s="878"/>
      <c r="BH142" s="878"/>
    </row>
    <row r="143" ht="20.25" spans="1:60">
      <c r="A143" s="822" t="s">
        <v>260</v>
      </c>
      <c r="B143" s="834"/>
      <c r="C143" s="888" t="s">
        <v>505</v>
      </c>
      <c r="D143" s="824" t="s">
        <v>436</v>
      </c>
      <c r="E143" s="824" t="s">
        <v>264</v>
      </c>
      <c r="F143" s="825" t="s">
        <v>264</v>
      </c>
      <c r="G143" s="830"/>
      <c r="H143" s="830"/>
      <c r="I143" s="830"/>
      <c r="J143" s="830"/>
      <c r="K143" s="830"/>
      <c r="L143" s="830"/>
      <c r="M143" s="830"/>
      <c r="N143" s="830"/>
      <c r="O143" s="846"/>
      <c r="P143" s="846"/>
      <c r="Q143" s="846"/>
      <c r="R143" s="846"/>
      <c r="S143" s="846"/>
      <c r="T143" s="846"/>
      <c r="U143" s="846"/>
      <c r="V143" s="846"/>
      <c r="W143" s="846"/>
      <c r="X143" s="855"/>
      <c r="Y143" s="855"/>
      <c r="Z143" s="855"/>
      <c r="AA143" s="855"/>
      <c r="AB143" s="855"/>
      <c r="AC143" s="855"/>
      <c r="AD143" s="855"/>
      <c r="AE143" s="855"/>
      <c r="AF143" s="855"/>
      <c r="AG143" s="855"/>
      <c r="AH143" s="862"/>
      <c r="AI143" s="862"/>
      <c r="AJ143" s="862"/>
      <c r="AK143" s="862"/>
      <c r="AL143" s="862"/>
      <c r="AM143" s="862"/>
      <c r="AN143" s="862"/>
      <c r="AO143" s="862"/>
      <c r="AP143" s="862"/>
      <c r="AQ143" s="862"/>
      <c r="AR143" s="872"/>
      <c r="AS143" s="872"/>
      <c r="AT143" s="872"/>
      <c r="AU143" s="872"/>
      <c r="AV143" s="872"/>
      <c r="AW143" s="872"/>
      <c r="AX143" s="872"/>
      <c r="AY143" s="872"/>
      <c r="AZ143" s="878"/>
      <c r="BA143" s="878"/>
      <c r="BB143" s="878"/>
      <c r="BC143" s="878"/>
      <c r="BD143" s="878"/>
      <c r="BE143" s="878"/>
      <c r="BF143" s="878"/>
      <c r="BG143" s="878"/>
      <c r="BH143" s="878"/>
    </row>
    <row r="144" ht="20.25" spans="1:60">
      <c r="A144" s="822" t="s">
        <v>260</v>
      </c>
      <c r="B144" s="834"/>
      <c r="C144" s="888" t="s">
        <v>506</v>
      </c>
      <c r="D144" s="888" t="s">
        <v>507</v>
      </c>
      <c r="E144" s="824" t="s">
        <v>264</v>
      </c>
      <c r="F144" s="825" t="s">
        <v>264</v>
      </c>
      <c r="G144" s="830"/>
      <c r="H144" s="830"/>
      <c r="I144" s="830"/>
      <c r="J144" s="830"/>
      <c r="K144" s="830"/>
      <c r="L144" s="830"/>
      <c r="M144" s="830"/>
      <c r="N144" s="830"/>
      <c r="O144" s="846"/>
      <c r="P144" s="846"/>
      <c r="Q144" s="846"/>
      <c r="R144" s="846"/>
      <c r="S144" s="846"/>
      <c r="T144" s="846"/>
      <c r="U144" s="846"/>
      <c r="V144" s="846"/>
      <c r="W144" s="846"/>
      <c r="X144" s="855"/>
      <c r="Y144" s="855"/>
      <c r="Z144" s="855"/>
      <c r="AA144" s="855"/>
      <c r="AB144" s="855"/>
      <c r="AC144" s="855"/>
      <c r="AD144" s="855"/>
      <c r="AE144" s="855"/>
      <c r="AF144" s="855"/>
      <c r="AG144" s="855"/>
      <c r="AH144" s="862"/>
      <c r="AI144" s="862"/>
      <c r="AJ144" s="862"/>
      <c r="AK144" s="862"/>
      <c r="AL144" s="862"/>
      <c r="AM144" s="862"/>
      <c r="AN144" s="862"/>
      <c r="AO144" s="862"/>
      <c r="AP144" s="862"/>
      <c r="AQ144" s="862"/>
      <c r="AR144" s="872"/>
      <c r="AS144" s="872"/>
      <c r="AT144" s="872"/>
      <c r="AU144" s="872"/>
      <c r="AV144" s="872"/>
      <c r="AW144" s="872"/>
      <c r="AX144" s="872"/>
      <c r="AY144" s="872"/>
      <c r="AZ144" s="877"/>
      <c r="BA144" s="878"/>
      <c r="BB144" s="878"/>
      <c r="BC144" s="878"/>
      <c r="BD144" s="878"/>
      <c r="BE144" s="878"/>
      <c r="BF144" s="878"/>
      <c r="BG144" s="878"/>
      <c r="BH144" s="878"/>
    </row>
    <row r="145" ht="20.25" spans="1:60">
      <c r="A145" s="822" t="s">
        <v>260</v>
      </c>
      <c r="B145" s="834"/>
      <c r="C145" s="888" t="s">
        <v>451</v>
      </c>
      <c r="D145" s="824" t="s">
        <v>508</v>
      </c>
      <c r="E145" s="824" t="s">
        <v>264</v>
      </c>
      <c r="F145" s="825" t="s">
        <v>264</v>
      </c>
      <c r="G145" s="830"/>
      <c r="H145" s="830"/>
      <c r="I145" s="830"/>
      <c r="J145" s="830"/>
      <c r="K145" s="830"/>
      <c r="L145" s="830"/>
      <c r="M145" s="830"/>
      <c r="N145" s="830"/>
      <c r="O145" s="846"/>
      <c r="P145" s="846"/>
      <c r="Q145" s="846"/>
      <c r="R145" s="846"/>
      <c r="S145" s="846"/>
      <c r="T145" s="846"/>
      <c r="U145" s="846"/>
      <c r="V145" s="846"/>
      <c r="W145" s="846"/>
      <c r="X145" s="855"/>
      <c r="Y145" s="855"/>
      <c r="Z145" s="855"/>
      <c r="AA145" s="855"/>
      <c r="AB145" s="855"/>
      <c r="AC145" s="855"/>
      <c r="AD145" s="855"/>
      <c r="AE145" s="855"/>
      <c r="AF145" s="855"/>
      <c r="AG145" s="855"/>
      <c r="AH145" s="862"/>
      <c r="AI145" s="862"/>
      <c r="AJ145" s="862"/>
      <c r="AK145" s="862"/>
      <c r="AL145" s="862"/>
      <c r="AM145" s="862"/>
      <c r="AN145" s="862"/>
      <c r="AO145" s="862"/>
      <c r="AP145" s="862"/>
      <c r="AQ145" s="862"/>
      <c r="AR145" s="872"/>
      <c r="AS145" s="872"/>
      <c r="AT145" s="872"/>
      <c r="AU145" s="872"/>
      <c r="AV145" s="872"/>
      <c r="AW145" s="872"/>
      <c r="AX145" s="872"/>
      <c r="AY145" s="872"/>
      <c r="AZ145" s="878"/>
      <c r="BA145" s="878"/>
      <c r="BB145" s="878"/>
      <c r="BC145" s="878"/>
      <c r="BD145" s="878"/>
      <c r="BE145" s="878"/>
      <c r="BF145" s="878"/>
      <c r="BG145" s="878"/>
      <c r="BH145" s="878"/>
    </row>
    <row r="146" ht="20.25" spans="1:60">
      <c r="A146" s="822" t="s">
        <v>260</v>
      </c>
      <c r="B146" s="834"/>
      <c r="C146" s="888" t="s">
        <v>453</v>
      </c>
      <c r="D146" s="824" t="s">
        <v>449</v>
      </c>
      <c r="E146" s="824" t="s">
        <v>264</v>
      </c>
      <c r="F146" s="825" t="s">
        <v>264</v>
      </c>
      <c r="G146" s="830"/>
      <c r="H146" s="830"/>
      <c r="I146" s="830"/>
      <c r="J146" s="830"/>
      <c r="K146" s="830"/>
      <c r="L146" s="830"/>
      <c r="M146" s="830"/>
      <c r="N146" s="830"/>
      <c r="O146" s="846"/>
      <c r="P146" s="846"/>
      <c r="Q146" s="846"/>
      <c r="R146" s="846"/>
      <c r="S146" s="846"/>
      <c r="T146" s="846"/>
      <c r="U146" s="846"/>
      <c r="V146" s="846"/>
      <c r="W146" s="846"/>
      <c r="X146" s="855"/>
      <c r="Y146" s="855"/>
      <c r="Z146" s="855"/>
      <c r="AA146" s="855"/>
      <c r="AB146" s="855"/>
      <c r="AC146" s="855"/>
      <c r="AD146" s="855"/>
      <c r="AE146" s="855"/>
      <c r="AF146" s="855"/>
      <c r="AG146" s="855"/>
      <c r="AH146" s="862"/>
      <c r="AI146" s="862"/>
      <c r="AJ146" s="862"/>
      <c r="AK146" s="862"/>
      <c r="AL146" s="862"/>
      <c r="AM146" s="862"/>
      <c r="AN146" s="862"/>
      <c r="AO146" s="862"/>
      <c r="AP146" s="862"/>
      <c r="AQ146" s="862"/>
      <c r="AR146" s="872"/>
      <c r="AS146" s="872"/>
      <c r="AT146" s="872"/>
      <c r="AU146" s="872"/>
      <c r="AV146" s="872"/>
      <c r="AW146" s="872"/>
      <c r="AX146" s="872"/>
      <c r="AY146" s="872"/>
      <c r="AZ146" s="877"/>
      <c r="BA146" s="878"/>
      <c r="BB146" s="878"/>
      <c r="BC146" s="878"/>
      <c r="BD146" s="878"/>
      <c r="BE146" s="878"/>
      <c r="BF146" s="878"/>
      <c r="BG146" s="878"/>
      <c r="BH146" s="878"/>
    </row>
    <row r="147" ht="20.25" spans="1:60">
      <c r="A147" s="822" t="s">
        <v>260</v>
      </c>
      <c r="B147" s="834" t="s">
        <v>509</v>
      </c>
      <c r="C147" s="888" t="s">
        <v>510</v>
      </c>
      <c r="D147" s="824" t="s">
        <v>449</v>
      </c>
      <c r="E147" s="824" t="s">
        <v>264</v>
      </c>
      <c r="F147" s="825" t="s">
        <v>264</v>
      </c>
      <c r="G147" s="830"/>
      <c r="H147" s="830"/>
      <c r="I147" s="830"/>
      <c r="J147" s="830"/>
      <c r="K147" s="830"/>
      <c r="L147" s="830"/>
      <c r="M147" s="830"/>
      <c r="N147" s="830"/>
      <c r="O147" s="846"/>
      <c r="P147" s="846"/>
      <c r="Q147" s="846"/>
      <c r="R147" s="846"/>
      <c r="S147" s="846"/>
      <c r="T147" s="846"/>
      <c r="U147" s="846"/>
      <c r="V147" s="846"/>
      <c r="W147" s="846"/>
      <c r="X147" s="855"/>
      <c r="Y147" s="855"/>
      <c r="Z147" s="855"/>
      <c r="AA147" s="855"/>
      <c r="AB147" s="855"/>
      <c r="AC147" s="855"/>
      <c r="AD147" s="855"/>
      <c r="AE147" s="855"/>
      <c r="AF147" s="855"/>
      <c r="AG147" s="855"/>
      <c r="AH147" s="862"/>
      <c r="AI147" s="862"/>
      <c r="AJ147" s="862"/>
      <c r="AK147" s="862"/>
      <c r="AL147" s="862"/>
      <c r="AM147" s="862"/>
      <c r="AN147" s="862"/>
      <c r="AO147" s="862"/>
      <c r="AP147" s="862"/>
      <c r="AQ147" s="862"/>
      <c r="AR147" s="872"/>
      <c r="AS147" s="872"/>
      <c r="AT147" s="872"/>
      <c r="AU147" s="872"/>
      <c r="AV147" s="872"/>
      <c r="AW147" s="872"/>
      <c r="AX147" s="872"/>
      <c r="AY147" s="872"/>
      <c r="AZ147" s="877"/>
      <c r="BA147" s="878"/>
      <c r="BB147" s="878"/>
      <c r="BC147" s="878"/>
      <c r="BD147" s="878"/>
      <c r="BE147" s="878"/>
      <c r="BF147" s="878"/>
      <c r="BG147" s="878"/>
      <c r="BH147" s="878"/>
    </row>
    <row r="148" ht="20.25" spans="1:60">
      <c r="A148" s="822" t="s">
        <v>260</v>
      </c>
      <c r="B148" s="834"/>
      <c r="C148" s="888" t="s">
        <v>511</v>
      </c>
      <c r="D148" s="824" t="s">
        <v>449</v>
      </c>
      <c r="E148" s="824" t="s">
        <v>264</v>
      </c>
      <c r="F148" s="825" t="s">
        <v>264</v>
      </c>
      <c r="G148" s="830"/>
      <c r="H148" s="830"/>
      <c r="I148" s="830"/>
      <c r="J148" s="830"/>
      <c r="K148" s="830"/>
      <c r="L148" s="830"/>
      <c r="M148" s="830"/>
      <c r="N148" s="830"/>
      <c r="O148" s="846"/>
      <c r="P148" s="846"/>
      <c r="Q148" s="846"/>
      <c r="R148" s="846"/>
      <c r="S148" s="846"/>
      <c r="T148" s="846"/>
      <c r="U148" s="846"/>
      <c r="V148" s="846"/>
      <c r="W148" s="846"/>
      <c r="X148" s="855"/>
      <c r="Y148" s="855"/>
      <c r="Z148" s="855"/>
      <c r="AA148" s="855"/>
      <c r="AB148" s="855"/>
      <c r="AC148" s="855"/>
      <c r="AD148" s="855"/>
      <c r="AE148" s="855"/>
      <c r="AF148" s="855"/>
      <c r="AG148" s="855"/>
      <c r="AH148" s="862"/>
      <c r="AI148" s="862"/>
      <c r="AJ148" s="862"/>
      <c r="AK148" s="862"/>
      <c r="AL148" s="862"/>
      <c r="AM148" s="862"/>
      <c r="AN148" s="862"/>
      <c r="AO148" s="862"/>
      <c r="AP148" s="862"/>
      <c r="AQ148" s="862"/>
      <c r="AR148" s="872"/>
      <c r="AS148" s="872"/>
      <c r="AT148" s="872"/>
      <c r="AU148" s="872"/>
      <c r="AV148" s="872"/>
      <c r="AW148" s="872"/>
      <c r="AX148" s="872"/>
      <c r="AY148" s="872"/>
      <c r="AZ148" s="878"/>
      <c r="BA148" s="878"/>
      <c r="BB148" s="878"/>
      <c r="BC148" s="878"/>
      <c r="BD148" s="878"/>
      <c r="BE148" s="878"/>
      <c r="BF148" s="878"/>
      <c r="BG148" s="878"/>
      <c r="BH148" s="878"/>
    </row>
    <row r="149" ht="21" spans="1:60">
      <c r="A149" s="807">
        <v>10</v>
      </c>
      <c r="B149" s="836" t="s">
        <v>512</v>
      </c>
      <c r="C149" s="837"/>
      <c r="D149" s="837"/>
      <c r="E149" s="837"/>
      <c r="F149" s="837"/>
      <c r="G149" s="830"/>
      <c r="H149" s="830"/>
      <c r="I149" s="830"/>
      <c r="J149" s="830"/>
      <c r="K149" s="830"/>
      <c r="L149" s="830"/>
      <c r="M149" s="830"/>
      <c r="N149" s="830"/>
      <c r="O149" s="846"/>
      <c r="P149" s="846"/>
      <c r="Q149" s="846"/>
      <c r="R149" s="846"/>
      <c r="S149" s="846"/>
      <c r="T149" s="846"/>
      <c r="U149" s="846"/>
      <c r="V149" s="846"/>
      <c r="W149" s="846"/>
      <c r="X149" s="855"/>
      <c r="Y149" s="855"/>
      <c r="Z149" s="855"/>
      <c r="AA149" s="855"/>
      <c r="AB149" s="855"/>
      <c r="AC149" s="855"/>
      <c r="AD149" s="855"/>
      <c r="AE149" s="855"/>
      <c r="AF149" s="855"/>
      <c r="AG149" s="855"/>
      <c r="AH149" s="862"/>
      <c r="AI149" s="862"/>
      <c r="AJ149" s="862"/>
      <c r="AK149" s="862"/>
      <c r="AL149" s="862"/>
      <c r="AM149" s="862"/>
      <c r="AN149" s="862"/>
      <c r="AO149" s="862"/>
      <c r="AP149" s="862"/>
      <c r="AQ149" s="862"/>
      <c r="AR149" s="872"/>
      <c r="AS149" s="872"/>
      <c r="AT149" s="872"/>
      <c r="AU149" s="872"/>
      <c r="AV149" s="872"/>
      <c r="AW149" s="872"/>
      <c r="AX149" s="872"/>
      <c r="AY149" s="872"/>
      <c r="AZ149" s="877"/>
      <c r="BA149" s="878"/>
      <c r="BB149" s="878"/>
      <c r="BC149" s="878"/>
      <c r="BD149" s="878"/>
      <c r="BE149" s="878"/>
      <c r="BF149" s="878"/>
      <c r="BG149" s="878"/>
      <c r="BH149" s="878"/>
    </row>
    <row r="150" ht="21" spans="1:60">
      <c r="A150" s="838"/>
      <c r="B150" s="839" t="s">
        <v>18</v>
      </c>
      <c r="C150" s="840"/>
      <c r="D150" s="840"/>
      <c r="E150" s="840"/>
      <c r="F150" s="840"/>
      <c r="G150" s="830"/>
      <c r="H150" s="830"/>
      <c r="I150" s="830"/>
      <c r="J150" s="830"/>
      <c r="K150" s="830"/>
      <c r="L150" s="830"/>
      <c r="M150" s="830"/>
      <c r="N150" s="830"/>
      <c r="O150" s="846"/>
      <c r="P150" s="846"/>
      <c r="Q150" s="846"/>
      <c r="R150" s="846"/>
      <c r="S150" s="846"/>
      <c r="T150" s="846"/>
      <c r="U150" s="846"/>
      <c r="V150" s="846"/>
      <c r="W150" s="846"/>
      <c r="X150" s="855"/>
      <c r="Y150" s="855"/>
      <c r="Z150" s="855"/>
      <c r="AA150" s="855"/>
      <c r="AB150" s="855"/>
      <c r="AC150" s="855"/>
      <c r="AD150" s="855"/>
      <c r="AE150" s="855"/>
      <c r="AF150" s="855"/>
      <c r="AG150" s="855"/>
      <c r="AH150" s="862"/>
      <c r="AI150" s="862"/>
      <c r="AJ150" s="862"/>
      <c r="AK150" s="862"/>
      <c r="AL150" s="862"/>
      <c r="AM150" s="862"/>
      <c r="AN150" s="862"/>
      <c r="AO150" s="862"/>
      <c r="AP150" s="862"/>
      <c r="AQ150" s="862"/>
      <c r="AR150" s="872"/>
      <c r="AS150" s="872"/>
      <c r="AT150" s="872"/>
      <c r="AU150" s="872"/>
      <c r="AV150" s="872"/>
      <c r="AW150" s="872"/>
      <c r="AX150" s="872"/>
      <c r="AY150" s="872"/>
      <c r="AZ150" s="877"/>
      <c r="BA150" s="878"/>
      <c r="BB150" s="878"/>
      <c r="BC150" s="878"/>
      <c r="BD150" s="878"/>
      <c r="BE150" s="878"/>
      <c r="BF150" s="878"/>
      <c r="BG150" s="878"/>
      <c r="BH150" s="878"/>
    </row>
    <row r="151" ht="20.25" spans="1:60">
      <c r="A151" s="822" t="s">
        <v>260</v>
      </c>
      <c r="B151" s="823" t="s">
        <v>513</v>
      </c>
      <c r="C151" s="824" t="s">
        <v>514</v>
      </c>
      <c r="D151" s="824" t="s">
        <v>515</v>
      </c>
      <c r="E151" s="824" t="s">
        <v>264</v>
      </c>
      <c r="F151" s="825" t="s">
        <v>264</v>
      </c>
      <c r="G151" s="830"/>
      <c r="H151" s="830"/>
      <c r="I151" s="830"/>
      <c r="J151" s="830"/>
      <c r="K151" s="830"/>
      <c r="L151" s="830"/>
      <c r="M151" s="830"/>
      <c r="N151" s="830"/>
      <c r="O151" s="846"/>
      <c r="P151" s="846"/>
      <c r="Q151" s="846"/>
      <c r="R151" s="846"/>
      <c r="S151" s="846"/>
      <c r="T151" s="846"/>
      <c r="U151" s="846"/>
      <c r="V151" s="846"/>
      <c r="W151" s="846"/>
      <c r="X151" s="855"/>
      <c r="Y151" s="855"/>
      <c r="Z151" s="855"/>
      <c r="AA151" s="855"/>
      <c r="AB151" s="855"/>
      <c r="AC151" s="855"/>
      <c r="AD151" s="855"/>
      <c r="AE151" s="855"/>
      <c r="AF151" s="855"/>
      <c r="AG151" s="855"/>
      <c r="AH151" s="862"/>
      <c r="AI151" s="862"/>
      <c r="AJ151" s="862"/>
      <c r="AK151" s="862"/>
      <c r="AL151" s="862"/>
      <c r="AM151" s="862"/>
      <c r="AN151" s="862"/>
      <c r="AO151" s="862"/>
      <c r="AP151" s="862"/>
      <c r="AQ151" s="862"/>
      <c r="AR151" s="872"/>
      <c r="AS151" s="872"/>
      <c r="AT151" s="872"/>
      <c r="AU151" s="872"/>
      <c r="AV151" s="872"/>
      <c r="AW151" s="872"/>
      <c r="AX151" s="872"/>
      <c r="AY151" s="872"/>
      <c r="AZ151" s="877"/>
      <c r="BA151" s="878"/>
      <c r="BB151" s="878"/>
      <c r="BC151" s="878"/>
      <c r="BD151" s="878"/>
      <c r="BE151" s="878"/>
      <c r="BF151" s="878"/>
      <c r="BG151" s="878"/>
      <c r="BH151" s="878"/>
    </row>
    <row r="152" ht="20.25" spans="1:60">
      <c r="A152" s="822" t="s">
        <v>260</v>
      </c>
      <c r="B152" s="827"/>
      <c r="C152" s="824" t="s">
        <v>516</v>
      </c>
      <c r="D152" s="824" t="s">
        <v>517</v>
      </c>
      <c r="E152" s="824" t="s">
        <v>264</v>
      </c>
      <c r="F152" s="825" t="s">
        <v>264</v>
      </c>
      <c r="G152" s="830"/>
      <c r="H152" s="830"/>
      <c r="I152" s="830"/>
      <c r="J152" s="830"/>
      <c r="K152" s="830"/>
      <c r="L152" s="830"/>
      <c r="M152" s="830"/>
      <c r="N152" s="830"/>
      <c r="O152" s="846"/>
      <c r="P152" s="846"/>
      <c r="Q152" s="846"/>
      <c r="R152" s="846"/>
      <c r="S152" s="846"/>
      <c r="T152" s="846"/>
      <c r="U152" s="846"/>
      <c r="V152" s="846"/>
      <c r="W152" s="846"/>
      <c r="X152" s="855"/>
      <c r="Y152" s="855"/>
      <c r="Z152" s="855"/>
      <c r="AA152" s="855"/>
      <c r="AB152" s="855"/>
      <c r="AC152" s="855"/>
      <c r="AD152" s="855"/>
      <c r="AE152" s="855"/>
      <c r="AF152" s="855"/>
      <c r="AG152" s="855"/>
      <c r="AH152" s="862"/>
      <c r="AI152" s="862"/>
      <c r="AJ152" s="862"/>
      <c r="AK152" s="862"/>
      <c r="AL152" s="862"/>
      <c r="AM152" s="862"/>
      <c r="AN152" s="862"/>
      <c r="AO152" s="862"/>
      <c r="AP152" s="862"/>
      <c r="AQ152" s="862"/>
      <c r="AR152" s="872"/>
      <c r="AS152" s="872"/>
      <c r="AT152" s="872"/>
      <c r="AU152" s="872"/>
      <c r="AV152" s="872"/>
      <c r="AW152" s="872"/>
      <c r="AX152" s="872"/>
      <c r="AY152" s="872"/>
      <c r="AZ152" s="877"/>
      <c r="BA152" s="878"/>
      <c r="BB152" s="878"/>
      <c r="BC152" s="878"/>
      <c r="BD152" s="878"/>
      <c r="BE152" s="878"/>
      <c r="BF152" s="878"/>
      <c r="BG152" s="878"/>
      <c r="BH152" s="878"/>
    </row>
    <row r="153" ht="20.25" spans="1:60">
      <c r="A153" s="822" t="s">
        <v>260</v>
      </c>
      <c r="B153" s="829"/>
      <c r="C153" s="824" t="s">
        <v>518</v>
      </c>
      <c r="D153" s="824" t="s">
        <v>519</v>
      </c>
      <c r="E153" s="824" t="s">
        <v>264</v>
      </c>
      <c r="F153" s="825" t="s">
        <v>264</v>
      </c>
      <c r="G153" s="830"/>
      <c r="H153" s="830"/>
      <c r="I153" s="830"/>
      <c r="J153" s="830"/>
      <c r="K153" s="830"/>
      <c r="L153" s="830"/>
      <c r="M153" s="830"/>
      <c r="N153" s="830"/>
      <c r="O153" s="846"/>
      <c r="P153" s="846"/>
      <c r="Q153" s="846"/>
      <c r="R153" s="846"/>
      <c r="S153" s="846"/>
      <c r="T153" s="846"/>
      <c r="U153" s="846"/>
      <c r="V153" s="846"/>
      <c r="W153" s="846"/>
      <c r="X153" s="855"/>
      <c r="Y153" s="855"/>
      <c r="Z153" s="855"/>
      <c r="AA153" s="855"/>
      <c r="AB153" s="855"/>
      <c r="AC153" s="855"/>
      <c r="AD153" s="855"/>
      <c r="AE153" s="855"/>
      <c r="AF153" s="855"/>
      <c r="AG153" s="855"/>
      <c r="AH153" s="862"/>
      <c r="AI153" s="862"/>
      <c r="AJ153" s="862"/>
      <c r="AK153" s="862"/>
      <c r="AL153" s="862"/>
      <c r="AM153" s="862"/>
      <c r="AN153" s="862"/>
      <c r="AO153" s="862"/>
      <c r="AP153" s="862"/>
      <c r="AQ153" s="862"/>
      <c r="AR153" s="872"/>
      <c r="AS153" s="872"/>
      <c r="AT153" s="872"/>
      <c r="AU153" s="872"/>
      <c r="AV153" s="872"/>
      <c r="AW153" s="872"/>
      <c r="AX153" s="872"/>
      <c r="AY153" s="872"/>
      <c r="AZ153" s="877"/>
      <c r="BA153" s="878"/>
      <c r="BB153" s="878"/>
      <c r="BC153" s="878"/>
      <c r="BD153" s="878"/>
      <c r="BE153" s="878"/>
      <c r="BF153" s="878"/>
      <c r="BG153" s="878"/>
      <c r="BH153" s="878"/>
    </row>
    <row r="154" ht="31.05" customHeight="1" spans="1:60">
      <c r="A154" s="822" t="s">
        <v>260</v>
      </c>
      <c r="B154" s="823" t="s">
        <v>520</v>
      </c>
      <c r="C154" s="824" t="s">
        <v>521</v>
      </c>
      <c r="D154" s="824" t="s">
        <v>522</v>
      </c>
      <c r="E154" s="824" t="s">
        <v>264</v>
      </c>
      <c r="F154" s="825" t="s">
        <v>264</v>
      </c>
      <c r="G154" s="830"/>
      <c r="H154" s="830"/>
      <c r="I154" s="830"/>
      <c r="J154" s="830"/>
      <c r="K154" s="830"/>
      <c r="L154" s="830"/>
      <c r="M154" s="830"/>
      <c r="N154" s="830"/>
      <c r="O154" s="846"/>
      <c r="P154" s="846"/>
      <c r="Q154" s="846"/>
      <c r="R154" s="846"/>
      <c r="S154" s="846"/>
      <c r="T154" s="846"/>
      <c r="U154" s="846"/>
      <c r="V154" s="846"/>
      <c r="W154" s="846"/>
      <c r="X154" s="855"/>
      <c r="Y154" s="855"/>
      <c r="Z154" s="855"/>
      <c r="AA154" s="855"/>
      <c r="AB154" s="855"/>
      <c r="AC154" s="855"/>
      <c r="AD154" s="855"/>
      <c r="AE154" s="855"/>
      <c r="AF154" s="855"/>
      <c r="AG154" s="855"/>
      <c r="AH154" s="862"/>
      <c r="AI154" s="862"/>
      <c r="AJ154" s="862"/>
      <c r="AK154" s="862"/>
      <c r="AL154" s="862"/>
      <c r="AM154" s="862"/>
      <c r="AN154" s="862"/>
      <c r="AO154" s="862"/>
      <c r="AP154" s="862"/>
      <c r="AQ154" s="862"/>
      <c r="AR154" s="872"/>
      <c r="AS154" s="872"/>
      <c r="AT154" s="872"/>
      <c r="AU154" s="872"/>
      <c r="AV154" s="872"/>
      <c r="AW154" s="872"/>
      <c r="AX154" s="872"/>
      <c r="AY154" s="872"/>
      <c r="AZ154" s="878"/>
      <c r="BA154" s="878"/>
      <c r="BB154" s="878"/>
      <c r="BC154" s="878"/>
      <c r="BD154" s="878"/>
      <c r="BE154" s="878"/>
      <c r="BF154" s="878"/>
      <c r="BG154" s="878"/>
      <c r="BH154" s="878"/>
    </row>
    <row r="155" ht="20.25" spans="1:60">
      <c r="A155" s="822" t="s">
        <v>260</v>
      </c>
      <c r="B155" s="827"/>
      <c r="C155" s="824" t="s">
        <v>523</v>
      </c>
      <c r="D155" s="824" t="s">
        <v>524</v>
      </c>
      <c r="E155" s="824" t="s">
        <v>264</v>
      </c>
      <c r="F155" s="825" t="s">
        <v>264</v>
      </c>
      <c r="G155" s="830"/>
      <c r="H155" s="830"/>
      <c r="I155" s="830"/>
      <c r="J155" s="830"/>
      <c r="K155" s="830"/>
      <c r="L155" s="830"/>
      <c r="M155" s="830"/>
      <c r="N155" s="830"/>
      <c r="O155" s="846"/>
      <c r="P155" s="846"/>
      <c r="Q155" s="846"/>
      <c r="R155" s="846"/>
      <c r="S155" s="846"/>
      <c r="T155" s="846"/>
      <c r="U155" s="846"/>
      <c r="V155" s="846"/>
      <c r="W155" s="846"/>
      <c r="X155" s="855"/>
      <c r="Y155" s="855"/>
      <c r="Z155" s="855"/>
      <c r="AA155" s="855"/>
      <c r="AB155" s="855"/>
      <c r="AC155" s="855"/>
      <c r="AD155" s="855"/>
      <c r="AE155" s="855"/>
      <c r="AF155" s="855"/>
      <c r="AG155" s="855"/>
      <c r="AH155" s="862"/>
      <c r="AI155" s="862"/>
      <c r="AJ155" s="862"/>
      <c r="AK155" s="862"/>
      <c r="AL155" s="862"/>
      <c r="AM155" s="862"/>
      <c r="AN155" s="862"/>
      <c r="AO155" s="862"/>
      <c r="AP155" s="862"/>
      <c r="AQ155" s="862"/>
      <c r="AR155" s="872"/>
      <c r="AS155" s="872"/>
      <c r="AT155" s="872"/>
      <c r="AU155" s="872"/>
      <c r="AV155" s="872"/>
      <c r="AW155" s="872"/>
      <c r="AX155" s="872"/>
      <c r="AY155" s="872"/>
      <c r="AZ155" s="877"/>
      <c r="BA155" s="878"/>
      <c r="BB155" s="878"/>
      <c r="BC155" s="878"/>
      <c r="BD155" s="878"/>
      <c r="BE155" s="878"/>
      <c r="BF155" s="878"/>
      <c r="BG155" s="878"/>
      <c r="BH155" s="878"/>
    </row>
    <row r="156" ht="20.25" spans="1:60">
      <c r="A156" s="822" t="s">
        <v>260</v>
      </c>
      <c r="B156" s="827"/>
      <c r="C156" s="824" t="s">
        <v>525</v>
      </c>
      <c r="D156" s="824" t="s">
        <v>526</v>
      </c>
      <c r="E156" s="824" t="s">
        <v>264</v>
      </c>
      <c r="F156" s="825" t="s">
        <v>264</v>
      </c>
      <c r="G156" s="830"/>
      <c r="H156" s="830"/>
      <c r="I156" s="830"/>
      <c r="J156" s="830"/>
      <c r="K156" s="830"/>
      <c r="L156" s="830"/>
      <c r="M156" s="830"/>
      <c r="N156" s="830"/>
      <c r="O156" s="846"/>
      <c r="P156" s="846"/>
      <c r="Q156" s="846"/>
      <c r="R156" s="846"/>
      <c r="S156" s="846"/>
      <c r="T156" s="846"/>
      <c r="U156" s="846"/>
      <c r="V156" s="846"/>
      <c r="W156" s="846"/>
      <c r="X156" s="855"/>
      <c r="Y156" s="855"/>
      <c r="Z156" s="855"/>
      <c r="AA156" s="855"/>
      <c r="AB156" s="855"/>
      <c r="AC156" s="855"/>
      <c r="AD156" s="855"/>
      <c r="AE156" s="855"/>
      <c r="AF156" s="855"/>
      <c r="AG156" s="855"/>
      <c r="AH156" s="862"/>
      <c r="AI156" s="862"/>
      <c r="AJ156" s="862"/>
      <c r="AK156" s="862"/>
      <c r="AL156" s="862"/>
      <c r="AM156" s="862"/>
      <c r="AN156" s="862"/>
      <c r="AO156" s="862"/>
      <c r="AP156" s="862"/>
      <c r="AQ156" s="862"/>
      <c r="AR156" s="872"/>
      <c r="AS156" s="872"/>
      <c r="AT156" s="872"/>
      <c r="AU156" s="872"/>
      <c r="AV156" s="872"/>
      <c r="AW156" s="872"/>
      <c r="AX156" s="872"/>
      <c r="AY156" s="872"/>
      <c r="AZ156" s="878"/>
      <c r="BA156" s="878"/>
      <c r="BB156" s="878"/>
      <c r="BC156" s="878"/>
      <c r="BD156" s="878"/>
      <c r="BE156" s="878"/>
      <c r="BF156" s="878"/>
      <c r="BG156" s="878"/>
      <c r="BH156" s="878"/>
    </row>
    <row r="157" ht="20.25" customHeight="1" spans="1:60">
      <c r="A157" s="822" t="s">
        <v>260</v>
      </c>
      <c r="B157" s="829"/>
      <c r="C157" s="824" t="s">
        <v>527</v>
      </c>
      <c r="D157" s="824" t="s">
        <v>528</v>
      </c>
      <c r="E157" s="824" t="s">
        <v>264</v>
      </c>
      <c r="F157" s="825" t="s">
        <v>264</v>
      </c>
      <c r="G157" s="830"/>
      <c r="H157" s="830"/>
      <c r="I157" s="830"/>
      <c r="J157" s="830"/>
      <c r="K157" s="830"/>
      <c r="L157" s="830"/>
      <c r="M157" s="830"/>
      <c r="N157" s="830"/>
      <c r="O157" s="846"/>
      <c r="P157" s="846"/>
      <c r="Q157" s="846"/>
      <c r="R157" s="846"/>
      <c r="S157" s="846"/>
      <c r="T157" s="846"/>
      <c r="U157" s="846"/>
      <c r="V157" s="846"/>
      <c r="W157" s="846"/>
      <c r="X157" s="855"/>
      <c r="Y157" s="855"/>
      <c r="Z157" s="855"/>
      <c r="AA157" s="855"/>
      <c r="AB157" s="855"/>
      <c r="AC157" s="855"/>
      <c r="AD157" s="855"/>
      <c r="AE157" s="855"/>
      <c r="AF157" s="855"/>
      <c r="AG157" s="855"/>
      <c r="AH157" s="862"/>
      <c r="AI157" s="862"/>
      <c r="AJ157" s="862"/>
      <c r="AK157" s="862"/>
      <c r="AL157" s="862"/>
      <c r="AM157" s="862"/>
      <c r="AN157" s="862"/>
      <c r="AO157" s="862"/>
      <c r="AP157" s="862"/>
      <c r="AQ157" s="862"/>
      <c r="AR157" s="872"/>
      <c r="AS157" s="872"/>
      <c r="AT157" s="872"/>
      <c r="AU157" s="872"/>
      <c r="AV157" s="872"/>
      <c r="AW157" s="872"/>
      <c r="AX157" s="872"/>
      <c r="AY157" s="872"/>
      <c r="AZ157" s="877"/>
      <c r="BA157" s="878"/>
      <c r="BB157" s="878"/>
      <c r="BC157" s="878"/>
      <c r="BD157" s="878"/>
      <c r="BE157" s="878"/>
      <c r="BF157" s="878"/>
      <c r="BG157" s="878"/>
      <c r="BH157" s="878"/>
    </row>
    <row r="158" ht="20.25" customHeight="1" spans="1:60">
      <c r="A158" s="822" t="s">
        <v>260</v>
      </c>
      <c r="B158" s="834" t="s">
        <v>529</v>
      </c>
      <c r="C158" s="824" t="s">
        <v>530</v>
      </c>
      <c r="D158" s="824" t="s">
        <v>531</v>
      </c>
      <c r="E158" s="824" t="s">
        <v>264</v>
      </c>
      <c r="F158" s="825" t="s">
        <v>264</v>
      </c>
      <c r="G158" s="830"/>
      <c r="H158" s="830"/>
      <c r="I158" s="830"/>
      <c r="J158" s="830"/>
      <c r="K158" s="830"/>
      <c r="L158" s="830"/>
      <c r="M158" s="830"/>
      <c r="N158" s="830"/>
      <c r="O158" s="846"/>
      <c r="P158" s="846"/>
      <c r="Q158" s="846"/>
      <c r="R158" s="846"/>
      <c r="S158" s="846"/>
      <c r="T158" s="846"/>
      <c r="U158" s="846"/>
      <c r="V158" s="846"/>
      <c r="W158" s="846"/>
      <c r="X158" s="855"/>
      <c r="Y158" s="855"/>
      <c r="Z158" s="855"/>
      <c r="AA158" s="855"/>
      <c r="AB158" s="855"/>
      <c r="AC158" s="855"/>
      <c r="AD158" s="855"/>
      <c r="AE158" s="855"/>
      <c r="AF158" s="855"/>
      <c r="AG158" s="855"/>
      <c r="AH158" s="862"/>
      <c r="AI158" s="862"/>
      <c r="AJ158" s="862"/>
      <c r="AK158" s="862"/>
      <c r="AL158" s="862"/>
      <c r="AM158" s="862"/>
      <c r="AN158" s="862"/>
      <c r="AO158" s="862"/>
      <c r="AP158" s="862"/>
      <c r="AQ158" s="862"/>
      <c r="AR158" s="872"/>
      <c r="AS158" s="872"/>
      <c r="AT158" s="872"/>
      <c r="AU158" s="872"/>
      <c r="AV158" s="872"/>
      <c r="AW158" s="872"/>
      <c r="AX158" s="872"/>
      <c r="AY158" s="872"/>
      <c r="AZ158" s="877"/>
      <c r="BA158" s="878"/>
      <c r="BB158" s="878"/>
      <c r="BC158" s="878"/>
      <c r="BD158" s="878"/>
      <c r="BE158" s="878"/>
      <c r="BF158" s="878"/>
      <c r="BG158" s="878"/>
      <c r="BH158" s="878"/>
    </row>
    <row r="159" ht="20.25" customHeight="1" spans="1:60">
      <c r="A159" s="822" t="s">
        <v>260</v>
      </c>
      <c r="B159" s="834"/>
      <c r="C159" s="824" t="s">
        <v>532</v>
      </c>
      <c r="D159" s="824" t="s">
        <v>533</v>
      </c>
      <c r="E159" s="824" t="s">
        <v>264</v>
      </c>
      <c r="F159" s="825" t="s">
        <v>264</v>
      </c>
      <c r="G159" s="830"/>
      <c r="H159" s="830"/>
      <c r="I159" s="830"/>
      <c r="J159" s="830"/>
      <c r="K159" s="830"/>
      <c r="L159" s="830"/>
      <c r="M159" s="830"/>
      <c r="N159" s="830"/>
      <c r="O159" s="846"/>
      <c r="P159" s="846"/>
      <c r="Q159" s="846"/>
      <c r="R159" s="846"/>
      <c r="S159" s="846"/>
      <c r="T159" s="846"/>
      <c r="U159" s="846"/>
      <c r="V159" s="846"/>
      <c r="W159" s="846"/>
      <c r="X159" s="855"/>
      <c r="Y159" s="855"/>
      <c r="Z159" s="855"/>
      <c r="AA159" s="855"/>
      <c r="AB159" s="855"/>
      <c r="AC159" s="855"/>
      <c r="AD159" s="855"/>
      <c r="AE159" s="855"/>
      <c r="AF159" s="855"/>
      <c r="AG159" s="855"/>
      <c r="AH159" s="862"/>
      <c r="AI159" s="862"/>
      <c r="AJ159" s="862"/>
      <c r="AK159" s="862"/>
      <c r="AL159" s="862"/>
      <c r="AM159" s="862"/>
      <c r="AN159" s="862"/>
      <c r="AO159" s="862"/>
      <c r="AP159" s="862"/>
      <c r="AQ159" s="862"/>
      <c r="AR159" s="872"/>
      <c r="AS159" s="872"/>
      <c r="AT159" s="872"/>
      <c r="AU159" s="872"/>
      <c r="AV159" s="872"/>
      <c r="AW159" s="872"/>
      <c r="AX159" s="872"/>
      <c r="AY159" s="872"/>
      <c r="AZ159" s="877"/>
      <c r="BA159" s="878"/>
      <c r="BB159" s="878"/>
      <c r="BC159" s="878"/>
      <c r="BD159" s="878"/>
      <c r="BE159" s="878"/>
      <c r="BF159" s="878"/>
      <c r="BG159" s="878"/>
      <c r="BH159" s="878"/>
    </row>
    <row r="160" ht="20.25" customHeight="1" spans="1:60">
      <c r="A160" s="822" t="s">
        <v>260</v>
      </c>
      <c r="B160" s="834"/>
      <c r="C160" s="824" t="s">
        <v>534</v>
      </c>
      <c r="D160" s="824" t="s">
        <v>535</v>
      </c>
      <c r="E160" s="824" t="s">
        <v>264</v>
      </c>
      <c r="F160" s="825" t="s">
        <v>264</v>
      </c>
      <c r="G160" s="830"/>
      <c r="H160" s="830"/>
      <c r="I160" s="830"/>
      <c r="J160" s="830"/>
      <c r="K160" s="830"/>
      <c r="L160" s="830"/>
      <c r="M160" s="830"/>
      <c r="N160" s="830"/>
      <c r="O160" s="846"/>
      <c r="P160" s="846"/>
      <c r="Q160" s="846"/>
      <c r="R160" s="846"/>
      <c r="S160" s="846"/>
      <c r="T160" s="846"/>
      <c r="U160" s="846"/>
      <c r="V160" s="846"/>
      <c r="W160" s="846"/>
      <c r="X160" s="855"/>
      <c r="Y160" s="855"/>
      <c r="Z160" s="855"/>
      <c r="AA160" s="855"/>
      <c r="AB160" s="855"/>
      <c r="AC160" s="855"/>
      <c r="AD160" s="855"/>
      <c r="AE160" s="855"/>
      <c r="AF160" s="855"/>
      <c r="AG160" s="855"/>
      <c r="AH160" s="862"/>
      <c r="AI160" s="862"/>
      <c r="AJ160" s="862"/>
      <c r="AK160" s="862"/>
      <c r="AL160" s="862"/>
      <c r="AM160" s="862"/>
      <c r="AN160" s="862"/>
      <c r="AO160" s="862"/>
      <c r="AP160" s="862"/>
      <c r="AQ160" s="862"/>
      <c r="AR160" s="872"/>
      <c r="AS160" s="872"/>
      <c r="AT160" s="872"/>
      <c r="AU160" s="872"/>
      <c r="AV160" s="872"/>
      <c r="AW160" s="872"/>
      <c r="AX160" s="872"/>
      <c r="AY160" s="872"/>
      <c r="AZ160" s="877"/>
      <c r="BA160" s="878"/>
      <c r="BB160" s="878"/>
      <c r="BC160" s="878"/>
      <c r="BD160" s="878"/>
      <c r="BE160" s="878"/>
      <c r="BF160" s="878"/>
      <c r="BG160" s="878"/>
      <c r="BH160" s="878"/>
    </row>
    <row r="161" ht="20.25" customHeight="1" spans="1:60">
      <c r="A161" s="822" t="s">
        <v>260</v>
      </c>
      <c r="B161" s="834"/>
      <c r="C161" s="824" t="s">
        <v>536</v>
      </c>
      <c r="D161" s="824" t="s">
        <v>537</v>
      </c>
      <c r="E161" s="824" t="s">
        <v>264</v>
      </c>
      <c r="F161" s="825" t="s">
        <v>264</v>
      </c>
      <c r="G161" s="830"/>
      <c r="H161" s="830"/>
      <c r="I161" s="830"/>
      <c r="J161" s="830"/>
      <c r="K161" s="830"/>
      <c r="L161" s="830"/>
      <c r="M161" s="830"/>
      <c r="N161" s="830"/>
      <c r="O161" s="846"/>
      <c r="P161" s="846"/>
      <c r="Q161" s="846"/>
      <c r="R161" s="846"/>
      <c r="S161" s="846"/>
      <c r="T161" s="846"/>
      <c r="U161" s="846"/>
      <c r="V161" s="846"/>
      <c r="W161" s="846"/>
      <c r="X161" s="855"/>
      <c r="Y161" s="855"/>
      <c r="Z161" s="855"/>
      <c r="AA161" s="855"/>
      <c r="AB161" s="855"/>
      <c r="AC161" s="855"/>
      <c r="AD161" s="855"/>
      <c r="AE161" s="855"/>
      <c r="AF161" s="855"/>
      <c r="AG161" s="855"/>
      <c r="AH161" s="862"/>
      <c r="AI161" s="862"/>
      <c r="AJ161" s="862"/>
      <c r="AK161" s="862"/>
      <c r="AL161" s="862"/>
      <c r="AM161" s="862"/>
      <c r="AN161" s="862"/>
      <c r="AO161" s="862"/>
      <c r="AP161" s="862"/>
      <c r="AQ161" s="862"/>
      <c r="AR161" s="872"/>
      <c r="AS161" s="872"/>
      <c r="AT161" s="872"/>
      <c r="AU161" s="872"/>
      <c r="AV161" s="872"/>
      <c r="AW161" s="872"/>
      <c r="AX161" s="872"/>
      <c r="AY161" s="872"/>
      <c r="AZ161" s="877"/>
      <c r="BA161" s="878"/>
      <c r="BB161" s="878"/>
      <c r="BC161" s="878"/>
      <c r="BD161" s="878"/>
      <c r="BE161" s="878"/>
      <c r="BF161" s="878"/>
      <c r="BG161" s="878"/>
      <c r="BH161" s="878"/>
    </row>
    <row r="162" ht="20.25" customHeight="1" spans="1:60">
      <c r="A162" s="822" t="s">
        <v>260</v>
      </c>
      <c r="B162" s="827" t="s">
        <v>538</v>
      </c>
      <c r="C162" s="824" t="s">
        <v>539</v>
      </c>
      <c r="D162" s="824" t="s">
        <v>540</v>
      </c>
      <c r="E162" s="824" t="s">
        <v>264</v>
      </c>
      <c r="F162" s="825" t="s">
        <v>264</v>
      </c>
      <c r="G162" s="830"/>
      <c r="H162" s="830"/>
      <c r="I162" s="830"/>
      <c r="J162" s="830"/>
      <c r="K162" s="830"/>
      <c r="L162" s="830"/>
      <c r="M162" s="830"/>
      <c r="N162" s="830"/>
      <c r="O162" s="846"/>
      <c r="P162" s="846"/>
      <c r="Q162" s="846"/>
      <c r="R162" s="846"/>
      <c r="S162" s="846"/>
      <c r="T162" s="846"/>
      <c r="U162" s="846"/>
      <c r="V162" s="846"/>
      <c r="W162" s="846"/>
      <c r="X162" s="855"/>
      <c r="Y162" s="855"/>
      <c r="Z162" s="855"/>
      <c r="AA162" s="855"/>
      <c r="AB162" s="855"/>
      <c r="AC162" s="855"/>
      <c r="AD162" s="855"/>
      <c r="AE162" s="855"/>
      <c r="AF162" s="855"/>
      <c r="AG162" s="855"/>
      <c r="AH162" s="862"/>
      <c r="AI162" s="862"/>
      <c r="AJ162" s="862"/>
      <c r="AK162" s="862"/>
      <c r="AL162" s="862"/>
      <c r="AM162" s="862"/>
      <c r="AN162" s="862"/>
      <c r="AO162" s="862"/>
      <c r="AP162" s="862"/>
      <c r="AQ162" s="862"/>
      <c r="AR162" s="872"/>
      <c r="AS162" s="872"/>
      <c r="AT162" s="872"/>
      <c r="AU162" s="872"/>
      <c r="AV162" s="872"/>
      <c r="AW162" s="872"/>
      <c r="AX162" s="872"/>
      <c r="AY162" s="872"/>
      <c r="AZ162" s="877"/>
      <c r="BA162" s="878"/>
      <c r="BB162" s="878"/>
      <c r="BC162" s="878"/>
      <c r="BD162" s="878"/>
      <c r="BE162" s="878"/>
      <c r="BF162" s="878"/>
      <c r="BG162" s="878"/>
      <c r="BH162" s="878"/>
    </row>
    <row r="163" ht="20.25" customHeight="1" spans="1:60">
      <c r="A163" s="822" t="s">
        <v>260</v>
      </c>
      <c r="B163" s="829"/>
      <c r="C163" s="824" t="s">
        <v>541</v>
      </c>
      <c r="D163" s="824" t="s">
        <v>542</v>
      </c>
      <c r="E163" s="824" t="s">
        <v>264</v>
      </c>
      <c r="F163" s="825" t="s">
        <v>264</v>
      </c>
      <c r="G163" s="830"/>
      <c r="H163" s="830"/>
      <c r="I163" s="830"/>
      <c r="J163" s="830"/>
      <c r="K163" s="830"/>
      <c r="L163" s="830"/>
      <c r="M163" s="830"/>
      <c r="N163" s="830"/>
      <c r="O163" s="846"/>
      <c r="P163" s="846"/>
      <c r="Q163" s="846"/>
      <c r="R163" s="846"/>
      <c r="S163" s="846"/>
      <c r="T163" s="846"/>
      <c r="U163" s="846"/>
      <c r="V163" s="846"/>
      <c r="W163" s="846"/>
      <c r="X163" s="855"/>
      <c r="Y163" s="855"/>
      <c r="Z163" s="855"/>
      <c r="AA163" s="855"/>
      <c r="AB163" s="855"/>
      <c r="AC163" s="855"/>
      <c r="AD163" s="855"/>
      <c r="AE163" s="855"/>
      <c r="AF163" s="855"/>
      <c r="AG163" s="855"/>
      <c r="AH163" s="862"/>
      <c r="AI163" s="862"/>
      <c r="AJ163" s="862"/>
      <c r="AK163" s="862"/>
      <c r="AL163" s="862"/>
      <c r="AM163" s="862"/>
      <c r="AN163" s="862"/>
      <c r="AO163" s="862"/>
      <c r="AP163" s="862"/>
      <c r="AQ163" s="862"/>
      <c r="AR163" s="872"/>
      <c r="AS163" s="872"/>
      <c r="AT163" s="872"/>
      <c r="AU163" s="872"/>
      <c r="AV163" s="872"/>
      <c r="AW163" s="872"/>
      <c r="AX163" s="872"/>
      <c r="AY163" s="872"/>
      <c r="AZ163" s="877"/>
      <c r="BA163" s="878"/>
      <c r="BB163" s="878"/>
      <c r="BC163" s="878"/>
      <c r="BD163" s="878"/>
      <c r="BE163" s="878"/>
      <c r="BF163" s="878"/>
      <c r="BG163" s="878"/>
      <c r="BH163" s="878"/>
    </row>
    <row r="164" ht="21" spans="1:60">
      <c r="A164" s="807"/>
      <c r="B164" s="836" t="s">
        <v>543</v>
      </c>
      <c r="C164" s="837"/>
      <c r="D164" s="837"/>
      <c r="E164" s="837"/>
      <c r="F164" s="837"/>
      <c r="G164" s="830"/>
      <c r="H164" s="830"/>
      <c r="I164" s="830"/>
      <c r="J164" s="830"/>
      <c r="K164" s="830"/>
      <c r="L164" s="830"/>
      <c r="M164" s="830"/>
      <c r="N164" s="830"/>
      <c r="O164" s="846"/>
      <c r="P164" s="846"/>
      <c r="Q164" s="846"/>
      <c r="R164" s="846"/>
      <c r="S164" s="846"/>
      <c r="T164" s="846"/>
      <c r="U164" s="846"/>
      <c r="V164" s="846"/>
      <c r="W164" s="846"/>
      <c r="X164" s="855"/>
      <c r="Y164" s="855"/>
      <c r="Z164" s="855"/>
      <c r="AA164" s="855"/>
      <c r="AB164" s="855"/>
      <c r="AC164" s="855"/>
      <c r="AD164" s="855"/>
      <c r="AE164" s="855"/>
      <c r="AF164" s="855"/>
      <c r="AG164" s="855"/>
      <c r="AH164" s="862"/>
      <c r="AI164" s="862"/>
      <c r="AJ164" s="862"/>
      <c r="AK164" s="862"/>
      <c r="AL164" s="862"/>
      <c r="AM164" s="862"/>
      <c r="AN164" s="862"/>
      <c r="AO164" s="862"/>
      <c r="AP164" s="862"/>
      <c r="AQ164" s="862"/>
      <c r="AR164" s="872"/>
      <c r="AS164" s="872"/>
      <c r="AT164" s="872"/>
      <c r="AU164" s="872"/>
      <c r="AV164" s="872"/>
      <c r="AW164" s="872"/>
      <c r="AX164" s="872"/>
      <c r="AY164" s="872"/>
      <c r="AZ164" s="878"/>
      <c r="BA164" s="878"/>
      <c r="BB164" s="878"/>
      <c r="BC164" s="878"/>
      <c r="BD164" s="878"/>
      <c r="BE164" s="878"/>
      <c r="BF164" s="878"/>
      <c r="BG164" s="878"/>
      <c r="BH164" s="878"/>
    </row>
    <row r="165" ht="20.25" spans="1:60">
      <c r="A165" s="822" t="s">
        <v>260</v>
      </c>
      <c r="B165" s="823" t="s">
        <v>509</v>
      </c>
      <c r="C165" s="887" t="s">
        <v>544</v>
      </c>
      <c r="D165" s="824" t="s">
        <v>545</v>
      </c>
      <c r="E165" s="824" t="s">
        <v>264</v>
      </c>
      <c r="F165" s="825" t="s">
        <v>264</v>
      </c>
      <c r="G165" s="830"/>
      <c r="H165" s="830"/>
      <c r="I165" s="830"/>
      <c r="J165" s="830"/>
      <c r="K165" s="830"/>
      <c r="L165" s="830"/>
      <c r="M165" s="830"/>
      <c r="N165" s="830"/>
      <c r="O165" s="846"/>
      <c r="P165" s="846"/>
      <c r="Q165" s="846"/>
      <c r="R165" s="846"/>
      <c r="S165" s="846"/>
      <c r="T165" s="846"/>
      <c r="U165" s="846"/>
      <c r="V165" s="846"/>
      <c r="W165" s="846"/>
      <c r="X165" s="855"/>
      <c r="Y165" s="855"/>
      <c r="Z165" s="855"/>
      <c r="AA165" s="855"/>
      <c r="AB165" s="855"/>
      <c r="AC165" s="855"/>
      <c r="AD165" s="855"/>
      <c r="AE165" s="855"/>
      <c r="AF165" s="855"/>
      <c r="AG165" s="855"/>
      <c r="AH165" s="862"/>
      <c r="AI165" s="862"/>
      <c r="AJ165" s="862"/>
      <c r="AK165" s="862"/>
      <c r="AL165" s="862"/>
      <c r="AM165" s="862"/>
      <c r="AN165" s="862"/>
      <c r="AO165" s="862"/>
      <c r="AP165" s="862"/>
      <c r="AQ165" s="862"/>
      <c r="AR165" s="872"/>
      <c r="AS165" s="872"/>
      <c r="AT165" s="872"/>
      <c r="AU165" s="872"/>
      <c r="AV165" s="872"/>
      <c r="AW165" s="872"/>
      <c r="AX165" s="872"/>
      <c r="AY165" s="872"/>
      <c r="AZ165" s="877"/>
      <c r="BA165" s="878"/>
      <c r="BB165" s="878"/>
      <c r="BC165" s="878"/>
      <c r="BD165" s="878"/>
      <c r="BE165" s="878"/>
      <c r="BF165" s="878"/>
      <c r="BG165" s="878"/>
      <c r="BH165" s="878"/>
    </row>
    <row r="166" ht="20.25" spans="1:60">
      <c r="A166" s="822" t="s">
        <v>260</v>
      </c>
      <c r="B166" s="827"/>
      <c r="C166" s="887" t="s">
        <v>546</v>
      </c>
      <c r="D166" s="824" t="s">
        <v>547</v>
      </c>
      <c r="E166" s="824" t="s">
        <v>264</v>
      </c>
      <c r="F166" s="825" t="s">
        <v>264</v>
      </c>
      <c r="G166" s="830"/>
      <c r="H166" s="830"/>
      <c r="I166" s="830"/>
      <c r="J166" s="830"/>
      <c r="K166" s="830"/>
      <c r="L166" s="830"/>
      <c r="M166" s="830"/>
      <c r="N166" s="830"/>
      <c r="O166" s="846"/>
      <c r="P166" s="846"/>
      <c r="Q166" s="846"/>
      <c r="R166" s="846"/>
      <c r="S166" s="846"/>
      <c r="T166" s="846"/>
      <c r="U166" s="846"/>
      <c r="V166" s="846"/>
      <c r="W166" s="846"/>
      <c r="X166" s="855"/>
      <c r="Y166" s="855"/>
      <c r="Z166" s="855"/>
      <c r="AA166" s="855"/>
      <c r="AB166" s="855"/>
      <c r="AC166" s="855"/>
      <c r="AD166" s="855"/>
      <c r="AE166" s="855"/>
      <c r="AF166" s="855"/>
      <c r="AG166" s="855"/>
      <c r="AH166" s="862"/>
      <c r="AI166" s="862"/>
      <c r="AJ166" s="862"/>
      <c r="AK166" s="862"/>
      <c r="AL166" s="862"/>
      <c r="AM166" s="862"/>
      <c r="AN166" s="862"/>
      <c r="AO166" s="862"/>
      <c r="AP166" s="862"/>
      <c r="AQ166" s="862"/>
      <c r="AR166" s="872"/>
      <c r="AS166" s="872"/>
      <c r="AT166" s="872"/>
      <c r="AU166" s="872"/>
      <c r="AV166" s="872"/>
      <c r="AW166" s="872"/>
      <c r="AX166" s="872"/>
      <c r="AY166" s="872"/>
      <c r="AZ166" s="877"/>
      <c r="BA166" s="878"/>
      <c r="BB166" s="878"/>
      <c r="BC166" s="878"/>
      <c r="BD166" s="878"/>
      <c r="BE166" s="878"/>
      <c r="BF166" s="878"/>
      <c r="BG166" s="878"/>
      <c r="BH166" s="878"/>
    </row>
    <row r="167" ht="20.25" spans="1:60">
      <c r="A167" s="822" t="s">
        <v>260</v>
      </c>
      <c r="B167" s="829"/>
      <c r="C167" s="887" t="s">
        <v>548</v>
      </c>
      <c r="D167" s="824" t="s">
        <v>549</v>
      </c>
      <c r="E167" s="824" t="s">
        <v>264</v>
      </c>
      <c r="F167" s="825" t="s">
        <v>264</v>
      </c>
      <c r="G167" s="830"/>
      <c r="H167" s="830"/>
      <c r="I167" s="830"/>
      <c r="J167" s="830"/>
      <c r="K167" s="830"/>
      <c r="L167" s="830"/>
      <c r="M167" s="830"/>
      <c r="N167" s="830"/>
      <c r="O167" s="846"/>
      <c r="P167" s="846"/>
      <c r="Q167" s="846"/>
      <c r="R167" s="846"/>
      <c r="S167" s="846"/>
      <c r="T167" s="846"/>
      <c r="U167" s="846"/>
      <c r="V167" s="846"/>
      <c r="W167" s="846"/>
      <c r="X167" s="855"/>
      <c r="Y167" s="855"/>
      <c r="Z167" s="855"/>
      <c r="AA167" s="855"/>
      <c r="AB167" s="855"/>
      <c r="AC167" s="855"/>
      <c r="AD167" s="855"/>
      <c r="AE167" s="855"/>
      <c r="AF167" s="855"/>
      <c r="AG167" s="855"/>
      <c r="AH167" s="862"/>
      <c r="AI167" s="862"/>
      <c r="AJ167" s="862"/>
      <c r="AK167" s="862"/>
      <c r="AL167" s="862"/>
      <c r="AM167" s="862"/>
      <c r="AN167" s="862"/>
      <c r="AO167" s="862"/>
      <c r="AP167" s="862"/>
      <c r="AQ167" s="862"/>
      <c r="AR167" s="872"/>
      <c r="AS167" s="872"/>
      <c r="AT167" s="872"/>
      <c r="AU167" s="872"/>
      <c r="AV167" s="872"/>
      <c r="AW167" s="872"/>
      <c r="AX167" s="872"/>
      <c r="AY167" s="872"/>
      <c r="AZ167" s="877"/>
      <c r="BA167" s="878"/>
      <c r="BB167" s="878"/>
      <c r="BC167" s="878"/>
      <c r="BD167" s="878"/>
      <c r="BE167" s="878"/>
      <c r="BF167" s="878"/>
      <c r="BG167" s="878"/>
      <c r="BH167" s="878"/>
    </row>
    <row r="168" ht="21" spans="1:60">
      <c r="A168" s="807">
        <v>11</v>
      </c>
      <c r="B168" s="890" t="s">
        <v>550</v>
      </c>
      <c r="C168" s="891"/>
      <c r="D168" s="837"/>
      <c r="E168" s="837"/>
      <c r="F168" s="837"/>
      <c r="G168" s="830"/>
      <c r="H168" s="830"/>
      <c r="I168" s="830"/>
      <c r="J168" s="830"/>
      <c r="K168" s="830"/>
      <c r="L168" s="830"/>
      <c r="M168" s="830"/>
      <c r="N168" s="830"/>
      <c r="O168" s="846"/>
      <c r="P168" s="846"/>
      <c r="Q168" s="846"/>
      <c r="R168" s="846"/>
      <c r="S168" s="846"/>
      <c r="T168" s="846"/>
      <c r="U168" s="846"/>
      <c r="V168" s="846"/>
      <c r="W168" s="846"/>
      <c r="X168" s="855"/>
      <c r="Y168" s="855"/>
      <c r="Z168" s="855"/>
      <c r="AA168" s="855"/>
      <c r="AB168" s="855"/>
      <c r="AC168" s="855"/>
      <c r="AD168" s="855"/>
      <c r="AE168" s="855"/>
      <c r="AF168" s="855"/>
      <c r="AG168" s="855"/>
      <c r="AH168" s="862"/>
      <c r="AI168" s="862"/>
      <c r="AJ168" s="862"/>
      <c r="AK168" s="862"/>
      <c r="AL168" s="862"/>
      <c r="AM168" s="862"/>
      <c r="AN168" s="862"/>
      <c r="AO168" s="862"/>
      <c r="AP168" s="862"/>
      <c r="AQ168" s="862"/>
      <c r="AR168" s="872"/>
      <c r="AS168" s="872"/>
      <c r="AT168" s="872"/>
      <c r="AU168" s="872"/>
      <c r="AV168" s="872"/>
      <c r="AW168" s="872"/>
      <c r="AX168" s="872"/>
      <c r="AY168" s="872"/>
      <c r="AZ168" s="878"/>
      <c r="BA168" s="878"/>
      <c r="BB168" s="878"/>
      <c r="BC168" s="878"/>
      <c r="BD168" s="878"/>
      <c r="BE168" s="878"/>
      <c r="BF168" s="878"/>
      <c r="BG168" s="878"/>
      <c r="BH168" s="878"/>
    </row>
    <row r="169" ht="20.25" spans="1:60">
      <c r="A169" s="822" t="s">
        <v>260</v>
      </c>
      <c r="B169" s="823" t="s">
        <v>550</v>
      </c>
      <c r="C169" s="824" t="s">
        <v>551</v>
      </c>
      <c r="D169" s="824" t="s">
        <v>552</v>
      </c>
      <c r="E169" s="824" t="s">
        <v>264</v>
      </c>
      <c r="F169" s="825" t="s">
        <v>264</v>
      </c>
      <c r="G169" s="830"/>
      <c r="H169" s="830"/>
      <c r="I169" s="830"/>
      <c r="J169" s="830"/>
      <c r="K169" s="830"/>
      <c r="L169" s="830"/>
      <c r="M169" s="830"/>
      <c r="N169" s="830"/>
      <c r="O169" s="846"/>
      <c r="P169" s="846"/>
      <c r="Q169" s="846"/>
      <c r="R169" s="846"/>
      <c r="S169" s="846"/>
      <c r="T169" s="846"/>
      <c r="U169" s="846"/>
      <c r="V169" s="846"/>
      <c r="W169" s="846"/>
      <c r="X169" s="855"/>
      <c r="Y169" s="855"/>
      <c r="Z169" s="855"/>
      <c r="AA169" s="855"/>
      <c r="AB169" s="855"/>
      <c r="AC169" s="855"/>
      <c r="AD169" s="855"/>
      <c r="AE169" s="855"/>
      <c r="AF169" s="855"/>
      <c r="AG169" s="855"/>
      <c r="AH169" s="862"/>
      <c r="AI169" s="862"/>
      <c r="AJ169" s="862"/>
      <c r="AK169" s="862"/>
      <c r="AL169" s="862"/>
      <c r="AM169" s="862"/>
      <c r="AN169" s="862"/>
      <c r="AO169" s="862"/>
      <c r="AP169" s="862"/>
      <c r="AQ169" s="862"/>
      <c r="AR169" s="872"/>
      <c r="AS169" s="872"/>
      <c r="AT169" s="872"/>
      <c r="AU169" s="872"/>
      <c r="AV169" s="872"/>
      <c r="AW169" s="872"/>
      <c r="AX169" s="872"/>
      <c r="AY169" s="872"/>
      <c r="AZ169" s="878"/>
      <c r="BA169" s="878"/>
      <c r="BB169" s="878"/>
      <c r="BC169" s="878"/>
      <c r="BD169" s="878"/>
      <c r="BE169" s="878"/>
      <c r="BF169" s="878"/>
      <c r="BG169" s="878"/>
      <c r="BH169" s="878"/>
    </row>
    <row r="170" ht="20.25" spans="1:60">
      <c r="A170" s="822" t="s">
        <v>260</v>
      </c>
      <c r="B170" s="827"/>
      <c r="C170" s="824" t="s">
        <v>553</v>
      </c>
      <c r="D170" s="824" t="s">
        <v>554</v>
      </c>
      <c r="E170" s="824" t="s">
        <v>264</v>
      </c>
      <c r="F170" s="825" t="s">
        <v>264</v>
      </c>
      <c r="G170" s="830"/>
      <c r="H170" s="830"/>
      <c r="I170" s="830"/>
      <c r="J170" s="830"/>
      <c r="K170" s="830"/>
      <c r="L170" s="830"/>
      <c r="M170" s="830"/>
      <c r="N170" s="830"/>
      <c r="O170" s="846"/>
      <c r="P170" s="846"/>
      <c r="Q170" s="846"/>
      <c r="R170" s="846"/>
      <c r="S170" s="846"/>
      <c r="T170" s="846"/>
      <c r="U170" s="846"/>
      <c r="V170" s="846"/>
      <c r="W170" s="846"/>
      <c r="X170" s="855"/>
      <c r="Y170" s="855"/>
      <c r="Z170" s="855"/>
      <c r="AA170" s="855"/>
      <c r="AB170" s="855"/>
      <c r="AC170" s="855"/>
      <c r="AD170" s="855"/>
      <c r="AE170" s="855"/>
      <c r="AF170" s="855"/>
      <c r="AG170" s="855"/>
      <c r="AH170" s="862"/>
      <c r="AI170" s="862"/>
      <c r="AJ170" s="862"/>
      <c r="AK170" s="862"/>
      <c r="AL170" s="862"/>
      <c r="AM170" s="862"/>
      <c r="AN170" s="862"/>
      <c r="AO170" s="862"/>
      <c r="AP170" s="862"/>
      <c r="AQ170" s="862"/>
      <c r="AR170" s="872"/>
      <c r="AS170" s="872"/>
      <c r="AT170" s="872"/>
      <c r="AU170" s="872"/>
      <c r="AV170" s="872"/>
      <c r="AW170" s="872"/>
      <c r="AX170" s="872"/>
      <c r="AY170" s="872"/>
      <c r="AZ170" s="878"/>
      <c r="BA170" s="878"/>
      <c r="BB170" s="878"/>
      <c r="BC170" s="878"/>
      <c r="BD170" s="878"/>
      <c r="BE170" s="878"/>
      <c r="BF170" s="878"/>
      <c r="BG170" s="878"/>
      <c r="BH170" s="878"/>
    </row>
    <row r="171" ht="20.25" spans="1:60">
      <c r="A171" s="822" t="s">
        <v>260</v>
      </c>
      <c r="B171" s="827"/>
      <c r="C171" s="824" t="s">
        <v>555</v>
      </c>
      <c r="D171" s="824" t="s">
        <v>552</v>
      </c>
      <c r="E171" s="824" t="s">
        <v>264</v>
      </c>
      <c r="F171" s="825" t="s">
        <v>264</v>
      </c>
      <c r="G171" s="830"/>
      <c r="H171" s="830"/>
      <c r="I171" s="830"/>
      <c r="J171" s="830"/>
      <c r="K171" s="830"/>
      <c r="L171" s="830"/>
      <c r="M171" s="830"/>
      <c r="N171" s="830"/>
      <c r="O171" s="846"/>
      <c r="P171" s="846"/>
      <c r="Q171" s="846"/>
      <c r="R171" s="846"/>
      <c r="S171" s="846"/>
      <c r="T171" s="846"/>
      <c r="U171" s="846"/>
      <c r="V171" s="846"/>
      <c r="W171" s="846"/>
      <c r="X171" s="855"/>
      <c r="Y171" s="855"/>
      <c r="Z171" s="855"/>
      <c r="AA171" s="855"/>
      <c r="AB171" s="855"/>
      <c r="AC171" s="855"/>
      <c r="AD171" s="855"/>
      <c r="AE171" s="855"/>
      <c r="AF171" s="855"/>
      <c r="AG171" s="855"/>
      <c r="AH171" s="862"/>
      <c r="AI171" s="862"/>
      <c r="AJ171" s="862"/>
      <c r="AK171" s="862"/>
      <c r="AL171" s="862"/>
      <c r="AM171" s="862"/>
      <c r="AN171" s="862"/>
      <c r="AO171" s="862"/>
      <c r="AP171" s="862"/>
      <c r="AQ171" s="862"/>
      <c r="AR171" s="872"/>
      <c r="AS171" s="872"/>
      <c r="AT171" s="872"/>
      <c r="AU171" s="872"/>
      <c r="AV171" s="872"/>
      <c r="AW171" s="872"/>
      <c r="AX171" s="872"/>
      <c r="AY171" s="872"/>
      <c r="AZ171" s="878"/>
      <c r="BA171" s="878"/>
      <c r="BB171" s="878"/>
      <c r="BC171" s="878"/>
      <c r="BD171" s="878"/>
      <c r="BE171" s="878"/>
      <c r="BF171" s="878"/>
      <c r="BG171" s="878"/>
      <c r="BH171" s="878"/>
    </row>
    <row r="172" ht="20.25" spans="1:60">
      <c r="A172" s="822" t="s">
        <v>260</v>
      </c>
      <c r="B172" s="827"/>
      <c r="C172" s="824" t="s">
        <v>556</v>
      </c>
      <c r="D172" s="824" t="s">
        <v>552</v>
      </c>
      <c r="E172" s="824" t="s">
        <v>264</v>
      </c>
      <c r="F172" s="825" t="s">
        <v>264</v>
      </c>
      <c r="G172" s="830"/>
      <c r="H172" s="830"/>
      <c r="I172" s="830"/>
      <c r="J172" s="830"/>
      <c r="K172" s="830"/>
      <c r="L172" s="830"/>
      <c r="M172" s="830"/>
      <c r="N172" s="830"/>
      <c r="O172" s="846"/>
      <c r="P172" s="846"/>
      <c r="Q172" s="846"/>
      <c r="R172" s="846"/>
      <c r="S172" s="846"/>
      <c r="T172" s="846"/>
      <c r="U172" s="846"/>
      <c r="V172" s="846"/>
      <c r="W172" s="846"/>
      <c r="X172" s="855"/>
      <c r="Y172" s="855"/>
      <c r="Z172" s="855"/>
      <c r="AA172" s="855"/>
      <c r="AB172" s="855"/>
      <c r="AC172" s="855"/>
      <c r="AD172" s="855"/>
      <c r="AE172" s="855"/>
      <c r="AF172" s="855"/>
      <c r="AG172" s="855"/>
      <c r="AH172" s="862"/>
      <c r="AI172" s="862"/>
      <c r="AJ172" s="862"/>
      <c r="AK172" s="862"/>
      <c r="AL172" s="862"/>
      <c r="AM172" s="862"/>
      <c r="AN172" s="862"/>
      <c r="AO172" s="862"/>
      <c r="AP172" s="862"/>
      <c r="AQ172" s="862"/>
      <c r="AR172" s="872"/>
      <c r="AS172" s="872"/>
      <c r="AT172" s="872"/>
      <c r="AU172" s="872"/>
      <c r="AV172" s="872"/>
      <c r="AW172" s="872"/>
      <c r="AX172" s="872"/>
      <c r="AY172" s="872"/>
      <c r="AZ172" s="878"/>
      <c r="BA172" s="878"/>
      <c r="BB172" s="878"/>
      <c r="BC172" s="878"/>
      <c r="BD172" s="878"/>
      <c r="BE172" s="878"/>
      <c r="BF172" s="878"/>
      <c r="BG172" s="878"/>
      <c r="BH172" s="878"/>
    </row>
    <row r="173" ht="20.25" spans="1:60">
      <c r="A173" s="822" t="s">
        <v>260</v>
      </c>
      <c r="B173" s="827"/>
      <c r="C173" s="892" t="s">
        <v>557</v>
      </c>
      <c r="D173" s="824" t="s">
        <v>558</v>
      </c>
      <c r="E173" s="824" t="s">
        <v>264</v>
      </c>
      <c r="F173" s="825" t="s">
        <v>264</v>
      </c>
      <c r="G173" s="830"/>
      <c r="H173" s="830"/>
      <c r="I173" s="830"/>
      <c r="J173" s="830"/>
      <c r="K173" s="830"/>
      <c r="L173" s="830"/>
      <c r="M173" s="830"/>
      <c r="N173" s="830"/>
      <c r="O173" s="846"/>
      <c r="P173" s="846"/>
      <c r="Q173" s="846"/>
      <c r="R173" s="846"/>
      <c r="S173" s="846"/>
      <c r="T173" s="846"/>
      <c r="U173" s="846"/>
      <c r="V173" s="846"/>
      <c r="W173" s="846"/>
      <c r="X173" s="855"/>
      <c r="Y173" s="855"/>
      <c r="Z173" s="855"/>
      <c r="AA173" s="855"/>
      <c r="AB173" s="855"/>
      <c r="AC173" s="855"/>
      <c r="AD173" s="855"/>
      <c r="AE173" s="855"/>
      <c r="AF173" s="855"/>
      <c r="AG173" s="855"/>
      <c r="AH173" s="862"/>
      <c r="AI173" s="862"/>
      <c r="AJ173" s="862"/>
      <c r="AK173" s="862"/>
      <c r="AL173" s="862"/>
      <c r="AM173" s="862"/>
      <c r="AN173" s="862"/>
      <c r="AO173" s="862"/>
      <c r="AP173" s="862"/>
      <c r="AQ173" s="862"/>
      <c r="AR173" s="872"/>
      <c r="AS173" s="872"/>
      <c r="AT173" s="872"/>
      <c r="AU173" s="872"/>
      <c r="AV173" s="872"/>
      <c r="AW173" s="872"/>
      <c r="AX173" s="872"/>
      <c r="AY173" s="872"/>
      <c r="AZ173" s="878"/>
      <c r="BA173" s="878"/>
      <c r="BB173" s="878"/>
      <c r="BC173" s="878"/>
      <c r="BD173" s="878"/>
      <c r="BE173" s="878"/>
      <c r="BF173" s="878"/>
      <c r="BG173" s="878"/>
      <c r="BH173" s="878"/>
    </row>
    <row r="174" ht="20.25" spans="1:60">
      <c r="A174" s="822" t="s">
        <v>260</v>
      </c>
      <c r="B174" s="823" t="s">
        <v>559</v>
      </c>
      <c r="C174" s="892" t="s">
        <v>560</v>
      </c>
      <c r="D174" s="824" t="s">
        <v>561</v>
      </c>
      <c r="E174" s="824" t="s">
        <v>264</v>
      </c>
      <c r="F174" s="825" t="s">
        <v>264</v>
      </c>
      <c r="G174" s="830"/>
      <c r="H174" s="830"/>
      <c r="I174" s="830"/>
      <c r="J174" s="830"/>
      <c r="K174" s="830"/>
      <c r="L174" s="830"/>
      <c r="M174" s="830"/>
      <c r="N174" s="830"/>
      <c r="O174" s="846"/>
      <c r="P174" s="846"/>
      <c r="Q174" s="846"/>
      <c r="R174" s="846"/>
      <c r="S174" s="846"/>
      <c r="T174" s="846"/>
      <c r="U174" s="846"/>
      <c r="V174" s="846"/>
      <c r="W174" s="846"/>
      <c r="X174" s="855"/>
      <c r="Y174" s="855"/>
      <c r="Z174" s="855"/>
      <c r="AA174" s="855"/>
      <c r="AB174" s="855"/>
      <c r="AC174" s="855"/>
      <c r="AD174" s="855"/>
      <c r="AE174" s="855"/>
      <c r="AF174" s="855"/>
      <c r="AG174" s="855"/>
      <c r="AH174" s="862"/>
      <c r="AI174" s="862"/>
      <c r="AJ174" s="862"/>
      <c r="AK174" s="862"/>
      <c r="AL174" s="862"/>
      <c r="AM174" s="862"/>
      <c r="AN174" s="862"/>
      <c r="AO174" s="862"/>
      <c r="AP174" s="862"/>
      <c r="AQ174" s="862"/>
      <c r="AR174" s="872"/>
      <c r="AS174" s="872"/>
      <c r="AT174" s="872"/>
      <c r="AU174" s="872"/>
      <c r="AV174" s="872"/>
      <c r="AW174" s="872"/>
      <c r="AX174" s="872"/>
      <c r="AY174" s="872"/>
      <c r="AZ174" s="878"/>
      <c r="BA174" s="878"/>
      <c r="BB174" s="878"/>
      <c r="BC174" s="878"/>
      <c r="BD174" s="878"/>
      <c r="BE174" s="878"/>
      <c r="BF174" s="878"/>
      <c r="BG174" s="878"/>
      <c r="BH174" s="878"/>
    </row>
    <row r="175" ht="20.25" spans="1:60">
      <c r="A175" s="822" t="s">
        <v>260</v>
      </c>
      <c r="B175" s="827"/>
      <c r="C175" s="892" t="s">
        <v>562</v>
      </c>
      <c r="D175" s="824" t="s">
        <v>563</v>
      </c>
      <c r="E175" s="824" t="s">
        <v>264</v>
      </c>
      <c r="F175" s="825" t="s">
        <v>264</v>
      </c>
      <c r="G175" s="830"/>
      <c r="H175" s="830"/>
      <c r="I175" s="830"/>
      <c r="J175" s="830"/>
      <c r="K175" s="830"/>
      <c r="L175" s="830"/>
      <c r="M175" s="830"/>
      <c r="N175" s="830"/>
      <c r="O175" s="846"/>
      <c r="P175" s="846"/>
      <c r="Q175" s="846"/>
      <c r="R175" s="846"/>
      <c r="S175" s="846"/>
      <c r="T175" s="846"/>
      <c r="U175" s="846"/>
      <c r="V175" s="846"/>
      <c r="W175" s="846"/>
      <c r="X175" s="855"/>
      <c r="Y175" s="855"/>
      <c r="Z175" s="855"/>
      <c r="AA175" s="855"/>
      <c r="AB175" s="855"/>
      <c r="AC175" s="855"/>
      <c r="AD175" s="855"/>
      <c r="AE175" s="855"/>
      <c r="AF175" s="855"/>
      <c r="AG175" s="855"/>
      <c r="AH175" s="862"/>
      <c r="AI175" s="862"/>
      <c r="AJ175" s="862"/>
      <c r="AK175" s="862"/>
      <c r="AL175" s="862"/>
      <c r="AM175" s="862"/>
      <c r="AN175" s="862"/>
      <c r="AO175" s="862"/>
      <c r="AP175" s="862"/>
      <c r="AQ175" s="862"/>
      <c r="AR175" s="872"/>
      <c r="AS175" s="872"/>
      <c r="AT175" s="872"/>
      <c r="AU175" s="872"/>
      <c r="AV175" s="872"/>
      <c r="AW175" s="872"/>
      <c r="AX175" s="872"/>
      <c r="AY175" s="872"/>
      <c r="AZ175" s="878"/>
      <c r="BA175" s="878"/>
      <c r="BB175" s="878"/>
      <c r="BC175" s="878"/>
      <c r="BD175" s="878"/>
      <c r="BE175" s="878"/>
      <c r="BF175" s="878"/>
      <c r="BG175" s="878"/>
      <c r="BH175" s="878"/>
    </row>
    <row r="176" ht="20.25" spans="1:60">
      <c r="A176" s="822" t="s">
        <v>260</v>
      </c>
      <c r="B176" s="829"/>
      <c r="C176" s="892" t="s">
        <v>564</v>
      </c>
      <c r="D176" s="824" t="s">
        <v>565</v>
      </c>
      <c r="E176" s="824" t="s">
        <v>264</v>
      </c>
      <c r="F176" s="825" t="s">
        <v>264</v>
      </c>
      <c r="G176" s="830"/>
      <c r="H176" s="830"/>
      <c r="I176" s="830"/>
      <c r="J176" s="830"/>
      <c r="K176" s="830"/>
      <c r="L176" s="830"/>
      <c r="M176" s="830"/>
      <c r="N176" s="830"/>
      <c r="O176" s="846"/>
      <c r="P176" s="846"/>
      <c r="Q176" s="846"/>
      <c r="R176" s="846"/>
      <c r="S176" s="846"/>
      <c r="T176" s="846"/>
      <c r="U176" s="846"/>
      <c r="V176" s="846"/>
      <c r="W176" s="846"/>
      <c r="X176" s="855"/>
      <c r="Y176" s="855"/>
      <c r="Z176" s="855"/>
      <c r="AA176" s="855"/>
      <c r="AB176" s="855"/>
      <c r="AC176" s="855"/>
      <c r="AD176" s="855"/>
      <c r="AE176" s="855"/>
      <c r="AF176" s="855"/>
      <c r="AG176" s="855"/>
      <c r="AH176" s="862"/>
      <c r="AI176" s="862"/>
      <c r="AJ176" s="862"/>
      <c r="AK176" s="862"/>
      <c r="AL176" s="862"/>
      <c r="AM176" s="862"/>
      <c r="AN176" s="862"/>
      <c r="AO176" s="862"/>
      <c r="AP176" s="862"/>
      <c r="AQ176" s="862"/>
      <c r="AR176" s="872"/>
      <c r="AS176" s="872"/>
      <c r="AT176" s="872"/>
      <c r="AU176" s="872"/>
      <c r="AV176" s="872"/>
      <c r="AW176" s="872"/>
      <c r="AX176" s="872"/>
      <c r="AY176" s="872"/>
      <c r="AZ176" s="878"/>
      <c r="BA176" s="878"/>
      <c r="BB176" s="878"/>
      <c r="BC176" s="878"/>
      <c r="BD176" s="878"/>
      <c r="BE176" s="878"/>
      <c r="BF176" s="878"/>
      <c r="BG176" s="878"/>
      <c r="BH176" s="878"/>
    </row>
    <row r="177" ht="20.25" spans="1:60">
      <c r="A177" s="822" t="s">
        <v>260</v>
      </c>
      <c r="B177" s="823" t="s">
        <v>566</v>
      </c>
      <c r="C177" s="824" t="s">
        <v>567</v>
      </c>
      <c r="D177" s="824" t="s">
        <v>568</v>
      </c>
      <c r="E177" s="824" t="s">
        <v>264</v>
      </c>
      <c r="F177" s="825" t="s">
        <v>264</v>
      </c>
      <c r="G177" s="830"/>
      <c r="H177" s="830"/>
      <c r="I177" s="830"/>
      <c r="J177" s="830"/>
      <c r="K177" s="830"/>
      <c r="L177" s="830"/>
      <c r="M177" s="830"/>
      <c r="N177" s="830"/>
      <c r="O177" s="846"/>
      <c r="P177" s="846"/>
      <c r="Q177" s="846"/>
      <c r="R177" s="846"/>
      <c r="S177" s="846"/>
      <c r="T177" s="846"/>
      <c r="U177" s="846"/>
      <c r="V177" s="846"/>
      <c r="W177" s="846"/>
      <c r="X177" s="855"/>
      <c r="Y177" s="855"/>
      <c r="Z177" s="855"/>
      <c r="AA177" s="855"/>
      <c r="AB177" s="855"/>
      <c r="AC177" s="855"/>
      <c r="AD177" s="855"/>
      <c r="AE177" s="855"/>
      <c r="AF177" s="855"/>
      <c r="AG177" s="855"/>
      <c r="AH177" s="862"/>
      <c r="AI177" s="862"/>
      <c r="AJ177" s="862"/>
      <c r="AK177" s="862"/>
      <c r="AL177" s="862"/>
      <c r="AM177" s="862"/>
      <c r="AN177" s="862"/>
      <c r="AO177" s="862"/>
      <c r="AP177" s="862"/>
      <c r="AQ177" s="862"/>
      <c r="AR177" s="872"/>
      <c r="AS177" s="872"/>
      <c r="AT177" s="872"/>
      <c r="AU177" s="872"/>
      <c r="AV177" s="872"/>
      <c r="AW177" s="872"/>
      <c r="AX177" s="872"/>
      <c r="AY177" s="872"/>
      <c r="AZ177" s="878"/>
      <c r="BA177" s="878"/>
      <c r="BB177" s="878"/>
      <c r="BC177" s="878"/>
      <c r="BD177" s="878"/>
      <c r="BE177" s="878"/>
      <c r="BF177" s="878"/>
      <c r="BG177" s="878"/>
      <c r="BH177" s="878"/>
    </row>
    <row r="178" ht="20.25" spans="1:60">
      <c r="A178" s="822" t="s">
        <v>260</v>
      </c>
      <c r="B178" s="827"/>
      <c r="C178" s="886" t="s">
        <v>569</v>
      </c>
      <c r="D178" s="824" t="s">
        <v>570</v>
      </c>
      <c r="E178" s="824" t="s">
        <v>264</v>
      </c>
      <c r="F178" s="825" t="s">
        <v>264</v>
      </c>
      <c r="G178" s="830"/>
      <c r="H178" s="830"/>
      <c r="I178" s="830"/>
      <c r="J178" s="830"/>
      <c r="K178" s="830"/>
      <c r="L178" s="830"/>
      <c r="M178" s="830"/>
      <c r="N178" s="830"/>
      <c r="O178" s="846"/>
      <c r="P178" s="846"/>
      <c r="Q178" s="846"/>
      <c r="R178" s="846"/>
      <c r="S178" s="846"/>
      <c r="T178" s="846"/>
      <c r="U178" s="846"/>
      <c r="V178" s="846"/>
      <c r="W178" s="846"/>
      <c r="X178" s="855"/>
      <c r="Y178" s="855"/>
      <c r="Z178" s="855"/>
      <c r="AA178" s="855"/>
      <c r="AB178" s="855"/>
      <c r="AC178" s="855"/>
      <c r="AD178" s="855"/>
      <c r="AE178" s="855"/>
      <c r="AF178" s="855"/>
      <c r="AG178" s="855"/>
      <c r="AH178" s="862"/>
      <c r="AI178" s="862"/>
      <c r="AJ178" s="862"/>
      <c r="AK178" s="862"/>
      <c r="AL178" s="862"/>
      <c r="AM178" s="862"/>
      <c r="AN178" s="862"/>
      <c r="AO178" s="862"/>
      <c r="AP178" s="862"/>
      <c r="AQ178" s="862"/>
      <c r="AR178" s="872"/>
      <c r="AS178" s="872"/>
      <c r="AT178" s="872"/>
      <c r="AU178" s="872"/>
      <c r="AV178" s="872"/>
      <c r="AW178" s="872"/>
      <c r="AX178" s="872"/>
      <c r="AY178" s="872"/>
      <c r="AZ178" s="878"/>
      <c r="BA178" s="878"/>
      <c r="BB178" s="878"/>
      <c r="BC178" s="878"/>
      <c r="BD178" s="878"/>
      <c r="BE178" s="878"/>
      <c r="BF178" s="878"/>
      <c r="BG178" s="878"/>
      <c r="BH178" s="878"/>
    </row>
    <row r="179" ht="20.25" spans="1:60">
      <c r="A179" s="822" t="s">
        <v>260</v>
      </c>
      <c r="B179" s="829"/>
      <c r="C179" s="824" t="s">
        <v>571</v>
      </c>
      <c r="D179" s="824" t="s">
        <v>572</v>
      </c>
      <c r="E179" s="824" t="s">
        <v>264</v>
      </c>
      <c r="F179" s="825" t="s">
        <v>264</v>
      </c>
      <c r="G179" s="830"/>
      <c r="H179" s="830"/>
      <c r="I179" s="830"/>
      <c r="J179" s="830"/>
      <c r="K179" s="830"/>
      <c r="L179" s="830"/>
      <c r="M179" s="830"/>
      <c r="N179" s="830"/>
      <c r="O179" s="846"/>
      <c r="P179" s="846"/>
      <c r="Q179" s="846"/>
      <c r="R179" s="846"/>
      <c r="S179" s="846"/>
      <c r="T179" s="846"/>
      <c r="U179" s="846"/>
      <c r="V179" s="846"/>
      <c r="W179" s="846"/>
      <c r="X179" s="855"/>
      <c r="Y179" s="855"/>
      <c r="Z179" s="855"/>
      <c r="AA179" s="855"/>
      <c r="AB179" s="855"/>
      <c r="AC179" s="855"/>
      <c r="AD179" s="855"/>
      <c r="AE179" s="855"/>
      <c r="AF179" s="855"/>
      <c r="AG179" s="855"/>
      <c r="AH179" s="862"/>
      <c r="AI179" s="862"/>
      <c r="AJ179" s="862"/>
      <c r="AK179" s="862"/>
      <c r="AL179" s="862"/>
      <c r="AM179" s="862"/>
      <c r="AN179" s="862"/>
      <c r="AO179" s="862"/>
      <c r="AP179" s="862"/>
      <c r="AQ179" s="862"/>
      <c r="AR179" s="872"/>
      <c r="AS179" s="872"/>
      <c r="AT179" s="872"/>
      <c r="AU179" s="872"/>
      <c r="AV179" s="872"/>
      <c r="AW179" s="872"/>
      <c r="AX179" s="872"/>
      <c r="AY179" s="872"/>
      <c r="AZ179" s="878"/>
      <c r="BA179" s="878"/>
      <c r="BB179" s="878"/>
      <c r="BC179" s="878"/>
      <c r="BD179" s="878"/>
      <c r="BE179" s="878"/>
      <c r="BF179" s="878"/>
      <c r="BG179" s="878"/>
      <c r="BH179" s="878"/>
    </row>
  </sheetData>
  <mergeCells count="52">
    <mergeCell ref="A1:F1"/>
    <mergeCell ref="G1:W1"/>
    <mergeCell ref="G2:N2"/>
    <mergeCell ref="O2:W2"/>
    <mergeCell ref="X2:AG2"/>
    <mergeCell ref="AH2:AP2"/>
    <mergeCell ref="AR2:AY2"/>
    <mergeCell ref="AZ2:BH2"/>
    <mergeCell ref="B5:F5"/>
    <mergeCell ref="B6:F6"/>
    <mergeCell ref="B33:F33"/>
    <mergeCell ref="B43:F43"/>
    <mergeCell ref="A2:A4"/>
    <mergeCell ref="B2:B4"/>
    <mergeCell ref="B10:B14"/>
    <mergeCell ref="B15:B16"/>
    <mergeCell ref="B17:B21"/>
    <mergeCell ref="B22:B25"/>
    <mergeCell ref="B26:B30"/>
    <mergeCell ref="B31:B32"/>
    <mergeCell ref="B34:B37"/>
    <mergeCell ref="B38:B42"/>
    <mergeCell ref="B44:B45"/>
    <mergeCell ref="B46:B49"/>
    <mergeCell ref="B50:B55"/>
    <mergeCell ref="B58:B66"/>
    <mergeCell ref="B67:B77"/>
    <mergeCell ref="B80:B85"/>
    <mergeCell ref="B87:B96"/>
    <mergeCell ref="B99:B104"/>
    <mergeCell ref="B105:B106"/>
    <mergeCell ref="B108:B111"/>
    <mergeCell ref="B112:B115"/>
    <mergeCell ref="B117:B120"/>
    <mergeCell ref="B122:B126"/>
    <mergeCell ref="B129:B132"/>
    <mergeCell ref="B134:B140"/>
    <mergeCell ref="B141:B146"/>
    <mergeCell ref="B147:B148"/>
    <mergeCell ref="B151:B153"/>
    <mergeCell ref="B154:B157"/>
    <mergeCell ref="B158:B161"/>
    <mergeCell ref="B162:B163"/>
    <mergeCell ref="B165:B167"/>
    <mergeCell ref="B169:B173"/>
    <mergeCell ref="B174:B176"/>
    <mergeCell ref="B177:B179"/>
    <mergeCell ref="C2:C4"/>
    <mergeCell ref="D2:D4"/>
    <mergeCell ref="E2:E4"/>
    <mergeCell ref="F2:F4"/>
    <mergeCell ref="G5:BH6"/>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sheetPr>
  <dimension ref="A1:BQ40"/>
  <sheetViews>
    <sheetView zoomScale="85" zoomScaleNormal="85" zoomScalePageLayoutView="250" workbookViewId="0">
      <pane xSplit="9" ySplit="4" topLeftCell="J5" activePane="bottomRight" state="frozen"/>
      <selection/>
      <selection pane="topRight"/>
      <selection pane="bottomLeft"/>
      <selection pane="bottomRight" activeCell="C22" sqref="C22"/>
    </sheetView>
  </sheetViews>
  <sheetFormatPr defaultColWidth="9" defaultRowHeight="14.25"/>
  <cols>
    <col min="1" max="1" width="9.2" customWidth="1"/>
    <col min="2" max="2" width="13.7" customWidth="1"/>
    <col min="3" max="3" width="14.3" customWidth="1"/>
    <col min="4" max="4" width="16.8" customWidth="1"/>
    <col min="5" max="5" width="14.3" customWidth="1"/>
    <col min="6" max="6" width="14" customWidth="1"/>
    <col min="7" max="7" width="13.3" customWidth="1"/>
    <col min="8" max="8" width="12" customWidth="1"/>
    <col min="9" max="9" width="14.7" customWidth="1"/>
    <col min="10" max="69" width="3.7" customWidth="1"/>
  </cols>
  <sheetData>
    <row r="1" ht="28.05" customHeight="1" spans="1:69">
      <c r="A1" s="784" t="s">
        <v>573</v>
      </c>
      <c r="B1" s="784"/>
      <c r="C1" s="784"/>
      <c r="D1" s="784"/>
      <c r="E1" s="784"/>
      <c r="F1" s="784"/>
      <c r="G1" s="785"/>
      <c r="H1" s="785"/>
      <c r="I1" s="785"/>
      <c r="J1" s="80">
        <v>43770</v>
      </c>
      <c r="K1" s="80"/>
      <c r="L1" s="80"/>
      <c r="M1" s="80"/>
      <c r="N1" s="80"/>
      <c r="O1" s="80"/>
      <c r="P1" s="80"/>
      <c r="Q1" s="80"/>
      <c r="R1" s="80"/>
      <c r="S1" s="80"/>
      <c r="T1" s="80"/>
      <c r="U1" s="80"/>
      <c r="V1" s="80"/>
      <c r="W1" s="80"/>
      <c r="X1" s="80"/>
      <c r="Y1" s="80"/>
      <c r="Z1" s="80"/>
      <c r="AA1" s="80"/>
      <c r="AB1" s="80"/>
      <c r="AC1" s="80"/>
      <c r="AD1" s="80"/>
      <c r="AE1" s="80"/>
      <c r="AF1" s="80"/>
      <c r="AG1" s="80"/>
      <c r="AH1" s="80"/>
      <c r="AI1" s="80"/>
      <c r="AJ1" s="80"/>
      <c r="AK1" s="80"/>
      <c r="AL1" s="80"/>
      <c r="AM1" s="80"/>
      <c r="AN1" s="795" t="s">
        <v>574</v>
      </c>
      <c r="AO1" s="795"/>
      <c r="AP1" s="795"/>
      <c r="AQ1" s="795"/>
      <c r="AR1" s="795"/>
      <c r="AS1" s="795"/>
      <c r="AT1" s="795"/>
      <c r="AU1" s="795"/>
      <c r="AV1" s="795"/>
      <c r="AW1" s="795"/>
      <c r="AX1" s="795"/>
      <c r="AY1" s="795"/>
      <c r="AZ1" s="795"/>
      <c r="BA1" s="795"/>
      <c r="BB1" s="795"/>
      <c r="BC1" s="795"/>
      <c r="BD1" s="795"/>
      <c r="BE1" s="795"/>
      <c r="BF1" s="795"/>
      <c r="BG1" s="795"/>
      <c r="BH1" s="795"/>
      <c r="BI1" s="795"/>
      <c r="BJ1" s="795"/>
      <c r="BK1" s="795"/>
      <c r="BL1" s="795"/>
      <c r="BM1" s="795"/>
      <c r="BN1" s="795"/>
      <c r="BO1" s="795"/>
      <c r="BP1" s="795"/>
      <c r="BQ1" s="795"/>
    </row>
    <row r="2" s="72" customFormat="1" ht="19.95" customHeight="1" spans="1:69">
      <c r="A2" s="786" t="s">
        <v>575</v>
      </c>
      <c r="B2" s="43" t="s">
        <v>576</v>
      </c>
      <c r="C2" s="44"/>
      <c r="D2" s="45"/>
      <c r="E2" s="787" t="s">
        <v>577</v>
      </c>
      <c r="F2" s="43" t="s">
        <v>578</v>
      </c>
      <c r="G2" s="44"/>
      <c r="H2" s="44"/>
      <c r="I2" s="45"/>
      <c r="J2" s="81">
        <v>1</v>
      </c>
      <c r="K2" s="81">
        <v>2</v>
      </c>
      <c r="L2" s="81">
        <v>3</v>
      </c>
      <c r="M2" s="81">
        <v>4</v>
      </c>
      <c r="N2" s="81">
        <v>5</v>
      </c>
      <c r="O2" s="81">
        <v>6</v>
      </c>
      <c r="P2" s="81">
        <v>7</v>
      </c>
      <c r="Q2" s="81">
        <v>8</v>
      </c>
      <c r="R2" s="81">
        <v>9</v>
      </c>
      <c r="S2" s="81">
        <v>10</v>
      </c>
      <c r="T2" s="81">
        <v>11</v>
      </c>
      <c r="U2" s="81">
        <v>12</v>
      </c>
      <c r="V2" s="81">
        <v>13</v>
      </c>
      <c r="W2" s="81">
        <v>14</v>
      </c>
      <c r="X2" s="81">
        <v>15</v>
      </c>
      <c r="Y2" s="81">
        <v>16</v>
      </c>
      <c r="Z2" s="81">
        <v>17</v>
      </c>
      <c r="AA2" s="81">
        <v>18</v>
      </c>
      <c r="AB2" s="81">
        <v>19</v>
      </c>
      <c r="AC2" s="81">
        <v>20</v>
      </c>
      <c r="AD2" s="81">
        <v>21</v>
      </c>
      <c r="AE2" s="81">
        <v>22</v>
      </c>
      <c r="AF2" s="81">
        <v>23</v>
      </c>
      <c r="AG2" s="81">
        <v>24</v>
      </c>
      <c r="AH2" s="81">
        <v>25</v>
      </c>
      <c r="AI2" s="81">
        <v>26</v>
      </c>
      <c r="AJ2" s="81">
        <v>27</v>
      </c>
      <c r="AK2" s="81">
        <v>28</v>
      </c>
      <c r="AL2" s="81">
        <v>29</v>
      </c>
      <c r="AM2" s="81">
        <v>30</v>
      </c>
      <c r="AN2" s="671">
        <v>1</v>
      </c>
      <c r="AO2" s="671">
        <v>2</v>
      </c>
      <c r="AP2" s="671">
        <v>3</v>
      </c>
      <c r="AQ2" s="671">
        <v>4</v>
      </c>
      <c r="AR2" s="671">
        <v>5</v>
      </c>
      <c r="AS2" s="671">
        <v>6</v>
      </c>
      <c r="AT2" s="671">
        <v>7</v>
      </c>
      <c r="AU2" s="671">
        <v>8</v>
      </c>
      <c r="AV2" s="671">
        <v>9</v>
      </c>
      <c r="AW2" s="671">
        <v>10</v>
      </c>
      <c r="AX2" s="671">
        <v>11</v>
      </c>
      <c r="AY2" s="671">
        <v>12</v>
      </c>
      <c r="AZ2" s="671">
        <v>13</v>
      </c>
      <c r="BA2" s="671">
        <v>14</v>
      </c>
      <c r="BB2" s="671">
        <v>15</v>
      </c>
      <c r="BC2" s="671">
        <v>16</v>
      </c>
      <c r="BD2" s="671">
        <v>17</v>
      </c>
      <c r="BE2" s="671">
        <v>18</v>
      </c>
      <c r="BF2" s="671">
        <v>19</v>
      </c>
      <c r="BG2" s="671">
        <v>20</v>
      </c>
      <c r="BH2" s="671">
        <v>21</v>
      </c>
      <c r="BI2" s="671">
        <v>22</v>
      </c>
      <c r="BJ2" s="671">
        <v>23</v>
      </c>
      <c r="BK2" s="671">
        <v>24</v>
      </c>
      <c r="BL2" s="671">
        <v>25</v>
      </c>
      <c r="BM2" s="671">
        <v>26</v>
      </c>
      <c r="BN2" s="671">
        <v>27</v>
      </c>
      <c r="BO2" s="671">
        <v>28</v>
      </c>
      <c r="BP2" s="671">
        <v>29</v>
      </c>
      <c r="BQ2" s="671">
        <v>30</v>
      </c>
    </row>
    <row r="3" s="72" customFormat="1" ht="19.95" customHeight="1" spans="1:69">
      <c r="A3" s="786" t="s">
        <v>579</v>
      </c>
      <c r="B3" s="788">
        <v>43739</v>
      </c>
      <c r="C3" s="789"/>
      <c r="D3" s="790"/>
      <c r="E3" s="791" t="s">
        <v>580</v>
      </c>
      <c r="F3" s="788" t="s">
        <v>260</v>
      </c>
      <c r="G3" s="789"/>
      <c r="H3" s="789"/>
      <c r="I3" s="790"/>
      <c r="J3" s="81"/>
      <c r="K3" s="81"/>
      <c r="L3" s="81"/>
      <c r="M3" s="81"/>
      <c r="N3" s="81"/>
      <c r="O3" s="81"/>
      <c r="P3" s="81"/>
      <c r="Q3" s="81"/>
      <c r="R3" s="81"/>
      <c r="S3" s="81"/>
      <c r="T3" s="81"/>
      <c r="U3" s="81"/>
      <c r="V3" s="81"/>
      <c r="W3" s="81"/>
      <c r="X3" s="81"/>
      <c r="Y3" s="81"/>
      <c r="Z3" s="81"/>
      <c r="AA3" s="81"/>
      <c r="AB3" s="81"/>
      <c r="AC3" s="81"/>
      <c r="AD3" s="81"/>
      <c r="AE3" s="81"/>
      <c r="AF3" s="81"/>
      <c r="AG3" s="81"/>
      <c r="AH3" s="81"/>
      <c r="AI3" s="81"/>
      <c r="AJ3" s="81"/>
      <c r="AK3" s="81"/>
      <c r="AL3" s="81"/>
      <c r="AM3" s="81"/>
      <c r="AN3" s="671"/>
      <c r="AO3" s="671"/>
      <c r="AP3" s="671"/>
      <c r="AQ3" s="671"/>
      <c r="AR3" s="671"/>
      <c r="AS3" s="671"/>
      <c r="AT3" s="671"/>
      <c r="AU3" s="671"/>
      <c r="AV3" s="671"/>
      <c r="AW3" s="671"/>
      <c r="AX3" s="671"/>
      <c r="AY3" s="671"/>
      <c r="AZ3" s="671"/>
      <c r="BA3" s="671"/>
      <c r="BB3" s="671"/>
      <c r="BC3" s="671"/>
      <c r="BD3" s="671"/>
      <c r="BE3" s="671"/>
      <c r="BF3" s="671"/>
      <c r="BG3" s="671"/>
      <c r="BH3" s="671"/>
      <c r="BI3" s="671"/>
      <c r="BJ3" s="671"/>
      <c r="BK3" s="671"/>
      <c r="BL3" s="671"/>
      <c r="BM3" s="671"/>
      <c r="BN3" s="671"/>
      <c r="BO3" s="671"/>
      <c r="BP3" s="671"/>
      <c r="BQ3" s="671"/>
    </row>
    <row r="4" s="72" customFormat="1" ht="19.95" customHeight="1" spans="1:69">
      <c r="A4" s="27" t="s">
        <v>63</v>
      </c>
      <c r="B4" s="27" t="s">
        <v>581</v>
      </c>
      <c r="C4" s="27" t="s">
        <v>582</v>
      </c>
      <c r="D4" s="27" t="s">
        <v>583</v>
      </c>
      <c r="E4" s="27" t="s">
        <v>584</v>
      </c>
      <c r="F4" s="27" t="s">
        <v>585</v>
      </c>
      <c r="G4" s="27" t="s">
        <v>586</v>
      </c>
      <c r="H4" s="27" t="s">
        <v>587</v>
      </c>
      <c r="I4" s="27" t="s">
        <v>588</v>
      </c>
      <c r="J4" s="82" t="s">
        <v>589</v>
      </c>
      <c r="K4" s="82" t="s">
        <v>590</v>
      </c>
      <c r="L4" s="82" t="s">
        <v>591</v>
      </c>
      <c r="M4" s="82" t="s">
        <v>592</v>
      </c>
      <c r="N4" s="82" t="s">
        <v>593</v>
      </c>
      <c r="O4" s="82" t="s">
        <v>594</v>
      </c>
      <c r="P4" s="82" t="s">
        <v>595</v>
      </c>
      <c r="Q4" s="82" t="s">
        <v>589</v>
      </c>
      <c r="R4" s="82" t="s">
        <v>590</v>
      </c>
      <c r="S4" s="82" t="s">
        <v>591</v>
      </c>
      <c r="T4" s="82" t="s">
        <v>592</v>
      </c>
      <c r="U4" s="82" t="s">
        <v>593</v>
      </c>
      <c r="V4" s="82" t="s">
        <v>594</v>
      </c>
      <c r="W4" s="82" t="s">
        <v>595</v>
      </c>
      <c r="X4" s="82" t="s">
        <v>589</v>
      </c>
      <c r="Y4" s="82" t="s">
        <v>590</v>
      </c>
      <c r="Z4" s="82" t="s">
        <v>591</v>
      </c>
      <c r="AA4" s="82" t="s">
        <v>592</v>
      </c>
      <c r="AB4" s="82" t="s">
        <v>593</v>
      </c>
      <c r="AC4" s="82" t="s">
        <v>594</v>
      </c>
      <c r="AD4" s="82" t="s">
        <v>595</v>
      </c>
      <c r="AE4" s="82" t="s">
        <v>589</v>
      </c>
      <c r="AF4" s="82" t="s">
        <v>590</v>
      </c>
      <c r="AG4" s="82" t="s">
        <v>591</v>
      </c>
      <c r="AH4" s="82" t="s">
        <v>592</v>
      </c>
      <c r="AI4" s="82" t="s">
        <v>593</v>
      </c>
      <c r="AJ4" s="82" t="s">
        <v>594</v>
      </c>
      <c r="AK4" s="82" t="s">
        <v>595</v>
      </c>
      <c r="AL4" s="82" t="s">
        <v>589</v>
      </c>
      <c r="AM4" s="82" t="s">
        <v>590</v>
      </c>
      <c r="AN4" s="672" t="s">
        <v>589</v>
      </c>
      <c r="AO4" s="672" t="s">
        <v>590</v>
      </c>
      <c r="AP4" s="672" t="s">
        <v>591</v>
      </c>
      <c r="AQ4" s="672" t="s">
        <v>592</v>
      </c>
      <c r="AR4" s="672" t="s">
        <v>593</v>
      </c>
      <c r="AS4" s="672" t="s">
        <v>594</v>
      </c>
      <c r="AT4" s="672" t="s">
        <v>595</v>
      </c>
      <c r="AU4" s="672" t="s">
        <v>589</v>
      </c>
      <c r="AV4" s="672" t="s">
        <v>590</v>
      </c>
      <c r="AW4" s="672" t="s">
        <v>591</v>
      </c>
      <c r="AX4" s="672" t="s">
        <v>592</v>
      </c>
      <c r="AY4" s="672" t="s">
        <v>593</v>
      </c>
      <c r="AZ4" s="672" t="s">
        <v>594</v>
      </c>
      <c r="BA4" s="672" t="s">
        <v>595</v>
      </c>
      <c r="BB4" s="672" t="s">
        <v>589</v>
      </c>
      <c r="BC4" s="672" t="s">
        <v>590</v>
      </c>
      <c r="BD4" s="672" t="s">
        <v>591</v>
      </c>
      <c r="BE4" s="672" t="s">
        <v>592</v>
      </c>
      <c r="BF4" s="672" t="s">
        <v>593</v>
      </c>
      <c r="BG4" s="672" t="s">
        <v>594</v>
      </c>
      <c r="BH4" s="672" t="s">
        <v>595</v>
      </c>
      <c r="BI4" s="672" t="s">
        <v>589</v>
      </c>
      <c r="BJ4" s="672" t="s">
        <v>590</v>
      </c>
      <c r="BK4" s="672" t="s">
        <v>591</v>
      </c>
      <c r="BL4" s="672" t="s">
        <v>592</v>
      </c>
      <c r="BM4" s="672" t="s">
        <v>593</v>
      </c>
      <c r="BN4" s="672" t="s">
        <v>594</v>
      </c>
      <c r="BO4" s="672" t="s">
        <v>595</v>
      </c>
      <c r="BP4" s="672" t="s">
        <v>589</v>
      </c>
      <c r="BQ4" s="672" t="s">
        <v>590</v>
      </c>
    </row>
    <row r="5" s="72" customFormat="1" ht="19.95" customHeight="1" spans="1:69">
      <c r="A5" s="33">
        <v>1</v>
      </c>
      <c r="B5" s="33" t="s">
        <v>596</v>
      </c>
      <c r="C5" s="33" t="s">
        <v>597</v>
      </c>
      <c r="D5" s="33" t="s">
        <v>598</v>
      </c>
      <c r="E5" s="792" t="s">
        <v>599</v>
      </c>
      <c r="F5" s="33" t="s">
        <v>600</v>
      </c>
      <c r="G5" s="792" t="s">
        <v>601</v>
      </c>
      <c r="H5" s="33" t="s">
        <v>602</v>
      </c>
      <c r="I5" s="33"/>
      <c r="J5" s="85"/>
      <c r="K5" s="86"/>
      <c r="L5" s="86"/>
      <c r="M5" s="86"/>
      <c r="N5" s="100"/>
      <c r="O5" s="100"/>
      <c r="P5" s="100"/>
      <c r="Q5" s="100"/>
      <c r="R5" s="100"/>
      <c r="S5" s="86"/>
      <c r="T5" s="86"/>
      <c r="U5" s="86"/>
      <c r="V5" s="86"/>
      <c r="W5" s="98"/>
      <c r="X5" s="98"/>
      <c r="Y5" s="98"/>
      <c r="Z5" s="98"/>
      <c r="AA5" s="98"/>
      <c r="AB5" s="98"/>
      <c r="AC5" s="98"/>
      <c r="AD5" s="98"/>
      <c r="AE5" s="98"/>
      <c r="AF5" s="98"/>
      <c r="AG5" s="98"/>
      <c r="AH5" s="98"/>
      <c r="AI5" s="98"/>
      <c r="AJ5" s="98"/>
      <c r="AK5" s="98"/>
      <c r="AL5" s="107"/>
      <c r="AM5" s="107"/>
      <c r="AN5" s="91"/>
      <c r="AO5" s="91"/>
      <c r="AP5" s="797"/>
      <c r="AQ5" s="797"/>
      <c r="AR5" s="797"/>
      <c r="AS5" s="797"/>
      <c r="AT5" s="797"/>
      <c r="AU5" s="797"/>
      <c r="AV5" s="797"/>
      <c r="AW5" s="797"/>
      <c r="AX5" s="797"/>
      <c r="AY5" s="797"/>
      <c r="AZ5" s="797"/>
      <c r="BA5" s="797"/>
      <c r="BB5" s="797"/>
      <c r="BC5" s="797"/>
      <c r="BD5" s="797"/>
      <c r="BE5" s="797"/>
      <c r="BF5" s="797"/>
      <c r="BG5" s="797"/>
      <c r="BH5" s="797"/>
      <c r="BI5" s="797"/>
      <c r="BJ5" s="797"/>
      <c r="BK5" s="797"/>
      <c r="BL5" s="797"/>
      <c r="BM5" s="797"/>
      <c r="BN5" s="797"/>
      <c r="BO5" s="797"/>
      <c r="BP5" s="798"/>
      <c r="BQ5" s="799"/>
    </row>
    <row r="6" s="72" customFormat="1" ht="19.95" customHeight="1" spans="1:69">
      <c r="A6" s="33">
        <v>2</v>
      </c>
      <c r="B6" s="33" t="s">
        <v>603</v>
      </c>
      <c r="C6" s="33" t="s">
        <v>604</v>
      </c>
      <c r="D6" s="33" t="s">
        <v>605</v>
      </c>
      <c r="E6" s="792" t="s">
        <v>599</v>
      </c>
      <c r="F6" s="792" t="s">
        <v>600</v>
      </c>
      <c r="G6" s="792" t="s">
        <v>601</v>
      </c>
      <c r="H6" s="33" t="s">
        <v>602</v>
      </c>
      <c r="I6" s="33"/>
      <c r="J6" s="85"/>
      <c r="K6" s="86"/>
      <c r="L6" s="87"/>
      <c r="M6" s="87"/>
      <c r="N6" s="87"/>
      <c r="O6" s="88"/>
      <c r="P6" s="88"/>
      <c r="Q6" s="88"/>
      <c r="R6" s="88"/>
      <c r="S6" s="88"/>
      <c r="T6" s="88"/>
      <c r="U6" s="86"/>
      <c r="V6" s="86"/>
      <c r="W6" s="98"/>
      <c r="X6" s="98"/>
      <c r="Y6" s="98"/>
      <c r="Z6" s="98"/>
      <c r="AA6" s="98"/>
      <c r="AB6" s="98"/>
      <c r="AC6" s="98"/>
      <c r="AD6" s="98"/>
      <c r="AE6" s="98"/>
      <c r="AF6" s="98"/>
      <c r="AG6" s="98"/>
      <c r="AH6" s="98"/>
      <c r="AI6" s="98"/>
      <c r="AJ6" s="98"/>
      <c r="AK6" s="98"/>
      <c r="AL6" s="107"/>
      <c r="AM6" s="107"/>
      <c r="AN6" s="91"/>
      <c r="AO6" s="91"/>
      <c r="AP6" s="797"/>
      <c r="AQ6" s="797"/>
      <c r="AR6" s="797"/>
      <c r="AS6" s="797"/>
      <c r="AT6" s="797"/>
      <c r="AU6" s="797"/>
      <c r="AV6" s="797"/>
      <c r="AW6" s="797"/>
      <c r="AX6" s="797"/>
      <c r="AY6" s="797"/>
      <c r="AZ6" s="797"/>
      <c r="BA6" s="797"/>
      <c r="BB6" s="797"/>
      <c r="BC6" s="797"/>
      <c r="BD6" s="797"/>
      <c r="BE6" s="797"/>
      <c r="BF6" s="797"/>
      <c r="BG6" s="797"/>
      <c r="BH6" s="797"/>
      <c r="BI6" s="797"/>
      <c r="BJ6" s="797"/>
      <c r="BK6" s="797"/>
      <c r="BL6" s="797"/>
      <c r="BM6" s="797"/>
      <c r="BN6" s="797"/>
      <c r="BO6" s="797"/>
      <c r="BP6" s="798"/>
      <c r="BQ6" s="799"/>
    </row>
    <row r="7" s="72" customFormat="1" ht="19.95" customHeight="1" spans="1:69">
      <c r="A7" s="33">
        <v>3</v>
      </c>
      <c r="B7" s="33" t="s">
        <v>606</v>
      </c>
      <c r="C7" s="33" t="s">
        <v>607</v>
      </c>
      <c r="D7" s="792" t="s">
        <v>608</v>
      </c>
      <c r="E7" s="792" t="s">
        <v>599</v>
      </c>
      <c r="F7" s="792" t="s">
        <v>600</v>
      </c>
      <c r="G7" s="792" t="s">
        <v>601</v>
      </c>
      <c r="H7" s="33" t="s">
        <v>602</v>
      </c>
      <c r="I7" s="33"/>
      <c r="J7" s="85"/>
      <c r="K7" s="86"/>
      <c r="L7" s="87"/>
      <c r="M7" s="87"/>
      <c r="N7" s="87"/>
      <c r="O7" s="88"/>
      <c r="P7" s="475"/>
      <c r="Q7" s="475"/>
      <c r="R7" s="475"/>
      <c r="S7" s="475"/>
      <c r="T7" s="475"/>
      <c r="U7" s="100"/>
      <c r="V7" s="100"/>
      <c r="W7" s="98"/>
      <c r="X7" s="98"/>
      <c r="Y7" s="98"/>
      <c r="Z7" s="98"/>
      <c r="AA7" s="98"/>
      <c r="AB7" s="98"/>
      <c r="AC7" s="98"/>
      <c r="AD7" s="98"/>
      <c r="AE7" s="98"/>
      <c r="AF7" s="98"/>
      <c r="AG7" s="98"/>
      <c r="AH7" s="98"/>
      <c r="AI7" s="98"/>
      <c r="AJ7" s="98"/>
      <c r="AK7" s="98"/>
      <c r="AL7" s="107"/>
      <c r="AM7" s="107"/>
      <c r="AN7" s="91"/>
      <c r="AO7" s="91"/>
      <c r="AP7" s="797"/>
      <c r="AQ7" s="797"/>
      <c r="AR7" s="797"/>
      <c r="AS7" s="797"/>
      <c r="AT7" s="797"/>
      <c r="AU7" s="797"/>
      <c r="AV7" s="797"/>
      <c r="AW7" s="797"/>
      <c r="AX7" s="797"/>
      <c r="AY7" s="797"/>
      <c r="AZ7" s="797"/>
      <c r="BA7" s="797"/>
      <c r="BB7" s="797"/>
      <c r="BC7" s="797"/>
      <c r="BD7" s="797"/>
      <c r="BE7" s="797"/>
      <c r="BF7" s="797"/>
      <c r="BG7" s="797"/>
      <c r="BH7" s="797"/>
      <c r="BI7" s="797"/>
      <c r="BJ7" s="797"/>
      <c r="BK7" s="797"/>
      <c r="BL7" s="797"/>
      <c r="BM7" s="797"/>
      <c r="BN7" s="797"/>
      <c r="BO7" s="797"/>
      <c r="BP7" s="798"/>
      <c r="BQ7" s="799"/>
    </row>
    <row r="8" s="72" customFormat="1" ht="19.95" customHeight="1" spans="1:69">
      <c r="A8" s="33">
        <v>4</v>
      </c>
      <c r="B8" s="33" t="s">
        <v>609</v>
      </c>
      <c r="C8" s="33" t="s">
        <v>610</v>
      </c>
      <c r="D8" s="792" t="s">
        <v>608</v>
      </c>
      <c r="E8" s="792" t="s">
        <v>599</v>
      </c>
      <c r="F8" s="792" t="s">
        <v>600</v>
      </c>
      <c r="G8" s="792" t="s">
        <v>601</v>
      </c>
      <c r="H8" s="33" t="s">
        <v>602</v>
      </c>
      <c r="I8" s="33"/>
      <c r="J8" s="85"/>
      <c r="K8" s="86"/>
      <c r="L8" s="87"/>
      <c r="M8" s="87"/>
      <c r="N8" s="87"/>
      <c r="O8" s="88"/>
      <c r="P8" s="88"/>
      <c r="Q8" s="88"/>
      <c r="R8" s="88"/>
      <c r="S8" s="88"/>
      <c r="T8" s="88"/>
      <c r="U8" s="86"/>
      <c r="V8" s="86"/>
      <c r="W8" s="98"/>
      <c r="X8" s="98"/>
      <c r="Y8" s="98"/>
      <c r="Z8" s="98"/>
      <c r="AA8" s="98"/>
      <c r="AB8" s="98"/>
      <c r="AC8" s="98"/>
      <c r="AD8" s="98"/>
      <c r="AE8" s="98"/>
      <c r="AF8" s="98"/>
      <c r="AG8" s="98"/>
      <c r="AH8" s="98"/>
      <c r="AI8" s="98"/>
      <c r="AJ8" s="98"/>
      <c r="AK8" s="98"/>
      <c r="AL8" s="107"/>
      <c r="AM8" s="107"/>
      <c r="AN8" s="91"/>
      <c r="AO8" s="91"/>
      <c r="AP8" s="797"/>
      <c r="AQ8" s="797"/>
      <c r="AR8" s="797"/>
      <c r="AS8" s="797"/>
      <c r="AT8" s="797"/>
      <c r="AU8" s="797"/>
      <c r="AV8" s="797"/>
      <c r="AW8" s="797"/>
      <c r="AX8" s="797"/>
      <c r="AY8" s="797"/>
      <c r="AZ8" s="797"/>
      <c r="BA8" s="797"/>
      <c r="BB8" s="797"/>
      <c r="BC8" s="797"/>
      <c r="BD8" s="797"/>
      <c r="BE8" s="797"/>
      <c r="BF8" s="797"/>
      <c r="BG8" s="797"/>
      <c r="BH8" s="797"/>
      <c r="BI8" s="797"/>
      <c r="BJ8" s="797"/>
      <c r="BK8" s="797"/>
      <c r="BL8" s="797"/>
      <c r="BM8" s="797"/>
      <c r="BN8" s="797"/>
      <c r="BO8" s="797"/>
      <c r="BP8" s="798"/>
      <c r="BQ8" s="799"/>
    </row>
    <row r="9" s="72" customFormat="1" ht="19.95" customHeight="1" spans="1:69">
      <c r="A9" s="33">
        <v>5</v>
      </c>
      <c r="B9" s="33" t="s">
        <v>611</v>
      </c>
      <c r="C9" s="33" t="s">
        <v>612</v>
      </c>
      <c r="D9" s="792" t="s">
        <v>613</v>
      </c>
      <c r="E9" s="792" t="s">
        <v>599</v>
      </c>
      <c r="F9" s="792" t="s">
        <v>600</v>
      </c>
      <c r="G9" s="792" t="s">
        <v>601</v>
      </c>
      <c r="H9" s="33" t="s">
        <v>602</v>
      </c>
      <c r="I9" s="33"/>
      <c r="J9" s="85"/>
      <c r="K9" s="86"/>
      <c r="L9" s="86"/>
      <c r="M9" s="86"/>
      <c r="N9" s="86"/>
      <c r="O9" s="86"/>
      <c r="P9" s="86"/>
      <c r="Q9" s="99"/>
      <c r="R9" s="99"/>
      <c r="S9" s="99"/>
      <c r="T9" s="86"/>
      <c r="U9" s="86"/>
      <c r="V9" s="86"/>
      <c r="W9" s="86"/>
      <c r="X9" s="86"/>
      <c r="Y9" s="86"/>
      <c r="Z9" s="86"/>
      <c r="AA9" s="86"/>
      <c r="AB9" s="86"/>
      <c r="AC9" s="86"/>
      <c r="AD9" s="86"/>
      <c r="AE9" s="86"/>
      <c r="AF9" s="86"/>
      <c r="AG9" s="86"/>
      <c r="AH9" s="86"/>
      <c r="AI9" s="86"/>
      <c r="AJ9" s="86"/>
      <c r="AK9" s="86"/>
      <c r="AL9" s="108"/>
      <c r="AM9" s="108"/>
      <c r="AN9" s="91"/>
      <c r="AO9" s="91"/>
      <c r="AP9" s="797"/>
      <c r="AQ9" s="797"/>
      <c r="AR9" s="797"/>
      <c r="AS9" s="797"/>
      <c r="AT9" s="797"/>
      <c r="AU9" s="797"/>
      <c r="AV9" s="797"/>
      <c r="AW9" s="797"/>
      <c r="AX9" s="797"/>
      <c r="AY9" s="797"/>
      <c r="AZ9" s="797"/>
      <c r="BA9" s="797"/>
      <c r="BB9" s="797"/>
      <c r="BC9" s="797"/>
      <c r="BD9" s="797"/>
      <c r="BE9" s="797"/>
      <c r="BF9" s="797"/>
      <c r="BG9" s="797"/>
      <c r="BH9" s="797"/>
      <c r="BI9" s="797"/>
      <c r="BJ9" s="797"/>
      <c r="BK9" s="797"/>
      <c r="BL9" s="797"/>
      <c r="BM9" s="797"/>
      <c r="BN9" s="797"/>
      <c r="BO9" s="797"/>
      <c r="BP9" s="798"/>
      <c r="BQ9" s="800"/>
    </row>
    <row r="10" s="72" customFormat="1" ht="19.95" customHeight="1" spans="1:69">
      <c r="A10" s="33">
        <v>6</v>
      </c>
      <c r="B10" s="33" t="s">
        <v>614</v>
      </c>
      <c r="C10" s="33" t="s">
        <v>615</v>
      </c>
      <c r="D10" s="33" t="s">
        <v>616</v>
      </c>
      <c r="E10" s="792" t="s">
        <v>599</v>
      </c>
      <c r="F10" s="33" t="s">
        <v>600</v>
      </c>
      <c r="G10" s="792" t="s">
        <v>617</v>
      </c>
      <c r="H10" s="33" t="s">
        <v>602</v>
      </c>
      <c r="I10" s="33"/>
      <c r="J10" s="85"/>
      <c r="K10" s="86"/>
      <c r="L10" s="86"/>
      <c r="M10" s="86"/>
      <c r="N10" s="86"/>
      <c r="O10" s="86"/>
      <c r="P10" s="86"/>
      <c r="Q10" s="99"/>
      <c r="R10" s="99"/>
      <c r="S10" s="99"/>
      <c r="T10" s="86"/>
      <c r="U10" s="86"/>
      <c r="V10" s="86"/>
      <c r="W10" s="86"/>
      <c r="X10" s="86"/>
      <c r="Y10" s="86"/>
      <c r="Z10" s="86"/>
      <c r="AA10" s="86"/>
      <c r="AB10" s="86"/>
      <c r="AC10" s="86"/>
      <c r="AD10" s="86"/>
      <c r="AE10" s="86"/>
      <c r="AF10" s="86"/>
      <c r="AG10" s="86"/>
      <c r="AH10" s="86"/>
      <c r="AI10" s="86"/>
      <c r="AJ10" s="86"/>
      <c r="AK10" s="86"/>
      <c r="AL10" s="108"/>
      <c r="AM10" s="108"/>
      <c r="AN10" s="91"/>
      <c r="AO10" s="91"/>
      <c r="AP10" s="797"/>
      <c r="AQ10" s="797"/>
      <c r="AR10" s="797"/>
      <c r="AS10" s="797"/>
      <c r="AT10" s="797"/>
      <c r="AU10" s="797"/>
      <c r="AV10" s="797"/>
      <c r="AW10" s="797"/>
      <c r="AX10" s="797"/>
      <c r="AY10" s="797"/>
      <c r="AZ10" s="797"/>
      <c r="BA10" s="797"/>
      <c r="BB10" s="797"/>
      <c r="BC10" s="797"/>
      <c r="BD10" s="797"/>
      <c r="BE10" s="797"/>
      <c r="BF10" s="797"/>
      <c r="BG10" s="797"/>
      <c r="BH10" s="797"/>
      <c r="BI10" s="797"/>
      <c r="BJ10" s="797"/>
      <c r="BK10" s="797"/>
      <c r="BL10" s="797"/>
      <c r="BM10" s="797"/>
      <c r="BN10" s="797"/>
      <c r="BO10" s="797"/>
      <c r="BP10" s="798"/>
      <c r="BQ10" s="800"/>
    </row>
    <row r="11" s="72" customFormat="1" ht="19.95" customHeight="1" spans="1:69">
      <c r="A11" s="33">
        <v>7</v>
      </c>
      <c r="B11" s="33" t="s">
        <v>618</v>
      </c>
      <c r="C11" s="33" t="s">
        <v>619</v>
      </c>
      <c r="D11" s="792" t="s">
        <v>608</v>
      </c>
      <c r="E11" s="792" t="s">
        <v>599</v>
      </c>
      <c r="F11" s="33" t="s">
        <v>600</v>
      </c>
      <c r="G11" s="792" t="s">
        <v>620</v>
      </c>
      <c r="H11" s="33" t="s">
        <v>602</v>
      </c>
      <c r="I11" s="33"/>
      <c r="J11" s="85"/>
      <c r="K11" s="86"/>
      <c r="L11" s="86"/>
      <c r="M11" s="86"/>
      <c r="N11" s="86"/>
      <c r="O11" s="86"/>
      <c r="P11" s="86"/>
      <c r="Q11" s="99"/>
      <c r="R11" s="99"/>
      <c r="S11" s="99"/>
      <c r="T11" s="86"/>
      <c r="U11" s="86"/>
      <c r="V11" s="86"/>
      <c r="W11" s="86"/>
      <c r="X11" s="86"/>
      <c r="Y11" s="86"/>
      <c r="Z11" s="86"/>
      <c r="AA11" s="86"/>
      <c r="AB11" s="86"/>
      <c r="AC11" s="86"/>
      <c r="AD11" s="86"/>
      <c r="AE11" s="86"/>
      <c r="AF11" s="86"/>
      <c r="AG11" s="86"/>
      <c r="AH11" s="86"/>
      <c r="AI11" s="86"/>
      <c r="AJ11" s="86"/>
      <c r="AK11" s="86"/>
      <c r="AL11" s="108"/>
      <c r="AM11" s="108"/>
      <c r="AN11" s="91"/>
      <c r="AO11" s="91"/>
      <c r="AP11" s="797"/>
      <c r="AQ11" s="797"/>
      <c r="AR11" s="797"/>
      <c r="AS11" s="797"/>
      <c r="AT11" s="797"/>
      <c r="AU11" s="797"/>
      <c r="AV11" s="797"/>
      <c r="AW11" s="797"/>
      <c r="AX11" s="797"/>
      <c r="AY11" s="797"/>
      <c r="AZ11" s="797"/>
      <c r="BA11" s="797"/>
      <c r="BB11" s="797"/>
      <c r="BC11" s="797"/>
      <c r="BD11" s="797"/>
      <c r="BE11" s="797"/>
      <c r="BF11" s="797"/>
      <c r="BG11" s="797"/>
      <c r="BH11" s="797"/>
      <c r="BI11" s="797"/>
      <c r="BJ11" s="797"/>
      <c r="BK11" s="797"/>
      <c r="BL11" s="797"/>
      <c r="BM11" s="797"/>
      <c r="BN11" s="797"/>
      <c r="BO11" s="797"/>
      <c r="BP11" s="798"/>
      <c r="BQ11" s="800"/>
    </row>
    <row r="12" s="72" customFormat="1" ht="19.95" customHeight="1" spans="1:69">
      <c r="A12" s="33">
        <v>8</v>
      </c>
      <c r="B12" s="33" t="s">
        <v>621</v>
      </c>
      <c r="C12" s="33" t="s">
        <v>210</v>
      </c>
      <c r="D12" s="33" t="s">
        <v>616</v>
      </c>
      <c r="E12" s="792" t="s">
        <v>599</v>
      </c>
      <c r="F12" s="792" t="s">
        <v>600</v>
      </c>
      <c r="G12" s="792" t="s">
        <v>620</v>
      </c>
      <c r="H12" s="38" t="s">
        <v>622</v>
      </c>
      <c r="I12" s="38" t="s">
        <v>623</v>
      </c>
      <c r="J12" s="85"/>
      <c r="K12" s="86"/>
      <c r="L12" s="86"/>
      <c r="M12" s="89"/>
      <c r="N12" s="89"/>
      <c r="O12" s="89"/>
      <c r="P12" s="89"/>
      <c r="Q12" s="89"/>
      <c r="R12" s="89"/>
      <c r="S12" s="86"/>
      <c r="T12" s="86"/>
      <c r="U12" s="86"/>
      <c r="V12" s="86"/>
      <c r="W12" s="86"/>
      <c r="X12" s="86"/>
      <c r="Y12" s="86"/>
      <c r="Z12" s="86"/>
      <c r="AA12" s="86"/>
      <c r="AB12" s="86"/>
      <c r="AC12" s="86"/>
      <c r="AD12" s="86"/>
      <c r="AE12" s="86"/>
      <c r="AF12" s="86"/>
      <c r="AG12" s="86"/>
      <c r="AH12" s="86"/>
      <c r="AI12" s="86"/>
      <c r="AJ12" s="86"/>
      <c r="AK12" s="86"/>
      <c r="AL12" s="108"/>
      <c r="AM12" s="108"/>
      <c r="AN12" s="91"/>
      <c r="AO12" s="91"/>
      <c r="AP12" s="797"/>
      <c r="AQ12" s="797"/>
      <c r="AR12" s="797"/>
      <c r="AS12" s="797"/>
      <c r="AT12" s="797"/>
      <c r="AU12" s="797"/>
      <c r="AV12" s="797"/>
      <c r="AW12" s="797"/>
      <c r="AX12" s="797"/>
      <c r="AY12" s="797"/>
      <c r="AZ12" s="797"/>
      <c r="BA12" s="797"/>
      <c r="BB12" s="797"/>
      <c r="BC12" s="797"/>
      <c r="BD12" s="797"/>
      <c r="BE12" s="797"/>
      <c r="BF12" s="797"/>
      <c r="BG12" s="797"/>
      <c r="BH12" s="797"/>
      <c r="BI12" s="797"/>
      <c r="BJ12" s="797"/>
      <c r="BK12" s="797"/>
      <c r="BL12" s="797"/>
      <c r="BM12" s="797"/>
      <c r="BN12" s="797"/>
      <c r="BO12" s="797"/>
      <c r="BP12" s="798"/>
      <c r="BQ12" s="800"/>
    </row>
    <row r="13" s="72" customFormat="1" ht="19.95" customHeight="1" spans="1:69">
      <c r="A13" s="33">
        <v>9</v>
      </c>
      <c r="B13" s="33" t="s">
        <v>624</v>
      </c>
      <c r="C13" s="33" t="s">
        <v>625</v>
      </c>
      <c r="D13" s="33" t="s">
        <v>613</v>
      </c>
      <c r="E13" s="792" t="s">
        <v>599</v>
      </c>
      <c r="F13" s="792" t="s">
        <v>600</v>
      </c>
      <c r="G13" s="792" t="s">
        <v>626</v>
      </c>
      <c r="H13" s="33" t="s">
        <v>602</v>
      </c>
      <c r="I13" s="33"/>
      <c r="J13" s="85"/>
      <c r="K13" s="86"/>
      <c r="L13" s="86"/>
      <c r="M13" s="86"/>
      <c r="N13" s="86"/>
      <c r="O13" s="86"/>
      <c r="P13" s="86"/>
      <c r="Q13" s="86"/>
      <c r="R13" s="100"/>
      <c r="S13" s="100"/>
      <c r="T13" s="100"/>
      <c r="U13" s="100"/>
      <c r="V13" s="100"/>
      <c r="W13" s="100"/>
      <c r="X13" s="86"/>
      <c r="Y13" s="86"/>
      <c r="Z13" s="86"/>
      <c r="AA13" s="86"/>
      <c r="AB13" s="86"/>
      <c r="AC13" s="86"/>
      <c r="AD13" s="86"/>
      <c r="AE13" s="86"/>
      <c r="AF13" s="86"/>
      <c r="AG13" s="86"/>
      <c r="AH13" s="86"/>
      <c r="AI13" s="86"/>
      <c r="AJ13" s="86"/>
      <c r="AK13" s="86"/>
      <c r="AL13" s="108"/>
      <c r="AM13" s="108"/>
      <c r="AN13" s="91"/>
      <c r="AO13" s="91"/>
      <c r="AP13" s="797"/>
      <c r="AQ13" s="797"/>
      <c r="AR13" s="797"/>
      <c r="AS13" s="797"/>
      <c r="AT13" s="797"/>
      <c r="AU13" s="797"/>
      <c r="AV13" s="797"/>
      <c r="AW13" s="797"/>
      <c r="AX13" s="797"/>
      <c r="AY13" s="797"/>
      <c r="AZ13" s="797"/>
      <c r="BA13" s="797"/>
      <c r="BB13" s="797"/>
      <c r="BC13" s="797"/>
      <c r="BD13" s="797"/>
      <c r="BE13" s="797"/>
      <c r="BF13" s="797"/>
      <c r="BG13" s="797"/>
      <c r="BH13" s="797"/>
      <c r="BI13" s="797"/>
      <c r="BJ13" s="797"/>
      <c r="BK13" s="797"/>
      <c r="BL13" s="797"/>
      <c r="BM13" s="797"/>
      <c r="BN13" s="797"/>
      <c r="BO13" s="797"/>
      <c r="BP13" s="798"/>
      <c r="BQ13" s="800"/>
    </row>
    <row r="14" s="72" customFormat="1" ht="19.95" customHeight="1" spans="1:69">
      <c r="A14" s="33">
        <v>10</v>
      </c>
      <c r="B14" s="33" t="s">
        <v>627</v>
      </c>
      <c r="C14" s="33" t="s">
        <v>628</v>
      </c>
      <c r="D14" s="33" t="s">
        <v>616</v>
      </c>
      <c r="E14" s="792" t="s">
        <v>599</v>
      </c>
      <c r="F14" s="33" t="s">
        <v>600</v>
      </c>
      <c r="G14" s="792" t="s">
        <v>629</v>
      </c>
      <c r="H14" s="33" t="s">
        <v>602</v>
      </c>
      <c r="I14" s="33"/>
      <c r="J14" s="85"/>
      <c r="K14" s="86"/>
      <c r="L14" s="86"/>
      <c r="M14" s="86"/>
      <c r="N14" s="86"/>
      <c r="O14" s="86"/>
      <c r="P14" s="86"/>
      <c r="Q14" s="86"/>
      <c r="R14" s="86"/>
      <c r="S14" s="86"/>
      <c r="T14" s="86"/>
      <c r="U14" s="86"/>
      <c r="V14" s="92"/>
      <c r="W14" s="92"/>
      <c r="X14" s="92"/>
      <c r="Y14" s="86"/>
      <c r="Z14" s="86"/>
      <c r="AA14" s="86"/>
      <c r="AB14" s="86"/>
      <c r="AC14" s="86"/>
      <c r="AD14" s="86"/>
      <c r="AE14" s="86"/>
      <c r="AF14" s="86"/>
      <c r="AG14" s="86"/>
      <c r="AH14" s="86"/>
      <c r="AI14" s="86"/>
      <c r="AJ14" s="86"/>
      <c r="AK14" s="86"/>
      <c r="AL14" s="108"/>
      <c r="AM14" s="108"/>
      <c r="AN14" s="91"/>
      <c r="AO14" s="91"/>
      <c r="AP14" s="797"/>
      <c r="AQ14" s="797"/>
      <c r="AR14" s="797"/>
      <c r="AS14" s="797"/>
      <c r="AT14" s="797"/>
      <c r="AU14" s="797"/>
      <c r="AV14" s="797"/>
      <c r="AW14" s="797"/>
      <c r="AX14" s="797"/>
      <c r="AY14" s="797"/>
      <c r="AZ14" s="797"/>
      <c r="BA14" s="797"/>
      <c r="BB14" s="797"/>
      <c r="BC14" s="797"/>
      <c r="BD14" s="797"/>
      <c r="BE14" s="797"/>
      <c r="BF14" s="797"/>
      <c r="BG14" s="797"/>
      <c r="BH14" s="797"/>
      <c r="BI14" s="797"/>
      <c r="BJ14" s="797"/>
      <c r="BK14" s="797"/>
      <c r="BL14" s="797"/>
      <c r="BM14" s="797"/>
      <c r="BN14" s="797"/>
      <c r="BO14" s="797"/>
      <c r="BP14" s="798"/>
      <c r="BQ14" s="800"/>
    </row>
    <row r="15" s="72" customFormat="1" ht="19.95" customHeight="1" spans="1:69">
      <c r="A15" s="33">
        <v>11</v>
      </c>
      <c r="B15" s="33" t="s">
        <v>630</v>
      </c>
      <c r="C15" s="33" t="s">
        <v>631</v>
      </c>
      <c r="D15" s="792" t="s">
        <v>616</v>
      </c>
      <c r="E15" s="792" t="s">
        <v>599</v>
      </c>
      <c r="F15" s="792" t="s">
        <v>600</v>
      </c>
      <c r="G15" s="792" t="s">
        <v>632</v>
      </c>
      <c r="H15" s="33" t="s">
        <v>602</v>
      </c>
      <c r="I15" s="33"/>
      <c r="J15" s="85"/>
      <c r="K15" s="86"/>
      <c r="L15" s="86"/>
      <c r="M15" s="86"/>
      <c r="N15" s="86"/>
      <c r="O15" s="86"/>
      <c r="P15" s="86"/>
      <c r="Q15" s="86"/>
      <c r="R15" s="86"/>
      <c r="S15" s="86"/>
      <c r="T15" s="86"/>
      <c r="U15" s="86"/>
      <c r="V15" s="86"/>
      <c r="W15" s="86"/>
      <c r="X15" s="92"/>
      <c r="Y15" s="92"/>
      <c r="Z15" s="92"/>
      <c r="AA15" s="92"/>
      <c r="AB15" s="92"/>
      <c r="AC15" s="92"/>
      <c r="AD15" s="92"/>
      <c r="AE15" s="92"/>
      <c r="AF15" s="92"/>
      <c r="AG15" s="86"/>
      <c r="AH15" s="86"/>
      <c r="AI15" s="86"/>
      <c r="AJ15" s="86"/>
      <c r="AK15" s="86"/>
      <c r="AL15" s="108"/>
      <c r="AM15" s="108"/>
      <c r="AN15" s="91"/>
      <c r="AO15" s="91"/>
      <c r="AP15" s="797"/>
      <c r="AQ15" s="797"/>
      <c r="AR15" s="797"/>
      <c r="AS15" s="797"/>
      <c r="AT15" s="797"/>
      <c r="AU15" s="797"/>
      <c r="AV15" s="797"/>
      <c r="AW15" s="797"/>
      <c r="AX15" s="797"/>
      <c r="AY15" s="797"/>
      <c r="AZ15" s="797"/>
      <c r="BA15" s="797"/>
      <c r="BB15" s="797"/>
      <c r="BC15" s="797"/>
      <c r="BD15" s="797"/>
      <c r="BE15" s="797"/>
      <c r="BF15" s="797"/>
      <c r="BG15" s="797"/>
      <c r="BH15" s="797"/>
      <c r="BI15" s="797"/>
      <c r="BJ15" s="797"/>
      <c r="BK15" s="797"/>
      <c r="BL15" s="797"/>
      <c r="BM15" s="797"/>
      <c r="BN15" s="797"/>
      <c r="BO15" s="797"/>
      <c r="BP15" s="798"/>
      <c r="BQ15" s="800"/>
    </row>
    <row r="16" s="72" customFormat="1" ht="19.95" customHeight="1" spans="1:69">
      <c r="A16" s="33">
        <v>12</v>
      </c>
      <c r="B16" s="33" t="s">
        <v>633</v>
      </c>
      <c r="C16" s="33" t="s">
        <v>634</v>
      </c>
      <c r="D16" s="33" t="s">
        <v>616</v>
      </c>
      <c r="E16" s="792" t="s">
        <v>599</v>
      </c>
      <c r="F16" s="792" t="s">
        <v>600</v>
      </c>
      <c r="G16" s="792" t="s">
        <v>632</v>
      </c>
      <c r="H16" s="38" t="s">
        <v>622</v>
      </c>
      <c r="I16" s="38" t="s">
        <v>635</v>
      </c>
      <c r="J16" s="85"/>
      <c r="K16" s="86"/>
      <c r="L16" s="86"/>
      <c r="M16" s="86"/>
      <c r="N16" s="86"/>
      <c r="O16" s="86"/>
      <c r="P16" s="86"/>
      <c r="Q16" s="86"/>
      <c r="R16" s="86"/>
      <c r="S16" s="86"/>
      <c r="T16" s="86"/>
      <c r="U16" s="86"/>
      <c r="V16" s="86"/>
      <c r="W16" s="86"/>
      <c r="X16" s="86"/>
      <c r="Y16" s="86"/>
      <c r="Z16" s="100"/>
      <c r="AA16" s="100"/>
      <c r="AB16" s="86"/>
      <c r="AC16" s="86"/>
      <c r="AD16" s="86"/>
      <c r="AE16" s="86"/>
      <c r="AF16" s="86"/>
      <c r="AG16" s="86"/>
      <c r="AH16" s="86"/>
      <c r="AI16" s="86"/>
      <c r="AJ16" s="86"/>
      <c r="AK16" s="86"/>
      <c r="AL16" s="108"/>
      <c r="AM16" s="108"/>
      <c r="AN16" s="91"/>
      <c r="AO16" s="91"/>
      <c r="AP16" s="797"/>
      <c r="AQ16" s="797"/>
      <c r="AR16" s="797"/>
      <c r="AS16" s="797"/>
      <c r="AT16" s="797"/>
      <c r="AU16" s="797"/>
      <c r="AV16" s="797"/>
      <c r="AW16" s="797"/>
      <c r="AX16" s="797"/>
      <c r="AY16" s="797"/>
      <c r="AZ16" s="797"/>
      <c r="BA16" s="797"/>
      <c r="BB16" s="797"/>
      <c r="BC16" s="797"/>
      <c r="BD16" s="797"/>
      <c r="BE16" s="797"/>
      <c r="BF16" s="797"/>
      <c r="BG16" s="797"/>
      <c r="BH16" s="797"/>
      <c r="BI16" s="797"/>
      <c r="BJ16" s="797"/>
      <c r="BK16" s="797"/>
      <c r="BL16" s="797"/>
      <c r="BM16" s="797"/>
      <c r="BN16" s="797"/>
      <c r="BO16" s="797"/>
      <c r="BP16" s="798"/>
      <c r="BQ16" s="800"/>
    </row>
    <row r="17" s="72" customFormat="1" ht="19.95" customHeight="1" spans="1:69">
      <c r="A17" s="33">
        <v>13</v>
      </c>
      <c r="B17" s="33" t="s">
        <v>636</v>
      </c>
      <c r="C17" s="33" t="s">
        <v>637</v>
      </c>
      <c r="D17" s="33" t="s">
        <v>638</v>
      </c>
      <c r="E17" s="792" t="s">
        <v>599</v>
      </c>
      <c r="F17" s="792" t="s">
        <v>600</v>
      </c>
      <c r="G17" s="792" t="s">
        <v>632</v>
      </c>
      <c r="H17" s="38" t="s">
        <v>622</v>
      </c>
      <c r="I17" s="38" t="s">
        <v>639</v>
      </c>
      <c r="J17" s="85"/>
      <c r="K17" s="86"/>
      <c r="L17" s="86"/>
      <c r="M17" s="86"/>
      <c r="N17" s="86"/>
      <c r="O17" s="86"/>
      <c r="P17" s="86"/>
      <c r="Q17" s="86"/>
      <c r="R17" s="86"/>
      <c r="S17" s="86"/>
      <c r="T17" s="86"/>
      <c r="U17" s="86"/>
      <c r="V17" s="86"/>
      <c r="W17" s="86"/>
      <c r="X17" s="86"/>
      <c r="Y17" s="86"/>
      <c r="Z17" s="92"/>
      <c r="AA17" s="92"/>
      <c r="AB17" s="86"/>
      <c r="AC17" s="86"/>
      <c r="AD17" s="86"/>
      <c r="AE17" s="86"/>
      <c r="AF17" s="86"/>
      <c r="AG17" s="86"/>
      <c r="AH17" s="86"/>
      <c r="AI17" s="86"/>
      <c r="AJ17" s="86"/>
      <c r="AK17" s="86"/>
      <c r="AL17" s="108"/>
      <c r="AM17" s="108"/>
      <c r="AN17" s="91"/>
      <c r="AO17" s="91"/>
      <c r="AP17" s="797"/>
      <c r="AQ17" s="797"/>
      <c r="AR17" s="797"/>
      <c r="AS17" s="797"/>
      <c r="AT17" s="797"/>
      <c r="AU17" s="797"/>
      <c r="AV17" s="797"/>
      <c r="AW17" s="797"/>
      <c r="AX17" s="797"/>
      <c r="AY17" s="797"/>
      <c r="AZ17" s="797"/>
      <c r="BA17" s="797"/>
      <c r="BB17" s="797"/>
      <c r="BC17" s="797"/>
      <c r="BD17" s="797"/>
      <c r="BE17" s="797"/>
      <c r="BF17" s="797"/>
      <c r="BG17" s="797"/>
      <c r="BH17" s="797"/>
      <c r="BI17" s="797"/>
      <c r="BJ17" s="797"/>
      <c r="BK17" s="797"/>
      <c r="BL17" s="797"/>
      <c r="BM17" s="797"/>
      <c r="BN17" s="797"/>
      <c r="BO17" s="797"/>
      <c r="BP17" s="798"/>
      <c r="BQ17" s="800"/>
    </row>
    <row r="18" s="72" customFormat="1" ht="19.95" customHeight="1" spans="1:69">
      <c r="A18" s="33">
        <v>14</v>
      </c>
      <c r="B18" s="33" t="s">
        <v>640</v>
      </c>
      <c r="C18" s="33" t="s">
        <v>641</v>
      </c>
      <c r="D18" s="33" t="s">
        <v>616</v>
      </c>
      <c r="E18" s="792" t="s">
        <v>599</v>
      </c>
      <c r="F18" s="792" t="s">
        <v>600</v>
      </c>
      <c r="G18" s="792" t="s">
        <v>642</v>
      </c>
      <c r="H18" s="33" t="s">
        <v>602</v>
      </c>
      <c r="I18" s="33"/>
      <c r="J18" s="85"/>
      <c r="K18" s="86"/>
      <c r="L18" s="86"/>
      <c r="M18" s="86"/>
      <c r="N18" s="86"/>
      <c r="O18" s="86"/>
      <c r="P18" s="86"/>
      <c r="Q18" s="86"/>
      <c r="R18" s="86"/>
      <c r="S18" s="86"/>
      <c r="T18" s="86"/>
      <c r="U18" s="86"/>
      <c r="V18" s="86"/>
      <c r="W18" s="86"/>
      <c r="X18" s="86"/>
      <c r="Y18" s="86"/>
      <c r="Z18" s="86"/>
      <c r="AA18" s="100"/>
      <c r="AB18" s="100"/>
      <c r="AC18" s="100"/>
      <c r="AD18" s="86"/>
      <c r="AE18" s="86"/>
      <c r="AF18" s="86"/>
      <c r="AG18" s="86"/>
      <c r="AH18" s="86"/>
      <c r="AI18" s="86"/>
      <c r="AJ18" s="86"/>
      <c r="AK18" s="86"/>
      <c r="AL18" s="108"/>
      <c r="AM18" s="108"/>
      <c r="AN18" s="91"/>
      <c r="AO18" s="91"/>
      <c r="AP18" s="797"/>
      <c r="AQ18" s="797"/>
      <c r="AR18" s="797"/>
      <c r="AS18" s="797"/>
      <c r="AT18" s="797"/>
      <c r="AU18" s="797"/>
      <c r="AV18" s="797"/>
      <c r="AW18" s="797"/>
      <c r="AX18" s="797"/>
      <c r="AY18" s="797"/>
      <c r="AZ18" s="797"/>
      <c r="BA18" s="797"/>
      <c r="BB18" s="797"/>
      <c r="BC18" s="797"/>
      <c r="BD18" s="797"/>
      <c r="BE18" s="797"/>
      <c r="BF18" s="797"/>
      <c r="BG18" s="797"/>
      <c r="BH18" s="797"/>
      <c r="BI18" s="797"/>
      <c r="BJ18" s="797"/>
      <c r="BK18" s="797"/>
      <c r="BL18" s="797"/>
      <c r="BM18" s="797"/>
      <c r="BN18" s="797"/>
      <c r="BO18" s="797"/>
      <c r="BP18" s="798"/>
      <c r="BQ18" s="800"/>
    </row>
    <row r="19" s="72" customFormat="1" ht="19.95" customHeight="1" spans="1:69">
      <c r="A19" s="33">
        <v>15</v>
      </c>
      <c r="B19" s="33" t="s">
        <v>643</v>
      </c>
      <c r="C19" s="33" t="s">
        <v>644</v>
      </c>
      <c r="D19" s="33" t="s">
        <v>616</v>
      </c>
      <c r="E19" s="792" t="s">
        <v>599</v>
      </c>
      <c r="F19" s="792" t="s">
        <v>600</v>
      </c>
      <c r="G19" s="792" t="s">
        <v>642</v>
      </c>
      <c r="H19" s="33" t="s">
        <v>602</v>
      </c>
      <c r="I19" s="33"/>
      <c r="J19" s="85"/>
      <c r="K19" s="86"/>
      <c r="L19" s="86"/>
      <c r="M19" s="86"/>
      <c r="N19" s="86"/>
      <c r="O19" s="86"/>
      <c r="P19" s="86"/>
      <c r="Q19" s="86"/>
      <c r="R19" s="86"/>
      <c r="S19" s="86"/>
      <c r="T19" s="86"/>
      <c r="U19" s="86"/>
      <c r="V19" s="86"/>
      <c r="W19" s="86"/>
      <c r="X19" s="86"/>
      <c r="Y19" s="86"/>
      <c r="Z19" s="86"/>
      <c r="AA19" s="86"/>
      <c r="AB19" s="86"/>
      <c r="AC19" s="86"/>
      <c r="AD19" s="86"/>
      <c r="AE19" s="100"/>
      <c r="AF19" s="100"/>
      <c r="AG19" s="100"/>
      <c r="AH19" s="100"/>
      <c r="AI19" s="100"/>
      <c r="AJ19" s="100"/>
      <c r="AK19" s="100"/>
      <c r="AL19" s="86"/>
      <c r="AM19" s="86"/>
      <c r="AN19" s="91"/>
      <c r="AO19" s="91"/>
      <c r="AP19" s="797"/>
      <c r="AQ19" s="797"/>
      <c r="AR19" s="797"/>
      <c r="AS19" s="797"/>
      <c r="AT19" s="797"/>
      <c r="AU19" s="797"/>
      <c r="AV19" s="797"/>
      <c r="AW19" s="797"/>
      <c r="AX19" s="797"/>
      <c r="AY19" s="797"/>
      <c r="AZ19" s="797"/>
      <c r="BA19" s="797"/>
      <c r="BB19" s="797"/>
      <c r="BC19" s="797"/>
      <c r="BD19" s="797"/>
      <c r="BE19" s="797"/>
      <c r="BF19" s="797"/>
      <c r="BG19" s="797"/>
      <c r="BH19" s="797"/>
      <c r="BI19" s="797"/>
      <c r="BJ19" s="797"/>
      <c r="BK19" s="797"/>
      <c r="BL19" s="797"/>
      <c r="BM19" s="797"/>
      <c r="BN19" s="797"/>
      <c r="BO19" s="797"/>
      <c r="BP19" s="797"/>
      <c r="BQ19" s="91"/>
    </row>
    <row r="20" s="72" customFormat="1" ht="19.95" customHeight="1" spans="1:69">
      <c r="A20" s="33">
        <v>16</v>
      </c>
      <c r="B20" s="33" t="s">
        <v>645</v>
      </c>
      <c r="C20" s="33" t="s">
        <v>646</v>
      </c>
      <c r="D20" s="792" t="s">
        <v>608</v>
      </c>
      <c r="E20" s="792" t="s">
        <v>599</v>
      </c>
      <c r="F20" s="792" t="s">
        <v>600</v>
      </c>
      <c r="G20" s="792" t="s">
        <v>642</v>
      </c>
      <c r="H20" s="33" t="s">
        <v>602</v>
      </c>
      <c r="I20" s="33"/>
      <c r="J20" s="85"/>
      <c r="K20" s="85"/>
      <c r="L20" s="85"/>
      <c r="M20" s="92"/>
      <c r="N20" s="92"/>
      <c r="O20" s="92"/>
      <c r="P20" s="92"/>
      <c r="Q20" s="92"/>
      <c r="R20" s="92"/>
      <c r="S20" s="92"/>
      <c r="T20" s="92"/>
      <c r="U20" s="92"/>
      <c r="V20" s="92"/>
      <c r="W20" s="86"/>
      <c r="X20" s="86"/>
      <c r="Y20" s="86"/>
      <c r="Z20" s="86"/>
      <c r="AA20" s="86"/>
      <c r="AB20" s="86"/>
      <c r="AC20" s="86"/>
      <c r="AD20" s="86"/>
      <c r="AE20" s="86"/>
      <c r="AF20" s="86"/>
      <c r="AG20" s="86"/>
      <c r="AH20" s="86"/>
      <c r="AI20" s="85"/>
      <c r="AJ20" s="85"/>
      <c r="AK20" s="85"/>
      <c r="AL20" s="85"/>
      <c r="AM20" s="85"/>
      <c r="AN20" s="91"/>
      <c r="AO20" s="91"/>
      <c r="AP20" s="91"/>
      <c r="AQ20" s="91"/>
      <c r="AR20" s="91"/>
      <c r="AS20" s="91"/>
      <c r="AT20" s="91"/>
      <c r="AU20" s="91"/>
      <c r="AV20" s="91"/>
      <c r="AW20" s="91"/>
      <c r="AX20" s="91"/>
      <c r="AY20" s="91"/>
      <c r="AZ20" s="91"/>
      <c r="BA20" s="91"/>
      <c r="BB20" s="91"/>
      <c r="BC20" s="91"/>
      <c r="BD20" s="91"/>
      <c r="BE20" s="91"/>
      <c r="BF20" s="91"/>
      <c r="BG20" s="91"/>
      <c r="BH20" s="91"/>
      <c r="BI20" s="91"/>
      <c r="BJ20" s="91"/>
      <c r="BK20" s="91"/>
      <c r="BL20" s="91"/>
      <c r="BM20" s="91"/>
      <c r="BN20" s="91"/>
      <c r="BO20" s="91"/>
      <c r="BP20" s="91"/>
      <c r="BQ20" s="91"/>
    </row>
    <row r="21" s="72" customFormat="1" ht="19.95" customHeight="1" spans="1:69">
      <c r="A21" s="33">
        <v>17</v>
      </c>
      <c r="B21" s="33" t="s">
        <v>647</v>
      </c>
      <c r="C21" s="33" t="s">
        <v>648</v>
      </c>
      <c r="D21" s="792" t="s">
        <v>616</v>
      </c>
      <c r="E21" s="792" t="s">
        <v>599</v>
      </c>
      <c r="F21" s="792" t="s">
        <v>600</v>
      </c>
      <c r="G21" s="792" t="s">
        <v>642</v>
      </c>
      <c r="H21" s="33" t="s">
        <v>602</v>
      </c>
      <c r="I21" s="33"/>
      <c r="J21" s="85"/>
      <c r="K21" s="85"/>
      <c r="L21" s="85"/>
      <c r="M21" s="85"/>
      <c r="N21" s="85"/>
      <c r="O21" s="85"/>
      <c r="P21" s="85"/>
      <c r="Q21" s="85"/>
      <c r="R21" s="85"/>
      <c r="S21" s="85"/>
      <c r="T21" s="86"/>
      <c r="U21" s="86"/>
      <c r="V21" s="100"/>
      <c r="W21" s="100"/>
      <c r="X21" s="100"/>
      <c r="Y21" s="100"/>
      <c r="Z21" s="100"/>
      <c r="AA21" s="100"/>
      <c r="AB21" s="100"/>
      <c r="AC21" s="100"/>
      <c r="AD21" s="100"/>
      <c r="AE21" s="100"/>
      <c r="AF21" s="100"/>
      <c r="AG21" s="100"/>
      <c r="AH21" s="86"/>
      <c r="AI21" s="85"/>
      <c r="AJ21" s="85"/>
      <c r="AK21" s="85"/>
      <c r="AL21" s="85"/>
      <c r="AM21" s="85"/>
      <c r="AN21" s="91"/>
      <c r="AO21" s="91"/>
      <c r="AP21" s="91"/>
      <c r="AQ21" s="91"/>
      <c r="AR21" s="91"/>
      <c r="AS21" s="91"/>
      <c r="AT21" s="91"/>
      <c r="AU21" s="91"/>
      <c r="AV21" s="91"/>
      <c r="AW21" s="91"/>
      <c r="AX21" s="91"/>
      <c r="AY21" s="91"/>
      <c r="AZ21" s="91"/>
      <c r="BA21" s="91"/>
      <c r="BB21" s="91"/>
      <c r="BC21" s="91"/>
      <c r="BD21" s="91"/>
      <c r="BE21" s="91"/>
      <c r="BF21" s="91"/>
      <c r="BG21" s="91"/>
      <c r="BH21" s="91"/>
      <c r="BI21" s="91"/>
      <c r="BJ21" s="91"/>
      <c r="BK21" s="91"/>
      <c r="BL21" s="91"/>
      <c r="BM21" s="91"/>
      <c r="BN21" s="91"/>
      <c r="BO21" s="91"/>
      <c r="BP21" s="91"/>
      <c r="BQ21" s="91"/>
    </row>
    <row r="22" s="72" customFormat="1" ht="19.95" customHeight="1" spans="1:69">
      <c r="A22" s="33">
        <v>18</v>
      </c>
      <c r="B22" s="33" t="s">
        <v>649</v>
      </c>
      <c r="C22" s="33" t="s">
        <v>650</v>
      </c>
      <c r="D22" s="792" t="s">
        <v>616</v>
      </c>
      <c r="E22" s="792" t="s">
        <v>599</v>
      </c>
      <c r="F22" s="792" t="s">
        <v>600</v>
      </c>
      <c r="G22" s="792" t="s">
        <v>642</v>
      </c>
      <c r="H22" s="33" t="s">
        <v>602</v>
      </c>
      <c r="I22" s="33"/>
      <c r="J22" s="85"/>
      <c r="K22" s="85"/>
      <c r="L22" s="85"/>
      <c r="M22" s="85"/>
      <c r="N22" s="85"/>
      <c r="O22" s="85"/>
      <c r="P22" s="85"/>
      <c r="Q22" s="85"/>
      <c r="R22" s="85"/>
      <c r="S22" s="85"/>
      <c r="T22" s="86"/>
      <c r="U22" s="86"/>
      <c r="V22" s="86"/>
      <c r="W22" s="86"/>
      <c r="X22" s="100"/>
      <c r="Y22" s="100"/>
      <c r="Z22" s="86"/>
      <c r="AA22" s="86"/>
      <c r="AB22" s="86"/>
      <c r="AC22" s="86"/>
      <c r="AD22" s="86"/>
      <c r="AE22" s="86"/>
      <c r="AF22" s="86"/>
      <c r="AG22" s="86"/>
      <c r="AH22" s="86"/>
      <c r="AI22" s="85"/>
      <c r="AJ22" s="85"/>
      <c r="AK22" s="85"/>
      <c r="AL22" s="85"/>
      <c r="AM22" s="85"/>
      <c r="AN22" s="91"/>
      <c r="AO22" s="91"/>
      <c r="AP22" s="91"/>
      <c r="AQ22" s="91"/>
      <c r="AR22" s="91"/>
      <c r="AS22" s="91"/>
      <c r="AT22" s="91"/>
      <c r="AU22" s="91"/>
      <c r="AV22" s="91"/>
      <c r="AW22" s="91"/>
      <c r="AX22" s="91"/>
      <c r="AY22" s="91"/>
      <c r="AZ22" s="91"/>
      <c r="BA22" s="91"/>
      <c r="BB22" s="91"/>
      <c r="BC22" s="91"/>
      <c r="BD22" s="91"/>
      <c r="BE22" s="91"/>
      <c r="BF22" s="91"/>
      <c r="BG22" s="91"/>
      <c r="BH22" s="91"/>
      <c r="BI22" s="91"/>
      <c r="BJ22" s="91"/>
      <c r="BK22" s="91"/>
      <c r="BL22" s="91"/>
      <c r="BM22" s="91"/>
      <c r="BN22" s="91"/>
      <c r="BO22" s="91"/>
      <c r="BP22" s="91"/>
      <c r="BQ22" s="91"/>
    </row>
    <row r="23" s="72" customFormat="1" ht="19.95" customHeight="1" spans="1:69">
      <c r="A23" s="33">
        <v>19</v>
      </c>
      <c r="B23" s="33" t="s">
        <v>651</v>
      </c>
      <c r="C23" s="33" t="s">
        <v>652</v>
      </c>
      <c r="D23" s="792" t="s">
        <v>653</v>
      </c>
      <c r="E23" s="792" t="s">
        <v>599</v>
      </c>
      <c r="F23" s="792" t="s">
        <v>600</v>
      </c>
      <c r="G23" s="792" t="s">
        <v>654</v>
      </c>
      <c r="H23" s="33" t="s">
        <v>602</v>
      </c>
      <c r="I23" s="33"/>
      <c r="J23" s="85"/>
      <c r="K23" s="85"/>
      <c r="L23" s="85"/>
      <c r="M23" s="85"/>
      <c r="N23" s="85"/>
      <c r="O23" s="85"/>
      <c r="P23" s="85"/>
      <c r="Q23" s="85"/>
      <c r="R23" s="85"/>
      <c r="S23" s="85"/>
      <c r="T23" s="86"/>
      <c r="U23" s="86"/>
      <c r="V23" s="86"/>
      <c r="W23" s="86"/>
      <c r="X23" s="92"/>
      <c r="Y23" s="92"/>
      <c r="Z23" s="86"/>
      <c r="AA23" s="86"/>
      <c r="AB23" s="86"/>
      <c r="AC23" s="86"/>
      <c r="AD23" s="86"/>
      <c r="AE23" s="86"/>
      <c r="AF23" s="86"/>
      <c r="AG23" s="86"/>
      <c r="AH23" s="86"/>
      <c r="AI23" s="85"/>
      <c r="AJ23" s="85"/>
      <c r="AK23" s="85"/>
      <c r="AL23" s="85"/>
      <c r="AM23" s="85"/>
      <c r="AN23" s="91"/>
      <c r="AO23" s="91"/>
      <c r="AP23" s="91"/>
      <c r="AQ23" s="91"/>
      <c r="AR23" s="91"/>
      <c r="AS23" s="91"/>
      <c r="AT23" s="91"/>
      <c r="AU23" s="91"/>
      <c r="AV23" s="91"/>
      <c r="AW23" s="91"/>
      <c r="AX23" s="91"/>
      <c r="AY23" s="91"/>
      <c r="AZ23" s="91"/>
      <c r="BA23" s="91"/>
      <c r="BB23" s="91"/>
      <c r="BC23" s="91"/>
      <c r="BD23" s="91"/>
      <c r="BE23" s="91"/>
      <c r="BF23" s="91"/>
      <c r="BG23" s="91"/>
      <c r="BH23" s="91"/>
      <c r="BI23" s="91"/>
      <c r="BJ23" s="91"/>
      <c r="BK23" s="91"/>
      <c r="BL23" s="91"/>
      <c r="BM23" s="91"/>
      <c r="BN23" s="91"/>
      <c r="BO23" s="91"/>
      <c r="BP23" s="91"/>
      <c r="BQ23" s="91"/>
    </row>
    <row r="24" s="72" customFormat="1" ht="19.95" customHeight="1" spans="1:69">
      <c r="A24" s="33">
        <v>20</v>
      </c>
      <c r="B24" s="33" t="s">
        <v>655</v>
      </c>
      <c r="C24" s="33" t="s">
        <v>656</v>
      </c>
      <c r="D24" s="792" t="s">
        <v>616</v>
      </c>
      <c r="E24" s="792" t="s">
        <v>599</v>
      </c>
      <c r="F24" s="792" t="s">
        <v>600</v>
      </c>
      <c r="G24" s="792" t="s">
        <v>654</v>
      </c>
      <c r="H24" s="38" t="s">
        <v>622</v>
      </c>
      <c r="I24" s="38" t="s">
        <v>657</v>
      </c>
      <c r="J24" s="85"/>
      <c r="K24" s="85"/>
      <c r="L24" s="85"/>
      <c r="M24" s="85"/>
      <c r="N24" s="85"/>
      <c r="O24" s="85"/>
      <c r="P24" s="85"/>
      <c r="Q24" s="85"/>
      <c r="R24" s="85"/>
      <c r="S24" s="85"/>
      <c r="T24" s="86"/>
      <c r="U24" s="86"/>
      <c r="V24" s="86"/>
      <c r="W24" s="86"/>
      <c r="X24" s="92"/>
      <c r="Y24" s="92"/>
      <c r="Z24" s="86"/>
      <c r="AA24" s="86"/>
      <c r="AB24" s="86"/>
      <c r="AC24" s="86"/>
      <c r="AD24" s="86"/>
      <c r="AE24" s="86"/>
      <c r="AF24" s="86"/>
      <c r="AG24" s="86"/>
      <c r="AH24" s="86"/>
      <c r="AI24" s="85"/>
      <c r="AJ24" s="85"/>
      <c r="AK24" s="85"/>
      <c r="AL24" s="85"/>
      <c r="AM24" s="85"/>
      <c r="AN24" s="91"/>
      <c r="AO24" s="91"/>
      <c r="AP24" s="91"/>
      <c r="AQ24" s="91"/>
      <c r="AR24" s="91"/>
      <c r="AS24" s="91"/>
      <c r="AT24" s="91"/>
      <c r="AU24" s="91"/>
      <c r="AV24" s="91"/>
      <c r="AW24" s="91"/>
      <c r="AX24" s="91"/>
      <c r="AY24" s="91"/>
      <c r="AZ24" s="91"/>
      <c r="BA24" s="91"/>
      <c r="BB24" s="91"/>
      <c r="BC24" s="91"/>
      <c r="BD24" s="91"/>
      <c r="BE24" s="91"/>
      <c r="BF24" s="91"/>
      <c r="BG24" s="91"/>
      <c r="BH24" s="91"/>
      <c r="BI24" s="91"/>
      <c r="BJ24" s="91"/>
      <c r="BK24" s="91"/>
      <c r="BL24" s="91"/>
      <c r="BM24" s="91"/>
      <c r="BN24" s="91"/>
      <c r="BO24" s="91"/>
      <c r="BP24" s="91"/>
      <c r="BQ24" s="91"/>
    </row>
    <row r="25" s="72" customFormat="1" ht="19.95" customHeight="1" spans="1:69">
      <c r="A25" s="33">
        <v>21</v>
      </c>
      <c r="B25" s="33" t="s">
        <v>658</v>
      </c>
      <c r="C25" s="33" t="s">
        <v>652</v>
      </c>
      <c r="D25" s="792" t="s">
        <v>653</v>
      </c>
      <c r="E25" s="792" t="s">
        <v>599</v>
      </c>
      <c r="F25" s="792" t="s">
        <v>600</v>
      </c>
      <c r="G25" s="792" t="s">
        <v>654</v>
      </c>
      <c r="H25" s="38" t="s">
        <v>622</v>
      </c>
      <c r="I25" s="38" t="s">
        <v>657</v>
      </c>
      <c r="J25" s="85"/>
      <c r="K25" s="85"/>
      <c r="L25" s="85"/>
      <c r="M25" s="85"/>
      <c r="N25" s="85"/>
      <c r="O25" s="85"/>
      <c r="P25" s="85"/>
      <c r="Q25" s="85"/>
      <c r="R25" s="85"/>
      <c r="S25" s="85"/>
      <c r="T25" s="86"/>
      <c r="U25" s="86"/>
      <c r="V25" s="86"/>
      <c r="W25" s="86"/>
      <c r="X25" s="86"/>
      <c r="Y25" s="100"/>
      <c r="Z25" s="100"/>
      <c r="AA25" s="100"/>
      <c r="AB25" s="86"/>
      <c r="AC25" s="86"/>
      <c r="AD25" s="86"/>
      <c r="AE25" s="86"/>
      <c r="AF25" s="86"/>
      <c r="AG25" s="86"/>
      <c r="AH25" s="86"/>
      <c r="AI25" s="85"/>
      <c r="AJ25" s="85"/>
      <c r="AK25" s="85"/>
      <c r="AL25" s="85"/>
      <c r="AM25" s="85"/>
      <c r="AN25" s="91"/>
      <c r="AO25" s="91"/>
      <c r="AP25" s="91"/>
      <c r="AQ25" s="91"/>
      <c r="AR25" s="91"/>
      <c r="AS25" s="91"/>
      <c r="AT25" s="91"/>
      <c r="AU25" s="91"/>
      <c r="AV25" s="91"/>
      <c r="AW25" s="91"/>
      <c r="AX25" s="91"/>
      <c r="AY25" s="91"/>
      <c r="AZ25" s="91"/>
      <c r="BA25" s="91"/>
      <c r="BB25" s="91"/>
      <c r="BC25" s="91"/>
      <c r="BD25" s="91"/>
      <c r="BE25" s="91"/>
      <c r="BF25" s="91"/>
      <c r="BG25" s="91"/>
      <c r="BH25" s="91"/>
      <c r="BI25" s="91"/>
      <c r="BJ25" s="91"/>
      <c r="BK25" s="91"/>
      <c r="BL25" s="91"/>
      <c r="BM25" s="91"/>
      <c r="BN25" s="91"/>
      <c r="BO25" s="91"/>
      <c r="BP25" s="91"/>
      <c r="BQ25" s="91"/>
    </row>
    <row r="26" s="72" customFormat="1" ht="19.95" customHeight="1" spans="1:69">
      <c r="A26" s="33">
        <v>22</v>
      </c>
      <c r="B26" s="33" t="s">
        <v>659</v>
      </c>
      <c r="C26" s="33" t="s">
        <v>660</v>
      </c>
      <c r="D26" s="33" t="s">
        <v>613</v>
      </c>
      <c r="E26" s="792" t="s">
        <v>599</v>
      </c>
      <c r="F26" s="792" t="s">
        <v>600</v>
      </c>
      <c r="G26" s="792" t="s">
        <v>661</v>
      </c>
      <c r="H26" s="33" t="s">
        <v>602</v>
      </c>
      <c r="I26" s="33"/>
      <c r="J26" s="85"/>
      <c r="K26" s="85"/>
      <c r="L26" s="85"/>
      <c r="M26" s="85"/>
      <c r="N26" s="85"/>
      <c r="O26" s="85"/>
      <c r="P26" s="85"/>
      <c r="Q26" s="85"/>
      <c r="R26" s="85"/>
      <c r="S26" s="85"/>
      <c r="T26" s="86"/>
      <c r="U26" s="86"/>
      <c r="V26" s="86"/>
      <c r="W26" s="86"/>
      <c r="X26" s="86"/>
      <c r="Y26" s="86"/>
      <c r="Z26" s="86"/>
      <c r="AA26" s="86"/>
      <c r="AB26" s="86"/>
      <c r="AC26" s="100"/>
      <c r="AD26" s="100"/>
      <c r="AE26" s="100"/>
      <c r="AF26" s="100"/>
      <c r="AG26" s="100"/>
      <c r="AH26" s="100"/>
      <c r="AI26" s="85"/>
      <c r="AJ26" s="85"/>
      <c r="AK26" s="85"/>
      <c r="AL26" s="85"/>
      <c r="AM26" s="85"/>
      <c r="AN26" s="91"/>
      <c r="AO26" s="91"/>
      <c r="AP26" s="91"/>
      <c r="AQ26" s="91"/>
      <c r="AR26" s="91"/>
      <c r="AS26" s="91"/>
      <c r="AT26" s="91"/>
      <c r="AU26" s="91"/>
      <c r="AV26" s="91"/>
      <c r="AW26" s="91"/>
      <c r="AX26" s="91"/>
      <c r="AY26" s="91"/>
      <c r="AZ26" s="91"/>
      <c r="BA26" s="91"/>
      <c r="BB26" s="91"/>
      <c r="BC26" s="91"/>
      <c r="BD26" s="91"/>
      <c r="BE26" s="91"/>
      <c r="BF26" s="91"/>
      <c r="BG26" s="91"/>
      <c r="BH26" s="91"/>
      <c r="BI26" s="91"/>
      <c r="BJ26" s="91"/>
      <c r="BK26" s="91"/>
      <c r="BL26" s="91"/>
      <c r="BM26" s="91"/>
      <c r="BN26" s="91"/>
      <c r="BO26" s="91"/>
      <c r="BP26" s="91"/>
      <c r="BQ26" s="91"/>
    </row>
    <row r="27" s="72" customFormat="1" ht="19.95" customHeight="1" spans="1:69">
      <c r="A27" s="33">
        <v>23</v>
      </c>
      <c r="B27" s="33" t="s">
        <v>662</v>
      </c>
      <c r="C27" s="33" t="s">
        <v>663</v>
      </c>
      <c r="D27" s="33" t="s">
        <v>616</v>
      </c>
      <c r="E27" s="792" t="s">
        <v>599</v>
      </c>
      <c r="F27" s="792" t="s">
        <v>600</v>
      </c>
      <c r="G27" s="792" t="s">
        <v>661</v>
      </c>
      <c r="H27" s="33" t="s">
        <v>602</v>
      </c>
      <c r="I27" s="33"/>
      <c r="J27" s="85"/>
      <c r="K27" s="85"/>
      <c r="L27" s="85"/>
      <c r="M27" s="85"/>
      <c r="N27" s="85"/>
      <c r="O27" s="85"/>
      <c r="P27" s="85"/>
      <c r="Q27" s="85"/>
      <c r="R27" s="85"/>
      <c r="S27" s="85"/>
      <c r="T27" s="85"/>
      <c r="U27" s="85"/>
      <c r="V27" s="85"/>
      <c r="W27" s="85"/>
      <c r="X27" s="85"/>
      <c r="Y27" s="85"/>
      <c r="Z27" s="85"/>
      <c r="AA27" s="85"/>
      <c r="AB27" s="85"/>
      <c r="AC27" s="85"/>
      <c r="AD27" s="85"/>
      <c r="AE27" s="92"/>
      <c r="AF27" s="92"/>
      <c r="AG27" s="92"/>
      <c r="AH27" s="92"/>
      <c r="AI27" s="92"/>
      <c r="AJ27" s="92"/>
      <c r="AK27" s="92"/>
      <c r="AL27" s="92"/>
      <c r="AM27" s="92"/>
      <c r="AN27" s="91"/>
      <c r="AO27" s="91"/>
      <c r="AP27" s="91"/>
      <c r="AQ27" s="91"/>
      <c r="AR27" s="91"/>
      <c r="AS27" s="91"/>
      <c r="AT27" s="91"/>
      <c r="AU27" s="91"/>
      <c r="AV27" s="91"/>
      <c r="AW27" s="91"/>
      <c r="AX27" s="91"/>
      <c r="AY27" s="91"/>
      <c r="AZ27" s="91"/>
      <c r="BA27" s="91"/>
      <c r="BB27" s="91"/>
      <c r="BC27" s="91"/>
      <c r="BD27" s="91"/>
      <c r="BE27" s="91"/>
      <c r="BF27" s="91"/>
      <c r="BG27" s="91"/>
      <c r="BH27" s="91"/>
      <c r="BI27" s="91"/>
      <c r="BJ27" s="91"/>
      <c r="BK27" s="91"/>
      <c r="BL27" s="91"/>
      <c r="BM27" s="91"/>
      <c r="BN27" s="91"/>
      <c r="BO27" s="91"/>
      <c r="BP27" s="91"/>
      <c r="BQ27" s="91"/>
    </row>
    <row r="28" s="711" customFormat="1" ht="19.95" customHeight="1" spans="1:69">
      <c r="A28" s="33">
        <v>24</v>
      </c>
      <c r="B28" s="33" t="s">
        <v>664</v>
      </c>
      <c r="C28" s="33" t="s">
        <v>665</v>
      </c>
      <c r="D28" s="33" t="s">
        <v>616</v>
      </c>
      <c r="E28" s="792" t="s">
        <v>599</v>
      </c>
      <c r="F28" s="792" t="s">
        <v>666</v>
      </c>
      <c r="G28" s="33" t="s">
        <v>667</v>
      </c>
      <c r="H28" s="33" t="s">
        <v>602</v>
      </c>
      <c r="I28" s="33"/>
      <c r="J28" s="85"/>
      <c r="K28" s="85"/>
      <c r="L28" s="85"/>
      <c r="M28" s="85"/>
      <c r="N28" s="85"/>
      <c r="O28" s="85"/>
      <c r="P28" s="85"/>
      <c r="Q28" s="85"/>
      <c r="R28" s="85"/>
      <c r="S28" s="85"/>
      <c r="T28" s="85"/>
      <c r="U28" s="85"/>
      <c r="V28" s="85"/>
      <c r="W28" s="85"/>
      <c r="X28" s="85"/>
      <c r="Y28" s="85"/>
      <c r="Z28" s="85"/>
      <c r="AA28" s="85"/>
      <c r="AB28" s="85"/>
      <c r="AC28" s="85"/>
      <c r="AD28" s="85"/>
      <c r="AE28" s="85"/>
      <c r="AF28" s="100"/>
      <c r="AG28" s="100"/>
      <c r="AH28" s="100"/>
      <c r="AI28" s="100"/>
      <c r="AJ28" s="100"/>
      <c r="AK28" s="100"/>
      <c r="AL28" s="100"/>
      <c r="AM28" s="100"/>
      <c r="AN28" s="91"/>
      <c r="AO28" s="91"/>
      <c r="AP28" s="91"/>
      <c r="AQ28" s="91"/>
      <c r="AR28" s="91"/>
      <c r="AS28" s="91"/>
      <c r="AT28" s="91"/>
      <c r="AU28" s="91"/>
      <c r="AV28" s="91"/>
      <c r="AW28" s="91"/>
      <c r="AX28" s="91"/>
      <c r="AY28" s="91"/>
      <c r="AZ28" s="91"/>
      <c r="BA28" s="91"/>
      <c r="BB28" s="91"/>
      <c r="BC28" s="91"/>
      <c r="BD28" s="91"/>
      <c r="BE28" s="91"/>
      <c r="BF28" s="91"/>
      <c r="BG28" s="91"/>
      <c r="BH28" s="91"/>
      <c r="BI28" s="91"/>
      <c r="BJ28" s="91"/>
      <c r="BK28" s="91"/>
      <c r="BL28" s="91"/>
      <c r="BM28" s="91"/>
      <c r="BN28" s="91"/>
      <c r="BO28" s="91"/>
      <c r="BP28" s="91"/>
      <c r="BQ28" s="91"/>
    </row>
    <row r="29" s="72" customFormat="1" ht="19.95" customHeight="1" spans="1:69">
      <c r="A29" s="33">
        <v>25</v>
      </c>
      <c r="B29" s="33" t="s">
        <v>668</v>
      </c>
      <c r="C29" s="33" t="s">
        <v>669</v>
      </c>
      <c r="D29" s="33" t="s">
        <v>616</v>
      </c>
      <c r="E29" s="792" t="s">
        <v>599</v>
      </c>
      <c r="F29" s="792" t="s">
        <v>600</v>
      </c>
      <c r="G29" s="792" t="s">
        <v>661</v>
      </c>
      <c r="H29" s="33" t="s">
        <v>602</v>
      </c>
      <c r="I29" s="33"/>
      <c r="J29" s="85"/>
      <c r="K29" s="85"/>
      <c r="L29" s="85"/>
      <c r="M29" s="85"/>
      <c r="N29" s="85"/>
      <c r="O29" s="85"/>
      <c r="P29" s="85"/>
      <c r="Q29" s="85"/>
      <c r="R29" s="85"/>
      <c r="S29" s="85"/>
      <c r="T29" s="85"/>
      <c r="U29" s="85"/>
      <c r="V29" s="85"/>
      <c r="W29" s="85"/>
      <c r="X29" s="85"/>
      <c r="Y29" s="85"/>
      <c r="Z29" s="85"/>
      <c r="AA29" s="85"/>
      <c r="AB29" s="85"/>
      <c r="AC29" s="85"/>
      <c r="AD29" s="85"/>
      <c r="AE29" s="85"/>
      <c r="AF29" s="85"/>
      <c r="AG29" s="85"/>
      <c r="AH29" s="85"/>
      <c r="AI29" s="85"/>
      <c r="AJ29" s="85"/>
      <c r="AK29" s="85"/>
      <c r="AL29" s="92"/>
      <c r="AM29" s="92"/>
      <c r="AN29" s="91"/>
      <c r="AO29" s="91"/>
      <c r="AP29" s="91"/>
      <c r="AQ29" s="91"/>
      <c r="AR29" s="91"/>
      <c r="AS29" s="91"/>
      <c r="AT29" s="91"/>
      <c r="AU29" s="91"/>
      <c r="AV29" s="91"/>
      <c r="AW29" s="91"/>
      <c r="AX29" s="91"/>
      <c r="AY29" s="91"/>
      <c r="AZ29" s="91"/>
      <c r="BA29" s="91"/>
      <c r="BB29" s="91"/>
      <c r="BC29" s="91"/>
      <c r="BD29" s="91"/>
      <c r="BE29" s="91"/>
      <c r="BF29" s="91"/>
      <c r="BG29" s="91"/>
      <c r="BH29" s="91"/>
      <c r="BI29" s="91"/>
      <c r="BJ29" s="91"/>
      <c r="BK29" s="91"/>
      <c r="BL29" s="91"/>
      <c r="BM29" s="91"/>
      <c r="BN29" s="91"/>
      <c r="BO29" s="91"/>
      <c r="BP29" s="91"/>
      <c r="BQ29" s="91"/>
    </row>
    <row r="30" ht="19.95" customHeight="1" spans="1:69">
      <c r="A30" s="33">
        <v>26</v>
      </c>
      <c r="B30" s="33" t="s">
        <v>670</v>
      </c>
      <c r="C30" s="33" t="s">
        <v>670</v>
      </c>
      <c r="D30" s="33" t="s">
        <v>670</v>
      </c>
      <c r="E30" s="33" t="s">
        <v>670</v>
      </c>
      <c r="F30" s="33" t="s">
        <v>670</v>
      </c>
      <c r="G30" s="33" t="s">
        <v>670</v>
      </c>
      <c r="H30" s="33" t="s">
        <v>670</v>
      </c>
      <c r="I30" s="33" t="s">
        <v>670</v>
      </c>
      <c r="J30" s="85"/>
      <c r="K30" s="85"/>
      <c r="L30" s="85"/>
      <c r="M30" s="85"/>
      <c r="N30" s="85"/>
      <c r="O30" s="85"/>
      <c r="P30" s="85"/>
      <c r="Q30" s="85"/>
      <c r="R30" s="85"/>
      <c r="S30" s="85"/>
      <c r="T30" s="85"/>
      <c r="U30" s="85"/>
      <c r="V30" s="85"/>
      <c r="W30" s="85"/>
      <c r="X30" s="85"/>
      <c r="Y30" s="85"/>
      <c r="Z30" s="85"/>
      <c r="AA30" s="85"/>
      <c r="AB30" s="85"/>
      <c r="AC30" s="85"/>
      <c r="AD30" s="85"/>
      <c r="AE30" s="85"/>
      <c r="AF30" s="85"/>
      <c r="AG30" s="85"/>
      <c r="AH30" s="85"/>
      <c r="AI30" s="85"/>
      <c r="AJ30" s="85"/>
      <c r="AK30" s="85"/>
      <c r="AL30" s="85"/>
      <c r="AM30" s="85"/>
      <c r="AN30" s="91"/>
      <c r="AO30" s="91"/>
      <c r="AP30" s="91"/>
      <c r="AQ30" s="91"/>
      <c r="AR30" s="91"/>
      <c r="AS30" s="91"/>
      <c r="AT30" s="91"/>
      <c r="AU30" s="91"/>
      <c r="AV30" s="91"/>
      <c r="AW30" s="91"/>
      <c r="AX30" s="91"/>
      <c r="AY30" s="91"/>
      <c r="AZ30" s="91"/>
      <c r="BA30" s="91"/>
      <c r="BB30" s="91"/>
      <c r="BC30" s="91"/>
      <c r="BD30" s="91"/>
      <c r="BE30" s="91"/>
      <c r="BF30" s="91"/>
      <c r="BG30" s="91"/>
      <c r="BH30" s="91"/>
      <c r="BI30" s="91"/>
      <c r="BJ30" s="91"/>
      <c r="BK30" s="91"/>
      <c r="BL30" s="91"/>
      <c r="BM30" s="91"/>
      <c r="BN30" s="91"/>
      <c r="BO30" s="91"/>
      <c r="BP30" s="91"/>
      <c r="BQ30" s="91"/>
    </row>
    <row r="31" ht="19.95" customHeight="1" spans="1:69">
      <c r="A31" s="33"/>
      <c r="B31" s="793"/>
      <c r="C31" s="793"/>
      <c r="D31" s="793"/>
      <c r="E31" s="793"/>
      <c r="F31" s="793"/>
      <c r="G31" s="793"/>
      <c r="H31" s="793"/>
      <c r="I31" s="793"/>
      <c r="J31" s="85"/>
      <c r="K31" s="85"/>
      <c r="L31" s="85"/>
      <c r="M31" s="85"/>
      <c r="N31" s="85"/>
      <c r="O31" s="85"/>
      <c r="P31" s="85"/>
      <c r="Q31" s="85"/>
      <c r="R31" s="85"/>
      <c r="S31" s="85"/>
      <c r="T31" s="85"/>
      <c r="U31" s="85"/>
      <c r="V31" s="85"/>
      <c r="W31" s="85"/>
      <c r="X31" s="85"/>
      <c r="Y31" s="85"/>
      <c r="Z31" s="85"/>
      <c r="AA31" s="85"/>
      <c r="AB31" s="85"/>
      <c r="AC31" s="85"/>
      <c r="AD31" s="85"/>
      <c r="AE31" s="85"/>
      <c r="AF31" s="85"/>
      <c r="AG31" s="85"/>
      <c r="AH31" s="85"/>
      <c r="AI31" s="85"/>
      <c r="AJ31" s="85"/>
      <c r="AK31" s="85"/>
      <c r="AL31" s="85"/>
      <c r="AM31" s="85"/>
      <c r="AN31" s="91"/>
      <c r="AO31" s="91"/>
      <c r="AP31" s="91"/>
      <c r="AQ31" s="91"/>
      <c r="AR31" s="91"/>
      <c r="AS31" s="91"/>
      <c r="AT31" s="91"/>
      <c r="AU31" s="91"/>
      <c r="AV31" s="91"/>
      <c r="AW31" s="91"/>
      <c r="AX31" s="91"/>
      <c r="AY31" s="91"/>
      <c r="AZ31" s="91"/>
      <c r="BA31" s="91"/>
      <c r="BB31" s="91"/>
      <c r="BC31" s="91"/>
      <c r="BD31" s="91"/>
      <c r="BE31" s="91"/>
      <c r="BF31" s="91"/>
      <c r="BG31" s="91"/>
      <c r="BH31" s="91"/>
      <c r="BI31" s="91"/>
      <c r="BJ31" s="91"/>
      <c r="BK31" s="91"/>
      <c r="BL31" s="91"/>
      <c r="BM31" s="91"/>
      <c r="BN31" s="91"/>
      <c r="BO31" s="91"/>
      <c r="BP31" s="91"/>
      <c r="BQ31" s="91"/>
    </row>
    <row r="32" ht="19.95" customHeight="1" spans="1:69">
      <c r="A32" s="33"/>
      <c r="B32" s="793"/>
      <c r="C32" s="793"/>
      <c r="D32" s="793"/>
      <c r="E32" s="793"/>
      <c r="F32" s="793"/>
      <c r="G32" s="793"/>
      <c r="H32" s="793"/>
      <c r="I32" s="793"/>
      <c r="J32" s="794"/>
      <c r="K32" s="794"/>
      <c r="L32" s="794"/>
      <c r="M32" s="794"/>
      <c r="N32" s="794"/>
      <c r="O32" s="794"/>
      <c r="P32" s="794"/>
      <c r="Q32" s="794"/>
      <c r="R32" s="794"/>
      <c r="S32" s="794"/>
      <c r="T32" s="794"/>
      <c r="U32" s="794"/>
      <c r="V32" s="794"/>
      <c r="W32" s="794"/>
      <c r="X32" s="794"/>
      <c r="Y32" s="794"/>
      <c r="Z32" s="794"/>
      <c r="AA32" s="794"/>
      <c r="AB32" s="794"/>
      <c r="AC32" s="794"/>
      <c r="AD32" s="794"/>
      <c r="AE32" s="794"/>
      <c r="AF32" s="794"/>
      <c r="AG32" s="794"/>
      <c r="AH32" s="794"/>
      <c r="AI32" s="794"/>
      <c r="AJ32" s="794"/>
      <c r="AK32" s="794"/>
      <c r="AL32" s="796"/>
      <c r="AM32" s="796"/>
      <c r="AN32" s="95"/>
      <c r="AO32" s="95"/>
      <c r="AP32" s="95"/>
      <c r="AQ32" s="95"/>
      <c r="AR32" s="95"/>
      <c r="AS32" s="95"/>
      <c r="AT32" s="95"/>
      <c r="AU32" s="95"/>
      <c r="AV32" s="95"/>
      <c r="AW32" s="95"/>
      <c r="AX32" s="95"/>
      <c r="AY32" s="95"/>
      <c r="AZ32" s="95"/>
      <c r="BA32" s="95"/>
      <c r="BB32" s="95"/>
      <c r="BC32" s="95"/>
      <c r="BD32" s="95"/>
      <c r="BE32" s="95"/>
      <c r="BF32" s="95"/>
      <c r="BG32" s="95"/>
      <c r="BH32" s="95"/>
      <c r="BI32" s="95"/>
      <c r="BJ32" s="95"/>
      <c r="BK32" s="95"/>
      <c r="BL32" s="95"/>
      <c r="BM32" s="95"/>
      <c r="BN32" s="95"/>
      <c r="BO32" s="95"/>
      <c r="BP32" s="111"/>
      <c r="BQ32" s="111"/>
    </row>
    <row r="33" ht="19.95" customHeight="1" spans="1:69">
      <c r="A33" s="33"/>
      <c r="B33" s="793"/>
      <c r="C33" s="793"/>
      <c r="D33" s="793"/>
      <c r="E33" s="793"/>
      <c r="F33" s="793"/>
      <c r="G33" s="793"/>
      <c r="H33" s="793"/>
      <c r="I33" s="793"/>
      <c r="J33" s="794"/>
      <c r="K33" s="794"/>
      <c r="L33" s="794"/>
      <c r="M33" s="794"/>
      <c r="N33" s="794"/>
      <c r="O33" s="794"/>
      <c r="P33" s="794"/>
      <c r="Q33" s="794"/>
      <c r="R33" s="794"/>
      <c r="S33" s="794"/>
      <c r="T33" s="794"/>
      <c r="U33" s="794"/>
      <c r="V33" s="794"/>
      <c r="W33" s="794"/>
      <c r="X33" s="794"/>
      <c r="Y33" s="794"/>
      <c r="Z33" s="794"/>
      <c r="AA33" s="794"/>
      <c r="AB33" s="794"/>
      <c r="AC33" s="794"/>
      <c r="AD33" s="794"/>
      <c r="AE33" s="794"/>
      <c r="AF33" s="794"/>
      <c r="AG33" s="794"/>
      <c r="AH33" s="794"/>
      <c r="AI33" s="794"/>
      <c r="AJ33" s="794"/>
      <c r="AK33" s="794"/>
      <c r="AL33" s="796"/>
      <c r="AM33" s="796"/>
      <c r="AN33" s="95"/>
      <c r="AO33" s="95"/>
      <c r="AP33" s="95"/>
      <c r="AQ33" s="95"/>
      <c r="AR33" s="95"/>
      <c r="AS33" s="95"/>
      <c r="AT33" s="95"/>
      <c r="AU33" s="95"/>
      <c r="AV33" s="95"/>
      <c r="AW33" s="95"/>
      <c r="AX33" s="95"/>
      <c r="AY33" s="95"/>
      <c r="AZ33" s="95"/>
      <c r="BA33" s="95"/>
      <c r="BB33" s="95"/>
      <c r="BC33" s="95"/>
      <c r="BD33" s="95"/>
      <c r="BE33" s="95"/>
      <c r="BF33" s="95"/>
      <c r="BG33" s="95"/>
      <c r="BH33" s="95"/>
      <c r="BI33" s="95"/>
      <c r="BJ33" s="95"/>
      <c r="BK33" s="95"/>
      <c r="BL33" s="95"/>
      <c r="BM33" s="95"/>
      <c r="BN33" s="95"/>
      <c r="BO33" s="95"/>
      <c r="BP33" s="111"/>
      <c r="BQ33" s="111"/>
    </row>
    <row r="34" ht="19.95" customHeight="1" spans="1:69">
      <c r="A34" s="33"/>
      <c r="B34" s="33"/>
      <c r="C34" s="33"/>
      <c r="D34" s="33"/>
      <c r="E34" s="792"/>
      <c r="F34" s="792"/>
      <c r="G34" s="792"/>
      <c r="H34" s="792"/>
      <c r="I34" s="793"/>
      <c r="J34" s="794"/>
      <c r="K34" s="794"/>
      <c r="L34" s="794"/>
      <c r="M34" s="794"/>
      <c r="N34" s="794"/>
      <c r="O34" s="794"/>
      <c r="P34" s="794"/>
      <c r="Q34" s="794"/>
      <c r="R34" s="794"/>
      <c r="S34" s="794"/>
      <c r="T34" s="794"/>
      <c r="U34" s="794"/>
      <c r="V34" s="794"/>
      <c r="W34" s="794"/>
      <c r="X34" s="794"/>
      <c r="Y34" s="794"/>
      <c r="Z34" s="794"/>
      <c r="AA34" s="794"/>
      <c r="AB34" s="794"/>
      <c r="AC34" s="794"/>
      <c r="AD34" s="794"/>
      <c r="AE34" s="794"/>
      <c r="AF34" s="794"/>
      <c r="AG34" s="794"/>
      <c r="AH34" s="794"/>
      <c r="AI34" s="794"/>
      <c r="AJ34" s="794"/>
      <c r="AK34" s="794"/>
      <c r="AL34" s="796"/>
      <c r="AM34" s="796"/>
      <c r="AN34" s="95"/>
      <c r="AO34" s="95"/>
      <c r="AP34" s="95"/>
      <c r="AQ34" s="95"/>
      <c r="AR34" s="95"/>
      <c r="AS34" s="95"/>
      <c r="AT34" s="95"/>
      <c r="AU34" s="95"/>
      <c r="AV34" s="95"/>
      <c r="AW34" s="95"/>
      <c r="AX34" s="95"/>
      <c r="AY34" s="95"/>
      <c r="AZ34" s="95"/>
      <c r="BA34" s="95"/>
      <c r="BB34" s="95"/>
      <c r="BC34" s="95"/>
      <c r="BD34" s="95"/>
      <c r="BE34" s="95"/>
      <c r="BF34" s="95"/>
      <c r="BG34" s="95"/>
      <c r="BH34" s="95"/>
      <c r="BI34" s="95"/>
      <c r="BJ34" s="95"/>
      <c r="BK34" s="95"/>
      <c r="BL34" s="95"/>
      <c r="BM34" s="95"/>
      <c r="BN34" s="95"/>
      <c r="BO34" s="95"/>
      <c r="BP34" s="111"/>
      <c r="BQ34" s="111"/>
    </row>
    <row r="35" ht="19.95" customHeight="1" spans="1:69">
      <c r="A35" s="33"/>
      <c r="B35" s="793"/>
      <c r="C35" s="793"/>
      <c r="D35" s="793"/>
      <c r="E35" s="793"/>
      <c r="F35" s="793"/>
      <c r="G35" s="793"/>
      <c r="H35" s="793"/>
      <c r="I35" s="793"/>
      <c r="J35" s="794"/>
      <c r="K35" s="794"/>
      <c r="L35" s="794"/>
      <c r="M35" s="794"/>
      <c r="N35" s="794"/>
      <c r="O35" s="794"/>
      <c r="P35" s="794"/>
      <c r="Q35" s="794"/>
      <c r="R35" s="794"/>
      <c r="S35" s="794"/>
      <c r="T35" s="794"/>
      <c r="U35" s="794"/>
      <c r="V35" s="794"/>
      <c r="W35" s="794"/>
      <c r="X35" s="794"/>
      <c r="Y35" s="794"/>
      <c r="Z35" s="794"/>
      <c r="AA35" s="794"/>
      <c r="AB35" s="794"/>
      <c r="AC35" s="794"/>
      <c r="AD35" s="794"/>
      <c r="AE35" s="794"/>
      <c r="AF35" s="794"/>
      <c r="AG35" s="794"/>
      <c r="AH35" s="794"/>
      <c r="AI35" s="794"/>
      <c r="AJ35" s="794"/>
      <c r="AK35" s="794"/>
      <c r="AL35" s="796"/>
      <c r="AM35" s="796"/>
      <c r="AN35" s="95"/>
      <c r="AO35" s="95"/>
      <c r="AP35" s="95"/>
      <c r="AQ35" s="95"/>
      <c r="AR35" s="95"/>
      <c r="AS35" s="95"/>
      <c r="AT35" s="95"/>
      <c r="AU35" s="95"/>
      <c r="AV35" s="95"/>
      <c r="AW35" s="95"/>
      <c r="AX35" s="95"/>
      <c r="AY35" s="95"/>
      <c r="AZ35" s="95"/>
      <c r="BA35" s="95"/>
      <c r="BB35" s="95"/>
      <c r="BC35" s="95"/>
      <c r="BD35" s="95"/>
      <c r="BE35" s="95"/>
      <c r="BF35" s="95"/>
      <c r="BG35" s="95"/>
      <c r="BH35" s="95"/>
      <c r="BI35" s="95"/>
      <c r="BJ35" s="95"/>
      <c r="BK35" s="95"/>
      <c r="BL35" s="95"/>
      <c r="BM35" s="95"/>
      <c r="BN35" s="95"/>
      <c r="BO35" s="95"/>
      <c r="BP35" s="111"/>
      <c r="BQ35" s="111"/>
    </row>
    <row r="36" ht="19.95" customHeight="1" spans="1:69">
      <c r="A36" s="33"/>
      <c r="B36" s="793"/>
      <c r="C36" s="793"/>
      <c r="D36" s="793"/>
      <c r="E36" s="793"/>
      <c r="F36" s="793"/>
      <c r="G36" s="793"/>
      <c r="H36" s="793"/>
      <c r="I36" s="793"/>
      <c r="J36" s="794"/>
      <c r="K36" s="794"/>
      <c r="L36" s="794"/>
      <c r="M36" s="794"/>
      <c r="N36" s="794"/>
      <c r="O36" s="794"/>
      <c r="P36" s="794"/>
      <c r="Q36" s="794"/>
      <c r="R36" s="794"/>
      <c r="S36" s="794"/>
      <c r="T36" s="794"/>
      <c r="U36" s="794"/>
      <c r="V36" s="794"/>
      <c r="W36" s="794"/>
      <c r="X36" s="794"/>
      <c r="Y36" s="794"/>
      <c r="Z36" s="794"/>
      <c r="AA36" s="794"/>
      <c r="AB36" s="794"/>
      <c r="AC36" s="794"/>
      <c r="AD36" s="794"/>
      <c r="AE36" s="794"/>
      <c r="AF36" s="794"/>
      <c r="AG36" s="794"/>
      <c r="AH36" s="794"/>
      <c r="AI36" s="794"/>
      <c r="AJ36" s="794"/>
      <c r="AK36" s="794"/>
      <c r="AL36" s="796"/>
      <c r="AM36" s="796"/>
      <c r="AN36" s="95"/>
      <c r="AO36" s="95"/>
      <c r="AP36" s="95"/>
      <c r="AQ36" s="95"/>
      <c r="AR36" s="95"/>
      <c r="AS36" s="95"/>
      <c r="AT36" s="95"/>
      <c r="AU36" s="95"/>
      <c r="AV36" s="95"/>
      <c r="AW36" s="95"/>
      <c r="AX36" s="95"/>
      <c r="AY36" s="95"/>
      <c r="AZ36" s="95"/>
      <c r="BA36" s="95"/>
      <c r="BB36" s="95"/>
      <c r="BC36" s="95"/>
      <c r="BD36" s="95"/>
      <c r="BE36" s="95"/>
      <c r="BF36" s="95"/>
      <c r="BG36" s="95"/>
      <c r="BH36" s="95"/>
      <c r="BI36" s="95"/>
      <c r="BJ36" s="95"/>
      <c r="BK36" s="95"/>
      <c r="BL36" s="95"/>
      <c r="BM36" s="95"/>
      <c r="BN36" s="95"/>
      <c r="BO36" s="95"/>
      <c r="BP36" s="111"/>
      <c r="BQ36" s="111"/>
    </row>
    <row r="37" ht="19.95" customHeight="1" spans="1:69">
      <c r="A37" s="33"/>
      <c r="B37" s="793"/>
      <c r="C37" s="793"/>
      <c r="D37" s="793"/>
      <c r="E37" s="793"/>
      <c r="F37" s="793"/>
      <c r="G37" s="793"/>
      <c r="H37" s="793"/>
      <c r="I37" s="793"/>
      <c r="J37" s="794"/>
      <c r="K37" s="794"/>
      <c r="L37" s="794"/>
      <c r="M37" s="794"/>
      <c r="N37" s="794"/>
      <c r="O37" s="794"/>
      <c r="P37" s="794"/>
      <c r="Q37" s="794"/>
      <c r="R37" s="794"/>
      <c r="S37" s="794"/>
      <c r="T37" s="794"/>
      <c r="U37" s="794"/>
      <c r="V37" s="794"/>
      <c r="W37" s="794"/>
      <c r="X37" s="794"/>
      <c r="Y37" s="794"/>
      <c r="Z37" s="794"/>
      <c r="AA37" s="794"/>
      <c r="AB37" s="794"/>
      <c r="AC37" s="794"/>
      <c r="AD37" s="794"/>
      <c r="AE37" s="794"/>
      <c r="AF37" s="794"/>
      <c r="AG37" s="794"/>
      <c r="AH37" s="794"/>
      <c r="AI37" s="794"/>
      <c r="AJ37" s="794"/>
      <c r="AK37" s="794"/>
      <c r="AL37" s="796"/>
      <c r="AM37" s="796"/>
      <c r="AN37" s="95"/>
      <c r="AO37" s="95"/>
      <c r="AP37" s="95"/>
      <c r="AQ37" s="95"/>
      <c r="AR37" s="95"/>
      <c r="AS37" s="95"/>
      <c r="AT37" s="95"/>
      <c r="AU37" s="95"/>
      <c r="AV37" s="95"/>
      <c r="AW37" s="95"/>
      <c r="AX37" s="95"/>
      <c r="AY37" s="95"/>
      <c r="AZ37" s="95"/>
      <c r="BA37" s="95"/>
      <c r="BB37" s="95"/>
      <c r="BC37" s="95"/>
      <c r="BD37" s="95"/>
      <c r="BE37" s="95"/>
      <c r="BF37" s="95"/>
      <c r="BG37" s="95"/>
      <c r="BH37" s="95"/>
      <c r="BI37" s="95"/>
      <c r="BJ37" s="95"/>
      <c r="BK37" s="95"/>
      <c r="BL37" s="95"/>
      <c r="BM37" s="95"/>
      <c r="BN37" s="95"/>
      <c r="BO37" s="95"/>
      <c r="BP37" s="111"/>
      <c r="BQ37" s="111"/>
    </row>
    <row r="38" ht="19.95" customHeight="1" spans="1:69">
      <c r="A38" s="33"/>
      <c r="B38" s="793"/>
      <c r="C38" s="793"/>
      <c r="D38" s="793"/>
      <c r="E38" s="793"/>
      <c r="F38" s="793"/>
      <c r="G38" s="793"/>
      <c r="H38" s="793"/>
      <c r="I38" s="793"/>
      <c r="J38" s="794"/>
      <c r="K38" s="794"/>
      <c r="L38" s="794"/>
      <c r="M38" s="794"/>
      <c r="N38" s="794"/>
      <c r="O38" s="794"/>
      <c r="P38" s="794"/>
      <c r="Q38" s="794"/>
      <c r="R38" s="794"/>
      <c r="S38" s="794"/>
      <c r="T38" s="794"/>
      <c r="U38" s="794"/>
      <c r="V38" s="794"/>
      <c r="W38" s="794"/>
      <c r="X38" s="794"/>
      <c r="Y38" s="794"/>
      <c r="Z38" s="794"/>
      <c r="AA38" s="794"/>
      <c r="AB38" s="794"/>
      <c r="AC38" s="794"/>
      <c r="AD38" s="794"/>
      <c r="AE38" s="794"/>
      <c r="AF38" s="794"/>
      <c r="AG38" s="794"/>
      <c r="AH38" s="794"/>
      <c r="AI38" s="794"/>
      <c r="AJ38" s="794"/>
      <c r="AK38" s="794"/>
      <c r="AL38" s="796"/>
      <c r="AM38" s="796"/>
      <c r="AN38" s="95"/>
      <c r="AO38" s="95"/>
      <c r="AP38" s="95"/>
      <c r="AQ38" s="95"/>
      <c r="AR38" s="95"/>
      <c r="AS38" s="95"/>
      <c r="AT38" s="95"/>
      <c r="AU38" s="95"/>
      <c r="AV38" s="95"/>
      <c r="AW38" s="95"/>
      <c r="AX38" s="95"/>
      <c r="AY38" s="95"/>
      <c r="AZ38" s="95"/>
      <c r="BA38" s="95"/>
      <c r="BB38" s="95"/>
      <c r="BC38" s="95"/>
      <c r="BD38" s="95"/>
      <c r="BE38" s="95"/>
      <c r="BF38" s="95"/>
      <c r="BG38" s="95"/>
      <c r="BH38" s="95"/>
      <c r="BI38" s="95"/>
      <c r="BJ38" s="95"/>
      <c r="BK38" s="95"/>
      <c r="BL38" s="95"/>
      <c r="BM38" s="95"/>
      <c r="BN38" s="95"/>
      <c r="BO38" s="95"/>
      <c r="BP38" s="111"/>
      <c r="BQ38" s="111"/>
    </row>
    <row r="39" ht="19.95" customHeight="1" spans="1:69">
      <c r="A39" s="33"/>
      <c r="B39" s="793"/>
      <c r="C39" s="793"/>
      <c r="D39" s="793"/>
      <c r="E39" s="793"/>
      <c r="F39" s="793"/>
      <c r="G39" s="793"/>
      <c r="H39" s="793"/>
      <c r="I39" s="793"/>
      <c r="J39" s="794"/>
      <c r="K39" s="794"/>
      <c r="L39" s="794"/>
      <c r="M39" s="794"/>
      <c r="N39" s="794"/>
      <c r="O39" s="794"/>
      <c r="P39" s="794"/>
      <c r="Q39" s="794"/>
      <c r="R39" s="794"/>
      <c r="S39" s="794"/>
      <c r="T39" s="794"/>
      <c r="U39" s="794"/>
      <c r="V39" s="794"/>
      <c r="W39" s="794"/>
      <c r="X39" s="794"/>
      <c r="Y39" s="794"/>
      <c r="Z39" s="794"/>
      <c r="AA39" s="794"/>
      <c r="AB39" s="794"/>
      <c r="AC39" s="794"/>
      <c r="AD39" s="794"/>
      <c r="AE39" s="794"/>
      <c r="AF39" s="794"/>
      <c r="AG39" s="794"/>
      <c r="AH39" s="794"/>
      <c r="AI39" s="794"/>
      <c r="AJ39" s="794"/>
      <c r="AK39" s="794"/>
      <c r="AL39" s="796"/>
      <c r="AM39" s="796"/>
      <c r="AN39" s="95"/>
      <c r="AO39" s="95"/>
      <c r="AP39" s="95"/>
      <c r="AQ39" s="95"/>
      <c r="AR39" s="95"/>
      <c r="AS39" s="95"/>
      <c r="AT39" s="95"/>
      <c r="AU39" s="95"/>
      <c r="AV39" s="95"/>
      <c r="AW39" s="95"/>
      <c r="AX39" s="95"/>
      <c r="AY39" s="95"/>
      <c r="AZ39" s="95"/>
      <c r="BA39" s="95"/>
      <c r="BB39" s="95"/>
      <c r="BC39" s="95"/>
      <c r="BD39" s="95"/>
      <c r="BE39" s="95"/>
      <c r="BF39" s="95"/>
      <c r="BG39" s="95"/>
      <c r="BH39" s="95"/>
      <c r="BI39" s="95"/>
      <c r="BJ39" s="95"/>
      <c r="BK39" s="95"/>
      <c r="BL39" s="95"/>
      <c r="BM39" s="95"/>
      <c r="BN39" s="95"/>
      <c r="BO39" s="95"/>
      <c r="BP39" s="111"/>
      <c r="BQ39" s="111"/>
    </row>
    <row r="40" ht="19.95" customHeight="1" spans="1:69">
      <c r="A40" s="639" t="s">
        <v>671</v>
      </c>
      <c r="B40" s="33" t="s">
        <v>672</v>
      </c>
      <c r="C40" s="33"/>
      <c r="D40" s="33"/>
      <c r="E40" s="33"/>
      <c r="F40" s="33"/>
      <c r="G40" s="33"/>
      <c r="H40" s="33"/>
      <c r="I40" s="33"/>
      <c r="J40" s="794"/>
      <c r="K40" s="794"/>
      <c r="L40" s="794"/>
      <c r="M40" s="794"/>
      <c r="N40" s="794"/>
      <c r="O40" s="794"/>
      <c r="P40" s="794"/>
      <c r="Q40" s="794"/>
      <c r="R40" s="794"/>
      <c r="S40" s="794"/>
      <c r="T40" s="794"/>
      <c r="U40" s="794"/>
      <c r="V40" s="794"/>
      <c r="W40" s="794"/>
      <c r="X40" s="794"/>
      <c r="Y40" s="794"/>
      <c r="Z40" s="794"/>
      <c r="AA40" s="794"/>
      <c r="AB40" s="794"/>
      <c r="AC40" s="794"/>
      <c r="AD40" s="794"/>
      <c r="AE40" s="794"/>
      <c r="AF40" s="794"/>
      <c r="AG40" s="794"/>
      <c r="AH40" s="794"/>
      <c r="AI40" s="794"/>
      <c r="AJ40" s="794"/>
      <c r="AK40" s="794"/>
      <c r="AL40" s="796"/>
      <c r="AM40" s="796"/>
      <c r="AN40" s="95"/>
      <c r="AO40" s="95"/>
      <c r="AP40" s="95"/>
      <c r="AQ40" s="95"/>
      <c r="AR40" s="95"/>
      <c r="AS40" s="95"/>
      <c r="AT40" s="95"/>
      <c r="AU40" s="95"/>
      <c r="AV40" s="95"/>
      <c r="AW40" s="95"/>
      <c r="AX40" s="95"/>
      <c r="AY40" s="95"/>
      <c r="AZ40" s="95"/>
      <c r="BA40" s="95"/>
      <c r="BB40" s="95"/>
      <c r="BC40" s="95"/>
      <c r="BD40" s="95"/>
      <c r="BE40" s="95"/>
      <c r="BF40" s="95"/>
      <c r="BG40" s="95"/>
      <c r="BH40" s="95"/>
      <c r="BI40" s="95"/>
      <c r="BJ40" s="95"/>
      <c r="BK40" s="95"/>
      <c r="BL40" s="95"/>
      <c r="BM40" s="95"/>
      <c r="BN40" s="95"/>
      <c r="BO40" s="95"/>
      <c r="BP40" s="111"/>
      <c r="BQ40" s="111"/>
    </row>
  </sheetData>
  <mergeCells count="69">
    <mergeCell ref="A1:F1"/>
    <mergeCell ref="G1:I1"/>
    <mergeCell ref="J1:AM1"/>
    <mergeCell ref="AN1:BQ1"/>
    <mergeCell ref="B2:D2"/>
    <mergeCell ref="F2:I2"/>
    <mergeCell ref="B3:D3"/>
    <mergeCell ref="F3:I3"/>
    <mergeCell ref="B40:I40"/>
    <mergeCell ref="J2:J3"/>
    <mergeCell ref="K2:K3"/>
    <mergeCell ref="L2:L3"/>
    <mergeCell ref="M2:M3"/>
    <mergeCell ref="N2:N3"/>
    <mergeCell ref="O2:O3"/>
    <mergeCell ref="P2:P3"/>
    <mergeCell ref="Q2:Q3"/>
    <mergeCell ref="R2:R3"/>
    <mergeCell ref="S2:S3"/>
    <mergeCell ref="T2:T3"/>
    <mergeCell ref="U2:U3"/>
    <mergeCell ref="V2:V3"/>
    <mergeCell ref="W2:W3"/>
    <mergeCell ref="X2:X3"/>
    <mergeCell ref="Y2:Y3"/>
    <mergeCell ref="Z2:Z3"/>
    <mergeCell ref="AA2:AA3"/>
    <mergeCell ref="AB2:AB3"/>
    <mergeCell ref="AC2:AC3"/>
    <mergeCell ref="AD2:AD3"/>
    <mergeCell ref="AE2:AE3"/>
    <mergeCell ref="AF2:AF3"/>
    <mergeCell ref="AG2:AG3"/>
    <mergeCell ref="AH2:AH3"/>
    <mergeCell ref="AI2:AI3"/>
    <mergeCell ref="AJ2:AJ3"/>
    <mergeCell ref="AK2:AK3"/>
    <mergeCell ref="AL2:AL3"/>
    <mergeCell ref="AM2:AM3"/>
    <mergeCell ref="AN2:AN3"/>
    <mergeCell ref="AO2:AO3"/>
    <mergeCell ref="AP2:AP3"/>
    <mergeCell ref="AQ2:AQ3"/>
    <mergeCell ref="AR2:AR3"/>
    <mergeCell ref="AS2:AS3"/>
    <mergeCell ref="AT2:AT3"/>
    <mergeCell ref="AU2:AU3"/>
    <mergeCell ref="AV2:AV3"/>
    <mergeCell ref="AW2:AW3"/>
    <mergeCell ref="AX2:AX3"/>
    <mergeCell ref="AY2:AY3"/>
    <mergeCell ref="AZ2:AZ3"/>
    <mergeCell ref="BA2:BA3"/>
    <mergeCell ref="BB2:BB3"/>
    <mergeCell ref="BC2:BC3"/>
    <mergeCell ref="BD2:BD3"/>
    <mergeCell ref="BE2:BE3"/>
    <mergeCell ref="BF2:BF3"/>
    <mergeCell ref="BG2:BG3"/>
    <mergeCell ref="BH2:BH3"/>
    <mergeCell ref="BI2:BI3"/>
    <mergeCell ref="BJ2:BJ3"/>
    <mergeCell ref="BK2:BK3"/>
    <mergeCell ref="BL2:BL3"/>
    <mergeCell ref="BM2:BM3"/>
    <mergeCell ref="BN2:BN3"/>
    <mergeCell ref="BO2:BO3"/>
    <mergeCell ref="BP2:BP3"/>
    <mergeCell ref="BQ2:BQ3"/>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21"/>
  <sheetViews>
    <sheetView zoomScale="85" zoomScaleNormal="85" zoomScalePageLayoutView="270" workbookViewId="0">
      <pane ySplit="3" topLeftCell="A106" activePane="bottomLeft" state="frozen"/>
      <selection/>
      <selection pane="bottomLeft" activeCell="P14" sqref="P14"/>
    </sheetView>
  </sheetViews>
  <sheetFormatPr defaultColWidth="9" defaultRowHeight="14.25"/>
  <cols>
    <col min="1" max="1" width="7.8" customWidth="1"/>
    <col min="2" max="2" width="8" customWidth="1"/>
    <col min="3" max="3" width="10.2" customWidth="1"/>
    <col min="4" max="4" width="18.7" customWidth="1"/>
    <col min="5" max="5" width="43.5" customWidth="1"/>
    <col min="6" max="6" width="8.7" customWidth="1"/>
    <col min="7" max="7" width="17.8" customWidth="1"/>
    <col min="8" max="8" width="6.7" customWidth="1"/>
    <col min="9" max="9" width="9" customWidth="1"/>
    <col min="10" max="10" width="6.7" customWidth="1"/>
    <col min="11" max="11" width="9.5" customWidth="1"/>
    <col min="12" max="12" width="9.2" customWidth="1"/>
    <col min="13" max="13" width="10.7" customWidth="1"/>
    <col min="14" max="14" width="13.7" customWidth="1"/>
    <col min="15" max="15" width="11.7" customWidth="1"/>
    <col min="16" max="16" width="10.2" customWidth="1"/>
    <col min="17" max="17" width="6" customWidth="1"/>
    <col min="18" max="18" width="7.2" customWidth="1"/>
    <col min="19" max="19" width="9.8" customWidth="1"/>
    <col min="20" max="20" width="10.7" customWidth="1"/>
    <col min="21" max="21" width="13.7" customWidth="1"/>
  </cols>
  <sheetData>
    <row r="1" ht="30" customHeight="1" spans="1:21">
      <c r="A1" s="758" t="s">
        <v>673</v>
      </c>
      <c r="B1" s="759"/>
      <c r="C1" s="759"/>
      <c r="D1" s="759"/>
      <c r="E1" s="759"/>
      <c r="F1" s="759"/>
      <c r="G1" s="759"/>
      <c r="H1" s="759"/>
      <c r="I1" s="759"/>
      <c r="J1" s="759"/>
      <c r="K1" s="759"/>
      <c r="L1" s="759"/>
      <c r="M1" s="759"/>
      <c r="N1" s="759"/>
      <c r="O1" s="759"/>
      <c r="P1" s="759"/>
      <c r="Q1" s="759"/>
      <c r="R1" s="759"/>
      <c r="S1" s="759"/>
      <c r="T1" s="759"/>
      <c r="U1" s="759"/>
    </row>
    <row r="2" ht="30" customHeight="1" spans="1:21">
      <c r="A2" s="760" t="s">
        <v>674</v>
      </c>
      <c r="B2" s="761"/>
      <c r="C2" s="761"/>
      <c r="D2" s="761"/>
      <c r="E2" s="761"/>
      <c r="F2" s="761"/>
      <c r="G2" s="761"/>
      <c r="H2" s="761"/>
      <c r="I2" s="761"/>
      <c r="J2" s="761"/>
      <c r="K2" s="761"/>
      <c r="L2" s="761"/>
      <c r="M2" s="761"/>
      <c r="N2" s="761"/>
      <c r="O2" s="761"/>
      <c r="P2" s="761"/>
      <c r="Q2" s="761"/>
      <c r="R2" s="761"/>
      <c r="S2" s="761"/>
      <c r="T2" s="761"/>
      <c r="U2" s="779"/>
    </row>
    <row r="3" ht="25.05" customHeight="1" spans="1:21">
      <c r="A3" s="762" t="s">
        <v>675</v>
      </c>
      <c r="B3" s="762"/>
      <c r="C3" s="762" t="s">
        <v>676</v>
      </c>
      <c r="D3" s="762" t="s">
        <v>677</v>
      </c>
      <c r="E3" s="762" t="s">
        <v>678</v>
      </c>
      <c r="F3" s="762" t="s">
        <v>679</v>
      </c>
      <c r="G3" s="762"/>
      <c r="H3" s="762" t="s">
        <v>680</v>
      </c>
      <c r="I3" s="762"/>
      <c r="J3" s="762"/>
      <c r="K3" s="762" t="s">
        <v>681</v>
      </c>
      <c r="L3" s="762" t="s">
        <v>682</v>
      </c>
      <c r="M3" s="762" t="s">
        <v>100</v>
      </c>
      <c r="N3" s="762" t="s">
        <v>115</v>
      </c>
      <c r="O3" s="762" t="s">
        <v>683</v>
      </c>
      <c r="P3" s="762" t="s">
        <v>684</v>
      </c>
      <c r="Q3" s="762" t="s">
        <v>685</v>
      </c>
      <c r="R3" s="762" t="s">
        <v>686</v>
      </c>
      <c r="S3" s="762" t="s">
        <v>687</v>
      </c>
      <c r="T3" s="762" t="s">
        <v>688</v>
      </c>
      <c r="U3" s="780" t="s">
        <v>7</v>
      </c>
    </row>
    <row r="4" ht="17.25" spans="1:21">
      <c r="A4" s="763">
        <v>0.541666666666667</v>
      </c>
      <c r="B4" s="764">
        <f t="shared" ref="B4:B9" si="0">A4+C4</f>
        <v>0.624305555555556</v>
      </c>
      <c r="C4" s="765">
        <v>0.0826388888888889</v>
      </c>
      <c r="D4" s="499" t="s">
        <v>689</v>
      </c>
      <c r="E4" s="766" t="s">
        <v>690</v>
      </c>
      <c r="F4" s="497" t="s">
        <v>691</v>
      </c>
      <c r="G4" s="497"/>
      <c r="H4" s="497"/>
      <c r="I4" s="497"/>
      <c r="J4" s="497"/>
      <c r="K4" s="497" t="s">
        <v>692</v>
      </c>
      <c r="L4" s="775" t="s">
        <v>692</v>
      </c>
      <c r="M4" s="497" t="s">
        <v>693</v>
      </c>
      <c r="N4" s="499" t="s">
        <v>694</v>
      </c>
      <c r="O4" s="497" t="s">
        <v>695</v>
      </c>
      <c r="P4" s="497" t="s">
        <v>695</v>
      </c>
      <c r="Q4" s="497">
        <v>10</v>
      </c>
      <c r="R4" s="497">
        <v>10</v>
      </c>
      <c r="S4" s="497" t="s">
        <v>695</v>
      </c>
      <c r="T4" s="497" t="s">
        <v>695</v>
      </c>
      <c r="U4" s="339" t="s">
        <v>696</v>
      </c>
    </row>
    <row r="5" ht="17.25" spans="1:21">
      <c r="A5" s="763">
        <f t="shared" ref="A5:A9" si="1">B4</f>
        <v>0.624305555555556</v>
      </c>
      <c r="B5" s="764">
        <f t="shared" si="0"/>
        <v>0.625</v>
      </c>
      <c r="C5" s="765">
        <v>0.000694444444444444</v>
      </c>
      <c r="D5" s="499" t="s">
        <v>697</v>
      </c>
      <c r="E5" s="767" t="s">
        <v>698</v>
      </c>
      <c r="F5" s="497" t="s">
        <v>699</v>
      </c>
      <c r="G5" s="497"/>
      <c r="H5" s="497"/>
      <c r="I5" s="497"/>
      <c r="J5" s="497"/>
      <c r="K5" s="497" t="s">
        <v>700</v>
      </c>
      <c r="L5" s="775" t="s">
        <v>700</v>
      </c>
      <c r="M5" s="497" t="s">
        <v>701</v>
      </c>
      <c r="N5" s="499" t="s">
        <v>694</v>
      </c>
      <c r="O5" s="497" t="s">
        <v>702</v>
      </c>
      <c r="P5" s="497" t="s">
        <v>695</v>
      </c>
      <c r="Q5" s="775" t="s">
        <v>695</v>
      </c>
      <c r="R5" s="775" t="s">
        <v>695</v>
      </c>
      <c r="S5" s="775" t="s">
        <v>695</v>
      </c>
      <c r="T5" s="775" t="s">
        <v>695</v>
      </c>
      <c r="U5" s="339"/>
    </row>
    <row r="6" ht="17.25" spans="1:21">
      <c r="A6" s="763">
        <f t="shared" si="1"/>
        <v>0.625</v>
      </c>
      <c r="B6" s="764">
        <f t="shared" si="0"/>
        <v>0.627083333333334</v>
      </c>
      <c r="C6" s="765">
        <v>0.00208333333333333</v>
      </c>
      <c r="D6" s="768" t="s">
        <v>703</v>
      </c>
      <c r="E6" s="769" t="s">
        <v>704</v>
      </c>
      <c r="F6" s="497" t="s">
        <v>705</v>
      </c>
      <c r="G6" s="497"/>
      <c r="H6" s="497"/>
      <c r="I6" s="497"/>
      <c r="J6" s="497"/>
      <c r="K6" s="497" t="s">
        <v>700</v>
      </c>
      <c r="L6" s="775" t="s">
        <v>700</v>
      </c>
      <c r="M6" s="497" t="s">
        <v>706</v>
      </c>
      <c r="N6" s="499" t="s">
        <v>694</v>
      </c>
      <c r="O6" s="497" t="s">
        <v>695</v>
      </c>
      <c r="P6" s="497" t="s">
        <v>695</v>
      </c>
      <c r="Q6" s="775" t="s">
        <v>695</v>
      </c>
      <c r="R6" s="775" t="s">
        <v>695</v>
      </c>
      <c r="S6" s="775" t="s">
        <v>695</v>
      </c>
      <c r="T6" s="775" t="s">
        <v>695</v>
      </c>
      <c r="U6" s="339"/>
    </row>
    <row r="7" ht="17.25" spans="1:21">
      <c r="A7" s="763">
        <f t="shared" si="1"/>
        <v>0.627083333333334</v>
      </c>
      <c r="B7" s="764">
        <f t="shared" si="0"/>
        <v>0.630555555555556</v>
      </c>
      <c r="C7" s="765">
        <v>0.00347222222222222</v>
      </c>
      <c r="D7" s="768" t="s">
        <v>707</v>
      </c>
      <c r="E7" s="769" t="s">
        <v>708</v>
      </c>
      <c r="F7" s="497" t="s">
        <v>709</v>
      </c>
      <c r="G7" s="497" t="s">
        <v>709</v>
      </c>
      <c r="H7" s="497" t="s">
        <v>709</v>
      </c>
      <c r="I7" s="497"/>
      <c r="J7" s="497"/>
      <c r="K7" s="497" t="s">
        <v>692</v>
      </c>
      <c r="L7" s="775" t="s">
        <v>692</v>
      </c>
      <c r="M7" s="497" t="s">
        <v>706</v>
      </c>
      <c r="N7" s="497" t="s">
        <v>710</v>
      </c>
      <c r="O7" s="497" t="s">
        <v>695</v>
      </c>
      <c r="P7" s="497" t="s">
        <v>695</v>
      </c>
      <c r="Q7" s="775" t="s">
        <v>695</v>
      </c>
      <c r="R7" s="775" t="s">
        <v>695</v>
      </c>
      <c r="S7" s="775" t="s">
        <v>695</v>
      </c>
      <c r="T7" s="775" t="s">
        <v>695</v>
      </c>
      <c r="U7" s="339"/>
    </row>
    <row r="8" ht="17.25" spans="1:21">
      <c r="A8" s="763">
        <f t="shared" si="1"/>
        <v>0.630555555555556</v>
      </c>
      <c r="B8" s="764">
        <f t="shared" si="0"/>
        <v>0.632638888888889</v>
      </c>
      <c r="C8" s="765">
        <v>0.00208333333333333</v>
      </c>
      <c r="D8" s="499" t="s">
        <v>711</v>
      </c>
      <c r="E8" s="767" t="s">
        <v>712</v>
      </c>
      <c r="F8" s="497" t="s">
        <v>713</v>
      </c>
      <c r="G8" s="497" t="s">
        <v>713</v>
      </c>
      <c r="H8" s="497" t="s">
        <v>700</v>
      </c>
      <c r="I8" s="497"/>
      <c r="J8" s="497"/>
      <c r="K8" s="497" t="s">
        <v>700</v>
      </c>
      <c r="L8" s="775" t="s">
        <v>700</v>
      </c>
      <c r="M8" s="497" t="s">
        <v>695</v>
      </c>
      <c r="N8" s="497" t="s">
        <v>714</v>
      </c>
      <c r="O8" s="497" t="s">
        <v>715</v>
      </c>
      <c r="P8" s="497" t="s">
        <v>695</v>
      </c>
      <c r="Q8" s="775" t="s">
        <v>695</v>
      </c>
      <c r="R8" s="775" t="s">
        <v>695</v>
      </c>
      <c r="S8" s="775" t="s">
        <v>695</v>
      </c>
      <c r="T8" s="775" t="s">
        <v>695</v>
      </c>
      <c r="U8" s="339"/>
    </row>
    <row r="9" ht="17.25" spans="1:21">
      <c r="A9" s="763">
        <f t="shared" si="1"/>
        <v>0.632638888888889</v>
      </c>
      <c r="B9" s="764">
        <f t="shared" si="0"/>
        <v>0.638194444444445</v>
      </c>
      <c r="C9" s="765">
        <v>0.00555555555555556</v>
      </c>
      <c r="D9" s="499" t="s">
        <v>716</v>
      </c>
      <c r="E9" s="766" t="s">
        <v>717</v>
      </c>
      <c r="F9" s="497" t="s">
        <v>713</v>
      </c>
      <c r="G9" s="497" t="s">
        <v>713</v>
      </c>
      <c r="H9" s="497" t="s">
        <v>700</v>
      </c>
      <c r="I9" s="497"/>
      <c r="J9" s="497"/>
      <c r="K9" s="497" t="s">
        <v>692</v>
      </c>
      <c r="L9" s="497" t="s">
        <v>692</v>
      </c>
      <c r="M9" s="497" t="s">
        <v>718</v>
      </c>
      <c r="N9" s="497" t="s">
        <v>719</v>
      </c>
      <c r="O9" s="497" t="s">
        <v>715</v>
      </c>
      <c r="P9" s="497" t="s">
        <v>695</v>
      </c>
      <c r="Q9" s="775">
        <v>2</v>
      </c>
      <c r="R9" s="775" t="s">
        <v>695</v>
      </c>
      <c r="S9" s="775" t="s">
        <v>720</v>
      </c>
      <c r="T9" s="775" t="s">
        <v>695</v>
      </c>
      <c r="U9" s="339"/>
    </row>
    <row r="10" ht="17.25" spans="1:21">
      <c r="A10" s="763"/>
      <c r="B10" s="764"/>
      <c r="C10" s="765"/>
      <c r="D10" s="499"/>
      <c r="E10" s="766" t="s">
        <v>721</v>
      </c>
      <c r="F10" s="497" t="s">
        <v>713</v>
      </c>
      <c r="G10" s="497" t="s">
        <v>713</v>
      </c>
      <c r="H10" s="497" t="s">
        <v>700</v>
      </c>
      <c r="I10" s="497"/>
      <c r="J10" s="497"/>
      <c r="K10" s="497" t="s">
        <v>692</v>
      </c>
      <c r="L10" s="497" t="s">
        <v>692</v>
      </c>
      <c r="M10" s="497" t="s">
        <v>695</v>
      </c>
      <c r="N10" s="497" t="s">
        <v>714</v>
      </c>
      <c r="O10" s="497" t="s">
        <v>695</v>
      </c>
      <c r="P10" s="497" t="s">
        <v>722</v>
      </c>
      <c r="Q10" s="771" t="s">
        <v>695</v>
      </c>
      <c r="R10" s="775" t="s">
        <v>695</v>
      </c>
      <c r="S10" s="497" t="s">
        <v>695</v>
      </c>
      <c r="T10" s="775" t="s">
        <v>695</v>
      </c>
      <c r="U10" s="339"/>
    </row>
    <row r="11" ht="17.25" spans="1:21">
      <c r="A11" s="763">
        <f t="shared" ref="A11:A15" si="2">B9</f>
        <v>0.638194444444445</v>
      </c>
      <c r="B11" s="764">
        <f t="shared" ref="B11:B15" si="3">A11+C11</f>
        <v>0.640972222222222</v>
      </c>
      <c r="C11" s="765">
        <v>0.00277777777777778</v>
      </c>
      <c r="D11" s="768" t="s">
        <v>723</v>
      </c>
      <c r="E11" s="766" t="s">
        <v>724</v>
      </c>
      <c r="F11" s="497" t="s">
        <v>713</v>
      </c>
      <c r="G11" s="497" t="s">
        <v>713</v>
      </c>
      <c r="H11" s="497" t="s">
        <v>700</v>
      </c>
      <c r="I11" s="497"/>
      <c r="J11" s="497"/>
      <c r="K11" s="497" t="s">
        <v>692</v>
      </c>
      <c r="L11" s="497" t="s">
        <v>692</v>
      </c>
      <c r="M11" s="497" t="s">
        <v>695</v>
      </c>
      <c r="N11" s="497" t="s">
        <v>714</v>
      </c>
      <c r="O11" s="497" t="s">
        <v>725</v>
      </c>
      <c r="P11" s="775" t="s">
        <v>695</v>
      </c>
      <c r="Q11" s="775" t="s">
        <v>695</v>
      </c>
      <c r="R11" s="775" t="s">
        <v>695</v>
      </c>
      <c r="S11" s="775" t="s">
        <v>695</v>
      </c>
      <c r="T11" s="775" t="s">
        <v>695</v>
      </c>
      <c r="U11" s="339"/>
    </row>
    <row r="12" ht="17.25" spans="1:21">
      <c r="A12" s="763"/>
      <c r="B12" s="764"/>
      <c r="C12" s="765"/>
      <c r="D12" s="768"/>
      <c r="E12" s="770" t="s">
        <v>707</v>
      </c>
      <c r="F12" s="497" t="s">
        <v>709</v>
      </c>
      <c r="G12" s="497" t="s">
        <v>709</v>
      </c>
      <c r="H12" s="497" t="s">
        <v>709</v>
      </c>
      <c r="I12" s="497"/>
      <c r="J12" s="497"/>
      <c r="K12" s="497" t="s">
        <v>692</v>
      </c>
      <c r="L12" s="497" t="s">
        <v>692</v>
      </c>
      <c r="M12" s="497" t="s">
        <v>726</v>
      </c>
      <c r="N12" s="497" t="s">
        <v>710</v>
      </c>
      <c r="O12" s="497"/>
      <c r="P12" s="775" t="s">
        <v>695</v>
      </c>
      <c r="Q12" s="775" t="s">
        <v>695</v>
      </c>
      <c r="R12" s="775" t="s">
        <v>695</v>
      </c>
      <c r="S12" s="775" t="s">
        <v>695</v>
      </c>
      <c r="T12" s="771" t="s">
        <v>695</v>
      </c>
      <c r="U12" s="771" t="s">
        <v>727</v>
      </c>
    </row>
    <row r="13" ht="17.25" spans="1:21">
      <c r="A13" s="763">
        <f t="shared" si="2"/>
        <v>0.640972222222222</v>
      </c>
      <c r="B13" s="764">
        <f t="shared" si="3"/>
        <v>0.65</v>
      </c>
      <c r="C13" s="765">
        <v>0.00902777777777778</v>
      </c>
      <c r="D13" s="768" t="s">
        <v>728</v>
      </c>
      <c r="E13" s="766" t="s">
        <v>724</v>
      </c>
      <c r="F13" s="497" t="s">
        <v>713</v>
      </c>
      <c r="G13" s="497" t="s">
        <v>713</v>
      </c>
      <c r="H13" s="497" t="s">
        <v>700</v>
      </c>
      <c r="I13" s="497"/>
      <c r="J13" s="497"/>
      <c r="K13" s="497" t="s">
        <v>692</v>
      </c>
      <c r="L13" s="497" t="s">
        <v>692</v>
      </c>
      <c r="M13" s="497" t="s">
        <v>695</v>
      </c>
      <c r="N13" s="497" t="s">
        <v>714</v>
      </c>
      <c r="O13" s="497" t="s">
        <v>725</v>
      </c>
      <c r="P13" s="497" t="s">
        <v>695</v>
      </c>
      <c r="Q13" s="775" t="s">
        <v>695</v>
      </c>
      <c r="R13" s="775" t="s">
        <v>695</v>
      </c>
      <c r="S13" s="775" t="s">
        <v>695</v>
      </c>
      <c r="T13" s="775" t="s">
        <v>695</v>
      </c>
      <c r="U13" s="775"/>
    </row>
    <row r="14" ht="17.25" spans="1:21">
      <c r="A14" s="763"/>
      <c r="B14" s="764"/>
      <c r="C14" s="765"/>
      <c r="D14" s="768"/>
      <c r="E14" s="770" t="s">
        <v>729</v>
      </c>
      <c r="F14" s="497" t="s">
        <v>709</v>
      </c>
      <c r="G14" s="497" t="s">
        <v>709</v>
      </c>
      <c r="H14" s="497" t="s">
        <v>730</v>
      </c>
      <c r="I14" s="497"/>
      <c r="J14" s="497"/>
      <c r="K14" s="497" t="s">
        <v>692</v>
      </c>
      <c r="L14" s="771" t="s">
        <v>692</v>
      </c>
      <c r="M14" s="497" t="s">
        <v>731</v>
      </c>
      <c r="N14" s="497" t="s">
        <v>710</v>
      </c>
      <c r="O14" s="497" t="s">
        <v>695</v>
      </c>
      <c r="P14" s="497" t="s">
        <v>732</v>
      </c>
      <c r="Q14" s="775" t="s">
        <v>695</v>
      </c>
      <c r="R14" s="775" t="s">
        <v>695</v>
      </c>
      <c r="S14" s="775" t="s">
        <v>695</v>
      </c>
      <c r="T14" s="775" t="s">
        <v>695</v>
      </c>
      <c r="U14" s="771" t="s">
        <v>727</v>
      </c>
    </row>
    <row r="15" ht="17.25" spans="1:21">
      <c r="A15" s="763">
        <f t="shared" si="2"/>
        <v>0.65</v>
      </c>
      <c r="B15" s="764">
        <f t="shared" si="3"/>
        <v>0.653472222222222</v>
      </c>
      <c r="C15" s="765">
        <v>0.00347222222222222</v>
      </c>
      <c r="D15" s="499" t="s">
        <v>733</v>
      </c>
      <c r="E15" s="766" t="s">
        <v>734</v>
      </c>
      <c r="F15" s="497" t="s">
        <v>713</v>
      </c>
      <c r="G15" s="497" t="s">
        <v>713</v>
      </c>
      <c r="H15" s="497" t="s">
        <v>700</v>
      </c>
      <c r="I15" s="497"/>
      <c r="J15" s="497"/>
      <c r="K15" s="497" t="s">
        <v>692</v>
      </c>
      <c r="L15" s="771" t="s">
        <v>692</v>
      </c>
      <c r="M15" s="497" t="s">
        <v>695</v>
      </c>
      <c r="N15" s="776" t="s">
        <v>714</v>
      </c>
      <c r="O15" s="497" t="s">
        <v>735</v>
      </c>
      <c r="P15" s="497" t="s">
        <v>695</v>
      </c>
      <c r="Q15" s="775" t="s">
        <v>695</v>
      </c>
      <c r="R15" s="775" t="s">
        <v>695</v>
      </c>
      <c r="S15" s="775" t="s">
        <v>695</v>
      </c>
      <c r="T15" s="771"/>
      <c r="U15" s="771" t="s">
        <v>736</v>
      </c>
    </row>
    <row r="16" ht="17.25" spans="1:21">
      <c r="A16" s="763"/>
      <c r="B16" s="764"/>
      <c r="C16" s="765"/>
      <c r="D16" s="499"/>
      <c r="E16" s="766" t="s">
        <v>737</v>
      </c>
      <c r="F16" s="497" t="s">
        <v>713</v>
      </c>
      <c r="G16" s="497" t="s">
        <v>713</v>
      </c>
      <c r="H16" s="771" t="s">
        <v>738</v>
      </c>
      <c r="I16" s="771"/>
      <c r="J16" s="771"/>
      <c r="K16" s="497" t="s">
        <v>700</v>
      </c>
      <c r="L16" s="497" t="s">
        <v>700</v>
      </c>
      <c r="M16" s="771" t="s">
        <v>731</v>
      </c>
      <c r="N16" s="497" t="s">
        <v>739</v>
      </c>
      <c r="O16" s="497" t="s">
        <v>695</v>
      </c>
      <c r="P16" s="497" t="s">
        <v>695</v>
      </c>
      <c r="Q16" s="775" t="s">
        <v>695</v>
      </c>
      <c r="R16" s="775" t="s">
        <v>695</v>
      </c>
      <c r="S16" s="775" t="s">
        <v>695</v>
      </c>
      <c r="T16" s="775" t="s">
        <v>695</v>
      </c>
      <c r="U16" s="771" t="s">
        <v>727</v>
      </c>
    </row>
    <row r="17" ht="17.25" spans="1:21">
      <c r="A17" s="763"/>
      <c r="B17" s="764"/>
      <c r="C17" s="765"/>
      <c r="D17" s="499"/>
      <c r="E17" s="766" t="s">
        <v>740</v>
      </c>
      <c r="F17" s="497" t="s">
        <v>713</v>
      </c>
      <c r="G17" s="497" t="s">
        <v>713</v>
      </c>
      <c r="H17" s="771" t="s">
        <v>741</v>
      </c>
      <c r="I17" s="771"/>
      <c r="J17" s="771"/>
      <c r="K17" s="497" t="s">
        <v>700</v>
      </c>
      <c r="L17" s="497" t="s">
        <v>700</v>
      </c>
      <c r="M17" s="497" t="s">
        <v>695</v>
      </c>
      <c r="N17" s="771" t="s">
        <v>714</v>
      </c>
      <c r="O17" s="497" t="s">
        <v>735</v>
      </c>
      <c r="P17" s="777" t="s">
        <v>695</v>
      </c>
      <c r="Q17" s="781">
        <v>2</v>
      </c>
      <c r="R17" s="781" t="s">
        <v>695</v>
      </c>
      <c r="S17" s="781" t="s">
        <v>720</v>
      </c>
      <c r="T17" s="781" t="s">
        <v>695</v>
      </c>
      <c r="U17" s="771"/>
    </row>
    <row r="18" ht="17.25" spans="1:21">
      <c r="A18" s="763"/>
      <c r="B18" s="764"/>
      <c r="C18" s="765"/>
      <c r="D18" s="499"/>
      <c r="E18" s="766" t="s">
        <v>742</v>
      </c>
      <c r="F18" s="497" t="s">
        <v>713</v>
      </c>
      <c r="G18" s="497" t="s">
        <v>713</v>
      </c>
      <c r="H18" s="771"/>
      <c r="I18" s="771"/>
      <c r="J18" s="771"/>
      <c r="K18" s="497" t="s">
        <v>692</v>
      </c>
      <c r="L18" s="771" t="s">
        <v>692</v>
      </c>
      <c r="M18" s="771" t="s">
        <v>743</v>
      </c>
      <c r="N18" s="497" t="s">
        <v>744</v>
      </c>
      <c r="O18" s="497" t="s">
        <v>695</v>
      </c>
      <c r="P18" s="777" t="s">
        <v>695</v>
      </c>
      <c r="Q18" s="781" t="s">
        <v>695</v>
      </c>
      <c r="R18" s="781" t="s">
        <v>695</v>
      </c>
      <c r="S18" s="781" t="s">
        <v>695</v>
      </c>
      <c r="T18" s="781" t="s">
        <v>695</v>
      </c>
      <c r="U18" s="771"/>
    </row>
    <row r="19" ht="17.25" spans="1:21">
      <c r="A19" s="763"/>
      <c r="B19" s="764"/>
      <c r="C19" s="765"/>
      <c r="D19" s="499"/>
      <c r="E19" s="766" t="s">
        <v>745</v>
      </c>
      <c r="F19" s="497" t="s">
        <v>713</v>
      </c>
      <c r="G19" s="497" t="s">
        <v>713</v>
      </c>
      <c r="H19" s="771"/>
      <c r="I19" s="771"/>
      <c r="J19" s="771"/>
      <c r="K19" s="497" t="s">
        <v>692</v>
      </c>
      <c r="L19" s="771" t="s">
        <v>692</v>
      </c>
      <c r="M19" s="771" t="s">
        <v>743</v>
      </c>
      <c r="N19" s="771" t="s">
        <v>746</v>
      </c>
      <c r="O19" s="497" t="s">
        <v>735</v>
      </c>
      <c r="P19" s="777" t="s">
        <v>695</v>
      </c>
      <c r="Q19" s="497">
        <v>2</v>
      </c>
      <c r="R19" s="771" t="s">
        <v>695</v>
      </c>
      <c r="S19" s="771" t="s">
        <v>720</v>
      </c>
      <c r="T19" s="771"/>
      <c r="U19" s="771"/>
    </row>
    <row r="20" ht="17.25" spans="1:21">
      <c r="A20" s="763"/>
      <c r="B20" s="764"/>
      <c r="C20" s="765"/>
      <c r="D20" s="499"/>
      <c r="E20" s="766" t="s">
        <v>747</v>
      </c>
      <c r="F20" s="497" t="s">
        <v>713</v>
      </c>
      <c r="G20" s="497" t="s">
        <v>713</v>
      </c>
      <c r="H20" s="771"/>
      <c r="I20" s="771"/>
      <c r="J20" s="771"/>
      <c r="K20" s="497" t="s">
        <v>692</v>
      </c>
      <c r="L20" s="771" t="s">
        <v>692</v>
      </c>
      <c r="M20" s="771" t="s">
        <v>748</v>
      </c>
      <c r="N20" s="771" t="s">
        <v>749</v>
      </c>
      <c r="O20" s="497" t="s">
        <v>695</v>
      </c>
      <c r="P20" s="771" t="s">
        <v>695</v>
      </c>
      <c r="Q20" s="771">
        <v>8</v>
      </c>
      <c r="R20" s="771" t="s">
        <v>695</v>
      </c>
      <c r="S20" s="771" t="s">
        <v>750</v>
      </c>
      <c r="T20" s="771" t="s">
        <v>695</v>
      </c>
      <c r="U20" s="771"/>
    </row>
    <row r="21" ht="17.25" spans="1:21">
      <c r="A21" s="763"/>
      <c r="B21" s="764"/>
      <c r="C21" s="765"/>
      <c r="D21" s="499"/>
      <c r="E21" s="766" t="s">
        <v>751</v>
      </c>
      <c r="F21" s="497" t="s">
        <v>713</v>
      </c>
      <c r="G21" s="497" t="s">
        <v>713</v>
      </c>
      <c r="H21" s="771" t="s">
        <v>752</v>
      </c>
      <c r="I21" s="771"/>
      <c r="J21" s="771"/>
      <c r="K21" s="497" t="s">
        <v>692</v>
      </c>
      <c r="L21" s="771" t="s">
        <v>692</v>
      </c>
      <c r="M21" s="771"/>
      <c r="N21" s="771" t="s">
        <v>753</v>
      </c>
      <c r="O21" s="497" t="s">
        <v>695</v>
      </c>
      <c r="P21" s="777" t="s">
        <v>695</v>
      </c>
      <c r="Q21" s="781" t="s">
        <v>695</v>
      </c>
      <c r="R21" s="781" t="s">
        <v>695</v>
      </c>
      <c r="S21" s="781" t="s">
        <v>695</v>
      </c>
      <c r="T21" s="781" t="s">
        <v>695</v>
      </c>
      <c r="U21" s="771"/>
    </row>
    <row r="22" ht="34.5" spans="1:21">
      <c r="A22" s="763">
        <f>B15</f>
        <v>0.653472222222222</v>
      </c>
      <c r="B22" s="764">
        <f>A22+C22</f>
        <v>0.656944444444445</v>
      </c>
      <c r="C22" s="765">
        <v>0.00347222222222222</v>
      </c>
      <c r="D22" s="499" t="s">
        <v>754</v>
      </c>
      <c r="E22" s="766" t="s">
        <v>734</v>
      </c>
      <c r="F22" s="497" t="s">
        <v>713</v>
      </c>
      <c r="G22" s="497" t="s">
        <v>713</v>
      </c>
      <c r="H22" s="497" t="s">
        <v>700</v>
      </c>
      <c r="I22" s="497"/>
      <c r="J22" s="497"/>
      <c r="K22" s="497" t="s">
        <v>700</v>
      </c>
      <c r="L22" s="497" t="s">
        <v>700</v>
      </c>
      <c r="M22" s="497" t="s">
        <v>695</v>
      </c>
      <c r="N22" s="776" t="s">
        <v>714</v>
      </c>
      <c r="O22" s="497" t="s">
        <v>735</v>
      </c>
      <c r="P22" s="497" t="s">
        <v>695</v>
      </c>
      <c r="Q22" s="775" t="s">
        <v>695</v>
      </c>
      <c r="R22" s="775" t="s">
        <v>695</v>
      </c>
      <c r="S22" s="775" t="s">
        <v>695</v>
      </c>
      <c r="T22" s="771"/>
      <c r="U22" s="771" t="s">
        <v>755</v>
      </c>
    </row>
    <row r="23" ht="17.25" spans="1:21">
      <c r="A23" s="763"/>
      <c r="B23" s="764"/>
      <c r="C23" s="765"/>
      <c r="D23" s="499"/>
      <c r="E23" s="766" t="s">
        <v>737</v>
      </c>
      <c r="F23" s="497" t="s">
        <v>713</v>
      </c>
      <c r="G23" s="497" t="s">
        <v>713</v>
      </c>
      <c r="H23" s="771" t="s">
        <v>756</v>
      </c>
      <c r="I23" s="771"/>
      <c r="J23" s="771"/>
      <c r="K23" s="497" t="s">
        <v>700</v>
      </c>
      <c r="L23" s="497" t="s">
        <v>700</v>
      </c>
      <c r="M23" s="771" t="s">
        <v>731</v>
      </c>
      <c r="N23" s="497" t="s">
        <v>739</v>
      </c>
      <c r="O23" s="497" t="s">
        <v>695</v>
      </c>
      <c r="P23" s="497" t="s">
        <v>695</v>
      </c>
      <c r="Q23" s="775" t="s">
        <v>695</v>
      </c>
      <c r="R23" s="775" t="s">
        <v>695</v>
      </c>
      <c r="S23" s="775" t="s">
        <v>695</v>
      </c>
      <c r="T23" s="775" t="s">
        <v>695</v>
      </c>
      <c r="U23" s="771" t="s">
        <v>727</v>
      </c>
    </row>
    <row r="24" ht="17.25" spans="1:21">
      <c r="A24" s="763"/>
      <c r="B24" s="764"/>
      <c r="C24" s="765"/>
      <c r="D24" s="499"/>
      <c r="E24" s="766" t="s">
        <v>757</v>
      </c>
      <c r="F24" s="497" t="s">
        <v>713</v>
      </c>
      <c r="G24" s="497" t="s">
        <v>713</v>
      </c>
      <c r="H24" s="771" t="s">
        <v>758</v>
      </c>
      <c r="I24" s="771"/>
      <c r="J24" s="771"/>
      <c r="K24" s="497" t="s">
        <v>700</v>
      </c>
      <c r="L24" s="497" t="s">
        <v>700</v>
      </c>
      <c r="M24" s="497" t="s">
        <v>695</v>
      </c>
      <c r="N24" s="771" t="s">
        <v>714</v>
      </c>
      <c r="O24" s="497" t="s">
        <v>735</v>
      </c>
      <c r="P24" s="777" t="s">
        <v>695</v>
      </c>
      <c r="Q24" s="781">
        <v>2</v>
      </c>
      <c r="R24" s="781" t="s">
        <v>695</v>
      </c>
      <c r="S24" s="781" t="s">
        <v>720</v>
      </c>
      <c r="T24" s="781" t="s">
        <v>695</v>
      </c>
      <c r="U24" s="771"/>
    </row>
    <row r="25" ht="17.25" spans="1:21">
      <c r="A25" s="763"/>
      <c r="B25" s="764"/>
      <c r="C25" s="765"/>
      <c r="D25" s="499"/>
      <c r="E25" s="766" t="s">
        <v>742</v>
      </c>
      <c r="F25" s="497" t="s">
        <v>713</v>
      </c>
      <c r="G25" s="497" t="s">
        <v>713</v>
      </c>
      <c r="H25" s="771"/>
      <c r="I25" s="771"/>
      <c r="J25" s="771"/>
      <c r="K25" s="497" t="s">
        <v>692</v>
      </c>
      <c r="L25" s="771" t="s">
        <v>692</v>
      </c>
      <c r="M25" s="771" t="s">
        <v>743</v>
      </c>
      <c r="N25" s="497" t="s">
        <v>744</v>
      </c>
      <c r="O25" s="497" t="s">
        <v>695</v>
      </c>
      <c r="P25" s="777" t="s">
        <v>695</v>
      </c>
      <c r="Q25" s="781" t="s">
        <v>695</v>
      </c>
      <c r="R25" s="781" t="s">
        <v>695</v>
      </c>
      <c r="S25" s="781" t="s">
        <v>695</v>
      </c>
      <c r="T25" s="781" t="s">
        <v>695</v>
      </c>
      <c r="U25" s="771"/>
    </row>
    <row r="26" ht="17.25" spans="1:21">
      <c r="A26" s="763"/>
      <c r="B26" s="764"/>
      <c r="C26" s="765"/>
      <c r="D26" s="499"/>
      <c r="E26" s="766" t="s">
        <v>745</v>
      </c>
      <c r="F26" s="497" t="s">
        <v>713</v>
      </c>
      <c r="G26" s="497" t="s">
        <v>713</v>
      </c>
      <c r="H26" s="771"/>
      <c r="I26" s="771"/>
      <c r="J26" s="771"/>
      <c r="K26" s="497" t="s">
        <v>692</v>
      </c>
      <c r="L26" s="771" t="s">
        <v>692</v>
      </c>
      <c r="M26" s="771" t="s">
        <v>743</v>
      </c>
      <c r="N26" s="771" t="s">
        <v>746</v>
      </c>
      <c r="O26" s="497" t="s">
        <v>735</v>
      </c>
      <c r="P26" s="777" t="s">
        <v>695</v>
      </c>
      <c r="Q26" s="497">
        <v>2</v>
      </c>
      <c r="R26" s="771" t="s">
        <v>695</v>
      </c>
      <c r="S26" s="771" t="s">
        <v>720</v>
      </c>
      <c r="T26" s="781" t="s">
        <v>695</v>
      </c>
      <c r="U26" s="771"/>
    </row>
    <row r="27" ht="17.25" spans="1:21">
      <c r="A27" s="763"/>
      <c r="B27" s="764"/>
      <c r="C27" s="765"/>
      <c r="D27" s="499"/>
      <c r="E27" s="766" t="s">
        <v>759</v>
      </c>
      <c r="F27" s="497" t="s">
        <v>713</v>
      </c>
      <c r="G27" s="497" t="s">
        <v>713</v>
      </c>
      <c r="H27" s="771"/>
      <c r="I27" s="771"/>
      <c r="J27" s="771"/>
      <c r="K27" s="497" t="s">
        <v>692</v>
      </c>
      <c r="L27" s="771" t="s">
        <v>692</v>
      </c>
      <c r="M27" s="771" t="s">
        <v>748</v>
      </c>
      <c r="N27" s="771" t="s">
        <v>749</v>
      </c>
      <c r="O27" s="497" t="s">
        <v>695</v>
      </c>
      <c r="P27" s="771" t="s">
        <v>695</v>
      </c>
      <c r="Q27" s="771">
        <v>8</v>
      </c>
      <c r="R27" s="771" t="s">
        <v>695</v>
      </c>
      <c r="S27" s="771" t="s">
        <v>750</v>
      </c>
      <c r="T27" s="771" t="s">
        <v>695</v>
      </c>
      <c r="U27" s="771"/>
    </row>
    <row r="28" ht="17.25" spans="1:21">
      <c r="A28" s="763"/>
      <c r="B28" s="764"/>
      <c r="C28" s="765"/>
      <c r="D28" s="499"/>
      <c r="E28" s="766" t="s">
        <v>751</v>
      </c>
      <c r="F28" s="497" t="s">
        <v>713</v>
      </c>
      <c r="G28" s="497" t="s">
        <v>713</v>
      </c>
      <c r="H28" s="771" t="s">
        <v>752</v>
      </c>
      <c r="I28" s="771"/>
      <c r="J28" s="771"/>
      <c r="K28" s="497" t="s">
        <v>692</v>
      </c>
      <c r="L28" s="771" t="s">
        <v>692</v>
      </c>
      <c r="M28" s="771"/>
      <c r="N28" s="771" t="s">
        <v>753</v>
      </c>
      <c r="O28" s="497" t="s">
        <v>695</v>
      </c>
      <c r="P28" s="777" t="s">
        <v>695</v>
      </c>
      <c r="Q28" s="781" t="s">
        <v>695</v>
      </c>
      <c r="R28" s="781" t="s">
        <v>695</v>
      </c>
      <c r="S28" s="781" t="s">
        <v>695</v>
      </c>
      <c r="T28" s="781" t="s">
        <v>695</v>
      </c>
      <c r="U28" s="771"/>
    </row>
    <row r="29" ht="17.25" spans="1:21">
      <c r="A29" s="763">
        <f>B22</f>
        <v>0.656944444444445</v>
      </c>
      <c r="B29" s="764">
        <f>A29+C29</f>
        <v>0.660416666666667</v>
      </c>
      <c r="C29" s="765">
        <v>0.00347222222222222</v>
      </c>
      <c r="D29" s="499" t="s">
        <v>760</v>
      </c>
      <c r="E29" s="766" t="s">
        <v>734</v>
      </c>
      <c r="F29" s="497" t="s">
        <v>713</v>
      </c>
      <c r="G29" s="497" t="s">
        <v>713</v>
      </c>
      <c r="H29" s="497" t="s">
        <v>700</v>
      </c>
      <c r="I29" s="497"/>
      <c r="J29" s="497"/>
      <c r="K29" s="497" t="s">
        <v>700</v>
      </c>
      <c r="L29" s="497" t="s">
        <v>700</v>
      </c>
      <c r="M29" s="497" t="s">
        <v>695</v>
      </c>
      <c r="N29" s="776" t="s">
        <v>714</v>
      </c>
      <c r="O29" s="497" t="s">
        <v>735</v>
      </c>
      <c r="P29" s="497" t="s">
        <v>695</v>
      </c>
      <c r="Q29" s="775" t="s">
        <v>695</v>
      </c>
      <c r="R29" s="775" t="s">
        <v>695</v>
      </c>
      <c r="S29" s="775" t="s">
        <v>695</v>
      </c>
      <c r="T29" s="771"/>
      <c r="U29" s="771" t="s">
        <v>736</v>
      </c>
    </row>
    <row r="30" ht="17.25" spans="1:21">
      <c r="A30" s="763"/>
      <c r="B30" s="764"/>
      <c r="C30" s="765"/>
      <c r="D30" s="499"/>
      <c r="E30" s="766" t="s">
        <v>737</v>
      </c>
      <c r="F30" s="497" t="s">
        <v>713</v>
      </c>
      <c r="G30" s="497" t="s">
        <v>713</v>
      </c>
      <c r="H30" s="771" t="s">
        <v>761</v>
      </c>
      <c r="I30" s="771"/>
      <c r="J30" s="771"/>
      <c r="K30" s="497" t="s">
        <v>700</v>
      </c>
      <c r="L30" s="497" t="s">
        <v>700</v>
      </c>
      <c r="M30" s="771" t="s">
        <v>731</v>
      </c>
      <c r="N30" s="497" t="s">
        <v>739</v>
      </c>
      <c r="O30" s="497" t="s">
        <v>695</v>
      </c>
      <c r="P30" s="497" t="s">
        <v>695</v>
      </c>
      <c r="Q30" s="775" t="s">
        <v>695</v>
      </c>
      <c r="R30" s="775" t="s">
        <v>695</v>
      </c>
      <c r="S30" s="775" t="s">
        <v>695</v>
      </c>
      <c r="T30" s="775" t="s">
        <v>695</v>
      </c>
      <c r="U30" s="771" t="s">
        <v>727</v>
      </c>
    </row>
    <row r="31" ht="17.25" spans="1:21">
      <c r="A31" s="763"/>
      <c r="B31" s="764"/>
      <c r="C31" s="765"/>
      <c r="D31" s="499"/>
      <c r="E31" s="766" t="s">
        <v>740</v>
      </c>
      <c r="F31" s="497" t="s">
        <v>713</v>
      </c>
      <c r="G31" s="497" t="s">
        <v>713</v>
      </c>
      <c r="H31" s="772" t="s">
        <v>741</v>
      </c>
      <c r="I31" s="772"/>
      <c r="J31" s="772"/>
      <c r="K31" s="497" t="s">
        <v>700</v>
      </c>
      <c r="L31" s="771" t="s">
        <v>700</v>
      </c>
      <c r="M31" s="771" t="s">
        <v>695</v>
      </c>
      <c r="N31" s="771" t="s">
        <v>714</v>
      </c>
      <c r="O31" s="497" t="s">
        <v>695</v>
      </c>
      <c r="P31" s="497" t="s">
        <v>695</v>
      </c>
      <c r="Q31" s="781">
        <v>2</v>
      </c>
      <c r="R31" s="781" t="s">
        <v>695</v>
      </c>
      <c r="S31" s="781" t="s">
        <v>720</v>
      </c>
      <c r="T31" s="775" t="s">
        <v>695</v>
      </c>
      <c r="U31" s="771"/>
    </row>
    <row r="32" ht="17.25" spans="1:21">
      <c r="A32" s="763"/>
      <c r="B32" s="764"/>
      <c r="C32" s="765"/>
      <c r="D32" s="499"/>
      <c r="E32" s="766" t="s">
        <v>742</v>
      </c>
      <c r="F32" s="497" t="s">
        <v>713</v>
      </c>
      <c r="G32" s="497" t="s">
        <v>713</v>
      </c>
      <c r="H32" s="772"/>
      <c r="I32" s="772"/>
      <c r="J32" s="772"/>
      <c r="K32" s="497" t="s">
        <v>692</v>
      </c>
      <c r="L32" s="771" t="s">
        <v>692</v>
      </c>
      <c r="M32" s="771" t="s">
        <v>743</v>
      </c>
      <c r="N32" s="497" t="s">
        <v>744</v>
      </c>
      <c r="O32" s="497" t="s">
        <v>735</v>
      </c>
      <c r="P32" s="777" t="s">
        <v>695</v>
      </c>
      <c r="Q32" s="781" t="s">
        <v>695</v>
      </c>
      <c r="R32" s="781" t="s">
        <v>695</v>
      </c>
      <c r="S32" s="781" t="s">
        <v>695</v>
      </c>
      <c r="T32" s="771" t="s">
        <v>695</v>
      </c>
      <c r="U32" s="771"/>
    </row>
    <row r="33" ht="17.25" spans="1:21">
      <c r="A33" s="763"/>
      <c r="B33" s="764"/>
      <c r="C33" s="765"/>
      <c r="D33" s="499"/>
      <c r="E33" s="766" t="s">
        <v>745</v>
      </c>
      <c r="F33" s="497" t="s">
        <v>713</v>
      </c>
      <c r="G33" s="497" t="s">
        <v>713</v>
      </c>
      <c r="H33" s="772"/>
      <c r="I33" s="772"/>
      <c r="J33" s="772"/>
      <c r="K33" s="497" t="s">
        <v>692</v>
      </c>
      <c r="L33" s="771" t="s">
        <v>692</v>
      </c>
      <c r="M33" s="771" t="s">
        <v>743</v>
      </c>
      <c r="N33" s="771" t="s">
        <v>746</v>
      </c>
      <c r="O33" s="497" t="s">
        <v>695</v>
      </c>
      <c r="P33" s="771" t="s">
        <v>695</v>
      </c>
      <c r="Q33" s="497">
        <v>2</v>
      </c>
      <c r="R33" s="771" t="s">
        <v>695</v>
      </c>
      <c r="S33" s="771" t="s">
        <v>720</v>
      </c>
      <c r="T33" s="771" t="s">
        <v>695</v>
      </c>
      <c r="U33" s="771"/>
    </row>
    <row r="34" ht="17.25" spans="1:21">
      <c r="A34" s="763"/>
      <c r="B34" s="764"/>
      <c r="C34" s="765"/>
      <c r="D34" s="499"/>
      <c r="E34" s="766" t="s">
        <v>762</v>
      </c>
      <c r="F34" s="497" t="s">
        <v>713</v>
      </c>
      <c r="G34" s="497" t="s">
        <v>713</v>
      </c>
      <c r="H34" s="772"/>
      <c r="I34" s="772"/>
      <c r="J34" s="772"/>
      <c r="K34" s="497" t="s">
        <v>692</v>
      </c>
      <c r="L34" s="771" t="s">
        <v>692</v>
      </c>
      <c r="M34" s="771" t="s">
        <v>748</v>
      </c>
      <c r="N34" s="771" t="s">
        <v>749</v>
      </c>
      <c r="O34" s="497" t="s">
        <v>695</v>
      </c>
      <c r="P34" s="771" t="s">
        <v>695</v>
      </c>
      <c r="Q34" s="771">
        <v>8</v>
      </c>
      <c r="R34" s="771" t="s">
        <v>695</v>
      </c>
      <c r="S34" s="771" t="s">
        <v>750</v>
      </c>
      <c r="T34" s="771" t="s">
        <v>695</v>
      </c>
      <c r="U34" s="771"/>
    </row>
    <row r="35" ht="17.25" spans="1:21">
      <c r="A35" s="763"/>
      <c r="B35" s="764"/>
      <c r="C35" s="765"/>
      <c r="D35" s="499"/>
      <c r="E35" s="766" t="s">
        <v>751</v>
      </c>
      <c r="F35" s="497" t="s">
        <v>713</v>
      </c>
      <c r="G35" s="497" t="s">
        <v>713</v>
      </c>
      <c r="H35" s="772" t="s">
        <v>752</v>
      </c>
      <c r="I35" s="772"/>
      <c r="J35" s="772"/>
      <c r="K35" s="497" t="s">
        <v>692</v>
      </c>
      <c r="L35" s="771" t="s">
        <v>692</v>
      </c>
      <c r="M35" s="771"/>
      <c r="N35" s="771" t="s">
        <v>753</v>
      </c>
      <c r="O35" s="497" t="s">
        <v>695</v>
      </c>
      <c r="P35" s="497" t="s">
        <v>695</v>
      </c>
      <c r="Q35" s="781" t="s">
        <v>695</v>
      </c>
      <c r="R35" s="781" t="s">
        <v>695</v>
      </c>
      <c r="S35" s="781" t="s">
        <v>695</v>
      </c>
      <c r="T35" s="781" t="s">
        <v>695</v>
      </c>
      <c r="U35" s="781"/>
    </row>
    <row r="36" ht="34.5" spans="1:21">
      <c r="A36" s="763">
        <f>B29</f>
        <v>0.660416666666667</v>
      </c>
      <c r="B36" s="764">
        <f>A36+C36</f>
        <v>0.664583333333334</v>
      </c>
      <c r="C36" s="765">
        <v>0.00416666666666667</v>
      </c>
      <c r="D36" s="499" t="s">
        <v>763</v>
      </c>
      <c r="E36" s="766" t="s">
        <v>764</v>
      </c>
      <c r="F36" s="497" t="s">
        <v>713</v>
      </c>
      <c r="G36" s="497" t="s">
        <v>713</v>
      </c>
      <c r="H36" s="497" t="s">
        <v>700</v>
      </c>
      <c r="I36" s="497"/>
      <c r="J36" s="497"/>
      <c r="K36" s="777" t="s">
        <v>700</v>
      </c>
      <c r="L36" s="777" t="s">
        <v>700</v>
      </c>
      <c r="M36" s="778" t="s">
        <v>695</v>
      </c>
      <c r="N36" s="776" t="s">
        <v>753</v>
      </c>
      <c r="O36" s="497" t="s">
        <v>725</v>
      </c>
      <c r="P36" s="497" t="s">
        <v>695</v>
      </c>
      <c r="Q36" s="777" t="s">
        <v>695</v>
      </c>
      <c r="R36" s="781" t="s">
        <v>695</v>
      </c>
      <c r="S36" s="781" t="s">
        <v>695</v>
      </c>
      <c r="T36" s="781" t="s">
        <v>695</v>
      </c>
      <c r="U36" s="771" t="s">
        <v>765</v>
      </c>
    </row>
    <row r="37" ht="17.25" spans="1:21">
      <c r="A37" s="763"/>
      <c r="B37" s="764"/>
      <c r="C37" s="765"/>
      <c r="D37" s="499"/>
      <c r="E37" s="766" t="s">
        <v>766</v>
      </c>
      <c r="F37" s="497" t="s">
        <v>713</v>
      </c>
      <c r="G37" s="497" t="s">
        <v>713</v>
      </c>
      <c r="H37" s="771" t="s">
        <v>767</v>
      </c>
      <c r="I37" s="771"/>
      <c r="J37" s="771"/>
      <c r="K37" s="777" t="s">
        <v>692</v>
      </c>
      <c r="L37" s="777" t="s">
        <v>692</v>
      </c>
      <c r="M37" s="778" t="s">
        <v>768</v>
      </c>
      <c r="N37" s="776" t="s">
        <v>753</v>
      </c>
      <c r="O37" s="497" t="s">
        <v>695</v>
      </c>
      <c r="P37" s="497" t="s">
        <v>695</v>
      </c>
      <c r="Q37" s="777" t="s">
        <v>695</v>
      </c>
      <c r="R37" s="781" t="s">
        <v>695</v>
      </c>
      <c r="S37" s="781" t="s">
        <v>695</v>
      </c>
      <c r="T37" s="781" t="s">
        <v>695</v>
      </c>
      <c r="U37" s="771" t="s">
        <v>727</v>
      </c>
    </row>
    <row r="38" ht="34.5" spans="1:21">
      <c r="A38" s="763"/>
      <c r="B38" s="764"/>
      <c r="C38" s="765"/>
      <c r="D38" s="499"/>
      <c r="E38" s="766" t="s">
        <v>764</v>
      </c>
      <c r="F38" s="497" t="s">
        <v>713</v>
      </c>
      <c r="G38" s="497" t="s">
        <v>713</v>
      </c>
      <c r="H38" s="771"/>
      <c r="I38" s="771"/>
      <c r="J38" s="771"/>
      <c r="K38" s="777" t="s">
        <v>700</v>
      </c>
      <c r="L38" s="777" t="s">
        <v>700</v>
      </c>
      <c r="M38" s="778" t="s">
        <v>695</v>
      </c>
      <c r="N38" s="776" t="s">
        <v>753</v>
      </c>
      <c r="O38" s="497" t="s">
        <v>725</v>
      </c>
      <c r="P38" s="497" t="s">
        <v>695</v>
      </c>
      <c r="Q38" s="777" t="s">
        <v>695</v>
      </c>
      <c r="R38" s="781" t="s">
        <v>695</v>
      </c>
      <c r="S38" s="781" t="s">
        <v>695</v>
      </c>
      <c r="T38" s="781" t="s">
        <v>695</v>
      </c>
      <c r="U38" s="771" t="s">
        <v>769</v>
      </c>
    </row>
    <row r="39" ht="34.5" spans="1:21">
      <c r="A39" s="763"/>
      <c r="B39" s="764"/>
      <c r="C39" s="765"/>
      <c r="D39" s="499"/>
      <c r="E39" s="766" t="s">
        <v>770</v>
      </c>
      <c r="F39" s="497" t="s">
        <v>713</v>
      </c>
      <c r="G39" s="497" t="s">
        <v>713</v>
      </c>
      <c r="H39" s="771" t="s">
        <v>771</v>
      </c>
      <c r="I39" s="771"/>
      <c r="J39" s="771"/>
      <c r="K39" s="777" t="s">
        <v>692</v>
      </c>
      <c r="L39" s="777" t="s">
        <v>692</v>
      </c>
      <c r="M39" s="778" t="s">
        <v>768</v>
      </c>
      <c r="N39" s="776" t="s">
        <v>753</v>
      </c>
      <c r="O39" s="497" t="s">
        <v>725</v>
      </c>
      <c r="P39" s="777" t="s">
        <v>695</v>
      </c>
      <c r="Q39" s="777" t="s">
        <v>695</v>
      </c>
      <c r="R39" s="771" t="s">
        <v>695</v>
      </c>
      <c r="S39" s="781" t="s">
        <v>695</v>
      </c>
      <c r="T39" s="771" t="s">
        <v>695</v>
      </c>
      <c r="U39" s="771"/>
    </row>
    <row r="40" ht="34.5" spans="1:21">
      <c r="A40" s="763"/>
      <c r="B40" s="764"/>
      <c r="C40" s="765"/>
      <c r="D40" s="499"/>
      <c r="E40" s="766" t="s">
        <v>772</v>
      </c>
      <c r="F40" s="497" t="s">
        <v>713</v>
      </c>
      <c r="G40" s="497" t="s">
        <v>713</v>
      </c>
      <c r="H40" s="771"/>
      <c r="I40" s="771"/>
      <c r="J40" s="771"/>
      <c r="K40" s="777" t="s">
        <v>692</v>
      </c>
      <c r="L40" s="777" t="s">
        <v>692</v>
      </c>
      <c r="M40" s="778" t="s">
        <v>768</v>
      </c>
      <c r="N40" s="776" t="s">
        <v>753</v>
      </c>
      <c r="O40" s="497" t="s">
        <v>695</v>
      </c>
      <c r="P40" s="497" t="s">
        <v>695</v>
      </c>
      <c r="Q40" s="497">
        <v>2</v>
      </c>
      <c r="R40" s="771" t="s">
        <v>695</v>
      </c>
      <c r="S40" s="771" t="s">
        <v>773</v>
      </c>
      <c r="T40" s="771" t="s">
        <v>695</v>
      </c>
      <c r="U40" s="771"/>
    </row>
    <row r="41" ht="17.25" spans="1:21">
      <c r="A41" s="763"/>
      <c r="B41" s="764"/>
      <c r="C41" s="765"/>
      <c r="D41" s="499"/>
      <c r="E41" s="773" t="s">
        <v>774</v>
      </c>
      <c r="F41" s="497" t="s">
        <v>713</v>
      </c>
      <c r="G41" s="497" t="s">
        <v>713</v>
      </c>
      <c r="H41" s="771" t="s">
        <v>767</v>
      </c>
      <c r="I41" s="771"/>
      <c r="J41" s="771"/>
      <c r="K41" s="777" t="s">
        <v>692</v>
      </c>
      <c r="L41" s="777" t="s">
        <v>692</v>
      </c>
      <c r="M41" s="771" t="s">
        <v>743</v>
      </c>
      <c r="N41" s="497" t="s">
        <v>744</v>
      </c>
      <c r="O41" s="497" t="s">
        <v>695</v>
      </c>
      <c r="P41" s="497" t="s">
        <v>695</v>
      </c>
      <c r="Q41" s="777">
        <v>2</v>
      </c>
      <c r="R41" s="781" t="s">
        <v>695</v>
      </c>
      <c r="S41" s="781" t="s">
        <v>720</v>
      </c>
      <c r="T41" s="771" t="s">
        <v>695</v>
      </c>
      <c r="U41" s="771"/>
    </row>
    <row r="42" ht="17.25" spans="1:21">
      <c r="A42" s="763"/>
      <c r="B42" s="764"/>
      <c r="C42" s="765"/>
      <c r="D42" s="499"/>
      <c r="E42" s="766" t="s">
        <v>775</v>
      </c>
      <c r="F42" s="497" t="s">
        <v>713</v>
      </c>
      <c r="G42" s="497" t="s">
        <v>713</v>
      </c>
      <c r="H42" s="771"/>
      <c r="I42" s="771"/>
      <c r="J42" s="771"/>
      <c r="K42" s="777" t="s">
        <v>692</v>
      </c>
      <c r="L42" s="777" t="s">
        <v>692</v>
      </c>
      <c r="M42" s="778" t="s">
        <v>748</v>
      </c>
      <c r="N42" s="776" t="s">
        <v>776</v>
      </c>
      <c r="O42" s="497" t="s">
        <v>695</v>
      </c>
      <c r="P42" s="497" t="s">
        <v>695</v>
      </c>
      <c r="Q42" s="777">
        <v>8</v>
      </c>
      <c r="R42" s="781" t="s">
        <v>695</v>
      </c>
      <c r="S42" s="781" t="s">
        <v>777</v>
      </c>
      <c r="T42" s="781" t="s">
        <v>695</v>
      </c>
      <c r="U42" s="771"/>
    </row>
    <row r="43" ht="17.25" spans="1:21">
      <c r="A43" s="763">
        <f>B36</f>
        <v>0.664583333333334</v>
      </c>
      <c r="B43" s="764">
        <f t="shared" ref="B43:B47" si="4">A43+C43</f>
        <v>0.66875</v>
      </c>
      <c r="C43" s="765">
        <v>0.00416666666666667</v>
      </c>
      <c r="D43" s="768" t="s">
        <v>778</v>
      </c>
      <c r="E43" s="766" t="s">
        <v>724</v>
      </c>
      <c r="F43" s="497" t="s">
        <v>713</v>
      </c>
      <c r="G43" s="497" t="s">
        <v>713</v>
      </c>
      <c r="H43" s="497" t="s">
        <v>700</v>
      </c>
      <c r="I43" s="497"/>
      <c r="J43" s="497"/>
      <c r="K43" s="497" t="s">
        <v>692</v>
      </c>
      <c r="L43" s="497" t="s">
        <v>692</v>
      </c>
      <c r="M43" s="497" t="s">
        <v>695</v>
      </c>
      <c r="N43" s="497" t="s">
        <v>714</v>
      </c>
      <c r="O43" s="497" t="s">
        <v>725</v>
      </c>
      <c r="P43" s="497" t="s">
        <v>779</v>
      </c>
      <c r="Q43" s="771" t="s">
        <v>695</v>
      </c>
      <c r="R43" s="781" t="s">
        <v>695</v>
      </c>
      <c r="S43" s="781" t="s">
        <v>695</v>
      </c>
      <c r="T43" s="781" t="s">
        <v>695</v>
      </c>
      <c r="U43" s="767"/>
    </row>
    <row r="44" ht="18" spans="1:21">
      <c r="A44" s="763"/>
      <c r="B44" s="764"/>
      <c r="C44" s="765"/>
      <c r="D44" s="768"/>
      <c r="E44" s="770" t="s">
        <v>780</v>
      </c>
      <c r="F44" s="497" t="s">
        <v>709</v>
      </c>
      <c r="G44" s="497" t="s">
        <v>709</v>
      </c>
      <c r="H44" s="774" t="s">
        <v>709</v>
      </c>
      <c r="I44" s="774"/>
      <c r="J44" s="774"/>
      <c r="K44" s="497" t="s">
        <v>692</v>
      </c>
      <c r="L44" s="771" t="s">
        <v>692</v>
      </c>
      <c r="M44" s="497" t="s">
        <v>781</v>
      </c>
      <c r="N44" s="497" t="s">
        <v>710</v>
      </c>
      <c r="O44" s="497" t="s">
        <v>695</v>
      </c>
      <c r="P44" s="771" t="s">
        <v>695</v>
      </c>
      <c r="Q44" s="771" t="s">
        <v>695</v>
      </c>
      <c r="R44" s="781" t="s">
        <v>695</v>
      </c>
      <c r="S44" s="781" t="s">
        <v>695</v>
      </c>
      <c r="T44" s="781" t="s">
        <v>695</v>
      </c>
      <c r="U44" s="771" t="s">
        <v>727</v>
      </c>
    </row>
    <row r="45" ht="17.25" spans="1:21">
      <c r="A45" s="763">
        <f t="shared" ref="A45:A49" si="5">B43</f>
        <v>0.66875</v>
      </c>
      <c r="B45" s="764">
        <f t="shared" si="4"/>
        <v>0.675694444444445</v>
      </c>
      <c r="C45" s="765">
        <v>0.00694444444444444</v>
      </c>
      <c r="D45" s="768" t="s">
        <v>782</v>
      </c>
      <c r="E45" s="766" t="s">
        <v>724</v>
      </c>
      <c r="F45" s="497" t="s">
        <v>713</v>
      </c>
      <c r="G45" s="497" t="s">
        <v>713</v>
      </c>
      <c r="H45" s="497" t="s">
        <v>700</v>
      </c>
      <c r="I45" s="497"/>
      <c r="J45" s="497"/>
      <c r="K45" s="497" t="s">
        <v>692</v>
      </c>
      <c r="L45" s="771" t="s">
        <v>692</v>
      </c>
      <c r="M45" s="778" t="s">
        <v>695</v>
      </c>
      <c r="N45" s="776" t="s">
        <v>753</v>
      </c>
      <c r="O45" s="497" t="s">
        <v>725</v>
      </c>
      <c r="P45" s="497" t="s">
        <v>779</v>
      </c>
      <c r="Q45" s="771" t="s">
        <v>695</v>
      </c>
      <c r="R45" s="781" t="s">
        <v>695</v>
      </c>
      <c r="S45" s="781" t="s">
        <v>695</v>
      </c>
      <c r="T45" s="781" t="s">
        <v>695</v>
      </c>
      <c r="U45" s="771"/>
    </row>
    <row r="46" ht="18" spans="1:21">
      <c r="A46" s="763"/>
      <c r="B46" s="764"/>
      <c r="C46" s="765"/>
      <c r="D46" s="768"/>
      <c r="E46" s="766" t="s">
        <v>783</v>
      </c>
      <c r="F46" s="497" t="s">
        <v>709</v>
      </c>
      <c r="G46" s="497" t="s">
        <v>709</v>
      </c>
      <c r="H46" s="774" t="s">
        <v>709</v>
      </c>
      <c r="I46" s="774"/>
      <c r="J46" s="774"/>
      <c r="K46" s="497" t="s">
        <v>692</v>
      </c>
      <c r="L46" s="771" t="s">
        <v>692</v>
      </c>
      <c r="M46" s="771" t="s">
        <v>781</v>
      </c>
      <c r="N46" s="497" t="s">
        <v>710</v>
      </c>
      <c r="O46" s="497" t="s">
        <v>695</v>
      </c>
      <c r="P46" s="771" t="s">
        <v>695</v>
      </c>
      <c r="Q46" s="771" t="s">
        <v>695</v>
      </c>
      <c r="R46" s="771" t="s">
        <v>695</v>
      </c>
      <c r="S46" s="771" t="s">
        <v>695</v>
      </c>
      <c r="T46" s="781" t="s">
        <v>695</v>
      </c>
      <c r="U46" s="771" t="s">
        <v>727</v>
      </c>
    </row>
    <row r="47" ht="17.25" spans="1:21">
      <c r="A47" s="763">
        <f t="shared" si="5"/>
        <v>0.675694444444445</v>
      </c>
      <c r="B47" s="764">
        <f t="shared" si="4"/>
        <v>0.680555555555556</v>
      </c>
      <c r="C47" s="765">
        <v>0.00486111111111111</v>
      </c>
      <c r="D47" s="768" t="s">
        <v>784</v>
      </c>
      <c r="E47" s="766" t="s">
        <v>724</v>
      </c>
      <c r="F47" s="497" t="s">
        <v>713</v>
      </c>
      <c r="G47" s="497" t="s">
        <v>713</v>
      </c>
      <c r="H47" s="497" t="s">
        <v>700</v>
      </c>
      <c r="I47" s="497"/>
      <c r="J47" s="497"/>
      <c r="K47" s="497" t="s">
        <v>692</v>
      </c>
      <c r="L47" s="771" t="s">
        <v>692</v>
      </c>
      <c r="M47" s="778" t="s">
        <v>695</v>
      </c>
      <c r="N47" s="776" t="s">
        <v>753</v>
      </c>
      <c r="O47" s="497" t="s">
        <v>725</v>
      </c>
      <c r="P47" s="771" t="s">
        <v>695</v>
      </c>
      <c r="Q47" s="771" t="s">
        <v>695</v>
      </c>
      <c r="R47" s="771" t="s">
        <v>695</v>
      </c>
      <c r="S47" s="771" t="s">
        <v>695</v>
      </c>
      <c r="T47" s="781" t="s">
        <v>695</v>
      </c>
      <c r="U47" s="771"/>
    </row>
    <row r="48" ht="34.5" spans="1:21">
      <c r="A48" s="763"/>
      <c r="B48" s="764"/>
      <c r="C48" s="765"/>
      <c r="D48" s="768"/>
      <c r="E48" s="766" t="s">
        <v>784</v>
      </c>
      <c r="F48" s="497" t="s">
        <v>709</v>
      </c>
      <c r="G48" s="497" t="s">
        <v>709</v>
      </c>
      <c r="H48" s="774" t="s">
        <v>709</v>
      </c>
      <c r="I48" s="774"/>
      <c r="J48" s="774"/>
      <c r="K48" s="497" t="s">
        <v>692</v>
      </c>
      <c r="L48" s="771" t="s">
        <v>692</v>
      </c>
      <c r="M48" s="771" t="s">
        <v>781</v>
      </c>
      <c r="N48" s="497" t="s">
        <v>710</v>
      </c>
      <c r="O48" s="497" t="s">
        <v>695</v>
      </c>
      <c r="P48" s="771" t="s">
        <v>785</v>
      </c>
      <c r="Q48" s="771" t="s">
        <v>695</v>
      </c>
      <c r="R48" s="771" t="s">
        <v>695</v>
      </c>
      <c r="S48" s="771" t="s">
        <v>695</v>
      </c>
      <c r="T48" s="781" t="s">
        <v>695</v>
      </c>
      <c r="U48" s="771"/>
    </row>
    <row r="49" ht="17.25" spans="1:21">
      <c r="A49" s="763">
        <f t="shared" si="5"/>
        <v>0.680555555555556</v>
      </c>
      <c r="B49" s="764">
        <f>A49+C49</f>
        <v>0.684027777777778</v>
      </c>
      <c r="C49" s="765">
        <v>0.00347222222222222</v>
      </c>
      <c r="D49" s="499" t="s">
        <v>786</v>
      </c>
      <c r="E49" s="766" t="s">
        <v>734</v>
      </c>
      <c r="F49" s="497" t="s">
        <v>713</v>
      </c>
      <c r="G49" s="497" t="s">
        <v>713</v>
      </c>
      <c r="H49" s="497" t="s">
        <v>700</v>
      </c>
      <c r="I49" s="497"/>
      <c r="J49" s="497"/>
      <c r="K49" s="497" t="s">
        <v>700</v>
      </c>
      <c r="L49" s="497" t="s">
        <v>700</v>
      </c>
      <c r="M49" s="497" t="s">
        <v>695</v>
      </c>
      <c r="N49" s="776" t="s">
        <v>714</v>
      </c>
      <c r="O49" s="497" t="s">
        <v>735</v>
      </c>
      <c r="P49" s="497" t="s">
        <v>695</v>
      </c>
      <c r="Q49" s="775" t="s">
        <v>695</v>
      </c>
      <c r="R49" s="775" t="s">
        <v>695</v>
      </c>
      <c r="S49" s="775" t="s">
        <v>695</v>
      </c>
      <c r="T49" s="771"/>
      <c r="U49" s="771" t="s">
        <v>736</v>
      </c>
    </row>
    <row r="50" ht="17.25" spans="1:21">
      <c r="A50" s="763"/>
      <c r="B50" s="764"/>
      <c r="C50" s="765"/>
      <c r="D50" s="499"/>
      <c r="E50" s="766" t="s">
        <v>737</v>
      </c>
      <c r="F50" s="497" t="s">
        <v>713</v>
      </c>
      <c r="G50" s="497" t="s">
        <v>713</v>
      </c>
      <c r="H50" s="771" t="s">
        <v>787</v>
      </c>
      <c r="I50" s="771"/>
      <c r="J50" s="771"/>
      <c r="K50" s="497" t="s">
        <v>700</v>
      </c>
      <c r="L50" s="497" t="s">
        <v>700</v>
      </c>
      <c r="M50" s="771" t="s">
        <v>731</v>
      </c>
      <c r="N50" s="497" t="s">
        <v>739</v>
      </c>
      <c r="O50" s="497" t="s">
        <v>695</v>
      </c>
      <c r="P50" s="497" t="s">
        <v>695</v>
      </c>
      <c r="Q50" s="775" t="s">
        <v>695</v>
      </c>
      <c r="R50" s="775" t="s">
        <v>695</v>
      </c>
      <c r="S50" s="775" t="s">
        <v>695</v>
      </c>
      <c r="T50" s="781" t="s">
        <v>695</v>
      </c>
      <c r="U50" s="771" t="s">
        <v>727</v>
      </c>
    </row>
    <row r="51" ht="17.25" spans="1:21">
      <c r="A51" s="763"/>
      <c r="B51" s="764"/>
      <c r="C51" s="765"/>
      <c r="D51" s="499"/>
      <c r="E51" s="766" t="s">
        <v>788</v>
      </c>
      <c r="F51" s="497" t="s">
        <v>713</v>
      </c>
      <c r="G51" s="497" t="s">
        <v>713</v>
      </c>
      <c r="H51" s="772" t="s">
        <v>789</v>
      </c>
      <c r="I51" s="772"/>
      <c r="J51" s="772"/>
      <c r="K51" s="497" t="s">
        <v>700</v>
      </c>
      <c r="L51" s="771" t="s">
        <v>700</v>
      </c>
      <c r="M51" s="771" t="s">
        <v>695</v>
      </c>
      <c r="N51" s="771" t="s">
        <v>714</v>
      </c>
      <c r="O51" s="497" t="s">
        <v>695</v>
      </c>
      <c r="P51" s="497" t="s">
        <v>695</v>
      </c>
      <c r="Q51" s="781">
        <v>2</v>
      </c>
      <c r="R51" s="781" t="s">
        <v>695</v>
      </c>
      <c r="S51" s="781" t="s">
        <v>720</v>
      </c>
      <c r="T51" s="781" t="s">
        <v>695</v>
      </c>
      <c r="U51" s="771"/>
    </row>
    <row r="52" ht="17.25" spans="1:21">
      <c r="A52" s="763"/>
      <c r="B52" s="764"/>
      <c r="C52" s="765"/>
      <c r="D52" s="499"/>
      <c r="E52" s="766" t="s">
        <v>742</v>
      </c>
      <c r="F52" s="497" t="s">
        <v>713</v>
      </c>
      <c r="G52" s="497" t="s">
        <v>713</v>
      </c>
      <c r="H52" s="772"/>
      <c r="I52" s="772"/>
      <c r="J52" s="772"/>
      <c r="K52" s="497" t="s">
        <v>692</v>
      </c>
      <c r="L52" s="771" t="s">
        <v>692</v>
      </c>
      <c r="M52" s="771" t="s">
        <v>743</v>
      </c>
      <c r="N52" s="497" t="s">
        <v>744</v>
      </c>
      <c r="O52" s="497" t="s">
        <v>735</v>
      </c>
      <c r="P52" s="777" t="s">
        <v>695</v>
      </c>
      <c r="Q52" s="781" t="s">
        <v>695</v>
      </c>
      <c r="R52" s="781" t="s">
        <v>695</v>
      </c>
      <c r="S52" s="781" t="s">
        <v>695</v>
      </c>
      <c r="T52" s="781" t="s">
        <v>695</v>
      </c>
      <c r="U52" s="771"/>
    </row>
    <row r="53" ht="17.25" spans="1:21">
      <c r="A53" s="763"/>
      <c r="B53" s="764"/>
      <c r="C53" s="765"/>
      <c r="D53" s="499"/>
      <c r="E53" s="766" t="s">
        <v>745</v>
      </c>
      <c r="F53" s="497" t="s">
        <v>713</v>
      </c>
      <c r="G53" s="497" t="s">
        <v>713</v>
      </c>
      <c r="H53" s="772"/>
      <c r="I53" s="772"/>
      <c r="J53" s="772"/>
      <c r="K53" s="497" t="s">
        <v>692</v>
      </c>
      <c r="L53" s="771" t="s">
        <v>692</v>
      </c>
      <c r="M53" s="771" t="s">
        <v>743</v>
      </c>
      <c r="N53" s="771" t="s">
        <v>746</v>
      </c>
      <c r="O53" s="497" t="s">
        <v>695</v>
      </c>
      <c r="P53" s="771" t="s">
        <v>695</v>
      </c>
      <c r="Q53" s="497">
        <v>2</v>
      </c>
      <c r="R53" s="771" t="s">
        <v>695</v>
      </c>
      <c r="S53" s="771" t="s">
        <v>720</v>
      </c>
      <c r="T53" s="781" t="s">
        <v>695</v>
      </c>
      <c r="U53" s="771"/>
    </row>
    <row r="54" ht="17.25" spans="1:21">
      <c r="A54" s="763"/>
      <c r="B54" s="764"/>
      <c r="C54" s="765"/>
      <c r="D54" s="499"/>
      <c r="E54" s="766" t="s">
        <v>790</v>
      </c>
      <c r="F54" s="497" t="s">
        <v>713</v>
      </c>
      <c r="G54" s="497" t="s">
        <v>713</v>
      </c>
      <c r="H54" s="772"/>
      <c r="I54" s="772"/>
      <c r="J54" s="772"/>
      <c r="K54" s="497" t="s">
        <v>692</v>
      </c>
      <c r="L54" s="771" t="s">
        <v>692</v>
      </c>
      <c r="M54" s="771" t="s">
        <v>748</v>
      </c>
      <c r="N54" s="771" t="s">
        <v>749</v>
      </c>
      <c r="O54" s="497" t="s">
        <v>695</v>
      </c>
      <c r="P54" s="771" t="s">
        <v>695</v>
      </c>
      <c r="Q54" s="771">
        <v>8</v>
      </c>
      <c r="R54" s="771" t="s">
        <v>695</v>
      </c>
      <c r="S54" s="771" t="s">
        <v>750</v>
      </c>
      <c r="T54" s="781" t="s">
        <v>695</v>
      </c>
      <c r="U54" s="771"/>
    </row>
    <row r="55" ht="17.25" spans="1:21">
      <c r="A55" s="763"/>
      <c r="B55" s="764"/>
      <c r="C55" s="765"/>
      <c r="D55" s="499"/>
      <c r="E55" s="766" t="s">
        <v>751</v>
      </c>
      <c r="F55" s="497" t="s">
        <v>713</v>
      </c>
      <c r="G55" s="497" t="s">
        <v>713</v>
      </c>
      <c r="H55" s="772" t="s">
        <v>752</v>
      </c>
      <c r="I55" s="772"/>
      <c r="J55" s="772"/>
      <c r="K55" s="497" t="s">
        <v>692</v>
      </c>
      <c r="L55" s="771" t="s">
        <v>692</v>
      </c>
      <c r="M55" s="771"/>
      <c r="N55" s="771" t="s">
        <v>753</v>
      </c>
      <c r="O55" s="497" t="s">
        <v>695</v>
      </c>
      <c r="P55" s="497" t="s">
        <v>695</v>
      </c>
      <c r="Q55" s="781" t="s">
        <v>695</v>
      </c>
      <c r="R55" s="781" t="s">
        <v>695</v>
      </c>
      <c r="S55" s="781" t="s">
        <v>695</v>
      </c>
      <c r="T55" s="781" t="s">
        <v>695</v>
      </c>
      <c r="U55" s="781"/>
    </row>
    <row r="56" ht="34.5" spans="1:21">
      <c r="A56" s="763">
        <f>B49</f>
        <v>0.684027777777778</v>
      </c>
      <c r="B56" s="764">
        <f>A56+C56</f>
        <v>0.688194444444445</v>
      </c>
      <c r="C56" s="765">
        <v>0.00416666666666667</v>
      </c>
      <c r="D56" s="499" t="s">
        <v>791</v>
      </c>
      <c r="E56" s="766" t="s">
        <v>764</v>
      </c>
      <c r="F56" s="497" t="s">
        <v>713</v>
      </c>
      <c r="G56" s="497" t="s">
        <v>713</v>
      </c>
      <c r="H56" s="497" t="s">
        <v>700</v>
      </c>
      <c r="I56" s="497"/>
      <c r="J56" s="497"/>
      <c r="K56" s="777" t="s">
        <v>700</v>
      </c>
      <c r="L56" s="777" t="s">
        <v>700</v>
      </c>
      <c r="M56" s="778" t="s">
        <v>695</v>
      </c>
      <c r="N56" s="776" t="s">
        <v>753</v>
      </c>
      <c r="O56" s="497" t="s">
        <v>725</v>
      </c>
      <c r="P56" s="497" t="s">
        <v>695</v>
      </c>
      <c r="Q56" s="777" t="s">
        <v>695</v>
      </c>
      <c r="R56" s="781" t="s">
        <v>695</v>
      </c>
      <c r="S56" s="781" t="s">
        <v>695</v>
      </c>
      <c r="T56" s="781" t="s">
        <v>695</v>
      </c>
      <c r="U56" s="771" t="s">
        <v>769</v>
      </c>
    </row>
    <row r="57" ht="69" spans="1:21">
      <c r="A57" s="763"/>
      <c r="B57" s="764"/>
      <c r="C57" s="765"/>
      <c r="D57" s="499"/>
      <c r="E57" s="766" t="s">
        <v>792</v>
      </c>
      <c r="F57" s="497" t="s">
        <v>709</v>
      </c>
      <c r="G57" s="497" t="s">
        <v>709</v>
      </c>
      <c r="H57" s="771" t="s">
        <v>771</v>
      </c>
      <c r="I57" s="771"/>
      <c r="J57" s="771"/>
      <c r="K57" s="497" t="s">
        <v>692</v>
      </c>
      <c r="L57" s="771" t="s">
        <v>692</v>
      </c>
      <c r="M57" s="778" t="s">
        <v>695</v>
      </c>
      <c r="N57" s="776" t="s">
        <v>753</v>
      </c>
      <c r="O57" s="497" t="s">
        <v>725</v>
      </c>
      <c r="P57" s="777" t="s">
        <v>695</v>
      </c>
      <c r="Q57" s="497">
        <v>8</v>
      </c>
      <c r="R57" s="771" t="s">
        <v>695</v>
      </c>
      <c r="S57" s="771" t="s">
        <v>793</v>
      </c>
      <c r="T57" s="781" t="s">
        <v>695</v>
      </c>
      <c r="U57" s="771"/>
    </row>
    <row r="58" ht="17.25" spans="1:21">
      <c r="A58" s="763"/>
      <c r="B58" s="764"/>
      <c r="C58" s="765"/>
      <c r="D58" s="499"/>
      <c r="E58" s="766" t="s">
        <v>794</v>
      </c>
      <c r="F58" s="497" t="s">
        <v>713</v>
      </c>
      <c r="G58" s="497" t="s">
        <v>713</v>
      </c>
      <c r="H58" s="771"/>
      <c r="I58" s="771"/>
      <c r="J58" s="771"/>
      <c r="K58" s="777" t="s">
        <v>692</v>
      </c>
      <c r="L58" s="777" t="s">
        <v>692</v>
      </c>
      <c r="M58" s="778" t="s">
        <v>768</v>
      </c>
      <c r="N58" s="776" t="s">
        <v>753</v>
      </c>
      <c r="O58" s="497" t="s">
        <v>695</v>
      </c>
      <c r="P58" s="497" t="s">
        <v>695</v>
      </c>
      <c r="Q58" s="497">
        <v>2</v>
      </c>
      <c r="R58" s="771" t="s">
        <v>695</v>
      </c>
      <c r="S58" s="771" t="s">
        <v>773</v>
      </c>
      <c r="T58" s="781" t="s">
        <v>695</v>
      </c>
      <c r="U58" s="771"/>
    </row>
    <row r="59" ht="17.25" spans="1:21">
      <c r="A59" s="763"/>
      <c r="B59" s="764"/>
      <c r="C59" s="765"/>
      <c r="D59" s="499"/>
      <c r="E59" s="773" t="s">
        <v>795</v>
      </c>
      <c r="F59" s="497" t="s">
        <v>713</v>
      </c>
      <c r="G59" s="497" t="s">
        <v>713</v>
      </c>
      <c r="H59" s="771" t="s">
        <v>796</v>
      </c>
      <c r="I59" s="771"/>
      <c r="J59" s="771"/>
      <c r="K59" s="777" t="s">
        <v>692</v>
      </c>
      <c r="L59" s="777" t="s">
        <v>692</v>
      </c>
      <c r="M59" s="771" t="s">
        <v>743</v>
      </c>
      <c r="N59" s="497" t="s">
        <v>744</v>
      </c>
      <c r="O59" s="497" t="s">
        <v>695</v>
      </c>
      <c r="P59" s="497" t="s">
        <v>695</v>
      </c>
      <c r="Q59" s="777">
        <v>2</v>
      </c>
      <c r="R59" s="781" t="s">
        <v>695</v>
      </c>
      <c r="S59" s="781" t="s">
        <v>720</v>
      </c>
      <c r="T59" s="781" t="s">
        <v>695</v>
      </c>
      <c r="U59" s="771"/>
    </row>
    <row r="60" ht="17.25" spans="1:21">
      <c r="A60" s="763"/>
      <c r="B60" s="764"/>
      <c r="C60" s="765"/>
      <c r="D60" s="499"/>
      <c r="E60" s="766" t="s">
        <v>775</v>
      </c>
      <c r="F60" s="497" t="s">
        <v>709</v>
      </c>
      <c r="G60" s="497" t="s">
        <v>709</v>
      </c>
      <c r="H60" s="771"/>
      <c r="I60" s="771"/>
      <c r="J60" s="771"/>
      <c r="K60" s="777" t="s">
        <v>692</v>
      </c>
      <c r="L60" s="777" t="s">
        <v>692</v>
      </c>
      <c r="M60" s="778" t="s">
        <v>695</v>
      </c>
      <c r="N60" s="776" t="s">
        <v>753</v>
      </c>
      <c r="O60" s="497" t="s">
        <v>695</v>
      </c>
      <c r="P60" s="497" t="s">
        <v>695</v>
      </c>
      <c r="Q60" s="777" t="s">
        <v>695</v>
      </c>
      <c r="R60" s="781" t="s">
        <v>695</v>
      </c>
      <c r="S60" s="781" t="s">
        <v>695</v>
      </c>
      <c r="T60" s="781" t="s">
        <v>695</v>
      </c>
      <c r="U60" s="771"/>
    </row>
    <row r="61" ht="17.25" spans="1:21">
      <c r="A61" s="763">
        <f>B56</f>
        <v>0.688194444444445</v>
      </c>
      <c r="B61" s="764">
        <f t="shared" ref="B61:B65" si="6">A61+C61</f>
        <v>0.692361111111111</v>
      </c>
      <c r="C61" s="765">
        <v>0.00416666666666667</v>
      </c>
      <c r="D61" s="768" t="s">
        <v>797</v>
      </c>
      <c r="E61" s="766" t="s">
        <v>724</v>
      </c>
      <c r="F61" s="497" t="s">
        <v>713</v>
      </c>
      <c r="G61" s="497" t="s">
        <v>713</v>
      </c>
      <c r="H61" s="497" t="s">
        <v>700</v>
      </c>
      <c r="I61" s="497"/>
      <c r="J61" s="497"/>
      <c r="K61" s="497" t="s">
        <v>692</v>
      </c>
      <c r="L61" s="771" t="s">
        <v>692</v>
      </c>
      <c r="M61" s="778" t="s">
        <v>695</v>
      </c>
      <c r="N61" s="776" t="s">
        <v>753</v>
      </c>
      <c r="O61" s="497" t="s">
        <v>725</v>
      </c>
      <c r="P61" s="497" t="s">
        <v>695</v>
      </c>
      <c r="Q61" s="497" t="s">
        <v>695</v>
      </c>
      <c r="R61" s="497" t="s">
        <v>695</v>
      </c>
      <c r="S61" s="497" t="s">
        <v>695</v>
      </c>
      <c r="T61" s="781" t="s">
        <v>695</v>
      </c>
      <c r="U61" s="771"/>
    </row>
    <row r="62" ht="18" spans="1:21">
      <c r="A62" s="763"/>
      <c r="B62" s="764"/>
      <c r="C62" s="765"/>
      <c r="D62" s="768"/>
      <c r="E62" s="770" t="s">
        <v>798</v>
      </c>
      <c r="F62" s="497" t="s">
        <v>709</v>
      </c>
      <c r="G62" s="497" t="s">
        <v>709</v>
      </c>
      <c r="H62" s="774" t="s">
        <v>799</v>
      </c>
      <c r="I62" s="774"/>
      <c r="J62" s="774"/>
      <c r="K62" s="497" t="s">
        <v>692</v>
      </c>
      <c r="L62" s="771" t="s">
        <v>692</v>
      </c>
      <c r="M62" s="771" t="s">
        <v>731</v>
      </c>
      <c r="N62" s="497" t="s">
        <v>710</v>
      </c>
      <c r="O62" s="497" t="s">
        <v>695</v>
      </c>
      <c r="P62" s="497" t="s">
        <v>800</v>
      </c>
      <c r="Q62" s="497" t="s">
        <v>695</v>
      </c>
      <c r="R62" s="497" t="s">
        <v>695</v>
      </c>
      <c r="S62" s="497" t="s">
        <v>695</v>
      </c>
      <c r="T62" s="781" t="s">
        <v>695</v>
      </c>
      <c r="U62" s="771"/>
    </row>
    <row r="63" ht="17.25" spans="1:21">
      <c r="A63" s="763">
        <f>B61</f>
        <v>0.692361111111111</v>
      </c>
      <c r="B63" s="764">
        <f t="shared" si="6"/>
        <v>0.699305555555556</v>
      </c>
      <c r="C63" s="765">
        <v>0.00694444444444444</v>
      </c>
      <c r="D63" s="768" t="s">
        <v>801</v>
      </c>
      <c r="E63" s="766" t="s">
        <v>724</v>
      </c>
      <c r="F63" s="497" t="s">
        <v>713</v>
      </c>
      <c r="G63" s="497" t="s">
        <v>713</v>
      </c>
      <c r="H63" s="497" t="s">
        <v>700</v>
      </c>
      <c r="I63" s="497"/>
      <c r="J63" s="497"/>
      <c r="K63" s="497" t="s">
        <v>692</v>
      </c>
      <c r="L63" s="771" t="s">
        <v>692</v>
      </c>
      <c r="M63" s="778" t="s">
        <v>695</v>
      </c>
      <c r="N63" s="776" t="s">
        <v>753</v>
      </c>
      <c r="O63" s="497" t="s">
        <v>725</v>
      </c>
      <c r="P63" s="497" t="s">
        <v>695</v>
      </c>
      <c r="Q63" s="497" t="s">
        <v>695</v>
      </c>
      <c r="R63" s="497" t="s">
        <v>695</v>
      </c>
      <c r="S63" s="497" t="s">
        <v>695</v>
      </c>
      <c r="T63" s="781" t="s">
        <v>695</v>
      </c>
      <c r="U63" s="771"/>
    </row>
    <row r="64" ht="18" spans="1:21">
      <c r="A64" s="763"/>
      <c r="B64" s="764"/>
      <c r="C64" s="765"/>
      <c r="D64" s="768"/>
      <c r="E64" s="770" t="s">
        <v>798</v>
      </c>
      <c r="F64" s="497" t="s">
        <v>709</v>
      </c>
      <c r="G64" s="497" t="s">
        <v>709</v>
      </c>
      <c r="H64" s="774" t="s">
        <v>802</v>
      </c>
      <c r="I64" s="774"/>
      <c r="J64" s="774"/>
      <c r="K64" s="497" t="s">
        <v>692</v>
      </c>
      <c r="L64" s="771" t="s">
        <v>692</v>
      </c>
      <c r="M64" s="771" t="s">
        <v>781</v>
      </c>
      <c r="N64" s="497" t="s">
        <v>710</v>
      </c>
      <c r="O64" s="497" t="s">
        <v>695</v>
      </c>
      <c r="P64" s="497" t="s">
        <v>800</v>
      </c>
      <c r="Q64" s="497" t="s">
        <v>695</v>
      </c>
      <c r="R64" s="497" t="s">
        <v>695</v>
      </c>
      <c r="S64" s="497" t="s">
        <v>695</v>
      </c>
      <c r="T64" s="781" t="s">
        <v>695</v>
      </c>
      <c r="U64" s="771"/>
    </row>
    <row r="65" ht="17.25" spans="1:21">
      <c r="A65" s="763">
        <f>B63</f>
        <v>0.699305555555556</v>
      </c>
      <c r="B65" s="764">
        <f t="shared" si="6"/>
        <v>0.702777777777778</v>
      </c>
      <c r="C65" s="765">
        <v>0.00347222222222222</v>
      </c>
      <c r="D65" s="499" t="s">
        <v>803</v>
      </c>
      <c r="E65" s="766" t="s">
        <v>734</v>
      </c>
      <c r="F65" s="497" t="s">
        <v>713</v>
      </c>
      <c r="G65" s="497" t="s">
        <v>713</v>
      </c>
      <c r="H65" s="497" t="s">
        <v>700</v>
      </c>
      <c r="I65" s="497"/>
      <c r="J65" s="497"/>
      <c r="K65" s="497" t="s">
        <v>700</v>
      </c>
      <c r="L65" s="497" t="s">
        <v>700</v>
      </c>
      <c r="M65" s="497" t="s">
        <v>695</v>
      </c>
      <c r="N65" s="771" t="s">
        <v>753</v>
      </c>
      <c r="O65" s="497" t="s">
        <v>735</v>
      </c>
      <c r="P65" s="497" t="s">
        <v>695</v>
      </c>
      <c r="Q65" s="775" t="s">
        <v>695</v>
      </c>
      <c r="R65" s="775" t="s">
        <v>695</v>
      </c>
      <c r="S65" s="775" t="s">
        <v>695</v>
      </c>
      <c r="T65" s="781"/>
      <c r="U65" s="771" t="s">
        <v>736</v>
      </c>
    </row>
    <row r="66" ht="17.25" spans="1:21">
      <c r="A66" s="763"/>
      <c r="B66" s="764"/>
      <c r="C66" s="765"/>
      <c r="D66" s="499"/>
      <c r="E66" s="766" t="s">
        <v>737</v>
      </c>
      <c r="F66" s="497" t="s">
        <v>713</v>
      </c>
      <c r="G66" s="497" t="s">
        <v>713</v>
      </c>
      <c r="H66" s="771" t="s">
        <v>804</v>
      </c>
      <c r="I66" s="771"/>
      <c r="J66" s="771"/>
      <c r="K66" s="497" t="s">
        <v>700</v>
      </c>
      <c r="L66" s="497" t="s">
        <v>700</v>
      </c>
      <c r="M66" s="771" t="s">
        <v>731</v>
      </c>
      <c r="N66" s="497" t="s">
        <v>805</v>
      </c>
      <c r="O66" s="497" t="s">
        <v>695</v>
      </c>
      <c r="P66" s="497" t="s">
        <v>695</v>
      </c>
      <c r="Q66" s="775" t="s">
        <v>695</v>
      </c>
      <c r="R66" s="775" t="s">
        <v>695</v>
      </c>
      <c r="S66" s="775" t="s">
        <v>695</v>
      </c>
      <c r="T66" s="781" t="s">
        <v>695</v>
      </c>
      <c r="U66" s="771" t="s">
        <v>727</v>
      </c>
    </row>
    <row r="67" ht="17.25" spans="1:21">
      <c r="A67" s="763"/>
      <c r="B67" s="764"/>
      <c r="C67" s="765"/>
      <c r="D67" s="499"/>
      <c r="E67" s="766" t="s">
        <v>806</v>
      </c>
      <c r="F67" s="497" t="s">
        <v>713</v>
      </c>
      <c r="G67" s="497" t="s">
        <v>713</v>
      </c>
      <c r="H67" s="772" t="s">
        <v>789</v>
      </c>
      <c r="I67" s="772"/>
      <c r="J67" s="772"/>
      <c r="K67" s="497" t="s">
        <v>700</v>
      </c>
      <c r="L67" s="771" t="s">
        <v>700</v>
      </c>
      <c r="M67" s="771" t="s">
        <v>695</v>
      </c>
      <c r="N67" s="497" t="s">
        <v>807</v>
      </c>
      <c r="O67" s="497" t="s">
        <v>695</v>
      </c>
      <c r="P67" s="497" t="s">
        <v>695</v>
      </c>
      <c r="Q67" s="781">
        <v>2</v>
      </c>
      <c r="R67" s="781" t="s">
        <v>695</v>
      </c>
      <c r="S67" s="781" t="s">
        <v>720</v>
      </c>
      <c r="T67" s="781" t="s">
        <v>695</v>
      </c>
      <c r="U67" s="771"/>
    </row>
    <row r="68" ht="17.25" spans="1:21">
      <c r="A68" s="763"/>
      <c r="B68" s="764"/>
      <c r="C68" s="765"/>
      <c r="D68" s="499"/>
      <c r="E68" s="766" t="s">
        <v>742</v>
      </c>
      <c r="F68" s="497" t="s">
        <v>713</v>
      </c>
      <c r="G68" s="497" t="s">
        <v>713</v>
      </c>
      <c r="H68" s="772"/>
      <c r="I68" s="772"/>
      <c r="J68" s="772"/>
      <c r="K68" s="497" t="s">
        <v>692</v>
      </c>
      <c r="L68" s="771" t="s">
        <v>692</v>
      </c>
      <c r="M68" s="771" t="s">
        <v>743</v>
      </c>
      <c r="N68" s="771" t="s">
        <v>807</v>
      </c>
      <c r="O68" s="497" t="s">
        <v>695</v>
      </c>
      <c r="P68" s="497" t="s">
        <v>695</v>
      </c>
      <c r="Q68" s="781" t="s">
        <v>695</v>
      </c>
      <c r="R68" s="781" t="s">
        <v>695</v>
      </c>
      <c r="S68" s="781" t="s">
        <v>695</v>
      </c>
      <c r="T68" s="781" t="s">
        <v>695</v>
      </c>
      <c r="U68" s="771"/>
    </row>
    <row r="69" ht="17.25" spans="1:21">
      <c r="A69" s="763"/>
      <c r="B69" s="764"/>
      <c r="C69" s="765"/>
      <c r="D69" s="499"/>
      <c r="E69" s="766" t="s">
        <v>745</v>
      </c>
      <c r="F69" s="497" t="s">
        <v>713</v>
      </c>
      <c r="G69" s="497" t="s">
        <v>713</v>
      </c>
      <c r="H69" s="772"/>
      <c r="I69" s="772"/>
      <c r="J69" s="772"/>
      <c r="K69" s="497" t="s">
        <v>692</v>
      </c>
      <c r="L69" s="771" t="s">
        <v>692</v>
      </c>
      <c r="M69" s="771" t="s">
        <v>743</v>
      </c>
      <c r="N69" s="771" t="s">
        <v>753</v>
      </c>
      <c r="O69" s="497" t="s">
        <v>735</v>
      </c>
      <c r="P69" s="497" t="s">
        <v>695</v>
      </c>
      <c r="Q69" s="497">
        <v>2</v>
      </c>
      <c r="R69" s="771" t="s">
        <v>695</v>
      </c>
      <c r="S69" s="771" t="s">
        <v>720</v>
      </c>
      <c r="T69" s="781" t="s">
        <v>695</v>
      </c>
      <c r="U69" s="771" t="s">
        <v>808</v>
      </c>
    </row>
    <row r="70" ht="17.25" spans="1:21">
      <c r="A70" s="763"/>
      <c r="B70" s="764"/>
      <c r="C70" s="765"/>
      <c r="D70" s="499"/>
      <c r="E70" s="766" t="s">
        <v>790</v>
      </c>
      <c r="F70" s="497" t="s">
        <v>713</v>
      </c>
      <c r="G70" s="497" t="s">
        <v>713</v>
      </c>
      <c r="H70" s="772"/>
      <c r="I70" s="772"/>
      <c r="J70" s="772"/>
      <c r="K70" s="497" t="s">
        <v>692</v>
      </c>
      <c r="L70" s="771" t="s">
        <v>692</v>
      </c>
      <c r="M70" s="771" t="s">
        <v>748</v>
      </c>
      <c r="N70" s="771" t="s">
        <v>753</v>
      </c>
      <c r="O70" s="497" t="s">
        <v>695</v>
      </c>
      <c r="P70" s="497" t="s">
        <v>695</v>
      </c>
      <c r="Q70" s="771">
        <v>8</v>
      </c>
      <c r="R70" s="771" t="s">
        <v>695</v>
      </c>
      <c r="S70" s="771" t="s">
        <v>750</v>
      </c>
      <c r="T70" s="781" t="s">
        <v>695</v>
      </c>
      <c r="U70" s="771"/>
    </row>
    <row r="71" ht="17.25" spans="1:21">
      <c r="A71" s="763"/>
      <c r="B71" s="764"/>
      <c r="C71" s="765"/>
      <c r="D71" s="499"/>
      <c r="E71" s="766" t="s">
        <v>751</v>
      </c>
      <c r="F71" s="497" t="s">
        <v>713</v>
      </c>
      <c r="G71" s="497" t="s">
        <v>713</v>
      </c>
      <c r="H71" s="772" t="s">
        <v>752</v>
      </c>
      <c r="I71" s="772"/>
      <c r="J71" s="772"/>
      <c r="K71" s="497" t="s">
        <v>692</v>
      </c>
      <c r="L71" s="771" t="s">
        <v>692</v>
      </c>
      <c r="M71" s="771"/>
      <c r="N71" s="771" t="s">
        <v>753</v>
      </c>
      <c r="O71" s="497" t="s">
        <v>695</v>
      </c>
      <c r="P71" s="497" t="s">
        <v>695</v>
      </c>
      <c r="Q71" s="781" t="s">
        <v>695</v>
      </c>
      <c r="R71" s="781" t="s">
        <v>695</v>
      </c>
      <c r="S71" s="781" t="s">
        <v>695</v>
      </c>
      <c r="T71" s="781" t="s">
        <v>695</v>
      </c>
      <c r="U71" s="781"/>
    </row>
    <row r="72" ht="17.25" spans="1:21">
      <c r="A72" s="763">
        <f>B65</f>
        <v>0.702777777777778</v>
      </c>
      <c r="B72" s="764">
        <f>A72+C72</f>
        <v>0.713194444444445</v>
      </c>
      <c r="C72" s="765">
        <v>0.0104166666666667</v>
      </c>
      <c r="D72" s="768" t="s">
        <v>809</v>
      </c>
      <c r="E72" s="766" t="s">
        <v>724</v>
      </c>
      <c r="F72" s="497" t="s">
        <v>713</v>
      </c>
      <c r="G72" s="497" t="s">
        <v>713</v>
      </c>
      <c r="H72" s="497" t="s">
        <v>700</v>
      </c>
      <c r="I72" s="497"/>
      <c r="J72" s="497"/>
      <c r="K72" s="497" t="s">
        <v>692</v>
      </c>
      <c r="L72" s="771" t="s">
        <v>692</v>
      </c>
      <c r="M72" s="778" t="s">
        <v>695</v>
      </c>
      <c r="N72" s="776" t="s">
        <v>753</v>
      </c>
      <c r="O72" s="497" t="s">
        <v>725</v>
      </c>
      <c r="P72" s="497" t="s">
        <v>695</v>
      </c>
      <c r="Q72" s="497" t="s">
        <v>695</v>
      </c>
      <c r="R72" s="497" t="s">
        <v>695</v>
      </c>
      <c r="S72" s="497" t="s">
        <v>695</v>
      </c>
      <c r="T72" s="781" t="s">
        <v>695</v>
      </c>
      <c r="U72" s="771"/>
    </row>
    <row r="73" ht="18" spans="1:21">
      <c r="A73" s="763"/>
      <c r="B73" s="764"/>
      <c r="C73" s="765"/>
      <c r="D73" s="768"/>
      <c r="E73" s="770" t="s">
        <v>810</v>
      </c>
      <c r="F73" s="497" t="s">
        <v>709</v>
      </c>
      <c r="G73" s="497" t="s">
        <v>709</v>
      </c>
      <c r="H73" s="774" t="s">
        <v>709</v>
      </c>
      <c r="I73" s="774"/>
      <c r="J73" s="774"/>
      <c r="K73" s="497" t="s">
        <v>692</v>
      </c>
      <c r="L73" s="771" t="s">
        <v>692</v>
      </c>
      <c r="M73" s="771" t="s">
        <v>781</v>
      </c>
      <c r="N73" s="497" t="s">
        <v>710</v>
      </c>
      <c r="O73" s="497" t="s">
        <v>695</v>
      </c>
      <c r="P73" s="497" t="s">
        <v>695</v>
      </c>
      <c r="Q73" s="497" t="s">
        <v>695</v>
      </c>
      <c r="R73" s="497" t="s">
        <v>695</v>
      </c>
      <c r="S73" s="497" t="s">
        <v>695</v>
      </c>
      <c r="T73" s="781" t="s">
        <v>695</v>
      </c>
      <c r="U73" s="771"/>
    </row>
    <row r="74" ht="18" spans="1:21">
      <c r="A74" s="763"/>
      <c r="B74" s="764"/>
      <c r="C74" s="765"/>
      <c r="D74" s="768"/>
      <c r="E74" s="770" t="s">
        <v>811</v>
      </c>
      <c r="F74" s="497" t="s">
        <v>709</v>
      </c>
      <c r="G74" s="497" t="s">
        <v>709</v>
      </c>
      <c r="H74" s="774" t="s">
        <v>812</v>
      </c>
      <c r="I74" s="774"/>
      <c r="J74" s="774"/>
      <c r="K74" s="497" t="s">
        <v>692</v>
      </c>
      <c r="L74" s="771" t="s">
        <v>692</v>
      </c>
      <c r="M74" s="771" t="s">
        <v>781</v>
      </c>
      <c r="N74" s="497" t="s">
        <v>710</v>
      </c>
      <c r="O74" s="497" t="s">
        <v>695</v>
      </c>
      <c r="P74" s="497" t="s">
        <v>695</v>
      </c>
      <c r="Q74" s="497" t="s">
        <v>695</v>
      </c>
      <c r="R74" s="497" t="s">
        <v>695</v>
      </c>
      <c r="S74" s="497" t="s">
        <v>695</v>
      </c>
      <c r="T74" s="781" t="s">
        <v>695</v>
      </c>
      <c r="U74" s="771"/>
    </row>
    <row r="75" ht="34.5" spans="1:21">
      <c r="A75" s="763">
        <f>B72</f>
        <v>0.713194444444445</v>
      </c>
      <c r="B75" s="764">
        <f>A75+C75</f>
        <v>0.720138888888889</v>
      </c>
      <c r="C75" s="765">
        <v>0.00694444444444444</v>
      </c>
      <c r="D75" s="499" t="s">
        <v>813</v>
      </c>
      <c r="E75" s="766" t="s">
        <v>734</v>
      </c>
      <c r="F75" s="497" t="s">
        <v>713</v>
      </c>
      <c r="G75" s="497" t="s">
        <v>713</v>
      </c>
      <c r="H75" s="497" t="s">
        <v>700</v>
      </c>
      <c r="I75" s="497"/>
      <c r="J75" s="497"/>
      <c r="K75" s="777" t="s">
        <v>700</v>
      </c>
      <c r="L75" s="777" t="s">
        <v>700</v>
      </c>
      <c r="M75" s="778" t="s">
        <v>695</v>
      </c>
      <c r="N75" s="776" t="s">
        <v>753</v>
      </c>
      <c r="O75" s="497" t="s">
        <v>695</v>
      </c>
      <c r="P75" s="497" t="s">
        <v>695</v>
      </c>
      <c r="Q75" s="497" t="s">
        <v>695</v>
      </c>
      <c r="R75" s="497" t="s">
        <v>695</v>
      </c>
      <c r="S75" s="497" t="s">
        <v>695</v>
      </c>
      <c r="T75" s="781" t="s">
        <v>814</v>
      </c>
      <c r="U75" s="771" t="s">
        <v>736</v>
      </c>
    </row>
    <row r="76" ht="17.25" spans="1:21">
      <c r="A76" s="763"/>
      <c r="B76" s="764"/>
      <c r="C76" s="765"/>
      <c r="D76" s="499"/>
      <c r="E76" s="766" t="s">
        <v>737</v>
      </c>
      <c r="F76" s="497" t="s">
        <v>713</v>
      </c>
      <c r="G76" s="497" t="s">
        <v>713</v>
      </c>
      <c r="H76" s="497" t="s">
        <v>815</v>
      </c>
      <c r="I76" s="497"/>
      <c r="J76" s="497"/>
      <c r="K76" s="777" t="s">
        <v>700</v>
      </c>
      <c r="L76" s="777" t="s">
        <v>700</v>
      </c>
      <c r="M76" s="771" t="s">
        <v>731</v>
      </c>
      <c r="N76" s="497" t="s">
        <v>805</v>
      </c>
      <c r="O76" s="497" t="s">
        <v>695</v>
      </c>
      <c r="P76" s="497" t="s">
        <v>695</v>
      </c>
      <c r="Q76" s="497" t="s">
        <v>695</v>
      </c>
      <c r="R76" s="497" t="s">
        <v>695</v>
      </c>
      <c r="S76" s="497" t="s">
        <v>695</v>
      </c>
      <c r="T76" s="781" t="s">
        <v>695</v>
      </c>
      <c r="U76" s="771"/>
    </row>
    <row r="77" ht="17.25" spans="1:21">
      <c r="A77" s="763"/>
      <c r="B77" s="764"/>
      <c r="C77" s="765"/>
      <c r="D77" s="499"/>
      <c r="E77" s="766" t="s">
        <v>816</v>
      </c>
      <c r="F77" s="497" t="s">
        <v>713</v>
      </c>
      <c r="G77" s="497" t="s">
        <v>713</v>
      </c>
      <c r="H77" s="497" t="s">
        <v>789</v>
      </c>
      <c r="I77" s="497"/>
      <c r="J77" s="497"/>
      <c r="K77" s="777" t="s">
        <v>700</v>
      </c>
      <c r="L77" s="777" t="s">
        <v>700</v>
      </c>
      <c r="M77" s="771" t="s">
        <v>743</v>
      </c>
      <c r="N77" s="497" t="s">
        <v>807</v>
      </c>
      <c r="O77" s="497" t="s">
        <v>695</v>
      </c>
      <c r="P77" s="497" t="s">
        <v>695</v>
      </c>
      <c r="Q77" s="497">
        <v>2</v>
      </c>
      <c r="R77" s="497" t="s">
        <v>695</v>
      </c>
      <c r="S77" s="497" t="s">
        <v>720</v>
      </c>
      <c r="T77" s="781" t="s">
        <v>695</v>
      </c>
      <c r="U77" s="771"/>
    </row>
    <row r="78" ht="17.25" spans="1:21">
      <c r="A78" s="763"/>
      <c r="B78" s="764"/>
      <c r="C78" s="765"/>
      <c r="D78" s="499"/>
      <c r="E78" s="766" t="s">
        <v>742</v>
      </c>
      <c r="F78" s="497" t="s">
        <v>713</v>
      </c>
      <c r="G78" s="497" t="s">
        <v>713</v>
      </c>
      <c r="H78" s="497"/>
      <c r="I78" s="497"/>
      <c r="J78" s="497"/>
      <c r="K78" s="497" t="s">
        <v>692</v>
      </c>
      <c r="L78" s="771" t="s">
        <v>692</v>
      </c>
      <c r="M78" s="771" t="s">
        <v>743</v>
      </c>
      <c r="N78" s="497" t="s">
        <v>807</v>
      </c>
      <c r="O78" s="497" t="s">
        <v>695</v>
      </c>
      <c r="P78" s="497" t="s">
        <v>695</v>
      </c>
      <c r="Q78" s="497" t="s">
        <v>695</v>
      </c>
      <c r="R78" s="497" t="s">
        <v>695</v>
      </c>
      <c r="S78" s="497" t="s">
        <v>695</v>
      </c>
      <c r="T78" s="781" t="s">
        <v>695</v>
      </c>
      <c r="U78" s="771"/>
    </row>
    <row r="79" ht="17.25" spans="1:21">
      <c r="A79" s="763"/>
      <c r="B79" s="764"/>
      <c r="C79" s="765"/>
      <c r="D79" s="499"/>
      <c r="E79" s="766" t="s">
        <v>745</v>
      </c>
      <c r="F79" s="497" t="s">
        <v>713</v>
      </c>
      <c r="G79" s="497" t="s">
        <v>713</v>
      </c>
      <c r="H79" s="497"/>
      <c r="I79" s="497"/>
      <c r="J79" s="497"/>
      <c r="K79" s="497" t="s">
        <v>692</v>
      </c>
      <c r="L79" s="771" t="s">
        <v>692</v>
      </c>
      <c r="M79" s="771" t="s">
        <v>743</v>
      </c>
      <c r="N79" s="771" t="s">
        <v>776</v>
      </c>
      <c r="O79" s="497" t="s">
        <v>695</v>
      </c>
      <c r="P79" s="497" t="s">
        <v>695</v>
      </c>
      <c r="Q79" s="497">
        <v>2</v>
      </c>
      <c r="R79" s="497" t="s">
        <v>695</v>
      </c>
      <c r="S79" s="497" t="s">
        <v>720</v>
      </c>
      <c r="T79" s="781" t="s">
        <v>695</v>
      </c>
      <c r="U79" s="771"/>
    </row>
    <row r="80" ht="17.25" spans="1:21">
      <c r="A80" s="763"/>
      <c r="B80" s="764"/>
      <c r="C80" s="765"/>
      <c r="D80" s="499"/>
      <c r="E80" s="766" t="s">
        <v>790</v>
      </c>
      <c r="F80" s="497" t="s">
        <v>713</v>
      </c>
      <c r="G80" s="497" t="s">
        <v>713</v>
      </c>
      <c r="H80" s="497"/>
      <c r="I80" s="497"/>
      <c r="J80" s="497"/>
      <c r="K80" s="497" t="s">
        <v>692</v>
      </c>
      <c r="L80" s="771" t="s">
        <v>692</v>
      </c>
      <c r="M80" s="771" t="s">
        <v>817</v>
      </c>
      <c r="N80" s="771" t="s">
        <v>807</v>
      </c>
      <c r="O80" s="497" t="s">
        <v>735</v>
      </c>
      <c r="P80" s="497" t="s">
        <v>695</v>
      </c>
      <c r="Q80" s="497">
        <v>8</v>
      </c>
      <c r="R80" s="497" t="s">
        <v>695</v>
      </c>
      <c r="S80" s="497" t="s">
        <v>750</v>
      </c>
      <c r="T80" s="781" t="s">
        <v>695</v>
      </c>
      <c r="U80" s="771"/>
    </row>
    <row r="81" ht="17.25" spans="1:21">
      <c r="A81" s="763"/>
      <c r="B81" s="764"/>
      <c r="C81" s="765"/>
      <c r="D81" s="499"/>
      <c r="E81" s="766" t="s">
        <v>818</v>
      </c>
      <c r="F81" s="497" t="s">
        <v>713</v>
      </c>
      <c r="G81" s="497" t="s">
        <v>713</v>
      </c>
      <c r="H81" s="497" t="s">
        <v>752</v>
      </c>
      <c r="I81" s="497"/>
      <c r="J81" s="497"/>
      <c r="K81" s="497" t="s">
        <v>692</v>
      </c>
      <c r="L81" s="771" t="s">
        <v>692</v>
      </c>
      <c r="M81" s="771"/>
      <c r="N81" s="771" t="s">
        <v>753</v>
      </c>
      <c r="O81" s="497" t="s">
        <v>695</v>
      </c>
      <c r="P81" s="497" t="s">
        <v>695</v>
      </c>
      <c r="Q81" s="771" t="s">
        <v>695</v>
      </c>
      <c r="R81" s="771" t="s">
        <v>695</v>
      </c>
      <c r="S81" s="771" t="s">
        <v>695</v>
      </c>
      <c r="T81" s="781" t="s">
        <v>695</v>
      </c>
      <c r="U81" s="783"/>
    </row>
    <row r="82" ht="17.25" spans="1:21">
      <c r="A82" s="763"/>
      <c r="B82" s="764"/>
      <c r="C82" s="765"/>
      <c r="D82" s="499"/>
      <c r="E82" s="770" t="s">
        <v>819</v>
      </c>
      <c r="F82" s="497" t="s">
        <v>713</v>
      </c>
      <c r="G82" s="497" t="s">
        <v>713</v>
      </c>
      <c r="H82" s="497" t="s">
        <v>700</v>
      </c>
      <c r="I82" s="497"/>
      <c r="J82" s="497"/>
      <c r="K82" s="777" t="s">
        <v>700</v>
      </c>
      <c r="L82" s="777" t="s">
        <v>700</v>
      </c>
      <c r="M82" s="771" t="s">
        <v>695</v>
      </c>
      <c r="N82" s="771" t="s">
        <v>753</v>
      </c>
      <c r="O82" s="497" t="s">
        <v>695</v>
      </c>
      <c r="P82" s="497" t="s">
        <v>695</v>
      </c>
      <c r="Q82" s="771" t="s">
        <v>695</v>
      </c>
      <c r="R82" s="771" t="s">
        <v>695</v>
      </c>
      <c r="S82" s="771" t="s">
        <v>695</v>
      </c>
      <c r="T82" s="781" t="s">
        <v>820</v>
      </c>
      <c r="U82" s="783"/>
    </row>
    <row r="83" ht="17.25" spans="1:21">
      <c r="A83" s="763"/>
      <c r="B83" s="764"/>
      <c r="C83" s="765"/>
      <c r="D83" s="499"/>
      <c r="E83" s="766" t="s">
        <v>821</v>
      </c>
      <c r="F83" s="497" t="s">
        <v>713</v>
      </c>
      <c r="G83" s="497" t="s">
        <v>713</v>
      </c>
      <c r="H83" s="497" t="s">
        <v>822</v>
      </c>
      <c r="I83" s="497"/>
      <c r="J83" s="497"/>
      <c r="K83" s="777" t="s">
        <v>700</v>
      </c>
      <c r="L83" s="777" t="s">
        <v>700</v>
      </c>
      <c r="M83" s="771" t="s">
        <v>731</v>
      </c>
      <c r="N83" s="497" t="s">
        <v>805</v>
      </c>
      <c r="O83" s="497" t="s">
        <v>695</v>
      </c>
      <c r="P83" s="497" t="s">
        <v>695</v>
      </c>
      <c r="Q83" s="771" t="s">
        <v>695</v>
      </c>
      <c r="R83" s="771" t="s">
        <v>695</v>
      </c>
      <c r="S83" s="771" t="s">
        <v>695</v>
      </c>
      <c r="T83" s="781" t="s">
        <v>695</v>
      </c>
      <c r="U83" s="783"/>
    </row>
    <row r="84" ht="17.25" spans="1:21">
      <c r="A84" s="763"/>
      <c r="B84" s="764"/>
      <c r="C84" s="765"/>
      <c r="D84" s="499"/>
      <c r="E84" s="766" t="s">
        <v>823</v>
      </c>
      <c r="F84" s="497" t="s">
        <v>713</v>
      </c>
      <c r="G84" s="497" t="s">
        <v>713</v>
      </c>
      <c r="H84" s="497" t="s">
        <v>789</v>
      </c>
      <c r="I84" s="497"/>
      <c r="J84" s="497"/>
      <c r="K84" s="777" t="s">
        <v>700</v>
      </c>
      <c r="L84" s="777" t="s">
        <v>700</v>
      </c>
      <c r="M84" s="771" t="s">
        <v>743</v>
      </c>
      <c r="N84" s="771" t="s">
        <v>776</v>
      </c>
      <c r="O84" s="497" t="s">
        <v>695</v>
      </c>
      <c r="P84" s="497" t="s">
        <v>695</v>
      </c>
      <c r="Q84" s="771">
        <v>2</v>
      </c>
      <c r="R84" s="771" t="s">
        <v>695</v>
      </c>
      <c r="S84" s="771" t="s">
        <v>720</v>
      </c>
      <c r="T84" s="781" t="s">
        <v>695</v>
      </c>
      <c r="U84" s="783"/>
    </row>
    <row r="85" ht="17.25" spans="1:21">
      <c r="A85" s="763"/>
      <c r="B85" s="764"/>
      <c r="C85" s="765"/>
      <c r="D85" s="499"/>
      <c r="E85" s="766" t="s">
        <v>824</v>
      </c>
      <c r="F85" s="497" t="s">
        <v>713</v>
      </c>
      <c r="G85" s="497" t="s">
        <v>713</v>
      </c>
      <c r="H85" s="497"/>
      <c r="I85" s="497"/>
      <c r="J85" s="497"/>
      <c r="K85" s="497" t="s">
        <v>692</v>
      </c>
      <c r="L85" s="771" t="s">
        <v>692</v>
      </c>
      <c r="M85" s="771" t="s">
        <v>817</v>
      </c>
      <c r="N85" s="771" t="s">
        <v>807</v>
      </c>
      <c r="O85" s="497" t="s">
        <v>695</v>
      </c>
      <c r="P85" s="497" t="s">
        <v>695</v>
      </c>
      <c r="Q85" s="771">
        <v>1</v>
      </c>
      <c r="R85" s="771" t="s">
        <v>695</v>
      </c>
      <c r="S85" s="771" t="s">
        <v>750</v>
      </c>
      <c r="T85" s="781" t="s">
        <v>695</v>
      </c>
      <c r="U85" s="783"/>
    </row>
    <row r="86" ht="17.25" spans="1:21">
      <c r="A86" s="763"/>
      <c r="B86" s="764"/>
      <c r="C86" s="765"/>
      <c r="D86" s="499"/>
      <c r="E86" s="766" t="s">
        <v>825</v>
      </c>
      <c r="F86" s="497" t="s">
        <v>713</v>
      </c>
      <c r="G86" s="497" t="s">
        <v>713</v>
      </c>
      <c r="H86" s="497"/>
      <c r="I86" s="497"/>
      <c r="J86" s="497"/>
      <c r="K86" s="497" t="s">
        <v>692</v>
      </c>
      <c r="L86" s="771" t="s">
        <v>692</v>
      </c>
      <c r="M86" s="771"/>
      <c r="N86" s="771" t="s">
        <v>753</v>
      </c>
      <c r="O86" s="497" t="s">
        <v>826</v>
      </c>
      <c r="P86" s="497" t="s">
        <v>695</v>
      </c>
      <c r="Q86" s="778" t="s">
        <v>695</v>
      </c>
      <c r="R86" s="778" t="s">
        <v>695</v>
      </c>
      <c r="S86" s="778" t="s">
        <v>695</v>
      </c>
      <c r="T86" s="781" t="s">
        <v>695</v>
      </c>
      <c r="U86" s="771"/>
    </row>
    <row r="87" ht="17.25" spans="1:21">
      <c r="A87" s="763">
        <f>B75</f>
        <v>0.720138888888889</v>
      </c>
      <c r="B87" s="764">
        <f>A87+C87</f>
        <v>0.724305555555556</v>
      </c>
      <c r="C87" s="765">
        <v>0.00416666666666667</v>
      </c>
      <c r="D87" s="768" t="s">
        <v>827</v>
      </c>
      <c r="E87" s="766" t="s">
        <v>724</v>
      </c>
      <c r="F87" s="497" t="s">
        <v>713</v>
      </c>
      <c r="G87" s="497" t="s">
        <v>713</v>
      </c>
      <c r="H87" s="497" t="s">
        <v>700</v>
      </c>
      <c r="I87" s="497"/>
      <c r="J87" s="497"/>
      <c r="K87" s="497" t="s">
        <v>692</v>
      </c>
      <c r="L87" s="771" t="s">
        <v>692</v>
      </c>
      <c r="M87" s="778" t="s">
        <v>695</v>
      </c>
      <c r="N87" s="776" t="s">
        <v>753</v>
      </c>
      <c r="O87" s="497" t="s">
        <v>725</v>
      </c>
      <c r="P87" s="497" t="s">
        <v>695</v>
      </c>
      <c r="Q87" s="497" t="s">
        <v>695</v>
      </c>
      <c r="R87" s="497" t="s">
        <v>695</v>
      </c>
      <c r="S87" s="497" t="s">
        <v>695</v>
      </c>
      <c r="T87" s="781" t="s">
        <v>695</v>
      </c>
      <c r="U87" s="771"/>
    </row>
    <row r="88" ht="18" spans="1:21">
      <c r="A88" s="763"/>
      <c r="B88" s="764"/>
      <c r="C88" s="765"/>
      <c r="D88" s="768"/>
      <c r="E88" s="770" t="s">
        <v>828</v>
      </c>
      <c r="F88" s="497" t="s">
        <v>709</v>
      </c>
      <c r="G88" s="497" t="s">
        <v>709</v>
      </c>
      <c r="H88" s="774" t="s">
        <v>799</v>
      </c>
      <c r="I88" s="774"/>
      <c r="J88" s="774"/>
      <c r="K88" s="497" t="s">
        <v>692</v>
      </c>
      <c r="L88" s="771" t="s">
        <v>692</v>
      </c>
      <c r="M88" s="771" t="s">
        <v>706</v>
      </c>
      <c r="N88" s="497" t="s">
        <v>710</v>
      </c>
      <c r="O88" s="497" t="s">
        <v>695</v>
      </c>
      <c r="P88" s="497" t="s">
        <v>695</v>
      </c>
      <c r="Q88" s="497" t="s">
        <v>695</v>
      </c>
      <c r="R88" s="497" t="s">
        <v>695</v>
      </c>
      <c r="S88" s="497" t="s">
        <v>695</v>
      </c>
      <c r="T88" s="781" t="s">
        <v>695</v>
      </c>
      <c r="U88" s="771"/>
    </row>
    <row r="89" ht="34.5" spans="1:21">
      <c r="A89" s="764">
        <f>B87</f>
        <v>0.724305555555556</v>
      </c>
      <c r="B89" s="764">
        <f>A89+C89</f>
        <v>0.734722222222222</v>
      </c>
      <c r="C89" s="764">
        <v>0.0104166666666667</v>
      </c>
      <c r="D89" s="499" t="s">
        <v>829</v>
      </c>
      <c r="E89" s="766" t="s">
        <v>724</v>
      </c>
      <c r="F89" s="497" t="s">
        <v>713</v>
      </c>
      <c r="G89" s="497" t="s">
        <v>713</v>
      </c>
      <c r="H89" s="497" t="s">
        <v>700</v>
      </c>
      <c r="I89" s="497"/>
      <c r="J89" s="497"/>
      <c r="K89" s="777" t="s">
        <v>700</v>
      </c>
      <c r="L89" s="777" t="s">
        <v>700</v>
      </c>
      <c r="M89" s="778" t="s">
        <v>695</v>
      </c>
      <c r="N89" s="776" t="s">
        <v>753</v>
      </c>
      <c r="O89" s="497" t="s">
        <v>725</v>
      </c>
      <c r="P89" s="778" t="s">
        <v>695</v>
      </c>
      <c r="Q89" s="778" t="s">
        <v>695</v>
      </c>
      <c r="R89" s="778" t="s">
        <v>695</v>
      </c>
      <c r="S89" s="778" t="s">
        <v>695</v>
      </c>
      <c r="T89" s="781" t="s">
        <v>695</v>
      </c>
      <c r="U89" s="771" t="s">
        <v>765</v>
      </c>
    </row>
    <row r="90" ht="17.25" spans="1:21">
      <c r="A90" s="764"/>
      <c r="B90" s="764"/>
      <c r="C90" s="764"/>
      <c r="D90" s="499"/>
      <c r="E90" s="766" t="s">
        <v>830</v>
      </c>
      <c r="F90" s="497" t="s">
        <v>713</v>
      </c>
      <c r="G90" s="497" t="s">
        <v>713</v>
      </c>
      <c r="H90" s="771" t="s">
        <v>831</v>
      </c>
      <c r="I90" s="771"/>
      <c r="J90" s="771"/>
      <c r="K90" s="497" t="s">
        <v>692</v>
      </c>
      <c r="L90" s="771" t="s">
        <v>692</v>
      </c>
      <c r="M90" s="771" t="s">
        <v>832</v>
      </c>
      <c r="N90" s="771" t="s">
        <v>833</v>
      </c>
      <c r="O90" s="497" t="s">
        <v>826</v>
      </c>
      <c r="P90" s="778" t="s">
        <v>695</v>
      </c>
      <c r="Q90" s="778" t="s">
        <v>695</v>
      </c>
      <c r="R90" s="778" t="s">
        <v>695</v>
      </c>
      <c r="S90" s="778" t="s">
        <v>695</v>
      </c>
      <c r="T90" s="781" t="s">
        <v>695</v>
      </c>
      <c r="U90" s="778"/>
    </row>
    <row r="91" ht="17.25" spans="1:21">
      <c r="A91" s="764"/>
      <c r="B91" s="764"/>
      <c r="C91" s="764"/>
      <c r="D91" s="499"/>
      <c r="E91" s="766" t="s">
        <v>794</v>
      </c>
      <c r="F91" s="497"/>
      <c r="G91" s="497"/>
      <c r="H91" s="771"/>
      <c r="I91" s="771"/>
      <c r="J91" s="771"/>
      <c r="K91" s="777" t="s">
        <v>692</v>
      </c>
      <c r="L91" s="777" t="s">
        <v>692</v>
      </c>
      <c r="M91" s="778" t="s">
        <v>768</v>
      </c>
      <c r="N91" s="776" t="s">
        <v>753</v>
      </c>
      <c r="O91" s="497" t="s">
        <v>695</v>
      </c>
      <c r="P91" s="497" t="s">
        <v>695</v>
      </c>
      <c r="Q91" s="497">
        <v>2</v>
      </c>
      <c r="R91" s="771" t="s">
        <v>695</v>
      </c>
      <c r="S91" s="771" t="s">
        <v>773</v>
      </c>
      <c r="T91" s="771" t="s">
        <v>695</v>
      </c>
      <c r="U91" s="778"/>
    </row>
    <row r="92" ht="17.25" spans="1:21">
      <c r="A92" s="764"/>
      <c r="B92" s="764"/>
      <c r="C92" s="764"/>
      <c r="D92" s="499"/>
      <c r="E92" s="773" t="s">
        <v>774</v>
      </c>
      <c r="F92" s="497"/>
      <c r="G92" s="497"/>
      <c r="H92" s="771"/>
      <c r="I92" s="771"/>
      <c r="J92" s="771"/>
      <c r="K92" s="777" t="s">
        <v>692</v>
      </c>
      <c r="L92" s="777" t="s">
        <v>692</v>
      </c>
      <c r="M92" s="771" t="s">
        <v>743</v>
      </c>
      <c r="N92" s="497" t="s">
        <v>744</v>
      </c>
      <c r="O92" s="497" t="s">
        <v>695</v>
      </c>
      <c r="P92" s="497" t="s">
        <v>695</v>
      </c>
      <c r="Q92" s="777">
        <v>2</v>
      </c>
      <c r="R92" s="781" t="s">
        <v>695</v>
      </c>
      <c r="S92" s="781" t="s">
        <v>720</v>
      </c>
      <c r="T92" s="771" t="s">
        <v>695</v>
      </c>
      <c r="U92" s="778"/>
    </row>
    <row r="93" ht="17.25" spans="1:21">
      <c r="A93" s="764"/>
      <c r="B93" s="764"/>
      <c r="C93" s="764"/>
      <c r="D93" s="499"/>
      <c r="E93" s="766" t="s">
        <v>834</v>
      </c>
      <c r="F93" s="497" t="s">
        <v>713</v>
      </c>
      <c r="G93" s="497" t="s">
        <v>713</v>
      </c>
      <c r="H93" s="771" t="s">
        <v>700</v>
      </c>
      <c r="I93" s="771"/>
      <c r="J93" s="771"/>
      <c r="K93" s="497" t="s">
        <v>692</v>
      </c>
      <c r="L93" s="771" t="s">
        <v>692</v>
      </c>
      <c r="M93" s="771" t="s">
        <v>748</v>
      </c>
      <c r="N93" s="771" t="s">
        <v>776</v>
      </c>
      <c r="O93" s="497" t="s">
        <v>695</v>
      </c>
      <c r="P93" s="497" t="s">
        <v>695</v>
      </c>
      <c r="Q93" s="778">
        <v>5</v>
      </c>
      <c r="R93" s="781" t="s">
        <v>695</v>
      </c>
      <c r="S93" s="778" t="s">
        <v>835</v>
      </c>
      <c r="T93" s="781" t="s">
        <v>695</v>
      </c>
      <c r="U93" s="778"/>
    </row>
    <row r="94" ht="17.25" spans="1:21">
      <c r="A94" s="764"/>
      <c r="B94" s="764"/>
      <c r="C94" s="764"/>
      <c r="D94" s="499"/>
      <c r="E94" s="766" t="s">
        <v>764</v>
      </c>
      <c r="F94" s="497" t="s">
        <v>713</v>
      </c>
      <c r="G94" s="497" t="s">
        <v>713</v>
      </c>
      <c r="H94" s="771" t="s">
        <v>700</v>
      </c>
      <c r="I94" s="771"/>
      <c r="J94" s="771"/>
      <c r="K94" s="497" t="s">
        <v>692</v>
      </c>
      <c r="L94" s="771" t="s">
        <v>692</v>
      </c>
      <c r="M94" s="778" t="s">
        <v>695</v>
      </c>
      <c r="N94" s="776" t="s">
        <v>753</v>
      </c>
      <c r="O94" s="497" t="s">
        <v>725</v>
      </c>
      <c r="P94" s="497" t="s">
        <v>695</v>
      </c>
      <c r="Q94" s="775" t="s">
        <v>695</v>
      </c>
      <c r="R94" s="775" t="s">
        <v>695</v>
      </c>
      <c r="S94" s="775" t="s">
        <v>695</v>
      </c>
      <c r="T94" s="781" t="s">
        <v>695</v>
      </c>
      <c r="U94" s="771"/>
    </row>
    <row r="95" ht="17.25" spans="1:21">
      <c r="A95" s="764"/>
      <c r="B95" s="764"/>
      <c r="C95" s="764"/>
      <c r="D95" s="499"/>
      <c r="E95" s="766" t="s">
        <v>836</v>
      </c>
      <c r="F95" s="497" t="s">
        <v>713</v>
      </c>
      <c r="G95" s="497" t="s">
        <v>713</v>
      </c>
      <c r="H95" s="771" t="s">
        <v>831</v>
      </c>
      <c r="I95" s="771"/>
      <c r="J95" s="771"/>
      <c r="K95" s="497" t="s">
        <v>692</v>
      </c>
      <c r="L95" s="771" t="s">
        <v>692</v>
      </c>
      <c r="M95" s="771" t="s">
        <v>832</v>
      </c>
      <c r="N95" s="771" t="s">
        <v>833</v>
      </c>
      <c r="O95" s="497" t="s">
        <v>725</v>
      </c>
      <c r="P95" s="497" t="s">
        <v>695</v>
      </c>
      <c r="Q95" s="775">
        <v>1</v>
      </c>
      <c r="R95" s="775" t="s">
        <v>695</v>
      </c>
      <c r="S95" s="775" t="s">
        <v>720</v>
      </c>
      <c r="T95" s="781" t="s">
        <v>695</v>
      </c>
      <c r="U95" s="771"/>
    </row>
    <row r="96" ht="17.25" spans="1:21">
      <c r="A96" s="764"/>
      <c r="B96" s="764"/>
      <c r="C96" s="764"/>
      <c r="D96" s="499"/>
      <c r="E96" s="766" t="s">
        <v>794</v>
      </c>
      <c r="F96" s="497"/>
      <c r="G96" s="497"/>
      <c r="H96" s="771"/>
      <c r="I96" s="771"/>
      <c r="J96" s="771"/>
      <c r="K96" s="777" t="s">
        <v>692</v>
      </c>
      <c r="L96" s="777" t="s">
        <v>692</v>
      </c>
      <c r="M96" s="778" t="s">
        <v>768</v>
      </c>
      <c r="N96" s="776" t="s">
        <v>753</v>
      </c>
      <c r="O96" s="497" t="s">
        <v>695</v>
      </c>
      <c r="P96" s="497" t="s">
        <v>695</v>
      </c>
      <c r="Q96" s="497">
        <v>2</v>
      </c>
      <c r="R96" s="771" t="s">
        <v>695</v>
      </c>
      <c r="S96" s="771" t="s">
        <v>773</v>
      </c>
      <c r="T96" s="771" t="s">
        <v>695</v>
      </c>
      <c r="U96" s="778"/>
    </row>
    <row r="97" ht="17.25" spans="1:21">
      <c r="A97" s="764"/>
      <c r="B97" s="764"/>
      <c r="C97" s="764"/>
      <c r="D97" s="499"/>
      <c r="E97" s="773" t="s">
        <v>774</v>
      </c>
      <c r="F97" s="497"/>
      <c r="G97" s="497"/>
      <c r="H97" s="771"/>
      <c r="I97" s="771"/>
      <c r="J97" s="771"/>
      <c r="K97" s="777" t="s">
        <v>692</v>
      </c>
      <c r="L97" s="777" t="s">
        <v>692</v>
      </c>
      <c r="M97" s="771" t="s">
        <v>743</v>
      </c>
      <c r="N97" s="497" t="s">
        <v>744</v>
      </c>
      <c r="O97" s="497" t="s">
        <v>695</v>
      </c>
      <c r="P97" s="497" t="s">
        <v>695</v>
      </c>
      <c r="Q97" s="777">
        <v>2</v>
      </c>
      <c r="R97" s="781" t="s">
        <v>695</v>
      </c>
      <c r="S97" s="781" t="s">
        <v>720</v>
      </c>
      <c r="T97" s="771" t="s">
        <v>695</v>
      </c>
      <c r="U97" s="778"/>
    </row>
    <row r="98" ht="17.25" spans="1:21">
      <c r="A98" s="764"/>
      <c r="B98" s="764"/>
      <c r="C98" s="764"/>
      <c r="D98" s="499"/>
      <c r="E98" s="766" t="s">
        <v>834</v>
      </c>
      <c r="F98" s="497" t="s">
        <v>713</v>
      </c>
      <c r="G98" s="497" t="s">
        <v>713</v>
      </c>
      <c r="H98" s="771" t="s">
        <v>700</v>
      </c>
      <c r="I98" s="771"/>
      <c r="J98" s="771"/>
      <c r="K98" s="497" t="s">
        <v>692</v>
      </c>
      <c r="L98" s="771" t="s">
        <v>692</v>
      </c>
      <c r="M98" s="771" t="s">
        <v>748</v>
      </c>
      <c r="N98" s="771" t="s">
        <v>776</v>
      </c>
      <c r="O98" s="497" t="s">
        <v>725</v>
      </c>
      <c r="P98" s="497" t="s">
        <v>695</v>
      </c>
      <c r="Q98" s="775" t="s">
        <v>695</v>
      </c>
      <c r="R98" s="775" t="s">
        <v>695</v>
      </c>
      <c r="S98" s="775" t="s">
        <v>695</v>
      </c>
      <c r="T98" s="781" t="s">
        <v>695</v>
      </c>
      <c r="U98" s="771"/>
    </row>
    <row r="99" ht="17.25" spans="1:21">
      <c r="A99" s="764"/>
      <c r="B99" s="764"/>
      <c r="C99" s="764"/>
      <c r="D99" s="499"/>
      <c r="E99" s="766" t="s">
        <v>764</v>
      </c>
      <c r="F99" s="497" t="s">
        <v>713</v>
      </c>
      <c r="G99" s="497" t="s">
        <v>713</v>
      </c>
      <c r="H99" s="771" t="s">
        <v>700</v>
      </c>
      <c r="I99" s="771"/>
      <c r="J99" s="771"/>
      <c r="K99" s="497" t="s">
        <v>692</v>
      </c>
      <c r="L99" s="771" t="s">
        <v>692</v>
      </c>
      <c r="M99" s="778" t="s">
        <v>695</v>
      </c>
      <c r="N99" s="776" t="s">
        <v>753</v>
      </c>
      <c r="O99" s="497" t="s">
        <v>725</v>
      </c>
      <c r="P99" s="497" t="s">
        <v>695</v>
      </c>
      <c r="Q99" s="497">
        <v>5</v>
      </c>
      <c r="R99" s="771" t="s">
        <v>695</v>
      </c>
      <c r="S99" s="778" t="s">
        <v>837</v>
      </c>
      <c r="T99" s="781" t="s">
        <v>695</v>
      </c>
      <c r="U99" s="771"/>
    </row>
    <row r="100" ht="17.25" spans="1:21">
      <c r="A100" s="764"/>
      <c r="B100" s="764"/>
      <c r="C100" s="764"/>
      <c r="D100" s="499"/>
      <c r="E100" s="766"/>
      <c r="F100" s="497" t="s">
        <v>713</v>
      </c>
      <c r="G100" s="497" t="s">
        <v>713</v>
      </c>
      <c r="H100" s="771" t="s">
        <v>831</v>
      </c>
      <c r="I100" s="771"/>
      <c r="J100" s="771"/>
      <c r="K100" s="497" t="s">
        <v>692</v>
      </c>
      <c r="L100" s="771" t="s">
        <v>692</v>
      </c>
      <c r="M100" s="771" t="s">
        <v>832</v>
      </c>
      <c r="N100" s="771" t="s">
        <v>833</v>
      </c>
      <c r="O100" s="497" t="s">
        <v>725</v>
      </c>
      <c r="P100" s="497" t="s">
        <v>695</v>
      </c>
      <c r="Q100" s="775" t="s">
        <v>695</v>
      </c>
      <c r="R100" s="775" t="s">
        <v>695</v>
      </c>
      <c r="S100" s="775" t="s">
        <v>695</v>
      </c>
      <c r="T100" s="781" t="s">
        <v>695</v>
      </c>
      <c r="U100" s="771"/>
    </row>
    <row r="101" ht="17.25" spans="1:21">
      <c r="A101" s="764"/>
      <c r="B101" s="764"/>
      <c r="C101" s="764"/>
      <c r="D101" s="499"/>
      <c r="E101" s="766" t="s">
        <v>794</v>
      </c>
      <c r="F101" s="497"/>
      <c r="G101" s="497"/>
      <c r="H101" s="771"/>
      <c r="I101" s="771"/>
      <c r="J101" s="771"/>
      <c r="K101" s="777" t="s">
        <v>692</v>
      </c>
      <c r="L101" s="777" t="s">
        <v>692</v>
      </c>
      <c r="M101" s="778" t="s">
        <v>768</v>
      </c>
      <c r="N101" s="776" t="s">
        <v>753</v>
      </c>
      <c r="O101" s="497" t="s">
        <v>695</v>
      </c>
      <c r="P101" s="497" t="s">
        <v>695</v>
      </c>
      <c r="Q101" s="497">
        <v>2</v>
      </c>
      <c r="R101" s="771" t="s">
        <v>695</v>
      </c>
      <c r="S101" s="771" t="s">
        <v>773</v>
      </c>
      <c r="T101" s="771" t="s">
        <v>695</v>
      </c>
      <c r="U101" s="778"/>
    </row>
    <row r="102" ht="17.25" spans="1:21">
      <c r="A102" s="764"/>
      <c r="B102" s="764"/>
      <c r="C102" s="764"/>
      <c r="D102" s="499"/>
      <c r="E102" s="773" t="s">
        <v>774</v>
      </c>
      <c r="F102" s="497"/>
      <c r="G102" s="497"/>
      <c r="H102" s="771"/>
      <c r="I102" s="771"/>
      <c r="J102" s="771"/>
      <c r="K102" s="777" t="s">
        <v>692</v>
      </c>
      <c r="L102" s="777" t="s">
        <v>692</v>
      </c>
      <c r="M102" s="771" t="s">
        <v>743</v>
      </c>
      <c r="N102" s="497" t="s">
        <v>744</v>
      </c>
      <c r="O102" s="497" t="s">
        <v>695</v>
      </c>
      <c r="P102" s="497" t="s">
        <v>695</v>
      </c>
      <c r="Q102" s="777">
        <v>2</v>
      </c>
      <c r="R102" s="781" t="s">
        <v>695</v>
      </c>
      <c r="S102" s="781" t="s">
        <v>720</v>
      </c>
      <c r="T102" s="771" t="s">
        <v>695</v>
      </c>
      <c r="U102" s="778"/>
    </row>
    <row r="103" ht="17.25" spans="1:21">
      <c r="A103" s="764"/>
      <c r="B103" s="764"/>
      <c r="C103" s="764"/>
      <c r="D103" s="499"/>
      <c r="E103" s="766" t="s">
        <v>834</v>
      </c>
      <c r="F103" s="497" t="s">
        <v>713</v>
      </c>
      <c r="G103" s="497" t="s">
        <v>713</v>
      </c>
      <c r="H103" s="771" t="s">
        <v>838</v>
      </c>
      <c r="I103" s="771"/>
      <c r="J103" s="771"/>
      <c r="K103" s="497" t="s">
        <v>692</v>
      </c>
      <c r="L103" s="771" t="s">
        <v>692</v>
      </c>
      <c r="M103" s="771" t="s">
        <v>748</v>
      </c>
      <c r="N103" s="771" t="s">
        <v>776</v>
      </c>
      <c r="O103" s="497" t="s">
        <v>725</v>
      </c>
      <c r="P103" s="497" t="s">
        <v>695</v>
      </c>
      <c r="Q103" s="497">
        <v>7</v>
      </c>
      <c r="R103" s="771" t="s">
        <v>695</v>
      </c>
      <c r="S103" s="778" t="s">
        <v>837</v>
      </c>
      <c r="T103" s="781" t="s">
        <v>695</v>
      </c>
      <c r="U103" s="771"/>
    </row>
    <row r="104" ht="17.25" spans="1:21">
      <c r="A104" s="764"/>
      <c r="B104" s="764"/>
      <c r="C104" s="764"/>
      <c r="D104" s="499"/>
      <c r="E104" s="766" t="s">
        <v>764</v>
      </c>
      <c r="F104" s="497" t="s">
        <v>713</v>
      </c>
      <c r="G104" s="497" t="s">
        <v>713</v>
      </c>
      <c r="H104" s="771" t="s">
        <v>700</v>
      </c>
      <c r="I104" s="771"/>
      <c r="J104" s="771"/>
      <c r="K104" s="497" t="s">
        <v>692</v>
      </c>
      <c r="L104" s="771" t="s">
        <v>692</v>
      </c>
      <c r="M104" s="778" t="s">
        <v>695</v>
      </c>
      <c r="N104" s="776" t="s">
        <v>753</v>
      </c>
      <c r="O104" s="497" t="s">
        <v>725</v>
      </c>
      <c r="P104" s="497" t="s">
        <v>695</v>
      </c>
      <c r="Q104" s="775" t="s">
        <v>695</v>
      </c>
      <c r="R104" s="775" t="s">
        <v>695</v>
      </c>
      <c r="S104" s="775" t="s">
        <v>695</v>
      </c>
      <c r="T104" s="781" t="s">
        <v>695</v>
      </c>
      <c r="U104" s="771"/>
    </row>
    <row r="105" ht="17.25" spans="1:21">
      <c r="A105" s="764"/>
      <c r="B105" s="764"/>
      <c r="C105" s="764"/>
      <c r="D105" s="499"/>
      <c r="E105" s="766" t="s">
        <v>839</v>
      </c>
      <c r="F105" s="497" t="s">
        <v>713</v>
      </c>
      <c r="G105" s="497" t="s">
        <v>713</v>
      </c>
      <c r="H105" s="771" t="s">
        <v>831</v>
      </c>
      <c r="I105" s="771"/>
      <c r="J105" s="771"/>
      <c r="K105" s="497" t="s">
        <v>692</v>
      </c>
      <c r="L105" s="771" t="s">
        <v>692</v>
      </c>
      <c r="M105" s="771" t="s">
        <v>832</v>
      </c>
      <c r="N105" s="771" t="s">
        <v>833</v>
      </c>
      <c r="O105" s="497" t="s">
        <v>725</v>
      </c>
      <c r="P105" s="497" t="s">
        <v>695</v>
      </c>
      <c r="Q105" s="775" t="s">
        <v>695</v>
      </c>
      <c r="R105" s="775" t="s">
        <v>695</v>
      </c>
      <c r="S105" s="775" t="s">
        <v>695</v>
      </c>
      <c r="T105" s="781" t="s">
        <v>695</v>
      </c>
      <c r="U105" s="771"/>
    </row>
    <row r="106" ht="17.25" spans="1:21">
      <c r="A106" s="764"/>
      <c r="B106" s="764"/>
      <c r="C106" s="764"/>
      <c r="D106" s="499"/>
      <c r="E106" s="766" t="s">
        <v>794</v>
      </c>
      <c r="F106" s="497"/>
      <c r="G106" s="497"/>
      <c r="H106" s="771"/>
      <c r="I106" s="771"/>
      <c r="J106" s="771"/>
      <c r="K106" s="777" t="s">
        <v>692</v>
      </c>
      <c r="L106" s="777" t="s">
        <v>692</v>
      </c>
      <c r="M106" s="778" t="s">
        <v>768</v>
      </c>
      <c r="N106" s="776" t="s">
        <v>753</v>
      </c>
      <c r="O106" s="497" t="s">
        <v>695</v>
      </c>
      <c r="P106" s="497" t="s">
        <v>695</v>
      </c>
      <c r="Q106" s="497">
        <v>2</v>
      </c>
      <c r="R106" s="771" t="s">
        <v>695</v>
      </c>
      <c r="S106" s="771" t="s">
        <v>773</v>
      </c>
      <c r="T106" s="771" t="s">
        <v>695</v>
      </c>
      <c r="U106" s="778"/>
    </row>
    <row r="107" ht="17.25" spans="1:21">
      <c r="A107" s="764"/>
      <c r="B107" s="764"/>
      <c r="C107" s="764"/>
      <c r="D107" s="499"/>
      <c r="E107" s="773" t="s">
        <v>774</v>
      </c>
      <c r="F107" s="497"/>
      <c r="G107" s="497"/>
      <c r="H107" s="771"/>
      <c r="I107" s="771"/>
      <c r="J107" s="771"/>
      <c r="K107" s="777" t="s">
        <v>692</v>
      </c>
      <c r="L107" s="777" t="s">
        <v>692</v>
      </c>
      <c r="M107" s="771" t="s">
        <v>743</v>
      </c>
      <c r="N107" s="497" t="s">
        <v>744</v>
      </c>
      <c r="O107" s="497" t="s">
        <v>695</v>
      </c>
      <c r="P107" s="497" t="s">
        <v>695</v>
      </c>
      <c r="Q107" s="777">
        <v>2</v>
      </c>
      <c r="R107" s="781" t="s">
        <v>695</v>
      </c>
      <c r="S107" s="781" t="s">
        <v>720</v>
      </c>
      <c r="T107" s="771" t="s">
        <v>695</v>
      </c>
      <c r="U107" s="778"/>
    </row>
    <row r="108" ht="17.25" spans="1:21">
      <c r="A108" s="764"/>
      <c r="B108" s="764"/>
      <c r="C108" s="764"/>
      <c r="D108" s="499"/>
      <c r="E108" s="766" t="s">
        <v>834</v>
      </c>
      <c r="F108" s="497" t="s">
        <v>713</v>
      </c>
      <c r="G108" s="497" t="s">
        <v>713</v>
      </c>
      <c r="H108" s="771" t="s">
        <v>700</v>
      </c>
      <c r="I108" s="771"/>
      <c r="J108" s="771"/>
      <c r="K108" s="497" t="s">
        <v>692</v>
      </c>
      <c r="L108" s="771" t="s">
        <v>692</v>
      </c>
      <c r="M108" s="771" t="s">
        <v>748</v>
      </c>
      <c r="N108" s="771" t="s">
        <v>776</v>
      </c>
      <c r="O108" s="497" t="s">
        <v>725</v>
      </c>
      <c r="P108" s="497" t="s">
        <v>695</v>
      </c>
      <c r="Q108" s="497">
        <v>1</v>
      </c>
      <c r="R108" s="771" t="s">
        <v>695</v>
      </c>
      <c r="S108" s="778" t="s">
        <v>837</v>
      </c>
      <c r="T108" s="781" t="s">
        <v>695</v>
      </c>
      <c r="U108" s="771"/>
    </row>
    <row r="109" ht="17.25" spans="1:21">
      <c r="A109" s="764"/>
      <c r="B109" s="764"/>
      <c r="C109" s="764"/>
      <c r="D109" s="499"/>
      <c r="E109" s="766" t="s">
        <v>764</v>
      </c>
      <c r="F109" s="497" t="s">
        <v>713</v>
      </c>
      <c r="G109" s="497" t="s">
        <v>713</v>
      </c>
      <c r="H109" s="771" t="s">
        <v>700</v>
      </c>
      <c r="I109" s="771"/>
      <c r="J109" s="771"/>
      <c r="K109" s="497" t="s">
        <v>692</v>
      </c>
      <c r="L109" s="771" t="s">
        <v>692</v>
      </c>
      <c r="M109" s="778" t="s">
        <v>695</v>
      </c>
      <c r="N109" s="776" t="s">
        <v>753</v>
      </c>
      <c r="O109" s="497" t="s">
        <v>725</v>
      </c>
      <c r="P109" s="497" t="s">
        <v>695</v>
      </c>
      <c r="Q109" s="775">
        <v>1</v>
      </c>
      <c r="R109" s="775" t="s">
        <v>695</v>
      </c>
      <c r="S109" s="775" t="s">
        <v>720</v>
      </c>
      <c r="T109" s="781" t="s">
        <v>695</v>
      </c>
      <c r="U109" s="771"/>
    </row>
    <row r="110" ht="17.25" spans="1:21">
      <c r="A110" s="764"/>
      <c r="B110" s="764"/>
      <c r="C110" s="764"/>
      <c r="D110" s="499"/>
      <c r="E110" s="766"/>
      <c r="F110" s="497" t="s">
        <v>713</v>
      </c>
      <c r="G110" s="497" t="s">
        <v>713</v>
      </c>
      <c r="H110" s="771" t="s">
        <v>831</v>
      </c>
      <c r="I110" s="771"/>
      <c r="J110" s="771"/>
      <c r="K110" s="497" t="s">
        <v>692</v>
      </c>
      <c r="L110" s="771" t="s">
        <v>692</v>
      </c>
      <c r="M110" s="771" t="s">
        <v>832</v>
      </c>
      <c r="N110" s="771" t="s">
        <v>833</v>
      </c>
      <c r="O110" s="497" t="s">
        <v>725</v>
      </c>
      <c r="P110" s="497" t="s">
        <v>695</v>
      </c>
      <c r="Q110" s="497">
        <v>8</v>
      </c>
      <c r="R110" s="771" t="s">
        <v>695</v>
      </c>
      <c r="S110" s="778" t="s">
        <v>837</v>
      </c>
      <c r="T110" s="781" t="s">
        <v>695</v>
      </c>
      <c r="U110" s="771"/>
    </row>
    <row r="111" ht="17.25" spans="1:21">
      <c r="A111" s="764"/>
      <c r="B111" s="764"/>
      <c r="C111" s="764"/>
      <c r="D111" s="499"/>
      <c r="E111" s="766" t="s">
        <v>794</v>
      </c>
      <c r="F111" s="497"/>
      <c r="G111" s="497"/>
      <c r="H111" s="771"/>
      <c r="I111" s="771"/>
      <c r="J111" s="771"/>
      <c r="K111" s="777" t="s">
        <v>692</v>
      </c>
      <c r="L111" s="777" t="s">
        <v>692</v>
      </c>
      <c r="M111" s="778" t="s">
        <v>768</v>
      </c>
      <c r="N111" s="776" t="s">
        <v>753</v>
      </c>
      <c r="O111" s="497" t="s">
        <v>695</v>
      </c>
      <c r="P111" s="497" t="s">
        <v>695</v>
      </c>
      <c r="Q111" s="497">
        <v>2</v>
      </c>
      <c r="R111" s="771" t="s">
        <v>695</v>
      </c>
      <c r="S111" s="771" t="s">
        <v>773</v>
      </c>
      <c r="T111" s="771" t="s">
        <v>695</v>
      </c>
      <c r="U111" s="778"/>
    </row>
    <row r="112" ht="17.25" spans="1:21">
      <c r="A112" s="764"/>
      <c r="B112" s="764"/>
      <c r="C112" s="764"/>
      <c r="D112" s="499"/>
      <c r="E112" s="773" t="s">
        <v>774</v>
      </c>
      <c r="F112" s="497"/>
      <c r="G112" s="497"/>
      <c r="H112" s="771"/>
      <c r="I112" s="771"/>
      <c r="J112" s="771"/>
      <c r="K112" s="777" t="s">
        <v>692</v>
      </c>
      <c r="L112" s="777" t="s">
        <v>692</v>
      </c>
      <c r="M112" s="771" t="s">
        <v>743</v>
      </c>
      <c r="N112" s="497" t="s">
        <v>744</v>
      </c>
      <c r="O112" s="497" t="s">
        <v>695</v>
      </c>
      <c r="P112" s="497" t="s">
        <v>695</v>
      </c>
      <c r="Q112" s="777">
        <v>2</v>
      </c>
      <c r="R112" s="781" t="s">
        <v>695</v>
      </c>
      <c r="S112" s="781" t="s">
        <v>720</v>
      </c>
      <c r="T112" s="771" t="s">
        <v>695</v>
      </c>
      <c r="U112" s="778"/>
    </row>
    <row r="113" ht="17.25" spans="1:21">
      <c r="A113" s="764"/>
      <c r="B113" s="764"/>
      <c r="C113" s="764"/>
      <c r="D113" s="499"/>
      <c r="E113" s="766" t="s">
        <v>840</v>
      </c>
      <c r="F113" s="497" t="s">
        <v>713</v>
      </c>
      <c r="G113" s="497" t="s">
        <v>713</v>
      </c>
      <c r="H113" s="771" t="s">
        <v>700</v>
      </c>
      <c r="I113" s="771"/>
      <c r="J113" s="771"/>
      <c r="K113" s="497" t="s">
        <v>692</v>
      </c>
      <c r="L113" s="771" t="s">
        <v>692</v>
      </c>
      <c r="M113" s="771" t="s">
        <v>748</v>
      </c>
      <c r="N113" s="771" t="s">
        <v>776</v>
      </c>
      <c r="O113" s="497" t="s">
        <v>725</v>
      </c>
      <c r="P113" s="497" t="s">
        <v>695</v>
      </c>
      <c r="Q113" s="775" t="s">
        <v>695</v>
      </c>
      <c r="R113" s="775" t="s">
        <v>695</v>
      </c>
      <c r="S113" s="775" t="s">
        <v>695</v>
      </c>
      <c r="T113" s="781" t="s">
        <v>695</v>
      </c>
      <c r="U113" s="771"/>
    </row>
    <row r="114" ht="17.25" spans="1:21">
      <c r="A114" s="763">
        <f>B89</f>
        <v>0.734722222222222</v>
      </c>
      <c r="B114" s="764">
        <f>A114+C114</f>
        <v>0.738194444444445</v>
      </c>
      <c r="C114" s="765">
        <v>0.00347222222222222</v>
      </c>
      <c r="D114" s="499" t="s">
        <v>841</v>
      </c>
      <c r="E114" s="766" t="s">
        <v>842</v>
      </c>
      <c r="F114" s="497" t="s">
        <v>713</v>
      </c>
      <c r="G114" s="497" t="s">
        <v>713</v>
      </c>
      <c r="H114" s="497" t="s">
        <v>700</v>
      </c>
      <c r="I114" s="497"/>
      <c r="J114" s="497"/>
      <c r="K114" s="777" t="s">
        <v>700</v>
      </c>
      <c r="L114" s="777" t="s">
        <v>700</v>
      </c>
      <c r="M114" s="778" t="s">
        <v>695</v>
      </c>
      <c r="N114" s="776" t="s">
        <v>753</v>
      </c>
      <c r="O114" s="497" t="s">
        <v>695</v>
      </c>
      <c r="P114" s="497" t="s">
        <v>695</v>
      </c>
      <c r="Q114" s="778" t="s">
        <v>695</v>
      </c>
      <c r="R114" s="778" t="s">
        <v>695</v>
      </c>
      <c r="S114" s="778" t="s">
        <v>695</v>
      </c>
      <c r="T114" s="781" t="s">
        <v>843</v>
      </c>
      <c r="U114" s="771" t="s">
        <v>844</v>
      </c>
    </row>
    <row r="115" ht="17.25" spans="1:21">
      <c r="A115" s="763"/>
      <c r="B115" s="764"/>
      <c r="C115" s="765"/>
      <c r="D115" s="499"/>
      <c r="E115" s="766" t="s">
        <v>845</v>
      </c>
      <c r="F115" s="497" t="s">
        <v>713</v>
      </c>
      <c r="G115" s="497" t="s">
        <v>713</v>
      </c>
      <c r="H115" s="497" t="s">
        <v>846</v>
      </c>
      <c r="I115" s="497"/>
      <c r="J115" s="497"/>
      <c r="K115" s="777" t="s">
        <v>700</v>
      </c>
      <c r="L115" s="777" t="s">
        <v>700</v>
      </c>
      <c r="M115" s="778" t="s">
        <v>695</v>
      </c>
      <c r="N115" s="776" t="s">
        <v>753</v>
      </c>
      <c r="O115" s="497" t="s">
        <v>695</v>
      </c>
      <c r="P115" s="497" t="s">
        <v>695</v>
      </c>
      <c r="Q115" s="778">
        <v>2</v>
      </c>
      <c r="R115" s="778" t="s">
        <v>695</v>
      </c>
      <c r="S115" s="778" t="s">
        <v>720</v>
      </c>
      <c r="T115" s="781" t="s">
        <v>695</v>
      </c>
      <c r="U115" s="771"/>
    </row>
    <row r="116" ht="17.25" spans="1:21">
      <c r="A116" s="763"/>
      <c r="B116" s="764"/>
      <c r="C116" s="765"/>
      <c r="D116" s="499"/>
      <c r="E116" s="766" t="s">
        <v>847</v>
      </c>
      <c r="F116" s="497" t="s">
        <v>713</v>
      </c>
      <c r="G116" s="497" t="s">
        <v>713</v>
      </c>
      <c r="H116" s="497"/>
      <c r="I116" s="497"/>
      <c r="J116" s="497"/>
      <c r="K116" s="497" t="s">
        <v>692</v>
      </c>
      <c r="L116" s="771" t="s">
        <v>692</v>
      </c>
      <c r="M116" s="497" t="s">
        <v>748</v>
      </c>
      <c r="N116" s="771" t="s">
        <v>753</v>
      </c>
      <c r="O116" s="497" t="s">
        <v>848</v>
      </c>
      <c r="P116" s="497" t="s">
        <v>695</v>
      </c>
      <c r="Q116" s="778">
        <v>3</v>
      </c>
      <c r="R116" s="778" t="s">
        <v>695</v>
      </c>
      <c r="S116" s="778" t="s">
        <v>849</v>
      </c>
      <c r="T116" s="781" t="s">
        <v>695</v>
      </c>
      <c r="U116" s="771"/>
    </row>
    <row r="117" ht="17.25" spans="1:21">
      <c r="A117" s="763">
        <f>B114</f>
        <v>0.738194444444445</v>
      </c>
      <c r="B117" s="764">
        <f>A117+C117</f>
        <v>0.739583333333333</v>
      </c>
      <c r="C117" s="765">
        <v>0.00138888888888889</v>
      </c>
      <c r="D117" s="499" t="s">
        <v>850</v>
      </c>
      <c r="E117" s="766" t="s">
        <v>764</v>
      </c>
      <c r="F117" s="497" t="s">
        <v>713</v>
      </c>
      <c r="G117" s="497" t="s">
        <v>713</v>
      </c>
      <c r="H117" s="497" t="s">
        <v>700</v>
      </c>
      <c r="I117" s="497"/>
      <c r="J117" s="497"/>
      <c r="K117" s="777" t="s">
        <v>700</v>
      </c>
      <c r="L117" s="777" t="s">
        <v>700</v>
      </c>
      <c r="M117" s="778" t="s">
        <v>743</v>
      </c>
      <c r="N117" s="776" t="s">
        <v>753</v>
      </c>
      <c r="O117" s="497" t="s">
        <v>695</v>
      </c>
      <c r="P117" s="497" t="s">
        <v>695</v>
      </c>
      <c r="Q117" s="771" t="s">
        <v>695</v>
      </c>
      <c r="R117" s="771" t="s">
        <v>695</v>
      </c>
      <c r="S117" s="771" t="s">
        <v>695</v>
      </c>
      <c r="T117" s="781" t="s">
        <v>695</v>
      </c>
      <c r="U117" s="771"/>
    </row>
    <row r="118" ht="17.25" spans="1:21">
      <c r="A118" s="763"/>
      <c r="B118" s="764"/>
      <c r="C118" s="765"/>
      <c r="D118" s="499"/>
      <c r="E118" s="782" t="s">
        <v>851</v>
      </c>
      <c r="F118" s="497" t="s">
        <v>713</v>
      </c>
      <c r="G118" s="497" t="s">
        <v>713</v>
      </c>
      <c r="H118" s="497" t="s">
        <v>700</v>
      </c>
      <c r="I118" s="497"/>
      <c r="J118" s="497"/>
      <c r="K118" s="497" t="s">
        <v>692</v>
      </c>
      <c r="L118" s="771" t="s">
        <v>692</v>
      </c>
      <c r="M118" s="497" t="s">
        <v>743</v>
      </c>
      <c r="N118" s="771" t="s">
        <v>753</v>
      </c>
      <c r="O118" s="497" t="s">
        <v>725</v>
      </c>
      <c r="P118" s="497" t="s">
        <v>695</v>
      </c>
      <c r="Q118" s="775">
        <v>2</v>
      </c>
      <c r="R118" s="775" t="s">
        <v>695</v>
      </c>
      <c r="S118" s="775" t="s">
        <v>720</v>
      </c>
      <c r="T118" s="781" t="s">
        <v>695</v>
      </c>
      <c r="U118" s="771"/>
    </row>
    <row r="119" ht="34.5" spans="1:21">
      <c r="A119" s="763"/>
      <c r="B119" s="764"/>
      <c r="C119" s="765"/>
      <c r="D119" s="499"/>
      <c r="E119" s="643" t="s">
        <v>852</v>
      </c>
      <c r="F119" s="497" t="s">
        <v>713</v>
      </c>
      <c r="G119" s="497" t="s">
        <v>713</v>
      </c>
      <c r="H119" s="771" t="s">
        <v>831</v>
      </c>
      <c r="I119" s="771"/>
      <c r="J119" s="771"/>
      <c r="K119" s="497" t="s">
        <v>692</v>
      </c>
      <c r="L119" s="771" t="s">
        <v>692</v>
      </c>
      <c r="M119" s="778" t="s">
        <v>832</v>
      </c>
      <c r="N119" s="776" t="s">
        <v>753</v>
      </c>
      <c r="O119" s="497" t="s">
        <v>725</v>
      </c>
      <c r="P119" s="497" t="s">
        <v>695</v>
      </c>
      <c r="Q119" s="775" t="s">
        <v>695</v>
      </c>
      <c r="R119" s="775" t="s">
        <v>695</v>
      </c>
      <c r="S119" s="775" t="s">
        <v>695</v>
      </c>
      <c r="T119" s="781" t="s">
        <v>695</v>
      </c>
      <c r="U119" s="771"/>
    </row>
    <row r="120" ht="34.5" spans="1:21">
      <c r="A120" s="763"/>
      <c r="B120" s="764"/>
      <c r="C120" s="765"/>
      <c r="D120" s="499"/>
      <c r="E120" s="766" t="s">
        <v>834</v>
      </c>
      <c r="F120" s="497" t="s">
        <v>713</v>
      </c>
      <c r="G120" s="497" t="s">
        <v>713</v>
      </c>
      <c r="H120" s="771" t="s">
        <v>700</v>
      </c>
      <c r="I120" s="771"/>
      <c r="J120" s="771"/>
      <c r="K120" s="497" t="s">
        <v>692</v>
      </c>
      <c r="L120" s="771" t="s">
        <v>692</v>
      </c>
      <c r="M120" s="771" t="s">
        <v>748</v>
      </c>
      <c r="N120" s="771" t="s">
        <v>753</v>
      </c>
      <c r="O120" s="497" t="s">
        <v>725</v>
      </c>
      <c r="P120" s="497" t="s">
        <v>695</v>
      </c>
      <c r="Q120" s="497">
        <v>1</v>
      </c>
      <c r="R120" s="771" t="s">
        <v>695</v>
      </c>
      <c r="S120" s="778" t="s">
        <v>853</v>
      </c>
      <c r="T120" s="781" t="s">
        <v>695</v>
      </c>
      <c r="U120" s="771" t="s">
        <v>765</v>
      </c>
    </row>
    <row r="121" ht="34.5" spans="1:21">
      <c r="A121" s="763">
        <f>B117</f>
        <v>0.739583333333333</v>
      </c>
      <c r="B121" s="764">
        <f>A121+C121</f>
        <v>0.740277777777778</v>
      </c>
      <c r="C121" s="765">
        <v>0.000694444444444444</v>
      </c>
      <c r="D121" s="499" t="s">
        <v>854</v>
      </c>
      <c r="E121" s="766" t="s">
        <v>855</v>
      </c>
      <c r="F121" s="497" t="s">
        <v>713</v>
      </c>
      <c r="G121" s="497" t="s">
        <v>713</v>
      </c>
      <c r="H121" s="497" t="s">
        <v>700</v>
      </c>
      <c r="I121" s="497"/>
      <c r="J121" s="497"/>
      <c r="K121" s="771" t="s">
        <v>856</v>
      </c>
      <c r="L121" s="771" t="s">
        <v>700</v>
      </c>
      <c r="M121" s="771" t="s">
        <v>857</v>
      </c>
      <c r="N121" s="771" t="s">
        <v>858</v>
      </c>
      <c r="O121" s="497" t="s">
        <v>715</v>
      </c>
      <c r="P121" s="771" t="s">
        <v>695</v>
      </c>
      <c r="Q121" s="771" t="s">
        <v>859</v>
      </c>
      <c r="R121" s="771" t="s">
        <v>859</v>
      </c>
      <c r="S121" s="771" t="s">
        <v>859</v>
      </c>
      <c r="T121" s="781" t="s">
        <v>695</v>
      </c>
      <c r="U121" s="771" t="s">
        <v>727</v>
      </c>
    </row>
  </sheetData>
  <mergeCells count="178">
    <mergeCell ref="A1:U1"/>
    <mergeCell ref="A2:U2"/>
    <mergeCell ref="A3:B3"/>
    <mergeCell ref="F3:G3"/>
    <mergeCell ref="H3:J3"/>
    <mergeCell ref="F4:J4"/>
    <mergeCell ref="F5:J5"/>
    <mergeCell ref="F6:J6"/>
    <mergeCell ref="H7:J7"/>
    <mergeCell ref="H8:J8"/>
    <mergeCell ref="H9:J9"/>
    <mergeCell ref="H10:J10"/>
    <mergeCell ref="H11:J11"/>
    <mergeCell ref="H12:J12"/>
    <mergeCell ref="H13:J13"/>
    <mergeCell ref="H14:J14"/>
    <mergeCell ref="H15:J15"/>
    <mergeCell ref="H16:J16"/>
    <mergeCell ref="H21:J21"/>
    <mergeCell ref="H22:J22"/>
    <mergeCell ref="H23:J23"/>
    <mergeCell ref="H28:J28"/>
    <mergeCell ref="H29:J29"/>
    <mergeCell ref="H30:J30"/>
    <mergeCell ref="H35:J35"/>
    <mergeCell ref="H36:J36"/>
    <mergeCell ref="H43:J43"/>
    <mergeCell ref="H44:J44"/>
    <mergeCell ref="H45:J45"/>
    <mergeCell ref="H46:J46"/>
    <mergeCell ref="H47:J47"/>
    <mergeCell ref="H48:J48"/>
    <mergeCell ref="H49:J49"/>
    <mergeCell ref="H50:J50"/>
    <mergeCell ref="H55:J55"/>
    <mergeCell ref="H56:J56"/>
    <mergeCell ref="H61:J61"/>
    <mergeCell ref="H62:J62"/>
    <mergeCell ref="H63:J63"/>
    <mergeCell ref="H64:J64"/>
    <mergeCell ref="H65:J65"/>
    <mergeCell ref="H66:J66"/>
    <mergeCell ref="H71:J71"/>
    <mergeCell ref="H72:J72"/>
    <mergeCell ref="H73:J73"/>
    <mergeCell ref="H74:J74"/>
    <mergeCell ref="H75:J75"/>
    <mergeCell ref="H76:J76"/>
    <mergeCell ref="H81:J81"/>
    <mergeCell ref="H82:J82"/>
    <mergeCell ref="H83:J83"/>
    <mergeCell ref="H87:J87"/>
    <mergeCell ref="H88:J88"/>
    <mergeCell ref="H89:J89"/>
    <mergeCell ref="H90:J90"/>
    <mergeCell ref="H93:J93"/>
    <mergeCell ref="H94:J94"/>
    <mergeCell ref="H95:J95"/>
    <mergeCell ref="H98:J98"/>
    <mergeCell ref="H99:J99"/>
    <mergeCell ref="H100:J100"/>
    <mergeCell ref="H103:J103"/>
    <mergeCell ref="H104:J104"/>
    <mergeCell ref="H105:J105"/>
    <mergeCell ref="H108:J108"/>
    <mergeCell ref="H109:J109"/>
    <mergeCell ref="H110:J110"/>
    <mergeCell ref="H113:J113"/>
    <mergeCell ref="H114:J114"/>
    <mergeCell ref="H117:J117"/>
    <mergeCell ref="H118:J118"/>
    <mergeCell ref="H119:J119"/>
    <mergeCell ref="H120:J120"/>
    <mergeCell ref="H121:J121"/>
    <mergeCell ref="A9:A10"/>
    <mergeCell ref="A11:A12"/>
    <mergeCell ref="A13:A14"/>
    <mergeCell ref="A15:A21"/>
    <mergeCell ref="A22:A28"/>
    <mergeCell ref="A29:A35"/>
    <mergeCell ref="A36:A42"/>
    <mergeCell ref="A43:A44"/>
    <mergeCell ref="A45:A46"/>
    <mergeCell ref="A47:A48"/>
    <mergeCell ref="A49:A55"/>
    <mergeCell ref="A56:A60"/>
    <mergeCell ref="A61:A62"/>
    <mergeCell ref="A63:A64"/>
    <mergeCell ref="A65:A71"/>
    <mergeCell ref="A72:A74"/>
    <mergeCell ref="A75:A86"/>
    <mergeCell ref="A87:A88"/>
    <mergeCell ref="A89:A113"/>
    <mergeCell ref="A114:A116"/>
    <mergeCell ref="A117:A120"/>
    <mergeCell ref="B9:B10"/>
    <mergeCell ref="B11:B12"/>
    <mergeCell ref="B13:B14"/>
    <mergeCell ref="B15:B21"/>
    <mergeCell ref="B22:B28"/>
    <mergeCell ref="B29:B35"/>
    <mergeCell ref="B36:B42"/>
    <mergeCell ref="B43:B44"/>
    <mergeCell ref="B45:B46"/>
    <mergeCell ref="B47:B48"/>
    <mergeCell ref="B49:B55"/>
    <mergeCell ref="B56:B60"/>
    <mergeCell ref="B61:B62"/>
    <mergeCell ref="B63:B64"/>
    <mergeCell ref="B65:B71"/>
    <mergeCell ref="B72:B74"/>
    <mergeCell ref="B75:B86"/>
    <mergeCell ref="B87:B88"/>
    <mergeCell ref="B89:B113"/>
    <mergeCell ref="B114:B116"/>
    <mergeCell ref="B117:B120"/>
    <mergeCell ref="C9:C10"/>
    <mergeCell ref="C11:C12"/>
    <mergeCell ref="C13:C14"/>
    <mergeCell ref="C15:C21"/>
    <mergeCell ref="C22:C28"/>
    <mergeCell ref="C29:C35"/>
    <mergeCell ref="C36:C42"/>
    <mergeCell ref="C43:C44"/>
    <mergeCell ref="C45:C46"/>
    <mergeCell ref="C47:C48"/>
    <mergeCell ref="C49:C55"/>
    <mergeCell ref="C56:C60"/>
    <mergeCell ref="C61:C62"/>
    <mergeCell ref="C63:C64"/>
    <mergeCell ref="C65:C71"/>
    <mergeCell ref="C72:C74"/>
    <mergeCell ref="C75:C86"/>
    <mergeCell ref="C87:C88"/>
    <mergeCell ref="C89:C113"/>
    <mergeCell ref="C114:C116"/>
    <mergeCell ref="C117:C120"/>
    <mergeCell ref="D9:D10"/>
    <mergeCell ref="D11:D12"/>
    <mergeCell ref="D13:D14"/>
    <mergeCell ref="D15:D21"/>
    <mergeCell ref="D22:D28"/>
    <mergeCell ref="D29:D35"/>
    <mergeCell ref="D36:D42"/>
    <mergeCell ref="D43:D44"/>
    <mergeCell ref="D45:D46"/>
    <mergeCell ref="D47:D48"/>
    <mergeCell ref="D49:D55"/>
    <mergeCell ref="D56:D60"/>
    <mergeCell ref="D61:D62"/>
    <mergeCell ref="D63:D64"/>
    <mergeCell ref="D65:D71"/>
    <mergeCell ref="D72:D74"/>
    <mergeCell ref="D75:D86"/>
    <mergeCell ref="D87:D88"/>
    <mergeCell ref="D89:D113"/>
    <mergeCell ref="D114:D116"/>
    <mergeCell ref="D117:D120"/>
    <mergeCell ref="M20:M21"/>
    <mergeCell ref="M27:M28"/>
    <mergeCell ref="M34:M35"/>
    <mergeCell ref="M54:M55"/>
    <mergeCell ref="M70:M71"/>
    <mergeCell ref="M80:M81"/>
    <mergeCell ref="M85:M86"/>
    <mergeCell ref="H39:J40"/>
    <mergeCell ref="H41:J42"/>
    <mergeCell ref="H59:J60"/>
    <mergeCell ref="H37:J38"/>
    <mergeCell ref="H57:J58"/>
    <mergeCell ref="H115:J116"/>
    <mergeCell ref="H17:J20"/>
    <mergeCell ref="H24:J27"/>
    <mergeCell ref="H31:J34"/>
    <mergeCell ref="H51:J54"/>
    <mergeCell ref="H67:J70"/>
    <mergeCell ref="H77:J80"/>
    <mergeCell ref="H84:J86"/>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E64"/>
  <sheetViews>
    <sheetView zoomScale="85" zoomScaleNormal="85" zoomScalePageLayoutView="250" workbookViewId="0">
      <pane xSplit="4" ySplit="3" topLeftCell="E40" activePane="bottomRight" state="frozen"/>
      <selection/>
      <selection pane="topRight"/>
      <selection pane="bottomLeft"/>
      <selection pane="bottomRight" activeCell="E13" sqref="E13"/>
    </sheetView>
  </sheetViews>
  <sheetFormatPr defaultColWidth="9" defaultRowHeight="14.25" outlineLevelCol="4"/>
  <cols>
    <col min="1" max="1" width="18.5" customWidth="1"/>
    <col min="2" max="2" width="24.7" customWidth="1"/>
    <col min="3" max="3" width="80.2" customWidth="1"/>
    <col min="4" max="5" width="71.2" customWidth="1"/>
  </cols>
  <sheetData>
    <row r="1" ht="28.95" customHeight="1" spans="1:5">
      <c r="A1" s="726" t="s">
        <v>860</v>
      </c>
      <c r="B1" s="727"/>
      <c r="C1" s="727"/>
      <c r="D1" s="727"/>
      <c r="E1" s="728"/>
    </row>
    <row r="2" s="711" customFormat="1" ht="18.75" spans="1:5">
      <c r="A2" s="729" t="s">
        <v>861</v>
      </c>
      <c r="B2" s="730"/>
      <c r="C2" s="731" t="s">
        <v>862</v>
      </c>
      <c r="D2" s="732" t="s">
        <v>863</v>
      </c>
      <c r="E2" s="733"/>
    </row>
    <row r="3" ht="21" customHeight="1" spans="1:5">
      <c r="A3" s="734" t="s">
        <v>864</v>
      </c>
      <c r="B3" s="734" t="s">
        <v>865</v>
      </c>
      <c r="C3" s="735" t="s">
        <v>866</v>
      </c>
      <c r="D3" s="735" t="s">
        <v>867</v>
      </c>
      <c r="E3" s="735" t="s">
        <v>868</v>
      </c>
    </row>
    <row r="4" ht="25.95" customHeight="1" spans="1:5">
      <c r="A4" s="736" t="s">
        <v>865</v>
      </c>
      <c r="B4" s="737" t="s">
        <v>869</v>
      </c>
      <c r="C4" s="738" t="s">
        <v>870</v>
      </c>
      <c r="D4" s="739" t="s">
        <v>871</v>
      </c>
      <c r="E4" s="739" t="s">
        <v>872</v>
      </c>
    </row>
    <row r="5" ht="17.25" spans="1:5">
      <c r="A5" s="740"/>
      <c r="B5" s="737" t="s">
        <v>873</v>
      </c>
      <c r="C5" s="738" t="s">
        <v>874</v>
      </c>
      <c r="D5" s="739" t="s">
        <v>875</v>
      </c>
      <c r="E5" s="739" t="s">
        <v>872</v>
      </c>
    </row>
    <row r="6" ht="86.25" spans="1:5">
      <c r="A6" s="740"/>
      <c r="B6" s="737" t="s">
        <v>876</v>
      </c>
      <c r="C6" s="741" t="s">
        <v>877</v>
      </c>
      <c r="D6" s="739" t="s">
        <v>878</v>
      </c>
      <c r="E6" s="739" t="s">
        <v>872</v>
      </c>
    </row>
    <row r="7" ht="25.95" customHeight="1" spans="1:5">
      <c r="A7" s="740"/>
      <c r="B7" s="737" t="s">
        <v>879</v>
      </c>
      <c r="C7" s="738" t="s">
        <v>880</v>
      </c>
      <c r="D7" s="739" t="s">
        <v>881</v>
      </c>
      <c r="E7" s="742" t="s">
        <v>39</v>
      </c>
    </row>
    <row r="8" ht="25.95" customHeight="1" spans="1:5">
      <c r="A8" s="740"/>
      <c r="B8" s="737" t="s">
        <v>882</v>
      </c>
      <c r="C8" s="738" t="s">
        <v>883</v>
      </c>
      <c r="D8" s="739" t="s">
        <v>884</v>
      </c>
      <c r="E8" s="739" t="s">
        <v>872</v>
      </c>
    </row>
    <row r="9" ht="25.95" customHeight="1" spans="1:5">
      <c r="A9" s="740"/>
      <c r="B9" s="737" t="s">
        <v>885</v>
      </c>
      <c r="C9" s="738" t="s">
        <v>886</v>
      </c>
      <c r="D9" s="739" t="s">
        <v>887</v>
      </c>
      <c r="E9" s="742" t="s">
        <v>39</v>
      </c>
    </row>
    <row r="10" ht="25.95" customHeight="1" spans="1:5">
      <c r="A10" s="740"/>
      <c r="B10" s="737" t="s">
        <v>888</v>
      </c>
      <c r="C10" s="738" t="s">
        <v>889</v>
      </c>
      <c r="D10" s="739" t="s">
        <v>890</v>
      </c>
      <c r="E10" s="739" t="s">
        <v>872</v>
      </c>
    </row>
    <row r="11" ht="25.95" customHeight="1" spans="1:5">
      <c r="A11" s="743"/>
      <c r="B11" s="737" t="s">
        <v>891</v>
      </c>
      <c r="C11" s="738" t="s">
        <v>892</v>
      </c>
      <c r="D11" s="739" t="s">
        <v>893</v>
      </c>
      <c r="E11" s="739" t="s">
        <v>872</v>
      </c>
    </row>
    <row r="12" ht="17.25" spans="1:5">
      <c r="A12" s="744" t="s">
        <v>894</v>
      </c>
      <c r="B12" s="635" t="s">
        <v>895</v>
      </c>
      <c r="C12" s="124" t="s">
        <v>896</v>
      </c>
      <c r="D12" s="745" t="s">
        <v>897</v>
      </c>
      <c r="E12" s="739" t="s">
        <v>872</v>
      </c>
    </row>
    <row r="13" ht="17.25" spans="1:5">
      <c r="A13" s="746"/>
      <c r="B13" s="747"/>
      <c r="C13" s="124" t="s">
        <v>898</v>
      </c>
      <c r="D13" s="745" t="s">
        <v>899</v>
      </c>
      <c r="E13" s="748" t="s">
        <v>900</v>
      </c>
    </row>
    <row r="14" ht="17.25" spans="1:5">
      <c r="A14" s="746"/>
      <c r="B14" s="747"/>
      <c r="C14" s="124" t="s">
        <v>901</v>
      </c>
      <c r="D14" s="745" t="s">
        <v>902</v>
      </c>
      <c r="E14" s="739" t="s">
        <v>872</v>
      </c>
    </row>
    <row r="15" ht="17.25" spans="1:5">
      <c r="A15" s="746"/>
      <c r="B15" s="747"/>
      <c r="C15" s="124" t="s">
        <v>903</v>
      </c>
      <c r="D15" s="745" t="s">
        <v>904</v>
      </c>
      <c r="E15" s="739" t="s">
        <v>872</v>
      </c>
    </row>
    <row r="16" ht="17.25" spans="1:5">
      <c r="A16" s="746"/>
      <c r="B16" s="497" t="s">
        <v>905</v>
      </c>
      <c r="C16" s="124" t="s">
        <v>906</v>
      </c>
      <c r="D16" s="745" t="s">
        <v>907</v>
      </c>
      <c r="E16" s="739" t="s">
        <v>872</v>
      </c>
    </row>
    <row r="17" ht="17.25" spans="1:5">
      <c r="A17" s="746"/>
      <c r="B17" s="497"/>
      <c r="C17" s="124" t="s">
        <v>908</v>
      </c>
      <c r="D17" s="745" t="s">
        <v>909</v>
      </c>
      <c r="E17" s="739" t="s">
        <v>872</v>
      </c>
    </row>
    <row r="18" ht="17.25" spans="1:5">
      <c r="A18" s="746"/>
      <c r="B18" s="747" t="s">
        <v>910</v>
      </c>
      <c r="C18" s="124" t="s">
        <v>911</v>
      </c>
      <c r="D18" s="745" t="s">
        <v>912</v>
      </c>
      <c r="E18" s="739" t="s">
        <v>872</v>
      </c>
    </row>
    <row r="19" ht="17.25" spans="1:5">
      <c r="A19" s="746"/>
      <c r="B19" s="747"/>
      <c r="C19" s="124" t="s">
        <v>913</v>
      </c>
      <c r="D19" s="745" t="s">
        <v>914</v>
      </c>
      <c r="E19" s="739" t="s">
        <v>872</v>
      </c>
    </row>
    <row r="20" ht="17.25" spans="1:5">
      <c r="A20" s="746"/>
      <c r="B20" s="749"/>
      <c r="C20" s="124" t="s">
        <v>915</v>
      </c>
      <c r="D20" s="745" t="s">
        <v>916</v>
      </c>
      <c r="E20" s="739" t="s">
        <v>872</v>
      </c>
    </row>
    <row r="21" ht="17.25" spans="1:5">
      <c r="A21" s="746"/>
      <c r="B21" s="747" t="s">
        <v>917</v>
      </c>
      <c r="C21" s="124" t="s">
        <v>918</v>
      </c>
      <c r="D21" s="745" t="s">
        <v>919</v>
      </c>
      <c r="E21" s="739" t="s">
        <v>872</v>
      </c>
    </row>
    <row r="22" ht="17.25" spans="1:5">
      <c r="A22" s="746"/>
      <c r="B22" s="747"/>
      <c r="C22" s="124" t="s">
        <v>920</v>
      </c>
      <c r="D22" s="745" t="s">
        <v>921</v>
      </c>
      <c r="E22" s="739" t="s">
        <v>872</v>
      </c>
    </row>
    <row r="23" ht="17.25" spans="1:5">
      <c r="A23" s="746"/>
      <c r="B23" s="747"/>
      <c r="C23" s="124" t="s">
        <v>922</v>
      </c>
      <c r="D23" s="745" t="s">
        <v>923</v>
      </c>
      <c r="E23" s="742" t="s">
        <v>39</v>
      </c>
    </row>
    <row r="24" ht="17.25" spans="1:5">
      <c r="A24" s="746"/>
      <c r="B24" s="747"/>
      <c r="C24" s="124" t="s">
        <v>924</v>
      </c>
      <c r="D24" s="745" t="s">
        <v>925</v>
      </c>
      <c r="E24" s="742" t="s">
        <v>39</v>
      </c>
    </row>
    <row r="25" ht="17.25" spans="1:5">
      <c r="A25" s="746"/>
      <c r="B25" s="747"/>
      <c r="C25" s="124" t="s">
        <v>926</v>
      </c>
      <c r="D25" s="745" t="s">
        <v>927</v>
      </c>
      <c r="E25" s="742" t="s">
        <v>39</v>
      </c>
    </row>
    <row r="26" ht="17.25" spans="1:5">
      <c r="A26" s="746"/>
      <c r="B26" s="747"/>
      <c r="C26" s="124" t="s">
        <v>928</v>
      </c>
      <c r="D26" s="745" t="s">
        <v>929</v>
      </c>
      <c r="E26" s="748" t="s">
        <v>900</v>
      </c>
    </row>
    <row r="27" ht="17.25" spans="1:5">
      <c r="A27" s="746"/>
      <c r="B27" s="749"/>
      <c r="C27" s="124" t="s">
        <v>930</v>
      </c>
      <c r="D27" s="745" t="s">
        <v>931</v>
      </c>
      <c r="E27" s="739" t="s">
        <v>872</v>
      </c>
    </row>
    <row r="28" ht="17.25" spans="1:5">
      <c r="A28" s="746"/>
      <c r="B28" s="747" t="s">
        <v>932</v>
      </c>
      <c r="C28" s="124" t="s">
        <v>933</v>
      </c>
      <c r="D28" s="745" t="s">
        <v>916</v>
      </c>
      <c r="E28" s="739" t="s">
        <v>872</v>
      </c>
    </row>
    <row r="29" ht="17.25" spans="1:5">
      <c r="A29" s="746"/>
      <c r="B29" s="747"/>
      <c r="C29" s="124" t="s">
        <v>934</v>
      </c>
      <c r="D29" s="745" t="s">
        <v>916</v>
      </c>
      <c r="E29" s="739" t="s">
        <v>872</v>
      </c>
    </row>
    <row r="30" ht="17.25" spans="1:5">
      <c r="A30" s="746"/>
      <c r="B30" s="747"/>
      <c r="C30" s="124" t="s">
        <v>935</v>
      </c>
      <c r="D30" s="745" t="s">
        <v>936</v>
      </c>
      <c r="E30" s="739" t="s">
        <v>872</v>
      </c>
    </row>
    <row r="31" ht="17.25" spans="1:5">
      <c r="A31" s="746"/>
      <c r="B31" s="747"/>
      <c r="C31" s="124" t="s">
        <v>937</v>
      </c>
      <c r="D31" s="745" t="s">
        <v>936</v>
      </c>
      <c r="E31" s="739" t="s">
        <v>872</v>
      </c>
    </row>
    <row r="32" ht="17.25" spans="1:5">
      <c r="A32" s="746"/>
      <c r="B32" s="747"/>
      <c r="C32" s="124" t="s">
        <v>938</v>
      </c>
      <c r="D32" s="745" t="s">
        <v>936</v>
      </c>
      <c r="E32" s="739" t="s">
        <v>872</v>
      </c>
    </row>
    <row r="33" ht="17.25" spans="1:5">
      <c r="A33" s="746"/>
      <c r="B33" s="747"/>
      <c r="C33" s="124" t="s">
        <v>939</v>
      </c>
      <c r="D33" s="745" t="s">
        <v>916</v>
      </c>
      <c r="E33" s="739" t="s">
        <v>872</v>
      </c>
    </row>
    <row r="34" ht="17.25" spans="1:5">
      <c r="A34" s="746"/>
      <c r="B34" s="747"/>
      <c r="C34" s="124" t="s">
        <v>940</v>
      </c>
      <c r="D34" s="745" t="s">
        <v>936</v>
      </c>
      <c r="E34" s="739" t="s">
        <v>872</v>
      </c>
    </row>
    <row r="35" ht="17.25" spans="1:5">
      <c r="A35" s="746"/>
      <c r="B35" s="747"/>
      <c r="C35" s="124" t="s">
        <v>941</v>
      </c>
      <c r="D35" s="745" t="s">
        <v>916</v>
      </c>
      <c r="E35" s="739" t="s">
        <v>872</v>
      </c>
    </row>
    <row r="36" ht="17.25" spans="1:5">
      <c r="A36" s="746"/>
      <c r="B36" s="747"/>
      <c r="C36" s="124" t="s">
        <v>942</v>
      </c>
      <c r="D36" s="745" t="s">
        <v>943</v>
      </c>
      <c r="E36" s="739" t="s">
        <v>872</v>
      </c>
    </row>
    <row r="37" ht="17.25" spans="1:5">
      <c r="A37" s="746"/>
      <c r="B37" s="747"/>
      <c r="C37" s="124" t="s">
        <v>944</v>
      </c>
      <c r="D37" s="745" t="s">
        <v>936</v>
      </c>
      <c r="E37" s="739" t="s">
        <v>872</v>
      </c>
    </row>
    <row r="38" ht="17.25" spans="1:5">
      <c r="A38" s="746"/>
      <c r="B38" s="747"/>
      <c r="C38" s="124" t="s">
        <v>945</v>
      </c>
      <c r="D38" s="745" t="s">
        <v>946</v>
      </c>
      <c r="E38" s="739" t="s">
        <v>872</v>
      </c>
    </row>
    <row r="39" ht="17.25" spans="1:5">
      <c r="A39" s="746"/>
      <c r="B39" s="747"/>
      <c r="C39" s="124" t="s">
        <v>947</v>
      </c>
      <c r="D39" s="745" t="s">
        <v>936</v>
      </c>
      <c r="E39" s="739" t="s">
        <v>872</v>
      </c>
    </row>
    <row r="40" ht="17.25" spans="1:5">
      <c r="A40" s="746"/>
      <c r="B40" s="747"/>
      <c r="C40" s="124" t="s">
        <v>948</v>
      </c>
      <c r="D40" s="745" t="s">
        <v>916</v>
      </c>
      <c r="E40" s="739" t="s">
        <v>872</v>
      </c>
    </row>
    <row r="41" ht="17.25" spans="1:5">
      <c r="A41" s="746"/>
      <c r="B41" s="747"/>
      <c r="C41" s="124" t="s">
        <v>949</v>
      </c>
      <c r="D41" s="745" t="s">
        <v>950</v>
      </c>
      <c r="E41" s="739" t="s">
        <v>872</v>
      </c>
    </row>
    <row r="42" ht="17.25" spans="1:5">
      <c r="A42" s="746"/>
      <c r="B42" s="747"/>
      <c r="C42" s="124" t="s">
        <v>951</v>
      </c>
      <c r="D42" s="745" t="s">
        <v>952</v>
      </c>
      <c r="E42" s="739" t="s">
        <v>872</v>
      </c>
    </row>
    <row r="43" ht="17.25" spans="1:5">
      <c r="A43" s="746"/>
      <c r="B43" s="747"/>
      <c r="C43" s="124" t="s">
        <v>953</v>
      </c>
      <c r="D43" s="745" t="s">
        <v>954</v>
      </c>
      <c r="E43" s="739" t="s">
        <v>872</v>
      </c>
    </row>
    <row r="44" ht="17.25" spans="1:5">
      <c r="A44" s="746"/>
      <c r="B44" s="747"/>
      <c r="C44" s="124" t="s">
        <v>955</v>
      </c>
      <c r="D44" s="745" t="s">
        <v>916</v>
      </c>
      <c r="E44" s="739" t="s">
        <v>872</v>
      </c>
    </row>
    <row r="45" ht="17.25" spans="1:5">
      <c r="A45" s="746"/>
      <c r="B45" s="749"/>
      <c r="C45" s="124" t="s">
        <v>956</v>
      </c>
      <c r="D45" s="745" t="s">
        <v>957</v>
      </c>
      <c r="E45" s="739" t="s">
        <v>872</v>
      </c>
    </row>
    <row r="46" ht="17.25" spans="1:5">
      <c r="A46" s="746"/>
      <c r="B46" s="750" t="s">
        <v>958</v>
      </c>
      <c r="C46" s="124" t="s">
        <v>959</v>
      </c>
      <c r="D46" s="745" t="s">
        <v>960</v>
      </c>
      <c r="E46" s="739" t="s">
        <v>872</v>
      </c>
    </row>
    <row r="47" ht="16.95" customHeight="1" spans="1:5">
      <c r="A47" s="746"/>
      <c r="B47" s="751"/>
      <c r="C47" s="752" t="s">
        <v>961</v>
      </c>
      <c r="D47" s="753" t="s">
        <v>962</v>
      </c>
      <c r="E47" s="739" t="s">
        <v>872</v>
      </c>
    </row>
    <row r="48" ht="16.95" customHeight="1" spans="1:5">
      <c r="A48" s="746"/>
      <c r="B48" s="750" t="s">
        <v>963</v>
      </c>
      <c r="C48" s="752" t="s">
        <v>964</v>
      </c>
      <c r="D48" s="753" t="s">
        <v>965</v>
      </c>
      <c r="E48" s="739" t="s">
        <v>872</v>
      </c>
    </row>
    <row r="49" ht="25.05" customHeight="1" spans="1:5">
      <c r="A49" s="746"/>
      <c r="B49" s="751"/>
      <c r="C49" s="752" t="s">
        <v>966</v>
      </c>
      <c r="D49" s="753" t="s">
        <v>962</v>
      </c>
      <c r="E49" s="739" t="s">
        <v>872</v>
      </c>
    </row>
    <row r="50" ht="34.5" spans="1:5">
      <c r="A50" s="746"/>
      <c r="B50" s="339" t="s">
        <v>967</v>
      </c>
      <c r="C50" s="752" t="s">
        <v>968</v>
      </c>
      <c r="D50" s="753" t="s">
        <v>969</v>
      </c>
      <c r="E50" s="748" t="s">
        <v>900</v>
      </c>
    </row>
    <row r="51" ht="17.25" spans="1:5">
      <c r="A51" s="746"/>
      <c r="B51" s="635" t="s">
        <v>970</v>
      </c>
      <c r="C51" s="752" t="s">
        <v>971</v>
      </c>
      <c r="D51" s="745" t="s">
        <v>916</v>
      </c>
      <c r="E51" s="739" t="s">
        <v>872</v>
      </c>
    </row>
    <row r="52" ht="17.25" spans="1:5">
      <c r="A52" s="746"/>
      <c r="B52" s="747"/>
      <c r="C52" s="752" t="s">
        <v>972</v>
      </c>
      <c r="D52" s="753" t="s">
        <v>973</v>
      </c>
      <c r="E52" s="739" t="s">
        <v>872</v>
      </c>
    </row>
    <row r="53" ht="17.25" spans="1:5">
      <c r="A53" s="746"/>
      <c r="B53" s="747"/>
      <c r="C53" s="752" t="s">
        <v>974</v>
      </c>
      <c r="D53" s="753" t="s">
        <v>973</v>
      </c>
      <c r="E53" s="739" t="s">
        <v>872</v>
      </c>
    </row>
    <row r="54" ht="17.25" spans="1:5">
      <c r="A54" s="746"/>
      <c r="B54" s="747"/>
      <c r="C54" s="752" t="s">
        <v>975</v>
      </c>
      <c r="D54" s="753" t="s">
        <v>976</v>
      </c>
      <c r="E54" s="739" t="s">
        <v>872</v>
      </c>
    </row>
    <row r="55" ht="17.25" spans="1:5">
      <c r="A55" s="746"/>
      <c r="B55" s="749"/>
      <c r="C55" s="752" t="s">
        <v>977</v>
      </c>
      <c r="D55" s="753" t="s">
        <v>978</v>
      </c>
      <c r="E55" s="739" t="s">
        <v>872</v>
      </c>
    </row>
    <row r="56" ht="17.25" spans="1:5">
      <c r="A56" s="746"/>
      <c r="B56" s="497" t="s">
        <v>979</v>
      </c>
      <c r="C56" s="124" t="s">
        <v>980</v>
      </c>
      <c r="D56" s="745" t="s">
        <v>916</v>
      </c>
      <c r="E56" s="739" t="s">
        <v>872</v>
      </c>
    </row>
    <row r="57" ht="22.05" customHeight="1" spans="1:5">
      <c r="A57" s="746"/>
      <c r="B57" s="497" t="s">
        <v>981</v>
      </c>
      <c r="C57" s="124" t="s">
        <v>982</v>
      </c>
      <c r="D57" s="745" t="s">
        <v>936</v>
      </c>
      <c r="E57" s="739" t="s">
        <v>872</v>
      </c>
    </row>
    <row r="58" ht="17.25" spans="1:5">
      <c r="A58" s="754"/>
      <c r="B58" s="497" t="s">
        <v>983</v>
      </c>
      <c r="C58" s="124" t="s">
        <v>984</v>
      </c>
      <c r="D58" s="745" t="s">
        <v>985</v>
      </c>
      <c r="E58" s="739" t="s">
        <v>872</v>
      </c>
    </row>
    <row r="59" ht="22.05" customHeight="1" spans="1:5">
      <c r="A59" s="746" t="s">
        <v>986</v>
      </c>
      <c r="B59" s="497" t="s">
        <v>987</v>
      </c>
      <c r="C59" s="124" t="s">
        <v>988</v>
      </c>
      <c r="D59" s="745" t="s">
        <v>989</v>
      </c>
      <c r="E59" s="739" t="s">
        <v>872</v>
      </c>
    </row>
    <row r="60" ht="24" customHeight="1" spans="1:5">
      <c r="A60" s="746"/>
      <c r="B60" s="497" t="s">
        <v>990</v>
      </c>
      <c r="C60" s="124" t="s">
        <v>991</v>
      </c>
      <c r="D60" s="745" t="s">
        <v>992</v>
      </c>
      <c r="E60" s="739" t="s">
        <v>872</v>
      </c>
    </row>
    <row r="61" ht="25.05" customHeight="1" spans="1:5">
      <c r="A61" s="746"/>
      <c r="B61" s="497" t="s">
        <v>993</v>
      </c>
      <c r="C61" s="124" t="s">
        <v>994</v>
      </c>
      <c r="D61" s="745" t="s">
        <v>899</v>
      </c>
      <c r="E61" s="742" t="s">
        <v>39</v>
      </c>
    </row>
    <row r="62" ht="31.95" customHeight="1" spans="1:5">
      <c r="A62" s="746"/>
      <c r="B62" s="497" t="s">
        <v>995</v>
      </c>
      <c r="C62" s="124" t="s">
        <v>996</v>
      </c>
      <c r="D62" s="745" t="s">
        <v>997</v>
      </c>
      <c r="E62" s="739" t="s">
        <v>872</v>
      </c>
    </row>
    <row r="63" ht="24" customHeight="1" spans="1:5">
      <c r="A63" s="746"/>
      <c r="B63" s="497" t="s">
        <v>998</v>
      </c>
      <c r="C63" s="124" t="s">
        <v>999</v>
      </c>
      <c r="D63" s="745" t="s">
        <v>1000</v>
      </c>
      <c r="E63" s="739" t="s">
        <v>872</v>
      </c>
    </row>
    <row r="64" ht="25.05" customHeight="1" spans="1:5">
      <c r="A64" s="755"/>
      <c r="B64" s="756" t="s">
        <v>1001</v>
      </c>
      <c r="C64" s="757" t="s">
        <v>1002</v>
      </c>
      <c r="D64" s="745" t="s">
        <v>1003</v>
      </c>
      <c r="E64" s="739" t="s">
        <v>872</v>
      </c>
    </row>
  </sheetData>
  <mergeCells count="14">
    <mergeCell ref="A1:E1"/>
    <mergeCell ref="A2:B2"/>
    <mergeCell ref="D2:E2"/>
    <mergeCell ref="A4:A11"/>
    <mergeCell ref="A12:A58"/>
    <mergeCell ref="A59:A64"/>
    <mergeCell ref="B12:B15"/>
    <mergeCell ref="B16:B17"/>
    <mergeCell ref="B18:B20"/>
    <mergeCell ref="B21:B27"/>
    <mergeCell ref="B28:B45"/>
    <mergeCell ref="B46:B47"/>
    <mergeCell ref="B48:B49"/>
    <mergeCell ref="B51:B55"/>
  </mergeCells>
  <pageMargins left="0.75" right="0.75" top="1" bottom="1" header="0.5" footer="0.5"/>
  <pageSetup paperSize="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F0"/>
  </sheetPr>
  <dimension ref="A1:D52"/>
  <sheetViews>
    <sheetView zoomScale="115" zoomScaleNormal="115" zoomScalePageLayoutView="300" workbookViewId="0">
      <pane ySplit="2" topLeftCell="A36" activePane="bottomLeft" state="frozen"/>
      <selection/>
      <selection pane="bottomLeft" activeCell="B37" sqref="B37"/>
    </sheetView>
  </sheetViews>
  <sheetFormatPr defaultColWidth="9" defaultRowHeight="14.25" outlineLevelCol="3"/>
  <cols>
    <col min="1" max="1" width="6.3" style="712" customWidth="1"/>
    <col min="2" max="2" width="95.2" customWidth="1"/>
    <col min="3" max="3" width="54.3" customWidth="1"/>
    <col min="4" max="4" width="17.7" customWidth="1"/>
  </cols>
  <sheetData>
    <row r="1" s="710" customFormat="1" ht="25.5" spans="1:4">
      <c r="A1" s="713" t="s">
        <v>1004</v>
      </c>
      <c r="B1" s="713"/>
      <c r="C1" s="713"/>
      <c r="D1" s="713"/>
    </row>
    <row r="2" s="711" customFormat="1" ht="18.75" spans="1:4">
      <c r="A2" s="714" t="s">
        <v>1005</v>
      </c>
      <c r="B2" s="715"/>
      <c r="C2" s="715"/>
      <c r="D2" s="716"/>
    </row>
    <row r="3" s="711" customFormat="1" ht="18.75" spans="1:4">
      <c r="A3" s="717" t="s">
        <v>63</v>
      </c>
      <c r="B3" s="718" t="s">
        <v>1006</v>
      </c>
      <c r="C3" s="718" t="s">
        <v>1007</v>
      </c>
      <c r="D3" s="719" t="s">
        <v>868</v>
      </c>
    </row>
    <row r="4" ht="16.5" spans="1:4">
      <c r="A4" s="720">
        <v>1</v>
      </c>
      <c r="B4" s="721" t="s">
        <v>1008</v>
      </c>
      <c r="C4" s="721" t="s">
        <v>1009</v>
      </c>
      <c r="D4" s="721" t="s">
        <v>872</v>
      </c>
    </row>
    <row r="5" ht="16.5" spans="1:4">
      <c r="A5" s="720">
        <f t="shared" ref="A5:A14" si="0">A4+1</f>
        <v>2</v>
      </c>
      <c r="B5" s="721" t="s">
        <v>1010</v>
      </c>
      <c r="C5" s="721" t="s">
        <v>1011</v>
      </c>
      <c r="D5" s="721" t="s">
        <v>872</v>
      </c>
    </row>
    <row r="6" ht="16.5" spans="1:4">
      <c r="A6" s="720">
        <f t="shared" si="0"/>
        <v>3</v>
      </c>
      <c r="B6" s="721" t="s">
        <v>1012</v>
      </c>
      <c r="C6" s="721" t="s">
        <v>1013</v>
      </c>
      <c r="D6" s="721" t="s">
        <v>872</v>
      </c>
    </row>
    <row r="7" ht="16.5" spans="1:4">
      <c r="A7" s="720">
        <f t="shared" si="0"/>
        <v>4</v>
      </c>
      <c r="B7" s="721" t="s">
        <v>1014</v>
      </c>
      <c r="C7" s="721" t="s">
        <v>1015</v>
      </c>
      <c r="D7" s="721" t="s">
        <v>872</v>
      </c>
    </row>
    <row r="8" ht="16.5" spans="1:4">
      <c r="A8" s="720">
        <f t="shared" si="0"/>
        <v>5</v>
      </c>
      <c r="B8" s="721" t="s">
        <v>1016</v>
      </c>
      <c r="C8" s="721" t="s">
        <v>1017</v>
      </c>
      <c r="D8" s="721" t="s">
        <v>872</v>
      </c>
    </row>
    <row r="9" ht="16.5" spans="1:4">
      <c r="A9" s="720">
        <f t="shared" si="0"/>
        <v>6</v>
      </c>
      <c r="B9" s="721" t="s">
        <v>1018</v>
      </c>
      <c r="C9" s="721" t="s">
        <v>1019</v>
      </c>
      <c r="D9" s="722" t="s">
        <v>900</v>
      </c>
    </row>
    <row r="10" ht="16.5" spans="1:4">
      <c r="A10" s="720">
        <f t="shared" si="0"/>
        <v>7</v>
      </c>
      <c r="B10" s="721" t="s">
        <v>1020</v>
      </c>
      <c r="C10" s="721" t="s">
        <v>1021</v>
      </c>
      <c r="D10" s="721" t="s">
        <v>872</v>
      </c>
    </row>
    <row r="11" ht="16.5" spans="1:4">
      <c r="A11" s="720">
        <f t="shared" si="0"/>
        <v>8</v>
      </c>
      <c r="B11" s="721" t="s">
        <v>1022</v>
      </c>
      <c r="C11" s="721" t="s">
        <v>1023</v>
      </c>
      <c r="D11" s="721" t="s">
        <v>872</v>
      </c>
    </row>
    <row r="12" ht="16.5" spans="1:4">
      <c r="A12" s="720">
        <f t="shared" si="0"/>
        <v>9</v>
      </c>
      <c r="B12" s="721" t="s">
        <v>1024</v>
      </c>
      <c r="C12" s="721" t="s">
        <v>1025</v>
      </c>
      <c r="D12" s="722" t="s">
        <v>900</v>
      </c>
    </row>
    <row r="13" ht="16.5" spans="1:4">
      <c r="A13" s="720">
        <f t="shared" si="0"/>
        <v>10</v>
      </c>
      <c r="B13" s="721" t="s">
        <v>1026</v>
      </c>
      <c r="C13" s="721" t="s">
        <v>1027</v>
      </c>
      <c r="D13" s="721" t="s">
        <v>872</v>
      </c>
    </row>
    <row r="14" ht="16.5" spans="1:4">
      <c r="A14" s="720">
        <f t="shared" si="0"/>
        <v>11</v>
      </c>
      <c r="B14" s="721" t="s">
        <v>1028</v>
      </c>
      <c r="C14" s="721" t="s">
        <v>1029</v>
      </c>
      <c r="D14" s="721" t="s">
        <v>872</v>
      </c>
    </row>
    <row r="15" ht="16.5" spans="1:4">
      <c r="A15" s="717" t="s">
        <v>63</v>
      </c>
      <c r="B15" s="718" t="s">
        <v>1030</v>
      </c>
      <c r="C15" s="718" t="s">
        <v>1007</v>
      </c>
      <c r="D15" s="723"/>
    </row>
    <row r="16" ht="16.5" spans="1:4">
      <c r="A16" s="720">
        <f>A14+1</f>
        <v>12</v>
      </c>
      <c r="B16" s="721" t="s">
        <v>1031</v>
      </c>
      <c r="C16" s="721" t="s">
        <v>1032</v>
      </c>
      <c r="D16" s="721" t="s">
        <v>872</v>
      </c>
    </row>
    <row r="17" ht="16.5" spans="1:4">
      <c r="A17" s="720">
        <f t="shared" ref="A17:A21" si="1">A16+1</f>
        <v>13</v>
      </c>
      <c r="B17" s="721" t="s">
        <v>1033</v>
      </c>
      <c r="C17" s="721" t="s">
        <v>1034</v>
      </c>
      <c r="D17" s="721" t="s">
        <v>872</v>
      </c>
    </row>
    <row r="18" ht="16.5" spans="1:4">
      <c r="A18" s="720">
        <f t="shared" si="1"/>
        <v>14</v>
      </c>
      <c r="B18" s="721" t="s">
        <v>1035</v>
      </c>
      <c r="C18" s="721" t="s">
        <v>1036</v>
      </c>
      <c r="D18" s="721" t="s">
        <v>900</v>
      </c>
    </row>
    <row r="19" ht="16.5" spans="1:4">
      <c r="A19" s="720">
        <f t="shared" si="1"/>
        <v>15</v>
      </c>
      <c r="B19" s="721" t="s">
        <v>1037</v>
      </c>
      <c r="C19" s="721" t="s">
        <v>1032</v>
      </c>
      <c r="D19" s="721" t="s">
        <v>872</v>
      </c>
    </row>
    <row r="20" ht="16.5" spans="1:4">
      <c r="A20" s="720">
        <f t="shared" si="1"/>
        <v>16</v>
      </c>
      <c r="B20" s="721" t="s">
        <v>1038</v>
      </c>
      <c r="C20" s="721" t="s">
        <v>1032</v>
      </c>
      <c r="D20" s="721" t="s">
        <v>872</v>
      </c>
    </row>
    <row r="21" ht="16.5" spans="1:4">
      <c r="A21" s="720">
        <f t="shared" si="1"/>
        <v>17</v>
      </c>
      <c r="B21" s="721" t="s">
        <v>1039</v>
      </c>
      <c r="C21" s="721" t="s">
        <v>1040</v>
      </c>
      <c r="D21" s="721" t="s">
        <v>872</v>
      </c>
    </row>
    <row r="22" ht="16.5" spans="1:4">
      <c r="A22" s="720">
        <f t="shared" ref="A22:A30" si="2">A21+1</f>
        <v>18</v>
      </c>
      <c r="B22" s="721" t="s">
        <v>1041</v>
      </c>
      <c r="C22" s="721" t="s">
        <v>1042</v>
      </c>
      <c r="D22" s="721" t="s">
        <v>872</v>
      </c>
    </row>
    <row r="23" ht="16.5" spans="1:4">
      <c r="A23" s="720">
        <f t="shared" si="2"/>
        <v>19</v>
      </c>
      <c r="B23" s="721" t="s">
        <v>1043</v>
      </c>
      <c r="C23" s="721" t="s">
        <v>1044</v>
      </c>
      <c r="D23" s="721" t="s">
        <v>872</v>
      </c>
    </row>
    <row r="24" ht="16.5" spans="1:4">
      <c r="A24" s="720">
        <f t="shared" si="2"/>
        <v>20</v>
      </c>
      <c r="B24" s="721" t="s">
        <v>1045</v>
      </c>
      <c r="C24" s="721" t="s">
        <v>1046</v>
      </c>
      <c r="D24" s="722" t="s">
        <v>900</v>
      </c>
    </row>
    <row r="25" ht="16.5" spans="1:4">
      <c r="A25" s="720">
        <f t="shared" si="2"/>
        <v>21</v>
      </c>
      <c r="B25" s="721" t="s">
        <v>1047</v>
      </c>
      <c r="C25" s="721" t="s">
        <v>1048</v>
      </c>
      <c r="D25" s="721" t="s">
        <v>872</v>
      </c>
    </row>
    <row r="26" ht="16.5" spans="1:4">
      <c r="A26" s="720">
        <f t="shared" si="2"/>
        <v>22</v>
      </c>
      <c r="B26" s="721" t="s">
        <v>1049</v>
      </c>
      <c r="C26" s="721" t="s">
        <v>1050</v>
      </c>
      <c r="D26" s="721" t="s">
        <v>872</v>
      </c>
    </row>
    <row r="27" ht="16.5" spans="1:4">
      <c r="A27" s="720">
        <f t="shared" si="2"/>
        <v>23</v>
      </c>
      <c r="B27" s="721" t="s">
        <v>1051</v>
      </c>
      <c r="C27" s="721" t="s">
        <v>1052</v>
      </c>
      <c r="D27" s="721" t="s">
        <v>872</v>
      </c>
    </row>
    <row r="28" ht="16.5" spans="1:4">
      <c r="A28" s="720">
        <f t="shared" si="2"/>
        <v>24</v>
      </c>
      <c r="B28" s="721" t="s">
        <v>1053</v>
      </c>
      <c r="C28" s="721" t="s">
        <v>1054</v>
      </c>
      <c r="D28" s="721" t="s">
        <v>872</v>
      </c>
    </row>
    <row r="29" ht="16.5" spans="1:4">
      <c r="A29" s="720">
        <f t="shared" si="2"/>
        <v>25</v>
      </c>
      <c r="B29" s="721" t="s">
        <v>1055</v>
      </c>
      <c r="C29" s="721" t="s">
        <v>1056</v>
      </c>
      <c r="D29" s="721" t="s">
        <v>872</v>
      </c>
    </row>
    <row r="30" ht="16.5" spans="1:4">
      <c r="A30" s="720">
        <f t="shared" si="2"/>
        <v>26</v>
      </c>
      <c r="B30" s="721" t="s">
        <v>1057</v>
      </c>
      <c r="C30" s="721" t="s">
        <v>1058</v>
      </c>
      <c r="D30" s="721" t="s">
        <v>872</v>
      </c>
    </row>
    <row r="31" ht="16.5" spans="1:4">
      <c r="A31" s="717" t="s">
        <v>63</v>
      </c>
      <c r="B31" s="718" t="s">
        <v>1059</v>
      </c>
      <c r="C31" s="718" t="s">
        <v>1007</v>
      </c>
      <c r="D31" s="723"/>
    </row>
    <row r="32" ht="16.5" spans="1:4">
      <c r="A32" s="720">
        <f>A30+1</f>
        <v>27</v>
      </c>
      <c r="B32" s="721" t="s">
        <v>1060</v>
      </c>
      <c r="C32" s="721" t="s">
        <v>1061</v>
      </c>
      <c r="D32" s="721" t="s">
        <v>872</v>
      </c>
    </row>
    <row r="33" ht="16.5" spans="1:4">
      <c r="A33" s="720">
        <f t="shared" ref="A33:A41" si="3">A32+1</f>
        <v>28</v>
      </c>
      <c r="B33" s="721" t="s">
        <v>1062</v>
      </c>
      <c r="C33" s="721" t="s">
        <v>1061</v>
      </c>
      <c r="D33" s="721" t="s">
        <v>872</v>
      </c>
    </row>
    <row r="34" ht="16.5" spans="1:4">
      <c r="A34" s="720">
        <f t="shared" si="3"/>
        <v>29</v>
      </c>
      <c r="B34" s="721" t="s">
        <v>1063</v>
      </c>
      <c r="C34" s="721" t="s">
        <v>1064</v>
      </c>
      <c r="D34" s="721" t="s">
        <v>872</v>
      </c>
    </row>
    <row r="35" ht="16.5" spans="1:4">
      <c r="A35" s="720">
        <f t="shared" si="3"/>
        <v>30</v>
      </c>
      <c r="B35" s="721" t="s">
        <v>1065</v>
      </c>
      <c r="C35" s="721" t="s">
        <v>1066</v>
      </c>
      <c r="D35" s="721" t="s">
        <v>872</v>
      </c>
    </row>
    <row r="36" ht="16.5" spans="1:4">
      <c r="A36" s="720">
        <f t="shared" si="3"/>
        <v>31</v>
      </c>
      <c r="B36" s="721" t="s">
        <v>1067</v>
      </c>
      <c r="C36" s="721" t="s">
        <v>1068</v>
      </c>
      <c r="D36" s="721" t="s">
        <v>872</v>
      </c>
    </row>
    <row r="37" ht="16.5" spans="1:4">
      <c r="A37" s="720">
        <f t="shared" si="3"/>
        <v>32</v>
      </c>
      <c r="B37" s="721" t="s">
        <v>1069</v>
      </c>
      <c r="C37" s="721" t="s">
        <v>1070</v>
      </c>
      <c r="D37" s="721" t="s">
        <v>872</v>
      </c>
    </row>
    <row r="38" ht="16.5" spans="1:4">
      <c r="A38" s="720">
        <f t="shared" si="3"/>
        <v>33</v>
      </c>
      <c r="B38" s="721" t="s">
        <v>1071</v>
      </c>
      <c r="C38" s="721" t="s">
        <v>1072</v>
      </c>
      <c r="D38" s="721" t="s">
        <v>872</v>
      </c>
    </row>
    <row r="39" ht="16.5" spans="1:4">
      <c r="A39" s="720">
        <f t="shared" si="3"/>
        <v>34</v>
      </c>
      <c r="B39" s="721" t="s">
        <v>1073</v>
      </c>
      <c r="C39" s="721" t="s">
        <v>1074</v>
      </c>
      <c r="D39" s="721" t="s">
        <v>872</v>
      </c>
    </row>
    <row r="40" ht="16.5" spans="1:4">
      <c r="A40" s="720">
        <f t="shared" si="3"/>
        <v>35</v>
      </c>
      <c r="B40" s="721" t="s">
        <v>1075</v>
      </c>
      <c r="C40" s="721" t="s">
        <v>1076</v>
      </c>
      <c r="D40" s="721" t="s">
        <v>872</v>
      </c>
    </row>
    <row r="41" ht="16.5" spans="1:4">
      <c r="A41" s="720">
        <f t="shared" si="3"/>
        <v>36</v>
      </c>
      <c r="B41" s="721" t="s">
        <v>1077</v>
      </c>
      <c r="C41" s="721" t="s">
        <v>1078</v>
      </c>
      <c r="D41" s="722" t="s">
        <v>900</v>
      </c>
    </row>
    <row r="42" ht="16.5" spans="1:4">
      <c r="A42" s="717" t="s">
        <v>63</v>
      </c>
      <c r="B42" s="718" t="s">
        <v>1079</v>
      </c>
      <c r="C42" s="718" t="s">
        <v>1007</v>
      </c>
      <c r="D42" s="723"/>
    </row>
    <row r="43" ht="16.5" spans="1:4">
      <c r="A43" s="720">
        <f>A41+1</f>
        <v>37</v>
      </c>
      <c r="B43" s="721" t="s">
        <v>1080</v>
      </c>
      <c r="C43" s="721" t="s">
        <v>1081</v>
      </c>
      <c r="D43" s="721" t="s">
        <v>872</v>
      </c>
    </row>
    <row r="44" ht="16.5" spans="1:4">
      <c r="A44" s="720">
        <f t="shared" ref="A44:A50" si="4">A43+1</f>
        <v>38</v>
      </c>
      <c r="B44" s="721" t="s">
        <v>1082</v>
      </c>
      <c r="C44" s="721" t="s">
        <v>1083</v>
      </c>
      <c r="D44" s="721" t="s">
        <v>872</v>
      </c>
    </row>
    <row r="45" ht="16.5" spans="1:4">
      <c r="A45" s="720">
        <f t="shared" si="4"/>
        <v>39</v>
      </c>
      <c r="B45" s="721" t="s">
        <v>1084</v>
      </c>
      <c r="C45" s="721" t="s">
        <v>1085</v>
      </c>
      <c r="D45" s="721" t="s">
        <v>872</v>
      </c>
    </row>
    <row r="46" ht="16.5" spans="1:4">
      <c r="A46" s="720">
        <f t="shared" si="4"/>
        <v>40</v>
      </c>
      <c r="B46" s="721" t="s">
        <v>1086</v>
      </c>
      <c r="C46" s="721" t="s">
        <v>1087</v>
      </c>
      <c r="D46" s="721" t="s">
        <v>872</v>
      </c>
    </row>
    <row r="47" ht="16.5" spans="1:4">
      <c r="A47" s="720">
        <f t="shared" si="4"/>
        <v>41</v>
      </c>
      <c r="B47" s="721" t="s">
        <v>1088</v>
      </c>
      <c r="C47" s="721" t="s">
        <v>1089</v>
      </c>
      <c r="D47" s="721" t="s">
        <v>872</v>
      </c>
    </row>
    <row r="48" ht="16.5" spans="1:4">
      <c r="A48" s="720">
        <f t="shared" si="4"/>
        <v>42</v>
      </c>
      <c r="B48" s="721" t="s">
        <v>1090</v>
      </c>
      <c r="C48" s="721" t="s">
        <v>1091</v>
      </c>
      <c r="D48" s="721" t="s">
        <v>872</v>
      </c>
    </row>
    <row r="49" ht="16.5" spans="1:4">
      <c r="A49" s="720">
        <f t="shared" si="4"/>
        <v>43</v>
      </c>
      <c r="B49" s="721" t="s">
        <v>1092</v>
      </c>
      <c r="C49" s="721" t="s">
        <v>1093</v>
      </c>
      <c r="D49" s="721" t="s">
        <v>872</v>
      </c>
    </row>
    <row r="50" ht="16.5" spans="1:4">
      <c r="A50" s="720">
        <f t="shared" si="4"/>
        <v>44</v>
      </c>
      <c r="B50" s="721" t="s">
        <v>1094</v>
      </c>
      <c r="C50" s="721" t="s">
        <v>1095</v>
      </c>
      <c r="D50" s="721" t="s">
        <v>872</v>
      </c>
    </row>
    <row r="51" ht="16.5" spans="1:4">
      <c r="A51" s="720">
        <v>45</v>
      </c>
      <c r="B51" s="721" t="s">
        <v>1096</v>
      </c>
      <c r="C51" s="721" t="s">
        <v>1097</v>
      </c>
      <c r="D51" s="721" t="s">
        <v>872</v>
      </c>
    </row>
    <row r="52" ht="19.95" customHeight="1" spans="1:4">
      <c r="A52" s="724" t="s">
        <v>1098</v>
      </c>
      <c r="B52" s="725"/>
      <c r="C52" s="725"/>
      <c r="D52" s="723"/>
    </row>
  </sheetData>
  <mergeCells count="3">
    <mergeCell ref="A1:D1"/>
    <mergeCell ref="A2:D2"/>
    <mergeCell ref="A52:C52"/>
  </mergeCell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C000"/>
  </sheetPr>
  <dimension ref="A1:AL68"/>
  <sheetViews>
    <sheetView zoomScale="85" zoomScaleNormal="85" zoomScalePageLayoutView="290" workbookViewId="0">
      <pane xSplit="38" ySplit="6" topLeftCell="AM7" activePane="bottomRight" state="frozen"/>
      <selection/>
      <selection pane="topRight"/>
      <selection pane="bottomLeft"/>
      <selection pane="bottomRight" activeCell="B23" sqref="B23"/>
    </sheetView>
  </sheetViews>
  <sheetFormatPr defaultColWidth="9" defaultRowHeight="17.25"/>
  <cols>
    <col min="1" max="1" width="4.8" style="388" customWidth="1"/>
    <col min="2" max="2" width="22.2" style="388" customWidth="1"/>
    <col min="3" max="3" width="24.7" style="388" customWidth="1"/>
    <col min="4" max="4" width="10.2" style="388" customWidth="1"/>
    <col min="5" max="5" width="9.3" style="388" customWidth="1"/>
    <col min="6" max="35" width="2.7" style="388" customWidth="1"/>
    <col min="36" max="36" width="8.5" style="388" customWidth="1"/>
    <col min="37" max="37" width="10.7" style="388" customWidth="1"/>
    <col min="38" max="38" width="34.3" style="388" customWidth="1"/>
    <col min="39" max="16384" width="9" style="388"/>
  </cols>
  <sheetData>
    <row r="1" ht="29.25" spans="1:38">
      <c r="A1" s="662" t="s">
        <v>1099</v>
      </c>
      <c r="B1" s="663"/>
      <c r="C1" s="663"/>
      <c r="D1" s="663"/>
      <c r="E1" s="663"/>
      <c r="F1" s="663"/>
      <c r="G1" s="663"/>
      <c r="H1" s="663"/>
      <c r="I1" s="663"/>
      <c r="J1" s="663"/>
      <c r="K1" s="663"/>
      <c r="L1" s="663"/>
      <c r="M1" s="663"/>
      <c r="N1" s="663"/>
      <c r="O1" s="663"/>
      <c r="P1" s="663"/>
      <c r="Q1" s="663"/>
      <c r="R1" s="663"/>
      <c r="S1" s="663"/>
      <c r="T1" s="663"/>
      <c r="U1" s="663"/>
      <c r="V1" s="663"/>
      <c r="W1" s="663"/>
      <c r="X1" s="663"/>
      <c r="Y1" s="663"/>
      <c r="Z1" s="663"/>
      <c r="AA1" s="663"/>
      <c r="AB1" s="663"/>
      <c r="AC1" s="663"/>
      <c r="AD1" s="663"/>
      <c r="AE1" s="663"/>
      <c r="AF1" s="663"/>
      <c r="AG1" s="663"/>
      <c r="AH1" s="663"/>
      <c r="AI1" s="663"/>
      <c r="AJ1" s="663"/>
      <c r="AK1" s="663"/>
      <c r="AL1" s="698"/>
    </row>
    <row r="2" ht="18" spans="1:38">
      <c r="A2" s="576" t="s">
        <v>1100</v>
      </c>
      <c r="B2" s="577"/>
      <c r="C2" s="578"/>
      <c r="D2" s="664" t="s">
        <v>1101</v>
      </c>
      <c r="E2" s="665"/>
      <c r="F2" s="665"/>
      <c r="G2" s="665"/>
      <c r="H2" s="665"/>
      <c r="I2" s="665"/>
      <c r="J2" s="665"/>
      <c r="K2" s="665"/>
      <c r="L2" s="665"/>
      <c r="M2" s="665"/>
      <c r="N2" s="665"/>
      <c r="O2" s="665"/>
      <c r="P2" s="665"/>
      <c r="Q2" s="665"/>
      <c r="R2" s="695"/>
      <c r="S2" s="664" t="s">
        <v>1102</v>
      </c>
      <c r="T2" s="665"/>
      <c r="U2" s="665"/>
      <c r="V2" s="665"/>
      <c r="W2" s="665"/>
      <c r="X2" s="665"/>
      <c r="Y2" s="665"/>
      <c r="Z2" s="665"/>
      <c r="AA2" s="665"/>
      <c r="AB2" s="665"/>
      <c r="AC2" s="665"/>
      <c r="AD2" s="665"/>
      <c r="AE2" s="665"/>
      <c r="AF2" s="665"/>
      <c r="AG2" s="665"/>
      <c r="AH2" s="665"/>
      <c r="AI2" s="695"/>
      <c r="AJ2" s="699" t="s">
        <v>1103</v>
      </c>
      <c r="AK2" s="700"/>
      <c r="AL2" s="701"/>
    </row>
    <row r="3" ht="24" customHeight="1" spans="1:38">
      <c r="A3" s="666" t="s">
        <v>1104</v>
      </c>
      <c r="B3" s="666"/>
      <c r="C3" s="666"/>
      <c r="D3" s="667"/>
      <c r="E3" s="667"/>
      <c r="F3" s="668">
        <v>43617</v>
      </c>
      <c r="G3" s="668"/>
      <c r="H3" s="668"/>
      <c r="I3" s="668"/>
      <c r="J3" s="668"/>
      <c r="K3" s="668"/>
      <c r="L3" s="668"/>
      <c r="M3" s="668"/>
      <c r="N3" s="668"/>
      <c r="O3" s="668"/>
      <c r="P3" s="668"/>
      <c r="Q3" s="668"/>
      <c r="R3" s="668"/>
      <c r="S3" s="668"/>
      <c r="T3" s="668"/>
      <c r="U3" s="668"/>
      <c r="V3" s="668"/>
      <c r="W3" s="668"/>
      <c r="X3" s="668"/>
      <c r="Y3" s="668"/>
      <c r="Z3" s="668"/>
      <c r="AA3" s="668"/>
      <c r="AB3" s="668"/>
      <c r="AC3" s="668"/>
      <c r="AD3" s="668"/>
      <c r="AE3" s="668"/>
      <c r="AF3" s="668"/>
      <c r="AG3" s="668"/>
      <c r="AH3" s="668"/>
      <c r="AI3" s="668"/>
      <c r="AJ3" s="666" t="s">
        <v>1105</v>
      </c>
      <c r="AK3" s="666"/>
      <c r="AL3" s="666"/>
    </row>
    <row r="4" ht="14.25" spans="1:38">
      <c r="A4" s="669" t="s">
        <v>63</v>
      </c>
      <c r="B4" s="669" t="s">
        <v>1106</v>
      </c>
      <c r="C4" s="669" t="s">
        <v>1107</v>
      </c>
      <c r="D4" s="670" t="s">
        <v>1108</v>
      </c>
      <c r="E4" s="670" t="s">
        <v>1109</v>
      </c>
      <c r="F4" s="671">
        <v>1</v>
      </c>
      <c r="G4" s="671">
        <v>2</v>
      </c>
      <c r="H4" s="671">
        <v>3</v>
      </c>
      <c r="I4" s="671">
        <v>4</v>
      </c>
      <c r="J4" s="671">
        <v>5</v>
      </c>
      <c r="K4" s="671">
        <v>6</v>
      </c>
      <c r="L4" s="671">
        <v>7</v>
      </c>
      <c r="M4" s="671">
        <v>8</v>
      </c>
      <c r="N4" s="671">
        <v>9</v>
      </c>
      <c r="O4" s="671">
        <v>10</v>
      </c>
      <c r="P4" s="671">
        <v>11</v>
      </c>
      <c r="Q4" s="671">
        <v>12</v>
      </c>
      <c r="R4" s="671">
        <v>13</v>
      </c>
      <c r="S4" s="671">
        <v>14</v>
      </c>
      <c r="T4" s="671">
        <v>15</v>
      </c>
      <c r="U4" s="671">
        <v>16</v>
      </c>
      <c r="V4" s="671">
        <v>17</v>
      </c>
      <c r="W4" s="671">
        <v>18</v>
      </c>
      <c r="X4" s="671">
        <v>19</v>
      </c>
      <c r="Y4" s="671">
        <v>20</v>
      </c>
      <c r="Z4" s="671">
        <v>21</v>
      </c>
      <c r="AA4" s="671">
        <v>22</v>
      </c>
      <c r="AB4" s="671">
        <v>23</v>
      </c>
      <c r="AC4" s="671">
        <v>24</v>
      </c>
      <c r="AD4" s="671">
        <v>25</v>
      </c>
      <c r="AE4" s="671">
        <v>26</v>
      </c>
      <c r="AF4" s="671">
        <v>27</v>
      </c>
      <c r="AG4" s="671">
        <v>28</v>
      </c>
      <c r="AH4" s="671">
        <v>29</v>
      </c>
      <c r="AI4" s="671">
        <v>30</v>
      </c>
      <c r="AJ4" s="669" t="s">
        <v>629</v>
      </c>
      <c r="AK4" s="669" t="s">
        <v>1110</v>
      </c>
      <c r="AL4" s="669"/>
    </row>
    <row r="5" ht="14.25" spans="1:38">
      <c r="A5" s="669"/>
      <c r="B5" s="669"/>
      <c r="C5" s="669"/>
      <c r="D5" s="670"/>
      <c r="E5" s="670"/>
      <c r="F5" s="671"/>
      <c r="G5" s="671"/>
      <c r="H5" s="671"/>
      <c r="I5" s="671"/>
      <c r="J5" s="671"/>
      <c r="K5" s="671"/>
      <c r="L5" s="671"/>
      <c r="M5" s="671"/>
      <c r="N5" s="671"/>
      <c r="O5" s="671"/>
      <c r="P5" s="671"/>
      <c r="Q5" s="671"/>
      <c r="R5" s="671"/>
      <c r="S5" s="671"/>
      <c r="T5" s="671"/>
      <c r="U5" s="671"/>
      <c r="V5" s="671"/>
      <c r="W5" s="671"/>
      <c r="X5" s="671"/>
      <c r="Y5" s="671"/>
      <c r="Z5" s="671"/>
      <c r="AA5" s="671"/>
      <c r="AB5" s="671"/>
      <c r="AC5" s="671"/>
      <c r="AD5" s="671"/>
      <c r="AE5" s="671"/>
      <c r="AF5" s="671"/>
      <c r="AG5" s="671"/>
      <c r="AH5" s="671"/>
      <c r="AI5" s="671"/>
      <c r="AJ5" s="669"/>
      <c r="AK5" s="669"/>
      <c r="AL5" s="669"/>
    </row>
    <row r="6" ht="18" spans="1:38">
      <c r="A6" s="669"/>
      <c r="B6" s="669"/>
      <c r="C6" s="669"/>
      <c r="D6" s="670"/>
      <c r="E6" s="670"/>
      <c r="F6" s="672" t="s">
        <v>589</v>
      </c>
      <c r="G6" s="672" t="s">
        <v>590</v>
      </c>
      <c r="H6" s="672" t="s">
        <v>591</v>
      </c>
      <c r="I6" s="672" t="s">
        <v>592</v>
      </c>
      <c r="J6" s="672" t="s">
        <v>593</v>
      </c>
      <c r="K6" s="672" t="s">
        <v>594</v>
      </c>
      <c r="L6" s="672" t="s">
        <v>595</v>
      </c>
      <c r="M6" s="672" t="s">
        <v>589</v>
      </c>
      <c r="N6" s="672" t="s">
        <v>590</v>
      </c>
      <c r="O6" s="672" t="s">
        <v>591</v>
      </c>
      <c r="P6" s="672" t="s">
        <v>592</v>
      </c>
      <c r="Q6" s="672" t="s">
        <v>593</v>
      </c>
      <c r="R6" s="672" t="s">
        <v>594</v>
      </c>
      <c r="S6" s="672" t="s">
        <v>595</v>
      </c>
      <c r="T6" s="672" t="s">
        <v>589</v>
      </c>
      <c r="U6" s="672" t="s">
        <v>590</v>
      </c>
      <c r="V6" s="672" t="s">
        <v>591</v>
      </c>
      <c r="W6" s="672" t="s">
        <v>592</v>
      </c>
      <c r="X6" s="672" t="s">
        <v>593</v>
      </c>
      <c r="Y6" s="672" t="s">
        <v>594</v>
      </c>
      <c r="Z6" s="672" t="s">
        <v>595</v>
      </c>
      <c r="AA6" s="672" t="s">
        <v>589</v>
      </c>
      <c r="AB6" s="672" t="s">
        <v>590</v>
      </c>
      <c r="AC6" s="672" t="s">
        <v>591</v>
      </c>
      <c r="AD6" s="672" t="s">
        <v>592</v>
      </c>
      <c r="AE6" s="672" t="s">
        <v>593</v>
      </c>
      <c r="AF6" s="672" t="s">
        <v>594</v>
      </c>
      <c r="AG6" s="672" t="s">
        <v>595</v>
      </c>
      <c r="AH6" s="672" t="s">
        <v>589</v>
      </c>
      <c r="AI6" s="672" t="s">
        <v>590</v>
      </c>
      <c r="AJ6" s="669"/>
      <c r="AK6" s="669"/>
      <c r="AL6" s="669"/>
    </row>
    <row r="7" spans="1:38">
      <c r="A7" s="673">
        <v>1</v>
      </c>
      <c r="B7" s="674" t="s">
        <v>1111</v>
      </c>
      <c r="C7" s="675" t="s">
        <v>1112</v>
      </c>
      <c r="D7" s="673" t="s">
        <v>264</v>
      </c>
      <c r="E7" s="673" t="s">
        <v>264</v>
      </c>
      <c r="F7" s="86"/>
      <c r="G7" s="86"/>
      <c r="H7" s="86"/>
      <c r="I7" s="86"/>
      <c r="J7" s="100"/>
      <c r="K7" s="100"/>
      <c r="L7" s="100"/>
      <c r="M7" s="100"/>
      <c r="N7" s="100"/>
      <c r="O7" s="86"/>
      <c r="P7" s="86"/>
      <c r="Q7" s="86"/>
      <c r="R7" s="86"/>
      <c r="S7" s="98"/>
      <c r="T7" s="98"/>
      <c r="U7" s="98"/>
      <c r="V7" s="98"/>
      <c r="W7" s="98"/>
      <c r="X7" s="98"/>
      <c r="Y7" s="98"/>
      <c r="Z7" s="98"/>
      <c r="AA7" s="98"/>
      <c r="AB7" s="98"/>
      <c r="AC7" s="98"/>
      <c r="AD7" s="98"/>
      <c r="AE7" s="98"/>
      <c r="AF7" s="98"/>
      <c r="AG7" s="98"/>
      <c r="AH7" s="107"/>
      <c r="AI7" s="107"/>
      <c r="AJ7" s="673" t="s">
        <v>666</v>
      </c>
      <c r="AK7" s="702" t="s">
        <v>1113</v>
      </c>
      <c r="AL7" s="673" t="s">
        <v>1114</v>
      </c>
    </row>
    <row r="8" spans="1:38">
      <c r="A8" s="673">
        <v>2</v>
      </c>
      <c r="B8" s="674" t="s">
        <v>1115</v>
      </c>
      <c r="C8" s="675" t="s">
        <v>1112</v>
      </c>
      <c r="D8" s="673" t="s">
        <v>264</v>
      </c>
      <c r="E8" s="673" t="s">
        <v>264</v>
      </c>
      <c r="F8" s="86"/>
      <c r="G8" s="86"/>
      <c r="H8" s="87"/>
      <c r="I8" s="88"/>
      <c r="J8" s="88"/>
      <c r="K8" s="88"/>
      <c r="L8" s="88"/>
      <c r="M8" s="88"/>
      <c r="N8" s="88"/>
      <c r="O8" s="88"/>
      <c r="P8" s="88"/>
      <c r="Q8" s="92"/>
      <c r="R8" s="92"/>
      <c r="S8" s="696"/>
      <c r="T8" s="696"/>
      <c r="U8" s="696"/>
      <c r="V8" s="98"/>
      <c r="W8" s="98"/>
      <c r="X8" s="98"/>
      <c r="Y8" s="98"/>
      <c r="Z8" s="98"/>
      <c r="AA8" s="98"/>
      <c r="AB8" s="98"/>
      <c r="AC8" s="98"/>
      <c r="AD8" s="98"/>
      <c r="AE8" s="98"/>
      <c r="AF8" s="98"/>
      <c r="AG8" s="98"/>
      <c r="AH8" s="107"/>
      <c r="AI8" s="107"/>
      <c r="AJ8" s="673" t="s">
        <v>666</v>
      </c>
      <c r="AK8" s="702" t="s">
        <v>1113</v>
      </c>
      <c r="AL8" s="673"/>
    </row>
    <row r="9" spans="1:38">
      <c r="A9" s="673">
        <v>3</v>
      </c>
      <c r="B9" s="674" t="s">
        <v>1116</v>
      </c>
      <c r="C9" s="675" t="s">
        <v>1112</v>
      </c>
      <c r="D9" s="673" t="s">
        <v>264</v>
      </c>
      <c r="E9" s="673" t="s">
        <v>264</v>
      </c>
      <c r="F9" s="86"/>
      <c r="G9" s="86"/>
      <c r="H9" s="86"/>
      <c r="I9" s="86"/>
      <c r="J9" s="86"/>
      <c r="K9" s="86"/>
      <c r="L9" s="86"/>
      <c r="M9" s="99"/>
      <c r="N9" s="99"/>
      <c r="O9" s="99"/>
      <c r="P9" s="86"/>
      <c r="Q9" s="86"/>
      <c r="R9" s="86"/>
      <c r="S9" s="86"/>
      <c r="T9" s="86"/>
      <c r="U9" s="86"/>
      <c r="V9" s="86"/>
      <c r="W9" s="86"/>
      <c r="X9" s="86"/>
      <c r="Y9" s="86"/>
      <c r="Z9" s="86"/>
      <c r="AA9" s="86"/>
      <c r="AB9" s="86"/>
      <c r="AC9" s="86"/>
      <c r="AD9" s="86"/>
      <c r="AE9" s="86"/>
      <c r="AF9" s="86"/>
      <c r="AG9" s="86"/>
      <c r="AH9" s="108"/>
      <c r="AI9" s="108"/>
      <c r="AJ9" s="673" t="s">
        <v>666</v>
      </c>
      <c r="AK9" s="702" t="s">
        <v>1113</v>
      </c>
      <c r="AL9" s="673"/>
    </row>
    <row r="10" spans="1:38">
      <c r="A10" s="673">
        <v>4</v>
      </c>
      <c r="B10" s="674" t="s">
        <v>1117</v>
      </c>
      <c r="C10" s="675"/>
      <c r="D10" s="673" t="s">
        <v>264</v>
      </c>
      <c r="E10" s="673" t="s">
        <v>264</v>
      </c>
      <c r="F10" s="86"/>
      <c r="G10" s="86"/>
      <c r="H10" s="92"/>
      <c r="I10" s="89"/>
      <c r="J10" s="89"/>
      <c r="K10" s="89"/>
      <c r="L10" s="89"/>
      <c r="M10" s="89"/>
      <c r="N10" s="89"/>
      <c r="O10" s="86"/>
      <c r="P10" s="86"/>
      <c r="Q10" s="86"/>
      <c r="R10" s="86"/>
      <c r="S10" s="86"/>
      <c r="T10" s="86"/>
      <c r="U10" s="86"/>
      <c r="V10" s="86"/>
      <c r="W10" s="86"/>
      <c r="X10" s="86"/>
      <c r="Y10" s="86"/>
      <c r="Z10" s="86"/>
      <c r="AA10" s="86"/>
      <c r="AB10" s="86"/>
      <c r="AC10" s="86"/>
      <c r="AD10" s="86"/>
      <c r="AE10" s="86"/>
      <c r="AF10" s="86"/>
      <c r="AG10" s="86"/>
      <c r="AH10" s="108"/>
      <c r="AI10" s="108"/>
      <c r="AJ10" s="673" t="s">
        <v>666</v>
      </c>
      <c r="AK10" s="702" t="s">
        <v>1118</v>
      </c>
      <c r="AL10" s="673"/>
    </row>
    <row r="11" spans="1:38">
      <c r="A11" s="673">
        <v>5</v>
      </c>
      <c r="B11" s="674" t="s">
        <v>1119</v>
      </c>
      <c r="C11" s="675"/>
      <c r="D11" s="673" t="s">
        <v>264</v>
      </c>
      <c r="E11" s="673" t="s">
        <v>264</v>
      </c>
      <c r="F11" s="86"/>
      <c r="G11" s="86"/>
      <c r="H11" s="86"/>
      <c r="I11" s="86"/>
      <c r="J11" s="86"/>
      <c r="K11" s="86"/>
      <c r="L11" s="86"/>
      <c r="M11" s="86"/>
      <c r="N11" s="100"/>
      <c r="O11" s="100"/>
      <c r="P11" s="100"/>
      <c r="Q11" s="100"/>
      <c r="R11" s="100"/>
      <c r="S11" s="100"/>
      <c r="T11" s="86"/>
      <c r="U11" s="86"/>
      <c r="V11" s="86"/>
      <c r="W11" s="86"/>
      <c r="X11" s="86"/>
      <c r="Y11" s="86"/>
      <c r="Z11" s="86"/>
      <c r="AA11" s="86"/>
      <c r="AB11" s="86"/>
      <c r="AC11" s="86"/>
      <c r="AD11" s="86"/>
      <c r="AE11" s="86"/>
      <c r="AF11" s="86"/>
      <c r="AG11" s="86"/>
      <c r="AH11" s="108"/>
      <c r="AI11" s="108"/>
      <c r="AJ11" s="673" t="s">
        <v>666</v>
      </c>
      <c r="AK11" s="702" t="s">
        <v>1118</v>
      </c>
      <c r="AL11" s="673"/>
    </row>
    <row r="12" spans="1:38">
      <c r="A12" s="673">
        <v>6</v>
      </c>
      <c r="B12" s="674" t="s">
        <v>1120</v>
      </c>
      <c r="C12" s="675"/>
      <c r="D12" s="673" t="s">
        <v>264</v>
      </c>
      <c r="E12" s="673" t="s">
        <v>264</v>
      </c>
      <c r="F12" s="86"/>
      <c r="G12" s="86"/>
      <c r="H12" s="86"/>
      <c r="I12" s="86"/>
      <c r="J12" s="86"/>
      <c r="K12" s="86"/>
      <c r="L12" s="86"/>
      <c r="M12" s="86"/>
      <c r="N12" s="86"/>
      <c r="O12" s="86"/>
      <c r="P12" s="86"/>
      <c r="Q12" s="86"/>
      <c r="R12" s="92"/>
      <c r="S12" s="92"/>
      <c r="T12" s="92"/>
      <c r="U12" s="86"/>
      <c r="V12" s="86"/>
      <c r="W12" s="86"/>
      <c r="X12" s="86"/>
      <c r="Y12" s="86"/>
      <c r="Z12" s="86"/>
      <c r="AA12" s="86"/>
      <c r="AB12" s="86"/>
      <c r="AC12" s="86"/>
      <c r="AD12" s="86"/>
      <c r="AE12" s="86"/>
      <c r="AF12" s="86"/>
      <c r="AG12" s="86"/>
      <c r="AH12" s="108"/>
      <c r="AI12" s="108"/>
      <c r="AJ12" s="673" t="s">
        <v>666</v>
      </c>
      <c r="AK12" s="702" t="s">
        <v>1113</v>
      </c>
      <c r="AL12" s="673"/>
    </row>
    <row r="13" spans="1:38">
      <c r="A13" s="673">
        <v>7</v>
      </c>
      <c r="B13" s="674" t="s">
        <v>1121</v>
      </c>
      <c r="C13" s="675"/>
      <c r="D13" s="673" t="s">
        <v>264</v>
      </c>
      <c r="E13" s="673" t="s">
        <v>264</v>
      </c>
      <c r="F13" s="86"/>
      <c r="G13" s="86"/>
      <c r="H13" s="86"/>
      <c r="I13" s="86"/>
      <c r="J13" s="86"/>
      <c r="K13" s="86"/>
      <c r="L13" s="86"/>
      <c r="M13" s="86"/>
      <c r="N13" s="86"/>
      <c r="O13" s="86"/>
      <c r="P13" s="86"/>
      <c r="Q13" s="86"/>
      <c r="R13" s="86"/>
      <c r="S13" s="86"/>
      <c r="T13" s="92"/>
      <c r="U13" s="92"/>
      <c r="V13" s="92"/>
      <c r="W13" s="92"/>
      <c r="X13" s="92"/>
      <c r="Y13" s="86"/>
      <c r="Z13" s="86"/>
      <c r="AA13" s="86"/>
      <c r="AB13" s="86"/>
      <c r="AC13" s="86"/>
      <c r="AD13" s="86"/>
      <c r="AE13" s="86"/>
      <c r="AF13" s="86"/>
      <c r="AG13" s="86"/>
      <c r="AH13" s="108"/>
      <c r="AI13" s="108"/>
      <c r="AJ13" s="673" t="s">
        <v>666</v>
      </c>
      <c r="AK13" s="702" t="s">
        <v>1113</v>
      </c>
      <c r="AL13" s="673"/>
    </row>
    <row r="14" spans="1:38">
      <c r="A14" s="673">
        <v>8</v>
      </c>
      <c r="B14" s="674" t="s">
        <v>1122</v>
      </c>
      <c r="C14" s="675"/>
      <c r="D14" s="673" t="s">
        <v>264</v>
      </c>
      <c r="E14" s="673" t="s">
        <v>264</v>
      </c>
      <c r="F14" s="86"/>
      <c r="G14" s="86"/>
      <c r="H14" s="86"/>
      <c r="I14" s="86"/>
      <c r="J14" s="86"/>
      <c r="K14" s="86"/>
      <c r="L14" s="86"/>
      <c r="M14" s="86"/>
      <c r="N14" s="86"/>
      <c r="O14" s="86"/>
      <c r="P14" s="86"/>
      <c r="Q14" s="86"/>
      <c r="R14" s="86"/>
      <c r="S14" s="86"/>
      <c r="T14" s="86"/>
      <c r="U14" s="86"/>
      <c r="V14" s="100"/>
      <c r="W14" s="100"/>
      <c r="X14" s="86"/>
      <c r="Y14" s="86"/>
      <c r="Z14" s="86"/>
      <c r="AA14" s="86"/>
      <c r="AB14" s="86"/>
      <c r="AC14" s="86"/>
      <c r="AD14" s="86"/>
      <c r="AE14" s="86"/>
      <c r="AF14" s="86"/>
      <c r="AG14" s="86"/>
      <c r="AH14" s="108"/>
      <c r="AI14" s="108"/>
      <c r="AJ14" s="673" t="s">
        <v>666</v>
      </c>
      <c r="AK14" s="702" t="s">
        <v>1113</v>
      </c>
      <c r="AL14" s="673"/>
    </row>
    <row r="15" spans="1:38">
      <c r="A15" s="673">
        <v>9</v>
      </c>
      <c r="B15" s="674" t="s">
        <v>1123</v>
      </c>
      <c r="C15" s="675" t="s">
        <v>1112</v>
      </c>
      <c r="D15" s="673" t="s">
        <v>264</v>
      </c>
      <c r="E15" s="673" t="s">
        <v>264</v>
      </c>
      <c r="F15" s="86"/>
      <c r="G15" s="86"/>
      <c r="H15" s="86"/>
      <c r="I15" s="86"/>
      <c r="J15" s="86"/>
      <c r="K15" s="86"/>
      <c r="L15" s="86"/>
      <c r="M15" s="86"/>
      <c r="N15" s="86"/>
      <c r="O15" s="86"/>
      <c r="P15" s="86"/>
      <c r="Q15" s="86"/>
      <c r="R15" s="86"/>
      <c r="S15" s="86"/>
      <c r="T15" s="86"/>
      <c r="U15" s="86"/>
      <c r="V15" s="92"/>
      <c r="W15" s="92"/>
      <c r="X15" s="92"/>
      <c r="Y15" s="86"/>
      <c r="Z15" s="86"/>
      <c r="AA15" s="86"/>
      <c r="AB15" s="86"/>
      <c r="AC15" s="86"/>
      <c r="AD15" s="86"/>
      <c r="AE15" s="86"/>
      <c r="AF15" s="86"/>
      <c r="AG15" s="86"/>
      <c r="AH15" s="108"/>
      <c r="AI15" s="108"/>
      <c r="AJ15" s="673" t="s">
        <v>666</v>
      </c>
      <c r="AK15" s="702" t="s">
        <v>1113</v>
      </c>
      <c r="AL15" s="673"/>
    </row>
    <row r="16" spans="1:38">
      <c r="A16" s="673">
        <v>10</v>
      </c>
      <c r="B16" s="674" t="s">
        <v>1124</v>
      </c>
      <c r="C16" s="675"/>
      <c r="D16" s="673" t="s">
        <v>264</v>
      </c>
      <c r="E16" s="673" t="s">
        <v>264</v>
      </c>
      <c r="F16" s="86"/>
      <c r="G16" s="86"/>
      <c r="H16" s="86"/>
      <c r="I16" s="86"/>
      <c r="J16" s="86"/>
      <c r="K16" s="86"/>
      <c r="L16" s="86"/>
      <c r="M16" s="86"/>
      <c r="N16" s="86"/>
      <c r="O16" s="86"/>
      <c r="P16" s="86"/>
      <c r="Q16" s="86"/>
      <c r="R16" s="86"/>
      <c r="S16" s="86"/>
      <c r="T16" s="86"/>
      <c r="U16" s="86"/>
      <c r="V16" s="86"/>
      <c r="W16" s="100"/>
      <c r="X16" s="100"/>
      <c r="Y16" s="100"/>
      <c r="Z16" s="86"/>
      <c r="AA16" s="86"/>
      <c r="AB16" s="86"/>
      <c r="AC16" s="86"/>
      <c r="AD16" s="86"/>
      <c r="AE16" s="86"/>
      <c r="AF16" s="86"/>
      <c r="AG16" s="86"/>
      <c r="AH16" s="108"/>
      <c r="AI16" s="108"/>
      <c r="AJ16" s="673" t="s">
        <v>666</v>
      </c>
      <c r="AK16" s="703" t="s">
        <v>1125</v>
      </c>
      <c r="AL16" s="673"/>
    </row>
    <row r="17" spans="1:38">
      <c r="A17" s="673">
        <v>11</v>
      </c>
      <c r="B17" s="674" t="s">
        <v>214</v>
      </c>
      <c r="C17" s="675" t="s">
        <v>1112</v>
      </c>
      <c r="D17" s="673" t="s">
        <v>264</v>
      </c>
      <c r="E17" s="673" t="s">
        <v>264</v>
      </c>
      <c r="F17" s="86"/>
      <c r="G17" s="86"/>
      <c r="H17" s="86"/>
      <c r="I17" s="86"/>
      <c r="J17" s="86"/>
      <c r="K17" s="86"/>
      <c r="L17" s="86"/>
      <c r="M17" s="86"/>
      <c r="N17" s="86"/>
      <c r="O17" s="86"/>
      <c r="P17" s="86"/>
      <c r="Q17" s="86"/>
      <c r="R17" s="86"/>
      <c r="S17" s="86"/>
      <c r="T17" s="86"/>
      <c r="U17" s="86"/>
      <c r="V17" s="86"/>
      <c r="W17" s="86"/>
      <c r="X17" s="86"/>
      <c r="Y17" s="86"/>
      <c r="Z17" s="86"/>
      <c r="AA17" s="86"/>
      <c r="AB17" s="86"/>
      <c r="AC17" s="86"/>
      <c r="AD17" s="86"/>
      <c r="AE17" s="86"/>
      <c r="AF17" s="86"/>
      <c r="AG17" s="86"/>
      <c r="AH17" s="86"/>
      <c r="AI17" s="86"/>
      <c r="AJ17" s="673" t="s">
        <v>666</v>
      </c>
      <c r="AK17" s="702" t="s">
        <v>1113</v>
      </c>
      <c r="AL17" s="673"/>
    </row>
    <row r="18" ht="22.05" customHeight="1" spans="1:38">
      <c r="A18" s="95">
        <v>12</v>
      </c>
      <c r="B18" s="676" t="s">
        <v>1126</v>
      </c>
      <c r="C18" s="677" t="s">
        <v>1127</v>
      </c>
      <c r="D18" s="95" t="s">
        <v>264</v>
      </c>
      <c r="E18" s="95" t="s">
        <v>264</v>
      </c>
      <c r="F18" s="92"/>
      <c r="G18" s="92"/>
      <c r="H18" s="92"/>
      <c r="I18" s="92"/>
      <c r="J18" s="92"/>
      <c r="K18" s="92"/>
      <c r="L18" s="92"/>
      <c r="M18" s="92"/>
      <c r="N18" s="91"/>
      <c r="O18" s="91"/>
      <c r="P18" s="91"/>
      <c r="Q18" s="91"/>
      <c r="R18" s="91"/>
      <c r="S18" s="91"/>
      <c r="T18" s="91"/>
      <c r="U18" s="91"/>
      <c r="V18" s="91"/>
      <c r="W18" s="91"/>
      <c r="X18" s="91"/>
      <c r="Y18" s="91"/>
      <c r="Z18" s="91"/>
      <c r="AA18" s="91"/>
      <c r="AB18" s="91"/>
      <c r="AC18" s="91"/>
      <c r="AD18" s="91"/>
      <c r="AE18" s="91"/>
      <c r="AF18" s="91"/>
      <c r="AG18" s="91"/>
      <c r="AH18" s="91"/>
      <c r="AI18" s="91"/>
      <c r="AJ18" s="95" t="s">
        <v>666</v>
      </c>
      <c r="AK18" s="704" t="s">
        <v>1113</v>
      </c>
      <c r="AL18" s="95" t="s">
        <v>1128</v>
      </c>
    </row>
    <row r="19" spans="1:38">
      <c r="A19" s="95">
        <v>13</v>
      </c>
      <c r="B19" s="676" t="s">
        <v>1129</v>
      </c>
      <c r="C19" s="677" t="s">
        <v>1130</v>
      </c>
      <c r="D19" s="95" t="s">
        <v>264</v>
      </c>
      <c r="E19" s="95" t="s">
        <v>264</v>
      </c>
      <c r="F19" s="91"/>
      <c r="G19" s="91"/>
      <c r="H19" s="91"/>
      <c r="I19" s="91"/>
      <c r="J19" s="91"/>
      <c r="K19" s="91"/>
      <c r="L19" s="91"/>
      <c r="M19" s="100"/>
      <c r="N19" s="100"/>
      <c r="O19" s="100"/>
      <c r="P19" s="100"/>
      <c r="Q19" s="100"/>
      <c r="R19" s="100"/>
      <c r="S19" s="100"/>
      <c r="T19" s="91"/>
      <c r="U19" s="91"/>
      <c r="V19" s="91"/>
      <c r="W19" s="91"/>
      <c r="X19" s="91"/>
      <c r="Y19" s="91"/>
      <c r="Z19" s="91"/>
      <c r="AA19" s="91"/>
      <c r="AB19" s="91"/>
      <c r="AC19" s="91"/>
      <c r="AD19" s="91"/>
      <c r="AE19" s="91"/>
      <c r="AF19" s="91"/>
      <c r="AG19" s="91"/>
      <c r="AH19" s="91"/>
      <c r="AI19" s="91"/>
      <c r="AJ19" s="95" t="s">
        <v>666</v>
      </c>
      <c r="AK19" s="703" t="s">
        <v>1125</v>
      </c>
      <c r="AL19" s="95"/>
    </row>
    <row r="20" spans="1:38">
      <c r="A20" s="95">
        <v>14</v>
      </c>
      <c r="B20" s="676" t="s">
        <v>1131</v>
      </c>
      <c r="C20" s="677" t="s">
        <v>1132</v>
      </c>
      <c r="D20" s="95" t="s">
        <v>264</v>
      </c>
      <c r="E20" s="95" t="s">
        <v>264</v>
      </c>
      <c r="F20" s="91"/>
      <c r="G20" s="91"/>
      <c r="H20" s="91"/>
      <c r="I20" s="91"/>
      <c r="J20" s="91"/>
      <c r="K20" s="91"/>
      <c r="L20" s="91"/>
      <c r="M20" s="91"/>
      <c r="N20" s="91"/>
      <c r="O20" s="91"/>
      <c r="P20" s="91"/>
      <c r="Q20" s="91"/>
      <c r="R20" s="91"/>
      <c r="S20" s="92"/>
      <c r="T20" s="92"/>
      <c r="U20" s="92"/>
      <c r="V20" s="92"/>
      <c r="W20" s="92"/>
      <c r="X20" s="92"/>
      <c r="Y20" s="91"/>
      <c r="Z20" s="91"/>
      <c r="AA20" s="91"/>
      <c r="AB20" s="91"/>
      <c r="AC20" s="91"/>
      <c r="AD20" s="91"/>
      <c r="AE20" s="91"/>
      <c r="AF20" s="91"/>
      <c r="AG20" s="91"/>
      <c r="AH20" s="91"/>
      <c r="AI20" s="91"/>
      <c r="AJ20" s="95" t="s">
        <v>666</v>
      </c>
      <c r="AK20" s="704" t="s">
        <v>1118</v>
      </c>
      <c r="AL20" s="95"/>
    </row>
    <row r="21" spans="1:38">
      <c r="A21" s="95">
        <v>15</v>
      </c>
      <c r="B21" s="676" t="s">
        <v>1133</v>
      </c>
      <c r="C21" s="677" t="s">
        <v>1134</v>
      </c>
      <c r="D21" s="95" t="s">
        <v>264</v>
      </c>
      <c r="E21" s="95" t="s">
        <v>264</v>
      </c>
      <c r="F21" s="91"/>
      <c r="G21" s="91"/>
      <c r="H21" s="91"/>
      <c r="I21" s="91"/>
      <c r="J21" s="91"/>
      <c r="K21" s="91"/>
      <c r="L21" s="91"/>
      <c r="M21" s="91"/>
      <c r="N21" s="91"/>
      <c r="O21" s="100"/>
      <c r="P21" s="100"/>
      <c r="Q21" s="100"/>
      <c r="R21" s="100"/>
      <c r="S21" s="91"/>
      <c r="T21" s="91"/>
      <c r="U21" s="91"/>
      <c r="V21" s="91"/>
      <c r="W21" s="91"/>
      <c r="X21" s="91"/>
      <c r="Y21" s="91"/>
      <c r="Z21" s="91"/>
      <c r="AA21" s="91"/>
      <c r="AB21" s="91"/>
      <c r="AC21" s="91"/>
      <c r="AD21" s="91"/>
      <c r="AE21" s="91"/>
      <c r="AF21" s="91"/>
      <c r="AG21" s="91"/>
      <c r="AH21" s="91"/>
      <c r="AI21" s="91"/>
      <c r="AJ21" s="95" t="s">
        <v>666</v>
      </c>
      <c r="AK21" s="704" t="s">
        <v>1113</v>
      </c>
      <c r="AL21" s="95"/>
    </row>
    <row r="22" spans="1:38">
      <c r="A22" s="95">
        <v>16</v>
      </c>
      <c r="B22" s="676" t="s">
        <v>1135</v>
      </c>
      <c r="C22" s="677" t="s">
        <v>1134</v>
      </c>
      <c r="D22" s="95" t="s">
        <v>264</v>
      </c>
      <c r="E22" s="95" t="s">
        <v>264</v>
      </c>
      <c r="F22" s="91"/>
      <c r="G22" s="91"/>
      <c r="H22" s="91"/>
      <c r="I22" s="91"/>
      <c r="J22" s="91"/>
      <c r="K22" s="91"/>
      <c r="L22" s="91"/>
      <c r="M22" s="91"/>
      <c r="N22" s="91"/>
      <c r="O22" s="91"/>
      <c r="P22" s="92"/>
      <c r="Q22" s="92"/>
      <c r="R22" s="92"/>
      <c r="S22" s="92"/>
      <c r="T22" s="92"/>
      <c r="U22" s="92"/>
      <c r="V22" s="92"/>
      <c r="W22" s="91"/>
      <c r="X22" s="91"/>
      <c r="Y22" s="91"/>
      <c r="Z22" s="91"/>
      <c r="AA22" s="91"/>
      <c r="AB22" s="91"/>
      <c r="AC22" s="91"/>
      <c r="AD22" s="91"/>
      <c r="AE22" s="91"/>
      <c r="AF22" s="91"/>
      <c r="AG22" s="91"/>
      <c r="AH22" s="91"/>
      <c r="AI22" s="91"/>
      <c r="AJ22" s="95" t="s">
        <v>666</v>
      </c>
      <c r="AK22" s="703" t="s">
        <v>1125</v>
      </c>
      <c r="AL22" s="95"/>
    </row>
    <row r="23" spans="1:38">
      <c r="A23" s="95">
        <v>17</v>
      </c>
      <c r="B23" s="678" t="s">
        <v>1136</v>
      </c>
      <c r="C23" s="677" t="s">
        <v>1137</v>
      </c>
      <c r="D23" s="95" t="s">
        <v>264</v>
      </c>
      <c r="E23" s="95" t="s">
        <v>264</v>
      </c>
      <c r="F23" s="91"/>
      <c r="G23" s="91"/>
      <c r="H23" s="91"/>
      <c r="I23" s="91"/>
      <c r="J23" s="91"/>
      <c r="K23" s="91"/>
      <c r="L23" s="91"/>
      <c r="M23" s="91"/>
      <c r="N23" s="91"/>
      <c r="O23" s="91"/>
      <c r="P23" s="91"/>
      <c r="Q23" s="91"/>
      <c r="R23" s="91"/>
      <c r="S23" s="91"/>
      <c r="T23" s="91"/>
      <c r="U23" s="91"/>
      <c r="V23" s="91"/>
      <c r="W23" s="91"/>
      <c r="X23" s="91"/>
      <c r="Y23" s="91"/>
      <c r="Z23" s="91"/>
      <c r="AA23" s="91"/>
      <c r="AB23" s="91"/>
      <c r="AC23" s="91"/>
      <c r="AD23" s="91"/>
      <c r="AE23" s="91"/>
      <c r="AF23" s="91"/>
      <c r="AG23" s="91"/>
      <c r="AH23" s="91"/>
      <c r="AI23" s="91"/>
      <c r="AJ23" s="95" t="s">
        <v>666</v>
      </c>
      <c r="AK23" s="704" t="s">
        <v>1118</v>
      </c>
      <c r="AL23" s="95"/>
    </row>
    <row r="24" spans="1:38">
      <c r="A24" s="95">
        <v>18</v>
      </c>
      <c r="B24" s="678" t="s">
        <v>1138</v>
      </c>
      <c r="C24" s="677"/>
      <c r="D24" s="95" t="s">
        <v>264</v>
      </c>
      <c r="E24" s="95" t="s">
        <v>264</v>
      </c>
      <c r="F24" s="91"/>
      <c r="G24" s="91"/>
      <c r="H24" s="91"/>
      <c r="I24" s="91"/>
      <c r="J24" s="91"/>
      <c r="K24" s="91"/>
      <c r="L24" s="91"/>
      <c r="M24" s="91"/>
      <c r="N24" s="91"/>
      <c r="O24" s="91"/>
      <c r="P24" s="91"/>
      <c r="Q24" s="91"/>
      <c r="R24" s="91"/>
      <c r="S24" s="100"/>
      <c r="T24" s="100"/>
      <c r="U24" s="100"/>
      <c r="V24" s="100"/>
      <c r="W24" s="91"/>
      <c r="X24" s="91"/>
      <c r="Y24" s="91"/>
      <c r="Z24" s="91"/>
      <c r="AA24" s="91"/>
      <c r="AB24" s="91"/>
      <c r="AC24" s="91"/>
      <c r="AD24" s="91"/>
      <c r="AE24" s="91"/>
      <c r="AF24" s="91"/>
      <c r="AG24" s="91"/>
      <c r="AH24" s="91"/>
      <c r="AI24" s="91"/>
      <c r="AJ24" s="95" t="s">
        <v>666</v>
      </c>
      <c r="AK24" s="704" t="s">
        <v>1113</v>
      </c>
      <c r="AL24" s="95"/>
    </row>
    <row r="25" spans="1:38">
      <c r="A25" s="95">
        <v>19</v>
      </c>
      <c r="B25" s="678" t="s">
        <v>1139</v>
      </c>
      <c r="C25" s="677" t="s">
        <v>1140</v>
      </c>
      <c r="D25" s="95" t="s">
        <v>264</v>
      </c>
      <c r="E25" s="95" t="s">
        <v>264</v>
      </c>
      <c r="F25" s="91"/>
      <c r="G25" s="91"/>
      <c r="H25" s="91"/>
      <c r="I25" s="91"/>
      <c r="J25" s="91"/>
      <c r="K25" s="91"/>
      <c r="L25" s="92"/>
      <c r="M25" s="92"/>
      <c r="N25" s="92"/>
      <c r="O25" s="92"/>
      <c r="P25" s="92"/>
      <c r="Q25" s="91"/>
      <c r="R25" s="91"/>
      <c r="S25" s="91"/>
      <c r="T25" s="91"/>
      <c r="U25" s="91"/>
      <c r="V25" s="91"/>
      <c r="W25" s="91"/>
      <c r="X25" s="91"/>
      <c r="Y25" s="91"/>
      <c r="Z25" s="91"/>
      <c r="AA25" s="91"/>
      <c r="AB25" s="91"/>
      <c r="AC25" s="91"/>
      <c r="AD25" s="91"/>
      <c r="AE25" s="91"/>
      <c r="AF25" s="91"/>
      <c r="AG25" s="91"/>
      <c r="AH25" s="91"/>
      <c r="AI25" s="91"/>
      <c r="AJ25" s="95" t="s">
        <v>666</v>
      </c>
      <c r="AK25" s="703" t="s">
        <v>1125</v>
      </c>
      <c r="AL25" s="95"/>
    </row>
    <row r="26" spans="1:38">
      <c r="A26" s="95">
        <v>20</v>
      </c>
      <c r="B26" s="678" t="s">
        <v>1141</v>
      </c>
      <c r="C26" s="677"/>
      <c r="D26" s="95" t="s">
        <v>264</v>
      </c>
      <c r="E26" s="95" t="s">
        <v>264</v>
      </c>
      <c r="F26" s="91"/>
      <c r="G26" s="91"/>
      <c r="H26" s="91"/>
      <c r="I26" s="91"/>
      <c r="J26" s="91"/>
      <c r="K26" s="91"/>
      <c r="L26" s="91"/>
      <c r="M26" s="91"/>
      <c r="N26" s="100"/>
      <c r="O26" s="100"/>
      <c r="P26" s="100"/>
      <c r="Q26" s="100"/>
      <c r="R26" s="100"/>
      <c r="S26" s="91"/>
      <c r="T26" s="91"/>
      <c r="U26" s="91"/>
      <c r="V26" s="91"/>
      <c r="W26" s="91"/>
      <c r="X26" s="91"/>
      <c r="Y26" s="91"/>
      <c r="Z26" s="91"/>
      <c r="AA26" s="91"/>
      <c r="AB26" s="91"/>
      <c r="AC26" s="91"/>
      <c r="AD26" s="91"/>
      <c r="AE26" s="91"/>
      <c r="AF26" s="91"/>
      <c r="AG26" s="91"/>
      <c r="AH26" s="91"/>
      <c r="AI26" s="91"/>
      <c r="AJ26" s="95" t="s">
        <v>666</v>
      </c>
      <c r="AK26" s="704" t="s">
        <v>1118</v>
      </c>
      <c r="AL26" s="95"/>
    </row>
    <row r="27" spans="1:38">
      <c r="A27" s="95">
        <v>21</v>
      </c>
      <c r="B27" s="676" t="s">
        <v>1142</v>
      </c>
      <c r="C27" s="677"/>
      <c r="D27" s="95" t="s">
        <v>264</v>
      </c>
      <c r="E27" s="95" t="s">
        <v>264</v>
      </c>
      <c r="F27" s="91"/>
      <c r="G27" s="91"/>
      <c r="H27" s="91"/>
      <c r="I27" s="91"/>
      <c r="J27" s="91"/>
      <c r="K27" s="91"/>
      <c r="L27" s="91"/>
      <c r="M27" s="91"/>
      <c r="N27" s="91"/>
      <c r="O27" s="92"/>
      <c r="P27" s="92"/>
      <c r="Q27" s="92"/>
      <c r="R27" s="92"/>
      <c r="S27" s="92"/>
      <c r="T27" s="92"/>
      <c r="U27" s="92"/>
      <c r="V27" s="91"/>
      <c r="W27" s="91"/>
      <c r="X27" s="91"/>
      <c r="Y27" s="91"/>
      <c r="Z27" s="91"/>
      <c r="AA27" s="91"/>
      <c r="AB27" s="91"/>
      <c r="AC27" s="91"/>
      <c r="AD27" s="91"/>
      <c r="AE27" s="91"/>
      <c r="AF27" s="91"/>
      <c r="AG27" s="91"/>
      <c r="AH27" s="91"/>
      <c r="AI27" s="91"/>
      <c r="AJ27" s="95" t="s">
        <v>666</v>
      </c>
      <c r="AK27" s="704" t="s">
        <v>1113</v>
      </c>
      <c r="AL27" s="95"/>
    </row>
    <row r="28" spans="1:38">
      <c r="A28" s="95">
        <v>22</v>
      </c>
      <c r="B28" s="676" t="s">
        <v>1143</v>
      </c>
      <c r="C28" s="677"/>
      <c r="D28" s="95" t="s">
        <v>264</v>
      </c>
      <c r="E28" s="95" t="s">
        <v>264</v>
      </c>
      <c r="F28" s="91"/>
      <c r="G28" s="91"/>
      <c r="H28" s="91"/>
      <c r="I28" s="91"/>
      <c r="J28" s="100"/>
      <c r="K28" s="100"/>
      <c r="L28" s="100"/>
      <c r="M28" s="100"/>
      <c r="N28" s="100"/>
      <c r="O28" s="91"/>
      <c r="P28" s="91"/>
      <c r="Q28" s="91"/>
      <c r="R28" s="91"/>
      <c r="S28" s="91"/>
      <c r="T28" s="91"/>
      <c r="U28" s="91"/>
      <c r="V28" s="91"/>
      <c r="W28" s="91"/>
      <c r="X28" s="91"/>
      <c r="Y28" s="91"/>
      <c r="Z28" s="91"/>
      <c r="AA28" s="91"/>
      <c r="AB28" s="91"/>
      <c r="AC28" s="91"/>
      <c r="AD28" s="91"/>
      <c r="AE28" s="91"/>
      <c r="AF28" s="91"/>
      <c r="AG28" s="91"/>
      <c r="AH28" s="91"/>
      <c r="AI28" s="91"/>
      <c r="AJ28" s="95" t="s">
        <v>666</v>
      </c>
      <c r="AK28" s="703" t="s">
        <v>1125</v>
      </c>
      <c r="AL28" s="95"/>
    </row>
    <row r="29" spans="1:38">
      <c r="A29" s="95">
        <v>23</v>
      </c>
      <c r="B29" s="676" t="s">
        <v>1144</v>
      </c>
      <c r="C29" s="677"/>
      <c r="D29" s="95" t="s">
        <v>264</v>
      </c>
      <c r="E29" s="95" t="s">
        <v>264</v>
      </c>
      <c r="F29" s="95"/>
      <c r="G29" s="95"/>
      <c r="H29" s="95"/>
      <c r="I29" s="95"/>
      <c r="J29" s="95"/>
      <c r="K29" s="101"/>
      <c r="L29" s="101"/>
      <c r="M29" s="101"/>
      <c r="N29" s="101"/>
      <c r="O29" s="95"/>
      <c r="P29" s="95"/>
      <c r="Q29" s="95"/>
      <c r="R29" s="95"/>
      <c r="S29" s="95"/>
      <c r="T29" s="95"/>
      <c r="U29" s="95"/>
      <c r="V29" s="95"/>
      <c r="W29" s="95"/>
      <c r="X29" s="95"/>
      <c r="Y29" s="95"/>
      <c r="Z29" s="95"/>
      <c r="AA29" s="95"/>
      <c r="AB29" s="95"/>
      <c r="AC29" s="95"/>
      <c r="AD29" s="95"/>
      <c r="AE29" s="95"/>
      <c r="AF29" s="95"/>
      <c r="AG29" s="95"/>
      <c r="AH29" s="111"/>
      <c r="AI29" s="111"/>
      <c r="AJ29" s="95" t="s">
        <v>666</v>
      </c>
      <c r="AK29" s="704" t="s">
        <v>1118</v>
      </c>
      <c r="AL29" s="95"/>
    </row>
    <row r="30" spans="1:38">
      <c r="A30" s="93">
        <v>24</v>
      </c>
      <c r="B30" s="679" t="s">
        <v>1145</v>
      </c>
      <c r="C30" s="680"/>
      <c r="D30" s="93" t="s">
        <v>264</v>
      </c>
      <c r="E30" s="93" t="s">
        <v>264</v>
      </c>
      <c r="F30" s="93"/>
      <c r="G30" s="93"/>
      <c r="H30" s="93"/>
      <c r="I30" s="93"/>
      <c r="J30" s="93"/>
      <c r="K30" s="93"/>
      <c r="L30" s="93"/>
      <c r="M30" s="93"/>
      <c r="N30" s="93"/>
      <c r="O30" s="93"/>
      <c r="P30" s="93"/>
      <c r="Q30" s="93"/>
      <c r="R30" s="93"/>
      <c r="S30" s="93"/>
      <c r="T30" s="93"/>
      <c r="U30" s="93"/>
      <c r="V30" s="93"/>
      <c r="W30" s="93"/>
      <c r="X30" s="93"/>
      <c r="Y30" s="102"/>
      <c r="Z30" s="102"/>
      <c r="AA30" s="102"/>
      <c r="AB30" s="102"/>
      <c r="AC30" s="102"/>
      <c r="AD30" s="102"/>
      <c r="AE30" s="102"/>
      <c r="AF30" s="93"/>
      <c r="AG30" s="93"/>
      <c r="AH30" s="110"/>
      <c r="AI30" s="110"/>
      <c r="AJ30" s="93" t="s">
        <v>666</v>
      </c>
      <c r="AK30" s="705" t="s">
        <v>1113</v>
      </c>
      <c r="AL30" s="682" t="s">
        <v>1146</v>
      </c>
    </row>
    <row r="31" spans="1:38">
      <c r="A31" s="93">
        <v>25</v>
      </c>
      <c r="B31" s="679" t="s">
        <v>1147</v>
      </c>
      <c r="C31" s="679"/>
      <c r="D31" s="93" t="s">
        <v>264</v>
      </c>
      <c r="E31" s="93" t="s">
        <v>264</v>
      </c>
      <c r="F31" s="93"/>
      <c r="G31" s="93"/>
      <c r="H31" s="93"/>
      <c r="I31" s="93"/>
      <c r="J31" s="93"/>
      <c r="K31" s="93"/>
      <c r="L31" s="93"/>
      <c r="M31" s="93"/>
      <c r="N31" s="102"/>
      <c r="O31" s="102"/>
      <c r="P31" s="102"/>
      <c r="Q31" s="102"/>
      <c r="R31" s="102"/>
      <c r="S31" s="102"/>
      <c r="T31" s="102"/>
      <c r="U31" s="102"/>
      <c r="V31" s="93"/>
      <c r="W31" s="93"/>
      <c r="X31" s="93"/>
      <c r="Y31" s="93"/>
      <c r="Z31" s="93"/>
      <c r="AA31" s="93"/>
      <c r="AB31" s="93"/>
      <c r="AC31" s="93"/>
      <c r="AD31" s="93"/>
      <c r="AE31" s="93"/>
      <c r="AF31" s="93"/>
      <c r="AG31" s="93"/>
      <c r="AH31" s="110"/>
      <c r="AI31" s="110"/>
      <c r="AJ31" s="93" t="s">
        <v>666</v>
      </c>
      <c r="AK31" s="706" t="s">
        <v>1125</v>
      </c>
      <c r="AL31" s="707"/>
    </row>
    <row r="32" spans="1:38">
      <c r="A32" s="93">
        <v>26</v>
      </c>
      <c r="B32" s="681" t="s">
        <v>1148</v>
      </c>
      <c r="C32" s="110"/>
      <c r="D32" s="93" t="s">
        <v>264</v>
      </c>
      <c r="E32" s="93" t="s">
        <v>264</v>
      </c>
      <c r="F32" s="93"/>
      <c r="G32" s="93"/>
      <c r="H32" s="93"/>
      <c r="I32" s="101"/>
      <c r="J32" s="101"/>
      <c r="K32" s="101"/>
      <c r="L32" s="93"/>
      <c r="M32" s="93"/>
      <c r="N32" s="93"/>
      <c r="O32" s="93"/>
      <c r="P32" s="93"/>
      <c r="Q32" s="93"/>
      <c r="R32" s="93"/>
      <c r="S32" s="93"/>
      <c r="T32" s="93"/>
      <c r="U32" s="93"/>
      <c r="V32" s="93"/>
      <c r="W32" s="93"/>
      <c r="X32" s="93"/>
      <c r="Y32" s="93"/>
      <c r="Z32" s="93"/>
      <c r="AA32" s="93"/>
      <c r="AB32" s="93"/>
      <c r="AC32" s="93"/>
      <c r="AD32" s="93"/>
      <c r="AE32" s="93"/>
      <c r="AF32" s="93"/>
      <c r="AG32" s="93"/>
      <c r="AH32" s="110"/>
      <c r="AI32" s="110"/>
      <c r="AJ32" s="93" t="s">
        <v>666</v>
      </c>
      <c r="AK32" s="705" t="s">
        <v>1113</v>
      </c>
      <c r="AL32" s="707"/>
    </row>
    <row r="33" spans="1:38">
      <c r="A33" s="93">
        <v>27</v>
      </c>
      <c r="B33" s="681" t="s">
        <v>1149</v>
      </c>
      <c r="C33" s="110"/>
      <c r="D33" s="93" t="s">
        <v>264</v>
      </c>
      <c r="E33" s="93" t="s">
        <v>264</v>
      </c>
      <c r="F33" s="93"/>
      <c r="G33" s="93"/>
      <c r="H33" s="93"/>
      <c r="I33" s="93"/>
      <c r="J33" s="93"/>
      <c r="K33" s="93"/>
      <c r="L33" s="93"/>
      <c r="M33" s="93"/>
      <c r="N33" s="93"/>
      <c r="O33" s="93"/>
      <c r="P33" s="93"/>
      <c r="Q33" s="93"/>
      <c r="R33" s="93"/>
      <c r="S33" s="93"/>
      <c r="T33" s="93"/>
      <c r="U33" s="93"/>
      <c r="V33" s="93"/>
      <c r="W33" s="93"/>
      <c r="X33" s="93"/>
      <c r="Y33" s="93"/>
      <c r="Z33" s="93"/>
      <c r="AA33" s="93"/>
      <c r="AB33" s="93"/>
      <c r="AC33" s="93"/>
      <c r="AD33" s="93"/>
      <c r="AE33" s="93"/>
      <c r="AF33" s="101"/>
      <c r="AG33" s="101"/>
      <c r="AH33" s="708"/>
      <c r="AI33" s="110"/>
      <c r="AJ33" s="93" t="s">
        <v>666</v>
      </c>
      <c r="AK33" s="706" t="s">
        <v>1125</v>
      </c>
      <c r="AL33" s="707"/>
    </row>
    <row r="34" spans="1:38">
      <c r="A34" s="93">
        <v>28</v>
      </c>
      <c r="B34" s="679" t="s">
        <v>1150</v>
      </c>
      <c r="C34" s="110"/>
      <c r="D34" s="93" t="s">
        <v>264</v>
      </c>
      <c r="E34" s="93" t="s">
        <v>264</v>
      </c>
      <c r="F34" s="93"/>
      <c r="G34" s="93"/>
      <c r="H34" s="93"/>
      <c r="I34" s="93"/>
      <c r="J34" s="93"/>
      <c r="K34" s="101"/>
      <c r="L34" s="101"/>
      <c r="M34" s="101"/>
      <c r="N34" s="101"/>
      <c r="O34" s="101"/>
      <c r="P34" s="101"/>
      <c r="Q34" s="101"/>
      <c r="R34" s="101"/>
      <c r="S34" s="93"/>
      <c r="T34" s="93"/>
      <c r="U34" s="93"/>
      <c r="V34" s="93"/>
      <c r="W34" s="93"/>
      <c r="X34" s="93"/>
      <c r="Y34" s="93"/>
      <c r="Z34" s="93"/>
      <c r="AA34" s="93"/>
      <c r="AB34" s="93"/>
      <c r="AC34" s="93"/>
      <c r="AD34" s="93"/>
      <c r="AE34" s="93"/>
      <c r="AF34" s="93"/>
      <c r="AG34" s="93"/>
      <c r="AH34" s="110"/>
      <c r="AI34" s="110"/>
      <c r="AJ34" s="93" t="s">
        <v>666</v>
      </c>
      <c r="AK34" s="705" t="s">
        <v>1113</v>
      </c>
      <c r="AL34" s="707"/>
    </row>
    <row r="35" spans="1:38">
      <c r="A35" s="93">
        <v>29</v>
      </c>
      <c r="B35" s="679" t="s">
        <v>1151</v>
      </c>
      <c r="C35" s="110"/>
      <c r="D35" s="93" t="s">
        <v>264</v>
      </c>
      <c r="E35" s="93" t="s">
        <v>264</v>
      </c>
      <c r="F35" s="93"/>
      <c r="G35" s="93"/>
      <c r="H35" s="93"/>
      <c r="I35" s="93"/>
      <c r="J35" s="93"/>
      <c r="K35" s="93"/>
      <c r="L35" s="93"/>
      <c r="M35" s="93"/>
      <c r="N35" s="93"/>
      <c r="O35" s="93"/>
      <c r="P35" s="93"/>
      <c r="Q35" s="93"/>
      <c r="R35" s="102"/>
      <c r="S35" s="102"/>
      <c r="T35" s="102"/>
      <c r="U35" s="102"/>
      <c r="V35" s="102"/>
      <c r="W35" s="102"/>
      <c r="X35" s="102"/>
      <c r="Y35" s="93"/>
      <c r="Z35" s="93"/>
      <c r="AA35" s="93"/>
      <c r="AB35" s="93"/>
      <c r="AC35" s="93"/>
      <c r="AD35" s="93"/>
      <c r="AE35" s="93"/>
      <c r="AF35" s="93"/>
      <c r="AG35" s="93"/>
      <c r="AH35" s="110"/>
      <c r="AI35" s="110"/>
      <c r="AJ35" s="93" t="s">
        <v>666</v>
      </c>
      <c r="AK35" s="706" t="s">
        <v>1125</v>
      </c>
      <c r="AL35" s="707"/>
    </row>
    <row r="36" spans="1:38">
      <c r="A36" s="682">
        <v>30</v>
      </c>
      <c r="B36" s="683" t="s">
        <v>1152</v>
      </c>
      <c r="C36" s="684"/>
      <c r="D36" s="682" t="s">
        <v>264</v>
      </c>
      <c r="E36" s="682" t="s">
        <v>264</v>
      </c>
      <c r="F36" s="682"/>
      <c r="G36" s="682"/>
      <c r="H36" s="682"/>
      <c r="I36" s="682"/>
      <c r="J36" s="682"/>
      <c r="K36" s="682"/>
      <c r="L36" s="682"/>
      <c r="M36" s="682"/>
      <c r="N36" s="682"/>
      <c r="O36" s="682"/>
      <c r="P36" s="682"/>
      <c r="Q36" s="682"/>
      <c r="R36" s="682"/>
      <c r="S36" s="682"/>
      <c r="T36" s="682"/>
      <c r="U36" s="682"/>
      <c r="V36" s="682"/>
      <c r="W36" s="682"/>
      <c r="X36" s="697"/>
      <c r="Y36" s="697"/>
      <c r="Z36" s="697"/>
      <c r="AA36" s="697"/>
      <c r="AB36" s="697"/>
      <c r="AC36" s="682"/>
      <c r="AD36" s="682"/>
      <c r="AE36" s="682"/>
      <c r="AF36" s="682"/>
      <c r="AG36" s="682"/>
      <c r="AH36" s="684"/>
      <c r="AI36" s="684"/>
      <c r="AJ36" s="682" t="s">
        <v>666</v>
      </c>
      <c r="AK36" s="709" t="s">
        <v>1113</v>
      </c>
      <c r="AL36" s="707"/>
    </row>
    <row r="37" ht="24" customHeight="1" spans="1:38">
      <c r="A37" s="666" t="s">
        <v>1153</v>
      </c>
      <c r="B37" s="666"/>
      <c r="C37" s="666"/>
      <c r="D37" s="666"/>
      <c r="E37" s="666"/>
      <c r="F37" s="666"/>
      <c r="G37" s="666"/>
      <c r="H37" s="666"/>
      <c r="I37" s="666"/>
      <c r="J37" s="666"/>
      <c r="K37" s="666"/>
      <c r="L37" s="666"/>
      <c r="M37" s="666"/>
      <c r="N37" s="666"/>
      <c r="O37" s="666"/>
      <c r="P37" s="666"/>
      <c r="Q37" s="666"/>
      <c r="R37" s="666"/>
      <c r="S37" s="666"/>
      <c r="T37" s="666"/>
      <c r="U37" s="666"/>
      <c r="V37" s="666"/>
      <c r="W37" s="666"/>
      <c r="X37" s="666"/>
      <c r="Y37" s="666"/>
      <c r="Z37" s="666"/>
      <c r="AA37" s="666"/>
      <c r="AB37" s="666"/>
      <c r="AC37" s="666"/>
      <c r="AD37" s="666"/>
      <c r="AE37" s="666"/>
      <c r="AF37" s="666"/>
      <c r="AG37" s="666"/>
      <c r="AH37" s="666"/>
      <c r="AI37" s="666"/>
      <c r="AJ37" s="666"/>
      <c r="AK37" s="666"/>
      <c r="AL37" s="666"/>
    </row>
    <row r="38" ht="21" customHeight="1" spans="1:38">
      <c r="A38" s="685" t="s">
        <v>63</v>
      </c>
      <c r="B38" s="685" t="s">
        <v>1154</v>
      </c>
      <c r="C38" s="685" t="s">
        <v>1155</v>
      </c>
      <c r="D38" s="685" t="s">
        <v>1156</v>
      </c>
      <c r="E38" s="685" t="s">
        <v>1157</v>
      </c>
      <c r="F38" s="686" t="s">
        <v>1158</v>
      </c>
      <c r="G38" s="687"/>
      <c r="H38" s="687"/>
      <c r="I38" s="694"/>
      <c r="J38" s="686" t="s">
        <v>1159</v>
      </c>
      <c r="K38" s="687"/>
      <c r="L38" s="687"/>
      <c r="M38" s="694"/>
      <c r="N38" s="686" t="s">
        <v>1160</v>
      </c>
      <c r="O38" s="687"/>
      <c r="P38" s="687"/>
      <c r="Q38" s="687"/>
      <c r="R38" s="687"/>
      <c r="S38" s="687"/>
      <c r="T38" s="687"/>
      <c r="U38" s="694"/>
      <c r="V38" s="686" t="s">
        <v>1161</v>
      </c>
      <c r="W38" s="687"/>
      <c r="X38" s="687"/>
      <c r="Y38" s="694"/>
      <c r="Z38" s="686" t="s">
        <v>1162</v>
      </c>
      <c r="AA38" s="687"/>
      <c r="AB38" s="687"/>
      <c r="AC38" s="694"/>
      <c r="AD38" s="686" t="s">
        <v>30</v>
      </c>
      <c r="AE38" s="687"/>
      <c r="AF38" s="687"/>
      <c r="AG38" s="694"/>
      <c r="AH38" s="686" t="s">
        <v>1163</v>
      </c>
      <c r="AI38" s="687"/>
      <c r="AJ38" s="694"/>
      <c r="AK38" s="685" t="s">
        <v>1164</v>
      </c>
      <c r="AL38" s="685" t="s">
        <v>7</v>
      </c>
    </row>
    <row r="39" spans="1:38">
      <c r="A39" s="688">
        <v>1</v>
      </c>
      <c r="B39" s="689"/>
      <c r="C39" s="689"/>
      <c r="D39" s="689"/>
      <c r="E39" s="690"/>
      <c r="F39" s="691"/>
      <c r="G39" s="692"/>
      <c r="H39" s="692"/>
      <c r="I39" s="692"/>
      <c r="J39" s="692"/>
      <c r="K39" s="692"/>
      <c r="L39" s="692"/>
      <c r="M39" s="692"/>
      <c r="N39" s="692"/>
      <c r="O39" s="692"/>
      <c r="P39" s="692"/>
      <c r="Q39" s="692"/>
      <c r="R39" s="692"/>
      <c r="S39" s="692"/>
      <c r="T39" s="692"/>
      <c r="U39" s="692"/>
      <c r="V39" s="692"/>
      <c r="W39" s="692"/>
      <c r="X39" s="692"/>
      <c r="Y39" s="692"/>
      <c r="Z39" s="692"/>
      <c r="AA39" s="692"/>
      <c r="AB39" s="692"/>
      <c r="AC39" s="692"/>
      <c r="AD39" s="692"/>
      <c r="AE39" s="692"/>
      <c r="AF39" s="692"/>
      <c r="AG39" s="692"/>
      <c r="AH39" s="692"/>
      <c r="AI39" s="692"/>
      <c r="AJ39" s="692"/>
      <c r="AK39" s="692"/>
      <c r="AL39" s="689"/>
    </row>
    <row r="40" spans="1:38">
      <c r="A40" s="688">
        <v>2</v>
      </c>
      <c r="B40" s="689"/>
      <c r="C40" s="689"/>
      <c r="D40" s="689"/>
      <c r="E40" s="693"/>
      <c r="F40" s="692"/>
      <c r="G40" s="692"/>
      <c r="H40" s="692"/>
      <c r="I40" s="692"/>
      <c r="J40" s="692"/>
      <c r="K40" s="692"/>
      <c r="L40" s="692"/>
      <c r="M40" s="692"/>
      <c r="N40" s="692"/>
      <c r="O40" s="692"/>
      <c r="P40" s="692"/>
      <c r="Q40" s="692"/>
      <c r="R40" s="692"/>
      <c r="S40" s="692"/>
      <c r="T40" s="692"/>
      <c r="U40" s="692"/>
      <c r="V40" s="692"/>
      <c r="W40" s="692"/>
      <c r="X40" s="692"/>
      <c r="Y40" s="692"/>
      <c r="Z40" s="692"/>
      <c r="AA40" s="692"/>
      <c r="AB40" s="692"/>
      <c r="AC40" s="692"/>
      <c r="AD40" s="692"/>
      <c r="AE40" s="692"/>
      <c r="AF40" s="692"/>
      <c r="AG40" s="692"/>
      <c r="AH40" s="692"/>
      <c r="AI40" s="692"/>
      <c r="AJ40" s="692"/>
      <c r="AK40" s="692"/>
      <c r="AL40" s="689"/>
    </row>
    <row r="41" spans="1:38">
      <c r="A41" s="688">
        <v>3</v>
      </c>
      <c r="B41" s="689"/>
      <c r="C41" s="689"/>
      <c r="D41" s="689"/>
      <c r="E41" s="693"/>
      <c r="F41" s="692"/>
      <c r="G41" s="692"/>
      <c r="H41" s="692"/>
      <c r="I41" s="692"/>
      <c r="J41" s="692"/>
      <c r="K41" s="692"/>
      <c r="L41" s="692"/>
      <c r="M41" s="692"/>
      <c r="N41" s="692"/>
      <c r="O41" s="692"/>
      <c r="P41" s="692"/>
      <c r="Q41" s="692"/>
      <c r="R41" s="692"/>
      <c r="S41" s="692"/>
      <c r="T41" s="692"/>
      <c r="U41" s="692"/>
      <c r="V41" s="692"/>
      <c r="W41" s="692"/>
      <c r="X41" s="692"/>
      <c r="Y41" s="692"/>
      <c r="Z41" s="692"/>
      <c r="AA41" s="692"/>
      <c r="AB41" s="692"/>
      <c r="AC41" s="692"/>
      <c r="AD41" s="692"/>
      <c r="AE41" s="692"/>
      <c r="AF41" s="692"/>
      <c r="AG41" s="692"/>
      <c r="AH41" s="692"/>
      <c r="AI41" s="692"/>
      <c r="AJ41" s="692"/>
      <c r="AK41" s="692"/>
      <c r="AL41" s="689"/>
    </row>
    <row r="42" spans="1:38">
      <c r="A42" s="688">
        <v>4</v>
      </c>
      <c r="B42" s="689"/>
      <c r="C42" s="689"/>
      <c r="D42" s="689"/>
      <c r="E42" s="693"/>
      <c r="F42" s="692"/>
      <c r="G42" s="692"/>
      <c r="H42" s="692"/>
      <c r="I42" s="692"/>
      <c r="J42" s="692"/>
      <c r="K42" s="692"/>
      <c r="L42" s="692"/>
      <c r="M42" s="692"/>
      <c r="N42" s="692"/>
      <c r="O42" s="692"/>
      <c r="P42" s="692"/>
      <c r="Q42" s="692"/>
      <c r="R42" s="692"/>
      <c r="S42" s="692"/>
      <c r="T42" s="692"/>
      <c r="U42" s="692"/>
      <c r="V42" s="692"/>
      <c r="W42" s="692"/>
      <c r="X42" s="692"/>
      <c r="Y42" s="692"/>
      <c r="Z42" s="692"/>
      <c r="AA42" s="692"/>
      <c r="AB42" s="692"/>
      <c r="AC42" s="692"/>
      <c r="AD42" s="692"/>
      <c r="AE42" s="692"/>
      <c r="AF42" s="692"/>
      <c r="AG42" s="692"/>
      <c r="AH42" s="692"/>
      <c r="AI42" s="692"/>
      <c r="AJ42" s="692"/>
      <c r="AK42" s="692"/>
      <c r="AL42" s="689"/>
    </row>
    <row r="43" spans="1:38">
      <c r="A43" s="688">
        <v>5</v>
      </c>
      <c r="B43" s="689"/>
      <c r="C43" s="689"/>
      <c r="D43" s="689"/>
      <c r="E43" s="693"/>
      <c r="F43" s="692"/>
      <c r="G43" s="692"/>
      <c r="H43" s="692"/>
      <c r="I43" s="692"/>
      <c r="J43" s="692"/>
      <c r="K43" s="692"/>
      <c r="L43" s="692"/>
      <c r="M43" s="692"/>
      <c r="N43" s="692"/>
      <c r="O43" s="692"/>
      <c r="P43" s="692"/>
      <c r="Q43" s="692"/>
      <c r="R43" s="692"/>
      <c r="S43" s="692"/>
      <c r="T43" s="692"/>
      <c r="U43" s="692"/>
      <c r="V43" s="692"/>
      <c r="W43" s="692"/>
      <c r="X43" s="692"/>
      <c r="Y43" s="692"/>
      <c r="Z43" s="692"/>
      <c r="AA43" s="692"/>
      <c r="AB43" s="692"/>
      <c r="AC43" s="692"/>
      <c r="AD43" s="692"/>
      <c r="AE43" s="692"/>
      <c r="AF43" s="692"/>
      <c r="AG43" s="692"/>
      <c r="AH43" s="692"/>
      <c r="AI43" s="692"/>
      <c r="AJ43" s="692"/>
      <c r="AK43" s="692"/>
      <c r="AL43" s="689"/>
    </row>
    <row r="44" spans="1:38">
      <c r="A44" s="688">
        <v>6</v>
      </c>
      <c r="B44" s="689"/>
      <c r="C44" s="689"/>
      <c r="D44" s="689"/>
      <c r="E44" s="693"/>
      <c r="F44" s="692"/>
      <c r="G44" s="692"/>
      <c r="H44" s="692"/>
      <c r="I44" s="692"/>
      <c r="J44" s="692"/>
      <c r="K44" s="692"/>
      <c r="L44" s="692"/>
      <c r="M44" s="692"/>
      <c r="N44" s="692"/>
      <c r="O44" s="692"/>
      <c r="P44" s="692"/>
      <c r="Q44" s="692"/>
      <c r="R44" s="692"/>
      <c r="S44" s="692"/>
      <c r="T44" s="692"/>
      <c r="U44" s="692"/>
      <c r="V44" s="692"/>
      <c r="W44" s="692"/>
      <c r="X44" s="692"/>
      <c r="Y44" s="692"/>
      <c r="Z44" s="692"/>
      <c r="AA44" s="692"/>
      <c r="AB44" s="692"/>
      <c r="AC44" s="692"/>
      <c r="AD44" s="692"/>
      <c r="AE44" s="692"/>
      <c r="AF44" s="692"/>
      <c r="AG44" s="692"/>
      <c r="AH44" s="692"/>
      <c r="AI44" s="692"/>
      <c r="AJ44" s="692"/>
      <c r="AK44" s="692"/>
      <c r="AL44" s="689"/>
    </row>
    <row r="45" spans="1:38">
      <c r="A45" s="688">
        <v>7</v>
      </c>
      <c r="B45" s="689"/>
      <c r="C45" s="689"/>
      <c r="D45" s="689"/>
      <c r="E45" s="693"/>
      <c r="F45" s="692"/>
      <c r="G45" s="692"/>
      <c r="H45" s="692"/>
      <c r="I45" s="692"/>
      <c r="J45" s="692"/>
      <c r="K45" s="692"/>
      <c r="L45" s="692"/>
      <c r="M45" s="692"/>
      <c r="N45" s="692"/>
      <c r="O45" s="692"/>
      <c r="P45" s="692"/>
      <c r="Q45" s="692"/>
      <c r="R45" s="692"/>
      <c r="S45" s="692"/>
      <c r="T45" s="692"/>
      <c r="U45" s="692"/>
      <c r="V45" s="692"/>
      <c r="W45" s="692"/>
      <c r="X45" s="692"/>
      <c r="Y45" s="692"/>
      <c r="Z45" s="692"/>
      <c r="AA45" s="692"/>
      <c r="AB45" s="692"/>
      <c r="AC45" s="692"/>
      <c r="AD45" s="692"/>
      <c r="AE45" s="692"/>
      <c r="AF45" s="692"/>
      <c r="AG45" s="692"/>
      <c r="AH45" s="692"/>
      <c r="AI45" s="692"/>
      <c r="AJ45" s="692"/>
      <c r="AK45" s="692"/>
      <c r="AL45" s="689"/>
    </row>
    <row r="46" spans="1:38">
      <c r="A46" s="688">
        <v>8</v>
      </c>
      <c r="B46" s="689"/>
      <c r="C46" s="689"/>
      <c r="D46" s="689"/>
      <c r="E46" s="693"/>
      <c r="F46" s="692"/>
      <c r="G46" s="692"/>
      <c r="H46" s="692"/>
      <c r="I46" s="692"/>
      <c r="J46" s="692"/>
      <c r="K46" s="692"/>
      <c r="L46" s="692"/>
      <c r="M46" s="692"/>
      <c r="N46" s="692"/>
      <c r="O46" s="692"/>
      <c r="P46" s="692"/>
      <c r="Q46" s="692"/>
      <c r="R46" s="692"/>
      <c r="S46" s="692"/>
      <c r="T46" s="692"/>
      <c r="U46" s="692"/>
      <c r="V46" s="692"/>
      <c r="W46" s="692"/>
      <c r="X46" s="692"/>
      <c r="Y46" s="692"/>
      <c r="Z46" s="692"/>
      <c r="AA46" s="692"/>
      <c r="AB46" s="692"/>
      <c r="AC46" s="692"/>
      <c r="AD46" s="692"/>
      <c r="AE46" s="692"/>
      <c r="AF46" s="692"/>
      <c r="AG46" s="692"/>
      <c r="AH46" s="692"/>
      <c r="AI46" s="692"/>
      <c r="AJ46" s="692"/>
      <c r="AK46" s="692"/>
      <c r="AL46" s="689"/>
    </row>
    <row r="47" spans="1:38">
      <c r="A47" s="688">
        <v>9</v>
      </c>
      <c r="B47" s="689"/>
      <c r="C47" s="689"/>
      <c r="D47" s="689"/>
      <c r="E47" s="693"/>
      <c r="F47" s="692"/>
      <c r="G47" s="692"/>
      <c r="H47" s="692"/>
      <c r="I47" s="692"/>
      <c r="J47" s="692"/>
      <c r="K47" s="692"/>
      <c r="L47" s="692"/>
      <c r="M47" s="692"/>
      <c r="N47" s="692"/>
      <c r="O47" s="692"/>
      <c r="P47" s="692"/>
      <c r="Q47" s="692"/>
      <c r="R47" s="692"/>
      <c r="S47" s="692"/>
      <c r="T47" s="692"/>
      <c r="U47" s="692"/>
      <c r="V47" s="692"/>
      <c r="W47" s="692"/>
      <c r="X47" s="692"/>
      <c r="Y47" s="692"/>
      <c r="Z47" s="692"/>
      <c r="AA47" s="692"/>
      <c r="AB47" s="692"/>
      <c r="AC47" s="692"/>
      <c r="AD47" s="692"/>
      <c r="AE47" s="692"/>
      <c r="AF47" s="692"/>
      <c r="AG47" s="692"/>
      <c r="AH47" s="692"/>
      <c r="AI47" s="692"/>
      <c r="AJ47" s="692"/>
      <c r="AK47" s="692"/>
      <c r="AL47" s="689"/>
    </row>
    <row r="48" spans="1:38">
      <c r="A48" s="688">
        <v>10</v>
      </c>
      <c r="B48" s="689"/>
      <c r="C48" s="689"/>
      <c r="D48" s="689"/>
      <c r="E48" s="693"/>
      <c r="F48" s="692"/>
      <c r="G48" s="692"/>
      <c r="H48" s="692"/>
      <c r="I48" s="692"/>
      <c r="J48" s="692"/>
      <c r="K48" s="692"/>
      <c r="L48" s="692"/>
      <c r="M48" s="692"/>
      <c r="N48" s="692"/>
      <c r="O48" s="692"/>
      <c r="P48" s="692"/>
      <c r="Q48" s="692"/>
      <c r="R48" s="692"/>
      <c r="S48" s="692"/>
      <c r="T48" s="692"/>
      <c r="U48" s="692"/>
      <c r="V48" s="692"/>
      <c r="W48" s="692"/>
      <c r="X48" s="692"/>
      <c r="Y48" s="692"/>
      <c r="Z48" s="692"/>
      <c r="AA48" s="692"/>
      <c r="AB48" s="692"/>
      <c r="AC48" s="692"/>
      <c r="AD48" s="692"/>
      <c r="AE48" s="692"/>
      <c r="AF48" s="692"/>
      <c r="AG48" s="692"/>
      <c r="AH48" s="692"/>
      <c r="AI48" s="692"/>
      <c r="AJ48" s="692"/>
      <c r="AK48" s="692"/>
      <c r="AL48" s="689"/>
    </row>
    <row r="49" spans="1:38">
      <c r="A49" s="688">
        <v>11</v>
      </c>
      <c r="B49" s="689"/>
      <c r="C49" s="689"/>
      <c r="D49" s="689"/>
      <c r="E49" s="693"/>
      <c r="F49" s="692"/>
      <c r="G49" s="692"/>
      <c r="H49" s="692"/>
      <c r="I49" s="692"/>
      <c r="J49" s="692"/>
      <c r="K49" s="692"/>
      <c r="L49" s="692"/>
      <c r="M49" s="692"/>
      <c r="N49" s="692"/>
      <c r="O49" s="692"/>
      <c r="P49" s="692"/>
      <c r="Q49" s="692"/>
      <c r="R49" s="692"/>
      <c r="S49" s="692"/>
      <c r="T49" s="692"/>
      <c r="U49" s="692"/>
      <c r="V49" s="692"/>
      <c r="W49" s="692"/>
      <c r="X49" s="692"/>
      <c r="Y49" s="692"/>
      <c r="Z49" s="692"/>
      <c r="AA49" s="692"/>
      <c r="AB49" s="692"/>
      <c r="AC49" s="692"/>
      <c r="AD49" s="692"/>
      <c r="AE49" s="692"/>
      <c r="AF49" s="692"/>
      <c r="AG49" s="692"/>
      <c r="AH49" s="692"/>
      <c r="AI49" s="692"/>
      <c r="AJ49" s="692"/>
      <c r="AK49" s="692"/>
      <c r="AL49" s="689"/>
    </row>
    <row r="50" spans="1:38">
      <c r="A50" s="688">
        <v>12</v>
      </c>
      <c r="B50" s="689"/>
      <c r="C50" s="689"/>
      <c r="D50" s="689"/>
      <c r="E50" s="693"/>
      <c r="F50" s="692"/>
      <c r="G50" s="692"/>
      <c r="H50" s="692"/>
      <c r="I50" s="692"/>
      <c r="J50" s="692"/>
      <c r="K50" s="692"/>
      <c r="L50" s="692"/>
      <c r="M50" s="692"/>
      <c r="N50" s="692"/>
      <c r="O50" s="692"/>
      <c r="P50" s="692"/>
      <c r="Q50" s="692"/>
      <c r="R50" s="692"/>
      <c r="S50" s="692"/>
      <c r="T50" s="692"/>
      <c r="U50" s="692"/>
      <c r="V50" s="692"/>
      <c r="W50" s="692"/>
      <c r="X50" s="692"/>
      <c r="Y50" s="692"/>
      <c r="Z50" s="692"/>
      <c r="AA50" s="692"/>
      <c r="AB50" s="692"/>
      <c r="AC50" s="692"/>
      <c r="AD50" s="692"/>
      <c r="AE50" s="692"/>
      <c r="AF50" s="692"/>
      <c r="AG50" s="692"/>
      <c r="AH50" s="692"/>
      <c r="AI50" s="692"/>
      <c r="AJ50" s="692"/>
      <c r="AK50" s="692"/>
      <c r="AL50" s="689"/>
    </row>
    <row r="51" spans="1:38">
      <c r="A51" s="688">
        <v>13</v>
      </c>
      <c r="B51" s="689"/>
      <c r="C51" s="689"/>
      <c r="D51" s="689"/>
      <c r="E51" s="693"/>
      <c r="F51" s="692"/>
      <c r="G51" s="692"/>
      <c r="H51" s="692"/>
      <c r="I51" s="692"/>
      <c r="J51" s="692"/>
      <c r="K51" s="692"/>
      <c r="L51" s="692"/>
      <c r="M51" s="692"/>
      <c r="N51" s="692"/>
      <c r="O51" s="692"/>
      <c r="P51" s="692"/>
      <c r="Q51" s="692"/>
      <c r="R51" s="692"/>
      <c r="S51" s="692"/>
      <c r="T51" s="692"/>
      <c r="U51" s="692"/>
      <c r="V51" s="692"/>
      <c r="W51" s="692"/>
      <c r="X51" s="692"/>
      <c r="Y51" s="692"/>
      <c r="Z51" s="692"/>
      <c r="AA51" s="692"/>
      <c r="AB51" s="692"/>
      <c r="AC51" s="692"/>
      <c r="AD51" s="692"/>
      <c r="AE51" s="692"/>
      <c r="AF51" s="692"/>
      <c r="AG51" s="692"/>
      <c r="AH51" s="692"/>
      <c r="AI51" s="692"/>
      <c r="AJ51" s="692"/>
      <c r="AK51" s="692"/>
      <c r="AL51" s="689"/>
    </row>
    <row r="52" spans="1:38">
      <c r="A52" s="688">
        <v>14</v>
      </c>
      <c r="B52" s="689"/>
      <c r="C52" s="689"/>
      <c r="D52" s="689"/>
      <c r="E52" s="693"/>
      <c r="F52" s="692"/>
      <c r="G52" s="692"/>
      <c r="H52" s="692"/>
      <c r="I52" s="692"/>
      <c r="J52" s="692"/>
      <c r="K52" s="692"/>
      <c r="L52" s="692"/>
      <c r="M52" s="692"/>
      <c r="N52" s="692"/>
      <c r="O52" s="692"/>
      <c r="P52" s="692"/>
      <c r="Q52" s="692"/>
      <c r="R52" s="692"/>
      <c r="S52" s="692"/>
      <c r="T52" s="692"/>
      <c r="U52" s="692"/>
      <c r="V52" s="692"/>
      <c r="W52" s="692"/>
      <c r="X52" s="692"/>
      <c r="Y52" s="692"/>
      <c r="Z52" s="692"/>
      <c r="AA52" s="692"/>
      <c r="AB52" s="692"/>
      <c r="AC52" s="692"/>
      <c r="AD52" s="692"/>
      <c r="AE52" s="692"/>
      <c r="AF52" s="692"/>
      <c r="AG52" s="692"/>
      <c r="AH52" s="692"/>
      <c r="AI52" s="692"/>
      <c r="AJ52" s="692"/>
      <c r="AK52" s="692"/>
      <c r="AL52" s="689"/>
    </row>
    <row r="53" spans="1:38">
      <c r="A53" s="688">
        <v>15</v>
      </c>
      <c r="B53" s="689"/>
      <c r="C53" s="689"/>
      <c r="D53" s="689"/>
      <c r="E53" s="693"/>
      <c r="F53" s="692"/>
      <c r="G53" s="692"/>
      <c r="H53" s="692"/>
      <c r="I53" s="692"/>
      <c r="J53" s="692"/>
      <c r="K53" s="692"/>
      <c r="L53" s="692"/>
      <c r="M53" s="692"/>
      <c r="N53" s="692"/>
      <c r="O53" s="692"/>
      <c r="P53" s="692"/>
      <c r="Q53" s="692"/>
      <c r="R53" s="692"/>
      <c r="S53" s="692"/>
      <c r="T53" s="692"/>
      <c r="U53" s="692"/>
      <c r="V53" s="692"/>
      <c r="W53" s="692"/>
      <c r="X53" s="692"/>
      <c r="Y53" s="692"/>
      <c r="Z53" s="692"/>
      <c r="AA53" s="692"/>
      <c r="AB53" s="692"/>
      <c r="AC53" s="692"/>
      <c r="AD53" s="692"/>
      <c r="AE53" s="692"/>
      <c r="AF53" s="692"/>
      <c r="AG53" s="692"/>
      <c r="AH53" s="692"/>
      <c r="AI53" s="692"/>
      <c r="AJ53" s="692"/>
      <c r="AK53" s="692"/>
      <c r="AL53" s="689"/>
    </row>
    <row r="54" spans="1:38">
      <c r="A54" s="688">
        <v>16</v>
      </c>
      <c r="B54" s="689"/>
      <c r="C54" s="689"/>
      <c r="D54" s="689"/>
      <c r="E54" s="693"/>
      <c r="F54" s="692"/>
      <c r="G54" s="692"/>
      <c r="H54" s="692"/>
      <c r="I54" s="692"/>
      <c r="J54" s="692"/>
      <c r="K54" s="692"/>
      <c r="L54" s="692"/>
      <c r="M54" s="692"/>
      <c r="N54" s="692"/>
      <c r="O54" s="692"/>
      <c r="P54" s="692"/>
      <c r="Q54" s="692"/>
      <c r="R54" s="692"/>
      <c r="S54" s="692"/>
      <c r="T54" s="692"/>
      <c r="U54" s="692"/>
      <c r="V54" s="692"/>
      <c r="W54" s="692"/>
      <c r="X54" s="692"/>
      <c r="Y54" s="692"/>
      <c r="Z54" s="692"/>
      <c r="AA54" s="692"/>
      <c r="AB54" s="692"/>
      <c r="AC54" s="692"/>
      <c r="AD54" s="692"/>
      <c r="AE54" s="692"/>
      <c r="AF54" s="692"/>
      <c r="AG54" s="692"/>
      <c r="AH54" s="692"/>
      <c r="AI54" s="692"/>
      <c r="AJ54" s="692"/>
      <c r="AK54" s="692"/>
      <c r="AL54" s="689"/>
    </row>
    <row r="55" spans="1:38">
      <c r="A55" s="688">
        <v>17</v>
      </c>
      <c r="B55" s="689"/>
      <c r="C55" s="689"/>
      <c r="D55" s="689"/>
      <c r="E55" s="693"/>
      <c r="F55" s="692"/>
      <c r="G55" s="692"/>
      <c r="H55" s="692"/>
      <c r="I55" s="692"/>
      <c r="J55" s="692"/>
      <c r="K55" s="692"/>
      <c r="L55" s="692"/>
      <c r="M55" s="692"/>
      <c r="N55" s="692"/>
      <c r="O55" s="692"/>
      <c r="P55" s="692"/>
      <c r="Q55" s="692"/>
      <c r="R55" s="692"/>
      <c r="S55" s="692"/>
      <c r="T55" s="692"/>
      <c r="U55" s="692"/>
      <c r="V55" s="692"/>
      <c r="W55" s="692"/>
      <c r="X55" s="692"/>
      <c r="Y55" s="692"/>
      <c r="Z55" s="692"/>
      <c r="AA55" s="692"/>
      <c r="AB55" s="692"/>
      <c r="AC55" s="692"/>
      <c r="AD55" s="692"/>
      <c r="AE55" s="692"/>
      <c r="AF55" s="692"/>
      <c r="AG55" s="692"/>
      <c r="AH55" s="692"/>
      <c r="AI55" s="692"/>
      <c r="AJ55" s="692"/>
      <c r="AK55" s="692"/>
      <c r="AL55" s="689"/>
    </row>
    <row r="56" spans="1:38">
      <c r="A56" s="688">
        <v>18</v>
      </c>
      <c r="B56" s="689"/>
      <c r="C56" s="689"/>
      <c r="D56" s="689"/>
      <c r="E56" s="693"/>
      <c r="F56" s="692"/>
      <c r="G56" s="692"/>
      <c r="H56" s="692"/>
      <c r="I56" s="692"/>
      <c r="J56" s="692"/>
      <c r="K56" s="692"/>
      <c r="L56" s="692"/>
      <c r="M56" s="692"/>
      <c r="N56" s="692"/>
      <c r="O56" s="692"/>
      <c r="P56" s="692"/>
      <c r="Q56" s="692"/>
      <c r="R56" s="692"/>
      <c r="S56" s="692"/>
      <c r="T56" s="692"/>
      <c r="U56" s="692"/>
      <c r="V56" s="692"/>
      <c r="W56" s="692"/>
      <c r="X56" s="692"/>
      <c r="Y56" s="692"/>
      <c r="Z56" s="692"/>
      <c r="AA56" s="692"/>
      <c r="AB56" s="692"/>
      <c r="AC56" s="692"/>
      <c r="AD56" s="692"/>
      <c r="AE56" s="692"/>
      <c r="AF56" s="692"/>
      <c r="AG56" s="692"/>
      <c r="AH56" s="692"/>
      <c r="AI56" s="692"/>
      <c r="AJ56" s="692"/>
      <c r="AK56" s="692"/>
      <c r="AL56" s="689"/>
    </row>
    <row r="57" spans="1:38">
      <c r="A57" s="688">
        <v>19</v>
      </c>
      <c r="B57" s="689"/>
      <c r="C57" s="689"/>
      <c r="D57" s="689"/>
      <c r="E57" s="693"/>
      <c r="F57" s="692"/>
      <c r="G57" s="692"/>
      <c r="H57" s="692"/>
      <c r="I57" s="692"/>
      <c r="J57" s="692"/>
      <c r="K57" s="692"/>
      <c r="L57" s="692"/>
      <c r="M57" s="692"/>
      <c r="N57" s="692"/>
      <c r="O57" s="692"/>
      <c r="P57" s="692"/>
      <c r="Q57" s="692"/>
      <c r="R57" s="692"/>
      <c r="S57" s="692"/>
      <c r="T57" s="692"/>
      <c r="U57" s="692"/>
      <c r="V57" s="692"/>
      <c r="W57" s="692"/>
      <c r="X57" s="692"/>
      <c r="Y57" s="692"/>
      <c r="Z57" s="692"/>
      <c r="AA57" s="692"/>
      <c r="AB57" s="692"/>
      <c r="AC57" s="692"/>
      <c r="AD57" s="692"/>
      <c r="AE57" s="692"/>
      <c r="AF57" s="692"/>
      <c r="AG57" s="692"/>
      <c r="AH57" s="692"/>
      <c r="AI57" s="692"/>
      <c r="AJ57" s="692"/>
      <c r="AK57" s="692"/>
      <c r="AL57" s="689"/>
    </row>
    <row r="58" spans="1:38">
      <c r="A58" s="688">
        <v>20</v>
      </c>
      <c r="B58" s="689"/>
      <c r="C58" s="689"/>
      <c r="D58" s="689"/>
      <c r="E58" s="693"/>
      <c r="F58" s="692"/>
      <c r="G58" s="692"/>
      <c r="H58" s="692"/>
      <c r="I58" s="692"/>
      <c r="J58" s="692"/>
      <c r="K58" s="692"/>
      <c r="L58" s="692"/>
      <c r="M58" s="692"/>
      <c r="N58" s="692"/>
      <c r="O58" s="692"/>
      <c r="P58" s="692"/>
      <c r="Q58" s="692"/>
      <c r="R58" s="692"/>
      <c r="S58" s="692"/>
      <c r="T58" s="692"/>
      <c r="U58" s="692"/>
      <c r="V58" s="692"/>
      <c r="W58" s="692"/>
      <c r="X58" s="692"/>
      <c r="Y58" s="692"/>
      <c r="Z58" s="692"/>
      <c r="AA58" s="692"/>
      <c r="AB58" s="692"/>
      <c r="AC58" s="692"/>
      <c r="AD58" s="692"/>
      <c r="AE58" s="692"/>
      <c r="AF58" s="692"/>
      <c r="AG58" s="692"/>
      <c r="AH58" s="692"/>
      <c r="AI58" s="692"/>
      <c r="AJ58" s="692"/>
      <c r="AK58" s="692"/>
      <c r="AL58" s="689"/>
    </row>
    <row r="59" spans="1:38">
      <c r="A59" s="688">
        <v>21</v>
      </c>
      <c r="B59" s="689"/>
      <c r="C59" s="689"/>
      <c r="D59" s="689"/>
      <c r="E59" s="693"/>
      <c r="F59" s="692"/>
      <c r="G59" s="692"/>
      <c r="H59" s="692"/>
      <c r="I59" s="692"/>
      <c r="J59" s="692"/>
      <c r="K59" s="692"/>
      <c r="L59" s="692"/>
      <c r="M59" s="692"/>
      <c r="N59" s="692"/>
      <c r="O59" s="692"/>
      <c r="P59" s="692"/>
      <c r="Q59" s="692"/>
      <c r="R59" s="692"/>
      <c r="S59" s="692"/>
      <c r="T59" s="692"/>
      <c r="U59" s="692"/>
      <c r="V59" s="692"/>
      <c r="W59" s="692"/>
      <c r="X59" s="692"/>
      <c r="Y59" s="692"/>
      <c r="Z59" s="692"/>
      <c r="AA59" s="692"/>
      <c r="AB59" s="692"/>
      <c r="AC59" s="692"/>
      <c r="AD59" s="692"/>
      <c r="AE59" s="692"/>
      <c r="AF59" s="692"/>
      <c r="AG59" s="692"/>
      <c r="AH59" s="692"/>
      <c r="AI59" s="692"/>
      <c r="AJ59" s="692"/>
      <c r="AK59" s="692"/>
      <c r="AL59" s="689"/>
    </row>
    <row r="60" spans="1:38">
      <c r="A60" s="688">
        <v>22</v>
      </c>
      <c r="B60" s="689"/>
      <c r="C60" s="689"/>
      <c r="D60" s="689"/>
      <c r="E60" s="693"/>
      <c r="F60" s="692"/>
      <c r="G60" s="692"/>
      <c r="H60" s="692"/>
      <c r="I60" s="692"/>
      <c r="J60" s="692"/>
      <c r="K60" s="692"/>
      <c r="L60" s="692"/>
      <c r="M60" s="692"/>
      <c r="N60" s="692"/>
      <c r="O60" s="692"/>
      <c r="P60" s="692"/>
      <c r="Q60" s="692"/>
      <c r="R60" s="692"/>
      <c r="S60" s="692"/>
      <c r="T60" s="692"/>
      <c r="U60" s="692"/>
      <c r="V60" s="692"/>
      <c r="W60" s="692"/>
      <c r="X60" s="692"/>
      <c r="Y60" s="692"/>
      <c r="Z60" s="692"/>
      <c r="AA60" s="692"/>
      <c r="AB60" s="692"/>
      <c r="AC60" s="692"/>
      <c r="AD60" s="692"/>
      <c r="AE60" s="692"/>
      <c r="AF60" s="692"/>
      <c r="AG60" s="692"/>
      <c r="AH60" s="692"/>
      <c r="AI60" s="692"/>
      <c r="AJ60" s="692"/>
      <c r="AK60" s="692"/>
      <c r="AL60" s="689"/>
    </row>
    <row r="61" spans="1:38">
      <c r="A61" s="688">
        <v>23</v>
      </c>
      <c r="B61" s="689"/>
      <c r="C61" s="689"/>
      <c r="D61" s="689"/>
      <c r="E61" s="693"/>
      <c r="F61" s="692"/>
      <c r="G61" s="692"/>
      <c r="H61" s="692"/>
      <c r="I61" s="692"/>
      <c r="J61" s="692"/>
      <c r="K61" s="692"/>
      <c r="L61" s="692"/>
      <c r="M61" s="692"/>
      <c r="N61" s="692"/>
      <c r="O61" s="692"/>
      <c r="P61" s="692"/>
      <c r="Q61" s="692"/>
      <c r="R61" s="692"/>
      <c r="S61" s="692"/>
      <c r="T61" s="692"/>
      <c r="U61" s="692"/>
      <c r="V61" s="692"/>
      <c r="W61" s="692"/>
      <c r="X61" s="692"/>
      <c r="Y61" s="692"/>
      <c r="Z61" s="692"/>
      <c r="AA61" s="692"/>
      <c r="AB61" s="692"/>
      <c r="AC61" s="692"/>
      <c r="AD61" s="692"/>
      <c r="AE61" s="692"/>
      <c r="AF61" s="692"/>
      <c r="AG61" s="692"/>
      <c r="AH61" s="692"/>
      <c r="AI61" s="692"/>
      <c r="AJ61" s="692"/>
      <c r="AK61" s="692"/>
      <c r="AL61" s="689"/>
    </row>
    <row r="62" spans="1:38">
      <c r="A62" s="688">
        <v>24</v>
      </c>
      <c r="B62" s="689"/>
      <c r="C62" s="689"/>
      <c r="D62" s="689"/>
      <c r="E62" s="693"/>
      <c r="F62" s="692"/>
      <c r="G62" s="692"/>
      <c r="H62" s="692"/>
      <c r="I62" s="692"/>
      <c r="J62" s="692"/>
      <c r="K62" s="692"/>
      <c r="L62" s="692"/>
      <c r="M62" s="692"/>
      <c r="N62" s="692"/>
      <c r="O62" s="692"/>
      <c r="P62" s="692"/>
      <c r="Q62" s="692"/>
      <c r="R62" s="692"/>
      <c r="S62" s="692"/>
      <c r="T62" s="692"/>
      <c r="U62" s="692"/>
      <c r="V62" s="692"/>
      <c r="W62" s="692"/>
      <c r="X62" s="692"/>
      <c r="Y62" s="692"/>
      <c r="Z62" s="692"/>
      <c r="AA62" s="692"/>
      <c r="AB62" s="692"/>
      <c r="AC62" s="692"/>
      <c r="AD62" s="692"/>
      <c r="AE62" s="692"/>
      <c r="AF62" s="692"/>
      <c r="AG62" s="692"/>
      <c r="AH62" s="692"/>
      <c r="AI62" s="692"/>
      <c r="AJ62" s="692"/>
      <c r="AK62" s="692"/>
      <c r="AL62" s="689"/>
    </row>
    <row r="63" spans="1:38">
      <c r="A63" s="688">
        <v>25</v>
      </c>
      <c r="B63" s="689"/>
      <c r="C63" s="689"/>
      <c r="D63" s="689"/>
      <c r="E63" s="693"/>
      <c r="F63" s="692"/>
      <c r="G63" s="692"/>
      <c r="H63" s="692"/>
      <c r="I63" s="692"/>
      <c r="J63" s="692"/>
      <c r="K63" s="692"/>
      <c r="L63" s="692"/>
      <c r="M63" s="692"/>
      <c r="N63" s="692"/>
      <c r="O63" s="692"/>
      <c r="P63" s="692"/>
      <c r="Q63" s="692"/>
      <c r="R63" s="692"/>
      <c r="S63" s="692"/>
      <c r="T63" s="692"/>
      <c r="U63" s="692"/>
      <c r="V63" s="692"/>
      <c r="W63" s="692"/>
      <c r="X63" s="692"/>
      <c r="Y63" s="692"/>
      <c r="Z63" s="692"/>
      <c r="AA63" s="692"/>
      <c r="AB63" s="692"/>
      <c r="AC63" s="692"/>
      <c r="AD63" s="692"/>
      <c r="AE63" s="692"/>
      <c r="AF63" s="692"/>
      <c r="AG63" s="692"/>
      <c r="AH63" s="692"/>
      <c r="AI63" s="692"/>
      <c r="AJ63" s="692"/>
      <c r="AK63" s="692"/>
      <c r="AL63" s="689"/>
    </row>
    <row r="64" spans="1:38">
      <c r="A64" s="688">
        <v>26</v>
      </c>
      <c r="B64" s="689"/>
      <c r="C64" s="689"/>
      <c r="D64" s="689"/>
      <c r="E64" s="693"/>
      <c r="F64" s="692"/>
      <c r="G64" s="692"/>
      <c r="H64" s="692"/>
      <c r="I64" s="692"/>
      <c r="J64" s="692"/>
      <c r="K64" s="692"/>
      <c r="L64" s="692"/>
      <c r="M64" s="692"/>
      <c r="N64" s="692"/>
      <c r="O64" s="692"/>
      <c r="P64" s="692"/>
      <c r="Q64" s="692"/>
      <c r="R64" s="692"/>
      <c r="S64" s="692"/>
      <c r="T64" s="692"/>
      <c r="U64" s="692"/>
      <c r="V64" s="692"/>
      <c r="W64" s="692"/>
      <c r="X64" s="692"/>
      <c r="Y64" s="692"/>
      <c r="Z64" s="692"/>
      <c r="AA64" s="692"/>
      <c r="AB64" s="692"/>
      <c r="AC64" s="692"/>
      <c r="AD64" s="692"/>
      <c r="AE64" s="692"/>
      <c r="AF64" s="692"/>
      <c r="AG64" s="692"/>
      <c r="AH64" s="692"/>
      <c r="AI64" s="692"/>
      <c r="AJ64" s="692"/>
      <c r="AK64" s="692"/>
      <c r="AL64" s="689"/>
    </row>
    <row r="65" spans="1:38">
      <c r="A65" s="688">
        <v>27</v>
      </c>
      <c r="B65" s="689"/>
      <c r="C65" s="689"/>
      <c r="D65" s="689"/>
      <c r="E65" s="693"/>
      <c r="F65" s="692"/>
      <c r="G65" s="692"/>
      <c r="H65" s="692"/>
      <c r="I65" s="692"/>
      <c r="J65" s="692"/>
      <c r="K65" s="692"/>
      <c r="L65" s="692"/>
      <c r="M65" s="692"/>
      <c r="N65" s="692"/>
      <c r="O65" s="692"/>
      <c r="P65" s="692"/>
      <c r="Q65" s="692"/>
      <c r="R65" s="692"/>
      <c r="S65" s="692"/>
      <c r="T65" s="692"/>
      <c r="U65" s="692"/>
      <c r="V65" s="692"/>
      <c r="W65" s="692"/>
      <c r="X65" s="692"/>
      <c r="Y65" s="692"/>
      <c r="Z65" s="692"/>
      <c r="AA65" s="692"/>
      <c r="AB65" s="692"/>
      <c r="AC65" s="692"/>
      <c r="AD65" s="692"/>
      <c r="AE65" s="692"/>
      <c r="AF65" s="692"/>
      <c r="AG65" s="692"/>
      <c r="AH65" s="692"/>
      <c r="AI65" s="692"/>
      <c r="AJ65" s="692"/>
      <c r="AK65" s="692"/>
      <c r="AL65" s="689"/>
    </row>
    <row r="66" spans="1:38">
      <c r="A66" s="688">
        <v>28</v>
      </c>
      <c r="B66" s="689"/>
      <c r="C66" s="689"/>
      <c r="D66" s="689"/>
      <c r="E66" s="693"/>
      <c r="F66" s="692"/>
      <c r="G66" s="692"/>
      <c r="H66" s="692"/>
      <c r="I66" s="692"/>
      <c r="J66" s="692"/>
      <c r="K66" s="692"/>
      <c r="L66" s="692"/>
      <c r="M66" s="692"/>
      <c r="N66" s="692"/>
      <c r="O66" s="692"/>
      <c r="P66" s="692"/>
      <c r="Q66" s="692"/>
      <c r="R66" s="692"/>
      <c r="S66" s="692"/>
      <c r="T66" s="692"/>
      <c r="U66" s="692"/>
      <c r="V66" s="692"/>
      <c r="W66" s="692"/>
      <c r="X66" s="692"/>
      <c r="Y66" s="692"/>
      <c r="Z66" s="692"/>
      <c r="AA66" s="692"/>
      <c r="AB66" s="692"/>
      <c r="AC66" s="692"/>
      <c r="AD66" s="692"/>
      <c r="AE66" s="692"/>
      <c r="AF66" s="692"/>
      <c r="AG66" s="692"/>
      <c r="AH66" s="692"/>
      <c r="AI66" s="692"/>
      <c r="AJ66" s="692"/>
      <c r="AK66" s="692"/>
      <c r="AL66" s="689"/>
    </row>
    <row r="67" spans="1:38">
      <c r="A67" s="688">
        <v>29</v>
      </c>
      <c r="B67" s="689"/>
      <c r="C67" s="689"/>
      <c r="D67" s="689"/>
      <c r="E67" s="693"/>
      <c r="F67" s="692"/>
      <c r="G67" s="692"/>
      <c r="H67" s="692"/>
      <c r="I67" s="692"/>
      <c r="J67" s="692"/>
      <c r="K67" s="692"/>
      <c r="L67" s="692"/>
      <c r="M67" s="692"/>
      <c r="N67" s="692"/>
      <c r="O67" s="692"/>
      <c r="P67" s="692"/>
      <c r="Q67" s="692"/>
      <c r="R67" s="692"/>
      <c r="S67" s="692"/>
      <c r="T67" s="692"/>
      <c r="U67" s="692"/>
      <c r="V67" s="692"/>
      <c r="W67" s="692"/>
      <c r="X67" s="692"/>
      <c r="Y67" s="692"/>
      <c r="Z67" s="692"/>
      <c r="AA67" s="692"/>
      <c r="AB67" s="692"/>
      <c r="AC67" s="692"/>
      <c r="AD67" s="692"/>
      <c r="AE67" s="692"/>
      <c r="AF67" s="692"/>
      <c r="AG67" s="692"/>
      <c r="AH67" s="692"/>
      <c r="AI67" s="692"/>
      <c r="AJ67" s="692"/>
      <c r="AK67" s="692"/>
      <c r="AL67" s="689"/>
    </row>
    <row r="68" spans="1:38">
      <c r="A68" s="688">
        <v>30</v>
      </c>
      <c r="B68" s="689"/>
      <c r="C68" s="689"/>
      <c r="D68" s="689"/>
      <c r="E68" s="693"/>
      <c r="F68" s="692"/>
      <c r="G68" s="692"/>
      <c r="H68" s="692"/>
      <c r="I68" s="692"/>
      <c r="J68" s="692"/>
      <c r="K68" s="692"/>
      <c r="L68" s="692"/>
      <c r="M68" s="692"/>
      <c r="N68" s="692"/>
      <c r="O68" s="692"/>
      <c r="P68" s="692"/>
      <c r="Q68" s="692"/>
      <c r="R68" s="692"/>
      <c r="S68" s="692"/>
      <c r="T68" s="692"/>
      <c r="U68" s="692"/>
      <c r="V68" s="692"/>
      <c r="W68" s="692"/>
      <c r="X68" s="692"/>
      <c r="Y68" s="692"/>
      <c r="Z68" s="692"/>
      <c r="AA68" s="692"/>
      <c r="AB68" s="692"/>
      <c r="AC68" s="692"/>
      <c r="AD68" s="692"/>
      <c r="AE68" s="692"/>
      <c r="AF68" s="692"/>
      <c r="AG68" s="692"/>
      <c r="AH68" s="692"/>
      <c r="AI68" s="692"/>
      <c r="AJ68" s="692"/>
      <c r="AK68" s="692"/>
      <c r="AL68" s="689"/>
    </row>
  </sheetData>
  <mergeCells count="267">
    <mergeCell ref="A1:AL1"/>
    <mergeCell ref="A2:C2"/>
    <mergeCell ref="D2:R2"/>
    <mergeCell ref="S2:AI2"/>
    <mergeCell ref="AJ2:AL2"/>
    <mergeCell ref="A3:C3"/>
    <mergeCell ref="D3:E3"/>
    <mergeCell ref="F3:AI3"/>
    <mergeCell ref="AJ3:AL3"/>
    <mergeCell ref="A37:AL37"/>
    <mergeCell ref="F38:I38"/>
    <mergeCell ref="J38:M38"/>
    <mergeCell ref="N38:U38"/>
    <mergeCell ref="V38:Y38"/>
    <mergeCell ref="Z38:AC38"/>
    <mergeCell ref="AD38:AG38"/>
    <mergeCell ref="AH38:AJ38"/>
    <mergeCell ref="F39:I39"/>
    <mergeCell ref="J39:M39"/>
    <mergeCell ref="N39:U39"/>
    <mergeCell ref="V39:Y39"/>
    <mergeCell ref="Z39:AC39"/>
    <mergeCell ref="AD39:AG39"/>
    <mergeCell ref="AH39:AJ39"/>
    <mergeCell ref="F40:I40"/>
    <mergeCell ref="J40:M40"/>
    <mergeCell ref="N40:U40"/>
    <mergeCell ref="V40:Y40"/>
    <mergeCell ref="Z40:AC40"/>
    <mergeCell ref="AD40:AG40"/>
    <mergeCell ref="AH40:AJ40"/>
    <mergeCell ref="F41:I41"/>
    <mergeCell ref="J41:M41"/>
    <mergeCell ref="N41:U41"/>
    <mergeCell ref="V41:Y41"/>
    <mergeCell ref="Z41:AC41"/>
    <mergeCell ref="AD41:AG41"/>
    <mergeCell ref="AH41:AJ41"/>
    <mergeCell ref="F42:I42"/>
    <mergeCell ref="J42:M42"/>
    <mergeCell ref="N42:U42"/>
    <mergeCell ref="V42:Y42"/>
    <mergeCell ref="Z42:AC42"/>
    <mergeCell ref="AD42:AG42"/>
    <mergeCell ref="AH42:AJ42"/>
    <mergeCell ref="F43:I43"/>
    <mergeCell ref="J43:M43"/>
    <mergeCell ref="N43:U43"/>
    <mergeCell ref="V43:Y43"/>
    <mergeCell ref="Z43:AC43"/>
    <mergeCell ref="AD43:AG43"/>
    <mergeCell ref="AH43:AJ43"/>
    <mergeCell ref="F44:I44"/>
    <mergeCell ref="J44:M44"/>
    <mergeCell ref="N44:U44"/>
    <mergeCell ref="V44:Y44"/>
    <mergeCell ref="Z44:AC44"/>
    <mergeCell ref="AD44:AG44"/>
    <mergeCell ref="AH44:AJ44"/>
    <mergeCell ref="F45:I45"/>
    <mergeCell ref="J45:M45"/>
    <mergeCell ref="N45:U45"/>
    <mergeCell ref="V45:Y45"/>
    <mergeCell ref="Z45:AC45"/>
    <mergeCell ref="AD45:AG45"/>
    <mergeCell ref="AH45:AJ45"/>
    <mergeCell ref="F46:I46"/>
    <mergeCell ref="J46:M46"/>
    <mergeCell ref="N46:U46"/>
    <mergeCell ref="V46:Y46"/>
    <mergeCell ref="Z46:AC46"/>
    <mergeCell ref="AD46:AG46"/>
    <mergeCell ref="AH46:AJ46"/>
    <mergeCell ref="F47:I47"/>
    <mergeCell ref="J47:M47"/>
    <mergeCell ref="N47:U47"/>
    <mergeCell ref="V47:Y47"/>
    <mergeCell ref="Z47:AC47"/>
    <mergeCell ref="AD47:AG47"/>
    <mergeCell ref="AH47:AJ47"/>
    <mergeCell ref="F48:I48"/>
    <mergeCell ref="J48:M48"/>
    <mergeCell ref="N48:U48"/>
    <mergeCell ref="V48:Y48"/>
    <mergeCell ref="Z48:AC48"/>
    <mergeCell ref="AD48:AG48"/>
    <mergeCell ref="AH48:AJ48"/>
    <mergeCell ref="F49:I49"/>
    <mergeCell ref="J49:M49"/>
    <mergeCell ref="N49:U49"/>
    <mergeCell ref="V49:Y49"/>
    <mergeCell ref="Z49:AC49"/>
    <mergeCell ref="AD49:AG49"/>
    <mergeCell ref="AH49:AJ49"/>
    <mergeCell ref="F50:I50"/>
    <mergeCell ref="J50:M50"/>
    <mergeCell ref="N50:U50"/>
    <mergeCell ref="V50:Y50"/>
    <mergeCell ref="Z50:AC50"/>
    <mergeCell ref="AD50:AG50"/>
    <mergeCell ref="AH50:AJ50"/>
    <mergeCell ref="F51:I51"/>
    <mergeCell ref="J51:M51"/>
    <mergeCell ref="N51:U51"/>
    <mergeCell ref="V51:Y51"/>
    <mergeCell ref="Z51:AC51"/>
    <mergeCell ref="AD51:AG51"/>
    <mergeCell ref="AH51:AJ51"/>
    <mergeCell ref="F52:I52"/>
    <mergeCell ref="J52:M52"/>
    <mergeCell ref="N52:U52"/>
    <mergeCell ref="V52:Y52"/>
    <mergeCell ref="Z52:AC52"/>
    <mergeCell ref="AD52:AG52"/>
    <mergeCell ref="AH52:AJ52"/>
    <mergeCell ref="F53:I53"/>
    <mergeCell ref="J53:M53"/>
    <mergeCell ref="N53:U53"/>
    <mergeCell ref="V53:Y53"/>
    <mergeCell ref="Z53:AC53"/>
    <mergeCell ref="AD53:AG53"/>
    <mergeCell ref="AH53:AJ53"/>
    <mergeCell ref="F54:I54"/>
    <mergeCell ref="J54:M54"/>
    <mergeCell ref="N54:U54"/>
    <mergeCell ref="V54:Y54"/>
    <mergeCell ref="Z54:AC54"/>
    <mergeCell ref="AD54:AG54"/>
    <mergeCell ref="AH54:AJ54"/>
    <mergeCell ref="F55:I55"/>
    <mergeCell ref="J55:M55"/>
    <mergeCell ref="N55:U55"/>
    <mergeCell ref="V55:Y55"/>
    <mergeCell ref="Z55:AC55"/>
    <mergeCell ref="AD55:AG55"/>
    <mergeCell ref="AH55:AJ55"/>
    <mergeCell ref="F56:I56"/>
    <mergeCell ref="J56:M56"/>
    <mergeCell ref="N56:U56"/>
    <mergeCell ref="V56:Y56"/>
    <mergeCell ref="Z56:AC56"/>
    <mergeCell ref="AD56:AG56"/>
    <mergeCell ref="AH56:AJ56"/>
    <mergeCell ref="F57:I57"/>
    <mergeCell ref="J57:M57"/>
    <mergeCell ref="N57:U57"/>
    <mergeCell ref="V57:Y57"/>
    <mergeCell ref="Z57:AC57"/>
    <mergeCell ref="AD57:AG57"/>
    <mergeCell ref="AH57:AJ57"/>
    <mergeCell ref="F58:I58"/>
    <mergeCell ref="J58:M58"/>
    <mergeCell ref="N58:U58"/>
    <mergeCell ref="V58:Y58"/>
    <mergeCell ref="Z58:AC58"/>
    <mergeCell ref="AD58:AG58"/>
    <mergeCell ref="AH58:AJ58"/>
    <mergeCell ref="F59:I59"/>
    <mergeCell ref="J59:M59"/>
    <mergeCell ref="N59:U59"/>
    <mergeCell ref="V59:Y59"/>
    <mergeCell ref="Z59:AC59"/>
    <mergeCell ref="AD59:AG59"/>
    <mergeCell ref="AH59:AJ59"/>
    <mergeCell ref="F60:I60"/>
    <mergeCell ref="J60:M60"/>
    <mergeCell ref="N60:U60"/>
    <mergeCell ref="V60:Y60"/>
    <mergeCell ref="Z60:AC60"/>
    <mergeCell ref="AD60:AG60"/>
    <mergeCell ref="AH60:AJ60"/>
    <mergeCell ref="F61:I61"/>
    <mergeCell ref="J61:M61"/>
    <mergeCell ref="N61:U61"/>
    <mergeCell ref="V61:Y61"/>
    <mergeCell ref="Z61:AC61"/>
    <mergeCell ref="AD61:AG61"/>
    <mergeCell ref="AH61:AJ61"/>
    <mergeCell ref="F62:I62"/>
    <mergeCell ref="J62:M62"/>
    <mergeCell ref="N62:U62"/>
    <mergeCell ref="V62:Y62"/>
    <mergeCell ref="Z62:AC62"/>
    <mergeCell ref="AD62:AG62"/>
    <mergeCell ref="AH62:AJ62"/>
    <mergeCell ref="F63:I63"/>
    <mergeCell ref="J63:M63"/>
    <mergeCell ref="N63:U63"/>
    <mergeCell ref="V63:Y63"/>
    <mergeCell ref="Z63:AC63"/>
    <mergeCell ref="AD63:AG63"/>
    <mergeCell ref="AH63:AJ63"/>
    <mergeCell ref="F64:I64"/>
    <mergeCell ref="J64:M64"/>
    <mergeCell ref="N64:U64"/>
    <mergeCell ref="V64:Y64"/>
    <mergeCell ref="Z64:AC64"/>
    <mergeCell ref="AD64:AG64"/>
    <mergeCell ref="AH64:AJ64"/>
    <mergeCell ref="F65:I65"/>
    <mergeCell ref="J65:M65"/>
    <mergeCell ref="N65:U65"/>
    <mergeCell ref="V65:Y65"/>
    <mergeCell ref="Z65:AC65"/>
    <mergeCell ref="AD65:AG65"/>
    <mergeCell ref="AH65:AJ65"/>
    <mergeCell ref="F66:I66"/>
    <mergeCell ref="J66:M66"/>
    <mergeCell ref="N66:U66"/>
    <mergeCell ref="V66:Y66"/>
    <mergeCell ref="Z66:AC66"/>
    <mergeCell ref="AD66:AG66"/>
    <mergeCell ref="AH66:AJ66"/>
    <mergeCell ref="F67:I67"/>
    <mergeCell ref="J67:M67"/>
    <mergeCell ref="N67:U67"/>
    <mergeCell ref="V67:Y67"/>
    <mergeCell ref="Z67:AC67"/>
    <mergeCell ref="AD67:AG67"/>
    <mergeCell ref="AH67:AJ67"/>
    <mergeCell ref="F68:I68"/>
    <mergeCell ref="J68:M68"/>
    <mergeCell ref="N68:U68"/>
    <mergeCell ref="V68:Y68"/>
    <mergeCell ref="Z68:AC68"/>
    <mergeCell ref="AD68:AG68"/>
    <mergeCell ref="AH68:AJ68"/>
    <mergeCell ref="A4:A6"/>
    <mergeCell ref="B4:B6"/>
    <mergeCell ref="C4:C6"/>
    <mergeCell ref="D4:D6"/>
    <mergeCell ref="E4:E6"/>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 ref="AA4:AA5"/>
    <mergeCell ref="AB4:AB5"/>
    <mergeCell ref="AC4:AC5"/>
    <mergeCell ref="AD4:AD5"/>
    <mergeCell ref="AE4:AE5"/>
    <mergeCell ref="AF4:AF5"/>
    <mergeCell ref="AG4:AG5"/>
    <mergeCell ref="AH4:AH5"/>
    <mergeCell ref="AI4:AI5"/>
    <mergeCell ref="AJ4:AJ6"/>
    <mergeCell ref="AL7:AL17"/>
    <mergeCell ref="AL18:AL29"/>
    <mergeCell ref="AL30:AL36"/>
    <mergeCell ref="AK4:AL6"/>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sheetPr>
  <dimension ref="A1:J72"/>
  <sheetViews>
    <sheetView zoomScale="55" zoomScaleNormal="55" zoomScalePageLayoutView="300" workbookViewId="0">
      <pane ySplit="6" topLeftCell="A64" activePane="bottomLeft" state="frozen"/>
      <selection/>
      <selection pane="bottomLeft" activeCell="H59" sqref="H59:I59"/>
    </sheetView>
  </sheetViews>
  <sheetFormatPr defaultColWidth="9" defaultRowHeight="14.25"/>
  <cols>
    <col min="1" max="1" width="5.2" customWidth="1"/>
    <col min="2" max="2" width="13.7" customWidth="1"/>
    <col min="3" max="3" width="28.5" customWidth="1"/>
    <col min="4" max="4" width="28.2" customWidth="1"/>
    <col min="5" max="5" width="20.7" customWidth="1"/>
    <col min="6" max="6" width="21.3" customWidth="1"/>
    <col min="7" max="7" width="14" customWidth="1"/>
    <col min="8" max="8" width="34.2" customWidth="1"/>
    <col min="9" max="9" width="19.8" customWidth="1"/>
    <col min="10" max="10" width="22.8" customWidth="1"/>
  </cols>
  <sheetData>
    <row r="1" ht="31.95" customHeight="1" spans="1:10">
      <c r="A1" s="574" t="s">
        <v>1165</v>
      </c>
      <c r="B1" s="575"/>
      <c r="C1" s="575"/>
      <c r="D1" s="575"/>
      <c r="E1" s="575"/>
      <c r="F1" s="575"/>
      <c r="G1" s="575"/>
      <c r="H1" s="575"/>
      <c r="I1" s="575"/>
      <c r="J1" s="645"/>
    </row>
    <row r="2" ht="24" customHeight="1" spans="1:10">
      <c r="A2" s="576" t="s">
        <v>1166</v>
      </c>
      <c r="B2" s="577"/>
      <c r="C2" s="578"/>
      <c r="D2" s="576" t="s">
        <v>1167</v>
      </c>
      <c r="E2" s="578"/>
      <c r="F2" s="576" t="s">
        <v>1168</v>
      </c>
      <c r="G2" s="578"/>
      <c r="H2" s="576" t="s">
        <v>1169</v>
      </c>
      <c r="I2" s="577"/>
      <c r="J2" s="646" t="s">
        <v>1170</v>
      </c>
    </row>
    <row r="3" ht="21" customHeight="1" spans="1:10">
      <c r="A3" s="579" t="s">
        <v>1171</v>
      </c>
      <c r="B3" s="580"/>
      <c r="C3" s="581"/>
      <c r="D3" s="579" t="s">
        <v>1172</v>
      </c>
      <c r="E3" s="581"/>
      <c r="F3" s="579" t="s">
        <v>1173</v>
      </c>
      <c r="G3" s="581"/>
      <c r="H3" s="579" t="s">
        <v>1174</v>
      </c>
      <c r="I3" s="580"/>
      <c r="J3" s="647" t="s">
        <v>1175</v>
      </c>
    </row>
    <row r="4" ht="43.05" customHeight="1" spans="1:10">
      <c r="A4" s="582" t="s">
        <v>1176</v>
      </c>
      <c r="B4" s="583"/>
      <c r="C4" s="583"/>
      <c r="D4" s="582" t="s">
        <v>1177</v>
      </c>
      <c r="E4" s="584"/>
      <c r="F4" s="582" t="s">
        <v>1178</v>
      </c>
      <c r="G4" s="584"/>
      <c r="H4" s="585" t="s">
        <v>1179</v>
      </c>
      <c r="I4" s="648"/>
      <c r="J4" s="649" t="s">
        <v>584</v>
      </c>
    </row>
    <row r="5" ht="58.05" customHeight="1" spans="1:10">
      <c r="A5" s="585" t="s">
        <v>1180</v>
      </c>
      <c r="B5" s="586"/>
      <c r="C5" s="586"/>
      <c r="D5" s="585" t="s">
        <v>1181</v>
      </c>
      <c r="E5" s="586"/>
      <c r="F5" s="585" t="s">
        <v>1181</v>
      </c>
      <c r="G5" s="586"/>
      <c r="H5" s="585" t="s">
        <v>1182</v>
      </c>
      <c r="I5" s="586"/>
      <c r="J5" s="649" t="s">
        <v>1183</v>
      </c>
    </row>
    <row r="6" ht="27" customHeight="1" spans="1:10">
      <c r="A6" s="587" t="s">
        <v>63</v>
      </c>
      <c r="B6" s="587" t="s">
        <v>1184</v>
      </c>
      <c r="C6" s="588" t="s">
        <v>1106</v>
      </c>
      <c r="D6" s="588" t="s">
        <v>1185</v>
      </c>
      <c r="E6" s="588" t="s">
        <v>1186</v>
      </c>
      <c r="F6" s="587" t="s">
        <v>85</v>
      </c>
      <c r="G6" s="587" t="s">
        <v>84</v>
      </c>
      <c r="H6" s="587" t="s">
        <v>1187</v>
      </c>
      <c r="I6" s="587" t="s">
        <v>232</v>
      </c>
      <c r="J6" s="587" t="s">
        <v>1188</v>
      </c>
    </row>
    <row r="7" ht="17.25" spans="1:10">
      <c r="A7" s="589">
        <v>1</v>
      </c>
      <c r="B7" s="590" t="s">
        <v>1189</v>
      </c>
      <c r="C7" s="591" t="s">
        <v>1190</v>
      </c>
      <c r="D7" s="591" t="s">
        <v>1191</v>
      </c>
      <c r="E7" s="591" t="s">
        <v>1192</v>
      </c>
      <c r="F7" s="592">
        <v>1</v>
      </c>
      <c r="G7" s="593" t="s">
        <v>125</v>
      </c>
      <c r="H7" s="594" t="s">
        <v>1193</v>
      </c>
      <c r="I7" s="650" t="s">
        <v>1194</v>
      </c>
      <c r="J7" s="650" t="s">
        <v>1195</v>
      </c>
    </row>
    <row r="8" ht="17.25" spans="1:10">
      <c r="A8" s="589">
        <v>2</v>
      </c>
      <c r="B8" s="590"/>
      <c r="C8" s="591" t="s">
        <v>1196</v>
      </c>
      <c r="D8" s="591" t="s">
        <v>1197</v>
      </c>
      <c r="E8" s="591" t="s">
        <v>1192</v>
      </c>
      <c r="F8" s="592">
        <v>1</v>
      </c>
      <c r="G8" s="593" t="s">
        <v>125</v>
      </c>
      <c r="H8" s="594" t="s">
        <v>1193</v>
      </c>
      <c r="I8" s="650" t="s">
        <v>1194</v>
      </c>
      <c r="J8" s="650" t="s">
        <v>1195</v>
      </c>
    </row>
    <row r="9" ht="17.25" spans="1:10">
      <c r="A9" s="589">
        <v>3</v>
      </c>
      <c r="B9" s="590"/>
      <c r="C9" s="591" t="s">
        <v>1198</v>
      </c>
      <c r="D9" s="591" t="s">
        <v>1199</v>
      </c>
      <c r="E9" s="591" t="s">
        <v>1192</v>
      </c>
      <c r="F9" s="592">
        <v>1</v>
      </c>
      <c r="G9" s="593" t="s">
        <v>125</v>
      </c>
      <c r="H9" s="594" t="s">
        <v>1200</v>
      </c>
      <c r="I9" s="650" t="s">
        <v>1194</v>
      </c>
      <c r="J9" s="650" t="s">
        <v>1195</v>
      </c>
    </row>
    <row r="10" ht="17.25" spans="1:10">
      <c r="A10" s="589">
        <v>4</v>
      </c>
      <c r="B10" s="590"/>
      <c r="C10" s="591" t="s">
        <v>1201</v>
      </c>
      <c r="D10" s="591" t="s">
        <v>1202</v>
      </c>
      <c r="E10" s="591" t="s">
        <v>1192</v>
      </c>
      <c r="F10" s="592">
        <v>1</v>
      </c>
      <c r="G10" s="593" t="s">
        <v>125</v>
      </c>
      <c r="H10" s="594" t="s">
        <v>1193</v>
      </c>
      <c r="I10" s="650" t="s">
        <v>1194</v>
      </c>
      <c r="J10" s="650" t="s">
        <v>1195</v>
      </c>
    </row>
    <row r="11" ht="17.25" spans="1:10">
      <c r="A11" s="589">
        <v>5</v>
      </c>
      <c r="B11" s="590"/>
      <c r="C11" s="591" t="s">
        <v>1203</v>
      </c>
      <c r="D11" s="591" t="s">
        <v>1204</v>
      </c>
      <c r="E11" s="591" t="s">
        <v>1192</v>
      </c>
      <c r="F11" s="592">
        <v>5</v>
      </c>
      <c r="G11" s="593" t="s">
        <v>125</v>
      </c>
      <c r="H11" s="594" t="s">
        <v>1193</v>
      </c>
      <c r="I11" s="650" t="s">
        <v>1194</v>
      </c>
      <c r="J11" s="650" t="s">
        <v>1195</v>
      </c>
    </row>
    <row r="12" ht="17.25" spans="1:10">
      <c r="A12" s="589">
        <v>6</v>
      </c>
      <c r="B12" s="590"/>
      <c r="C12" s="591" t="s">
        <v>1205</v>
      </c>
      <c r="D12" s="591" t="s">
        <v>1206</v>
      </c>
      <c r="E12" s="591" t="s">
        <v>1192</v>
      </c>
      <c r="F12" s="592">
        <v>1</v>
      </c>
      <c r="G12" s="593" t="s">
        <v>125</v>
      </c>
      <c r="H12" s="594" t="s">
        <v>1193</v>
      </c>
      <c r="I12" s="650" t="s">
        <v>1194</v>
      </c>
      <c r="J12" s="650" t="s">
        <v>1195</v>
      </c>
    </row>
    <row r="13" ht="17.25" spans="1:10">
      <c r="A13" s="589">
        <v>7</v>
      </c>
      <c r="B13" s="590"/>
      <c r="C13" s="591" t="s">
        <v>1207</v>
      </c>
      <c r="D13" s="591" t="s">
        <v>1208</v>
      </c>
      <c r="E13" s="591" t="s">
        <v>1209</v>
      </c>
      <c r="F13" s="592">
        <v>1</v>
      </c>
      <c r="G13" s="593" t="s">
        <v>125</v>
      </c>
      <c r="H13" s="594" t="s">
        <v>1210</v>
      </c>
      <c r="I13" s="650" t="s">
        <v>1194</v>
      </c>
      <c r="J13" s="650" t="s">
        <v>1195</v>
      </c>
    </row>
    <row r="14" ht="17.25" spans="1:10">
      <c r="A14" s="595">
        <v>8</v>
      </c>
      <c r="B14" s="596" t="s">
        <v>1211</v>
      </c>
      <c r="C14" s="597" t="s">
        <v>1212</v>
      </c>
      <c r="D14" s="598" t="s">
        <v>958</v>
      </c>
      <c r="E14" s="597" t="s">
        <v>1213</v>
      </c>
      <c r="F14" s="599">
        <v>4</v>
      </c>
      <c r="G14" s="600" t="s">
        <v>125</v>
      </c>
      <c r="H14" s="601" t="s">
        <v>1214</v>
      </c>
      <c r="I14" s="651" t="s">
        <v>727</v>
      </c>
      <c r="J14" s="651" t="s">
        <v>1215</v>
      </c>
    </row>
    <row r="15" ht="17.25" spans="1:10">
      <c r="A15" s="595">
        <v>9</v>
      </c>
      <c r="B15" s="596"/>
      <c r="C15" s="597" t="s">
        <v>1212</v>
      </c>
      <c r="D15" s="598" t="s">
        <v>1216</v>
      </c>
      <c r="E15" s="597" t="s">
        <v>1213</v>
      </c>
      <c r="F15" s="599">
        <v>2</v>
      </c>
      <c r="G15" s="600" t="s">
        <v>125</v>
      </c>
      <c r="H15" s="601" t="s">
        <v>1214</v>
      </c>
      <c r="I15" s="651"/>
      <c r="J15" s="651" t="s">
        <v>1215</v>
      </c>
    </row>
    <row r="16" ht="17.25" spans="1:10">
      <c r="A16" s="595">
        <v>10</v>
      </c>
      <c r="B16" s="596"/>
      <c r="C16" s="597" t="s">
        <v>1212</v>
      </c>
      <c r="D16" s="598" t="s">
        <v>1217</v>
      </c>
      <c r="E16" s="597" t="s">
        <v>1213</v>
      </c>
      <c r="F16" s="599">
        <v>2</v>
      </c>
      <c r="G16" s="600" t="s">
        <v>125</v>
      </c>
      <c r="H16" s="601" t="s">
        <v>1214</v>
      </c>
      <c r="I16" s="651"/>
      <c r="J16" s="651" t="s">
        <v>1215</v>
      </c>
    </row>
    <row r="17" ht="17.25" spans="1:10">
      <c r="A17" s="595">
        <v>11</v>
      </c>
      <c r="B17" s="596"/>
      <c r="C17" s="597" t="s">
        <v>1218</v>
      </c>
      <c r="D17" s="597" t="s">
        <v>1219</v>
      </c>
      <c r="E17" s="597" t="s">
        <v>1220</v>
      </c>
      <c r="F17" s="599">
        <v>20</v>
      </c>
      <c r="G17" s="600" t="s">
        <v>112</v>
      </c>
      <c r="H17" s="601" t="s">
        <v>1221</v>
      </c>
      <c r="I17" s="651"/>
      <c r="J17" s="651" t="s">
        <v>1215</v>
      </c>
    </row>
    <row r="18" ht="34.5" spans="1:10">
      <c r="A18" s="595">
        <v>12</v>
      </c>
      <c r="B18" s="596"/>
      <c r="C18" s="598" t="s">
        <v>1222</v>
      </c>
      <c r="D18" s="597" t="s">
        <v>1223</v>
      </c>
      <c r="E18" s="602" t="s">
        <v>1224</v>
      </c>
      <c r="F18" s="603">
        <v>8</v>
      </c>
      <c r="G18" s="604" t="s">
        <v>1225</v>
      </c>
      <c r="H18" s="597" t="s">
        <v>1226</v>
      </c>
      <c r="I18" s="651"/>
      <c r="J18" s="651" t="s">
        <v>1215</v>
      </c>
    </row>
    <row r="19" ht="17.25" spans="1:10">
      <c r="A19" s="595">
        <v>13</v>
      </c>
      <c r="B19" s="596"/>
      <c r="C19" s="598" t="s">
        <v>1227</v>
      </c>
      <c r="D19" s="605" t="s">
        <v>1228</v>
      </c>
      <c r="E19" s="597" t="s">
        <v>1229</v>
      </c>
      <c r="F19" s="603">
        <v>14</v>
      </c>
      <c r="G19" s="604" t="s">
        <v>125</v>
      </c>
      <c r="H19" s="597" t="s">
        <v>1226</v>
      </c>
      <c r="I19" s="651"/>
      <c r="J19" s="651" t="s">
        <v>1215</v>
      </c>
    </row>
    <row r="20" ht="17.25" spans="1:10">
      <c r="A20" s="595">
        <v>14</v>
      </c>
      <c r="B20" s="596"/>
      <c r="C20" s="597" t="s">
        <v>1230</v>
      </c>
      <c r="D20" s="598" t="s">
        <v>1231</v>
      </c>
      <c r="E20" s="597" t="s">
        <v>1229</v>
      </c>
      <c r="F20" s="599">
        <v>900</v>
      </c>
      <c r="G20" s="600" t="s">
        <v>125</v>
      </c>
      <c r="H20" s="601" t="s">
        <v>1232</v>
      </c>
      <c r="I20" s="651" t="s">
        <v>727</v>
      </c>
      <c r="J20" s="651" t="s">
        <v>1215</v>
      </c>
    </row>
    <row r="21" ht="17.25" spans="1:10">
      <c r="A21" s="606">
        <v>15</v>
      </c>
      <c r="B21" s="607" t="s">
        <v>1233</v>
      </c>
      <c r="C21" s="608" t="s">
        <v>1234</v>
      </c>
      <c r="D21" s="608" t="s">
        <v>1235</v>
      </c>
      <c r="E21" s="608"/>
      <c r="F21" s="609"/>
      <c r="G21" s="610"/>
      <c r="H21" s="611" t="s">
        <v>1236</v>
      </c>
      <c r="I21" s="607"/>
      <c r="J21" s="607" t="s">
        <v>1195</v>
      </c>
    </row>
    <row r="22" ht="17.25" spans="1:10">
      <c r="A22" s="606">
        <v>16</v>
      </c>
      <c r="B22" s="607"/>
      <c r="C22" s="608" t="s">
        <v>1237</v>
      </c>
      <c r="D22" s="608" t="s">
        <v>1235</v>
      </c>
      <c r="E22" s="608"/>
      <c r="F22" s="609"/>
      <c r="G22" s="610"/>
      <c r="H22" s="611" t="s">
        <v>1238</v>
      </c>
      <c r="I22" s="607"/>
      <c r="J22" s="607" t="s">
        <v>1195</v>
      </c>
    </row>
    <row r="23" ht="17.25" spans="1:10">
      <c r="A23" s="606">
        <v>17</v>
      </c>
      <c r="B23" s="607"/>
      <c r="C23" s="608" t="s">
        <v>1239</v>
      </c>
      <c r="D23" s="608" t="s">
        <v>1235</v>
      </c>
      <c r="E23" s="608"/>
      <c r="F23" s="609"/>
      <c r="G23" s="610"/>
      <c r="H23" s="611" t="s">
        <v>1236</v>
      </c>
      <c r="I23" s="607"/>
      <c r="J23" s="607" t="s">
        <v>1195</v>
      </c>
    </row>
    <row r="24" ht="18" spans="1:10">
      <c r="A24" s="606">
        <v>18</v>
      </c>
      <c r="B24" s="607"/>
      <c r="C24" s="608" t="s">
        <v>1240</v>
      </c>
      <c r="D24" s="612" t="s">
        <v>1241</v>
      </c>
      <c r="E24" s="608"/>
      <c r="F24" s="609"/>
      <c r="G24" s="610"/>
      <c r="H24" s="611" t="s">
        <v>1236</v>
      </c>
      <c r="I24" s="607"/>
      <c r="J24" s="607" t="s">
        <v>1195</v>
      </c>
    </row>
    <row r="25" ht="17.25" spans="1:10">
      <c r="A25" s="606">
        <v>19</v>
      </c>
      <c r="B25" s="607"/>
      <c r="C25" s="608" t="s">
        <v>1242</v>
      </c>
      <c r="D25" s="608" t="s">
        <v>1243</v>
      </c>
      <c r="E25" s="608" t="s">
        <v>1229</v>
      </c>
      <c r="F25" s="609">
        <v>90</v>
      </c>
      <c r="G25" s="610" t="s">
        <v>125</v>
      </c>
      <c r="H25" s="611" t="s">
        <v>1244</v>
      </c>
      <c r="I25" s="607"/>
      <c r="J25" s="607" t="s">
        <v>1195</v>
      </c>
    </row>
    <row r="26" ht="17.25" spans="1:10">
      <c r="A26" s="606">
        <v>20</v>
      </c>
      <c r="B26" s="607"/>
      <c r="C26" s="608" t="s">
        <v>1245</v>
      </c>
      <c r="D26" s="608" t="s">
        <v>1246</v>
      </c>
      <c r="E26" s="608"/>
      <c r="F26" s="609">
        <v>8</v>
      </c>
      <c r="G26" s="610" t="s">
        <v>125</v>
      </c>
      <c r="H26" s="611"/>
      <c r="I26" s="607" t="s">
        <v>1247</v>
      </c>
      <c r="J26" s="607" t="s">
        <v>1195</v>
      </c>
    </row>
    <row r="27" ht="17.25" spans="1:10">
      <c r="A27" s="606">
        <v>21</v>
      </c>
      <c r="B27" s="607"/>
      <c r="C27" s="608" t="s">
        <v>214</v>
      </c>
      <c r="D27" s="608" t="s">
        <v>1246</v>
      </c>
      <c r="E27" s="608" t="s">
        <v>1248</v>
      </c>
      <c r="F27" s="607">
        <v>150</v>
      </c>
      <c r="G27" s="610" t="s">
        <v>112</v>
      </c>
      <c r="H27" s="608" t="s">
        <v>1249</v>
      </c>
      <c r="I27" s="607"/>
      <c r="J27" s="607" t="s">
        <v>1195</v>
      </c>
    </row>
    <row r="28" ht="17.25" spans="1:10">
      <c r="A28" s="606">
        <v>22</v>
      </c>
      <c r="B28" s="607"/>
      <c r="C28" s="608" t="s">
        <v>1250</v>
      </c>
      <c r="D28" s="608" t="s">
        <v>1251</v>
      </c>
      <c r="E28" s="608" t="s">
        <v>1252</v>
      </c>
      <c r="F28" s="613">
        <v>10</v>
      </c>
      <c r="G28" s="610" t="s">
        <v>125</v>
      </c>
      <c r="H28" s="614" t="s">
        <v>1253</v>
      </c>
      <c r="I28" s="607" t="s">
        <v>1254</v>
      </c>
      <c r="J28" s="607" t="s">
        <v>1195</v>
      </c>
    </row>
    <row r="29" ht="17.25" spans="1:10">
      <c r="A29" s="606">
        <v>23</v>
      </c>
      <c r="B29" s="607"/>
      <c r="C29" s="608"/>
      <c r="D29" s="608" t="s">
        <v>1255</v>
      </c>
      <c r="E29" s="608" t="s">
        <v>1252</v>
      </c>
      <c r="F29" s="609">
        <v>60</v>
      </c>
      <c r="G29" s="615" t="s">
        <v>112</v>
      </c>
      <c r="H29" s="614" t="s">
        <v>1256</v>
      </c>
      <c r="I29" s="607" t="s">
        <v>1257</v>
      </c>
      <c r="J29" s="607" t="s">
        <v>1195</v>
      </c>
    </row>
    <row r="30" ht="17.25" spans="1:10">
      <c r="A30" s="606">
        <v>24</v>
      </c>
      <c r="B30" s="607"/>
      <c r="C30" s="608" t="s">
        <v>1258</v>
      </c>
      <c r="D30" s="608" t="s">
        <v>1259</v>
      </c>
      <c r="E30" s="608"/>
      <c r="F30" s="609">
        <v>20</v>
      </c>
      <c r="G30" s="615" t="s">
        <v>112</v>
      </c>
      <c r="H30" s="614" t="s">
        <v>1260</v>
      </c>
      <c r="I30" s="607"/>
      <c r="J30" s="607" t="s">
        <v>1195</v>
      </c>
    </row>
    <row r="31" ht="17.25" spans="1:10">
      <c r="A31" s="606">
        <v>25</v>
      </c>
      <c r="B31" s="607"/>
      <c r="C31" s="608" t="s">
        <v>1261</v>
      </c>
      <c r="D31" s="608"/>
      <c r="E31" s="608"/>
      <c r="F31" s="609">
        <v>20</v>
      </c>
      <c r="G31" s="615" t="s">
        <v>112</v>
      </c>
      <c r="H31" s="608"/>
      <c r="I31" s="607"/>
      <c r="J31" s="607" t="s">
        <v>1195</v>
      </c>
    </row>
    <row r="32" ht="17.25" spans="1:10">
      <c r="A32" s="241">
        <v>26</v>
      </c>
      <c r="B32" s="339" t="s">
        <v>209</v>
      </c>
      <c r="C32" s="616" t="s">
        <v>1262</v>
      </c>
      <c r="D32" s="498"/>
      <c r="E32" s="498" t="s">
        <v>727</v>
      </c>
      <c r="F32" s="497">
        <v>810</v>
      </c>
      <c r="G32" s="617" t="s">
        <v>125</v>
      </c>
      <c r="H32" s="498" t="s">
        <v>1263</v>
      </c>
      <c r="I32" s="339"/>
      <c r="J32" s="339" t="s">
        <v>1195</v>
      </c>
    </row>
    <row r="33" ht="17.25" spans="1:10">
      <c r="A33" s="241">
        <v>27</v>
      </c>
      <c r="B33" s="339"/>
      <c r="C33" s="616" t="s">
        <v>1264</v>
      </c>
      <c r="D33" s="498" t="s">
        <v>1265</v>
      </c>
      <c r="E33" s="498"/>
      <c r="F33" s="497">
        <v>450</v>
      </c>
      <c r="G33" s="617" t="s">
        <v>125</v>
      </c>
      <c r="H33" s="498" t="s">
        <v>1263</v>
      </c>
      <c r="I33" s="339"/>
      <c r="J33" s="339" t="s">
        <v>1195</v>
      </c>
    </row>
    <row r="34" ht="17.25" spans="1:10">
      <c r="A34" s="241">
        <v>28</v>
      </c>
      <c r="B34" s="339"/>
      <c r="C34" s="616" t="s">
        <v>1266</v>
      </c>
      <c r="D34" s="498" t="s">
        <v>1267</v>
      </c>
      <c r="E34" s="498"/>
      <c r="F34" s="497">
        <v>280</v>
      </c>
      <c r="G34" s="617" t="s">
        <v>125</v>
      </c>
      <c r="H34" s="498" t="s">
        <v>1263</v>
      </c>
      <c r="I34" s="339"/>
      <c r="J34" s="339" t="s">
        <v>1195</v>
      </c>
    </row>
    <row r="35" ht="17.25" spans="1:10">
      <c r="A35" s="241">
        <v>29</v>
      </c>
      <c r="B35" s="339"/>
      <c r="C35" s="616" t="s">
        <v>1268</v>
      </c>
      <c r="D35" s="498" t="s">
        <v>1269</v>
      </c>
      <c r="E35" s="498"/>
      <c r="F35" s="497">
        <v>80</v>
      </c>
      <c r="G35" s="617" t="s">
        <v>125</v>
      </c>
      <c r="H35" s="498" t="s">
        <v>1270</v>
      </c>
      <c r="I35" s="339"/>
      <c r="J35" s="339" t="s">
        <v>1195</v>
      </c>
    </row>
    <row r="36" ht="17.25" spans="1:10">
      <c r="A36" s="241">
        <v>30</v>
      </c>
      <c r="B36" s="339"/>
      <c r="C36" s="498" t="s">
        <v>1269</v>
      </c>
      <c r="D36" s="498"/>
      <c r="E36" s="498" t="s">
        <v>1271</v>
      </c>
      <c r="F36" s="497">
        <v>80</v>
      </c>
      <c r="G36" s="617" t="s">
        <v>125</v>
      </c>
      <c r="H36" s="498" t="s">
        <v>1270</v>
      </c>
      <c r="I36" s="497"/>
      <c r="J36" s="339" t="s">
        <v>1195</v>
      </c>
    </row>
    <row r="37" ht="17.25" spans="1:10">
      <c r="A37" s="241">
        <v>31</v>
      </c>
      <c r="B37" s="339"/>
      <c r="C37" s="498" t="s">
        <v>1272</v>
      </c>
      <c r="D37" s="498" t="s">
        <v>1273</v>
      </c>
      <c r="E37" s="498" t="s">
        <v>1271</v>
      </c>
      <c r="F37" s="497">
        <v>100</v>
      </c>
      <c r="G37" s="617" t="s">
        <v>125</v>
      </c>
      <c r="H37" s="498" t="s">
        <v>1270</v>
      </c>
      <c r="I37" s="497"/>
      <c r="J37" s="339" t="s">
        <v>1195</v>
      </c>
    </row>
    <row r="38" ht="17.25" spans="1:10">
      <c r="A38" s="241">
        <v>32</v>
      </c>
      <c r="B38" s="339"/>
      <c r="C38" s="498" t="s">
        <v>1274</v>
      </c>
      <c r="D38" s="498" t="s">
        <v>1275</v>
      </c>
      <c r="E38" s="498" t="s">
        <v>1271</v>
      </c>
      <c r="F38" s="497">
        <v>80</v>
      </c>
      <c r="G38" s="617" t="s">
        <v>125</v>
      </c>
      <c r="H38" s="498" t="s">
        <v>1270</v>
      </c>
      <c r="I38" s="497"/>
      <c r="J38" s="339" t="s">
        <v>1195</v>
      </c>
    </row>
    <row r="39" ht="17.25" spans="1:10">
      <c r="A39" s="241">
        <v>33</v>
      </c>
      <c r="B39" s="339"/>
      <c r="C39" s="498" t="s">
        <v>1276</v>
      </c>
      <c r="D39" s="498" t="s">
        <v>1277</v>
      </c>
      <c r="E39" s="498" t="s">
        <v>1271</v>
      </c>
      <c r="F39" s="497">
        <v>350</v>
      </c>
      <c r="G39" s="617" t="s">
        <v>125</v>
      </c>
      <c r="H39" s="498" t="s">
        <v>1270</v>
      </c>
      <c r="I39" s="497"/>
      <c r="J39" s="339" t="s">
        <v>1195</v>
      </c>
    </row>
    <row r="40" ht="17.25" spans="1:10">
      <c r="A40" s="241">
        <v>34</v>
      </c>
      <c r="B40" s="339"/>
      <c r="C40" s="498" t="s">
        <v>1278</v>
      </c>
      <c r="D40" s="498"/>
      <c r="E40" s="498" t="s">
        <v>1271</v>
      </c>
      <c r="F40" s="497">
        <v>200</v>
      </c>
      <c r="G40" s="617" t="s">
        <v>125</v>
      </c>
      <c r="H40" s="498" t="s">
        <v>1270</v>
      </c>
      <c r="I40" s="497"/>
      <c r="J40" s="339" t="s">
        <v>1195</v>
      </c>
    </row>
    <row r="41" ht="17.25" spans="1:10">
      <c r="A41" s="241">
        <v>35</v>
      </c>
      <c r="B41" s="339"/>
      <c r="C41" s="498" t="s">
        <v>1279</v>
      </c>
      <c r="D41" s="498"/>
      <c r="E41" s="498"/>
      <c r="F41" s="497"/>
      <c r="G41" s="617"/>
      <c r="H41" s="498" t="s">
        <v>1270</v>
      </c>
      <c r="I41" s="497" t="s">
        <v>1280</v>
      </c>
      <c r="J41" s="339" t="s">
        <v>1195</v>
      </c>
    </row>
    <row r="42" ht="17.25" spans="1:10">
      <c r="A42" s="241">
        <v>36</v>
      </c>
      <c r="B42" s="339"/>
      <c r="C42" s="498" t="s">
        <v>1281</v>
      </c>
      <c r="D42" s="498" t="s">
        <v>1282</v>
      </c>
      <c r="E42" s="498" t="s">
        <v>1229</v>
      </c>
      <c r="F42" s="497">
        <v>100</v>
      </c>
      <c r="G42" s="617" t="s">
        <v>125</v>
      </c>
      <c r="H42" s="498" t="s">
        <v>1283</v>
      </c>
      <c r="I42" s="497"/>
      <c r="J42" s="339" t="s">
        <v>1195</v>
      </c>
    </row>
    <row r="43" ht="17.25" spans="1:10">
      <c r="A43" s="241">
        <v>37</v>
      </c>
      <c r="B43" s="339"/>
      <c r="C43" s="498" t="s">
        <v>1284</v>
      </c>
      <c r="D43" s="498"/>
      <c r="E43" s="498" t="s">
        <v>1252</v>
      </c>
      <c r="F43" s="339">
        <v>800</v>
      </c>
      <c r="G43" s="617" t="s">
        <v>112</v>
      </c>
      <c r="H43" s="498" t="s">
        <v>1285</v>
      </c>
      <c r="I43" s="497" t="s">
        <v>1285</v>
      </c>
      <c r="J43" s="339" t="s">
        <v>1195</v>
      </c>
    </row>
    <row r="44" ht="17.25" spans="1:10">
      <c r="A44" s="241">
        <v>38</v>
      </c>
      <c r="B44" s="339"/>
      <c r="C44" s="498" t="s">
        <v>1286</v>
      </c>
      <c r="D44" s="498"/>
      <c r="E44" s="498" t="s">
        <v>1252</v>
      </c>
      <c r="F44" s="339">
        <v>3300</v>
      </c>
      <c r="G44" s="617" t="s">
        <v>112</v>
      </c>
      <c r="H44" s="498" t="s">
        <v>1285</v>
      </c>
      <c r="I44" s="497" t="s">
        <v>1285</v>
      </c>
      <c r="J44" s="339" t="s">
        <v>1195</v>
      </c>
    </row>
    <row r="45" ht="17.25" spans="1:10">
      <c r="A45" s="618">
        <v>39</v>
      </c>
      <c r="B45" s="619" t="s">
        <v>1287</v>
      </c>
      <c r="C45" s="620"/>
      <c r="D45" s="621"/>
      <c r="E45" s="621" t="s">
        <v>1288</v>
      </c>
      <c r="F45" s="622">
        <v>5</v>
      </c>
      <c r="G45" s="623" t="s">
        <v>125</v>
      </c>
      <c r="H45" s="624" t="s">
        <v>1289</v>
      </c>
      <c r="I45" s="652"/>
      <c r="J45" s="652" t="s">
        <v>1195</v>
      </c>
    </row>
    <row r="46" ht="17.25" spans="1:10">
      <c r="A46" s="618">
        <v>40</v>
      </c>
      <c r="B46" s="625"/>
      <c r="C46" s="620"/>
      <c r="D46" s="620"/>
      <c r="E46" s="621" t="s">
        <v>1288</v>
      </c>
      <c r="F46" s="622">
        <v>5</v>
      </c>
      <c r="G46" s="623" t="s">
        <v>125</v>
      </c>
      <c r="H46" s="624" t="s">
        <v>1289</v>
      </c>
      <c r="I46" s="652"/>
      <c r="J46" s="652" t="s">
        <v>1195</v>
      </c>
    </row>
    <row r="47" ht="17.25" spans="1:10">
      <c r="A47" s="618">
        <v>41</v>
      </c>
      <c r="B47" s="625"/>
      <c r="C47" s="620"/>
      <c r="D47" s="620"/>
      <c r="E47" s="621" t="s">
        <v>1288</v>
      </c>
      <c r="F47" s="622">
        <v>5</v>
      </c>
      <c r="G47" s="623" t="s">
        <v>125</v>
      </c>
      <c r="H47" s="624" t="s">
        <v>1289</v>
      </c>
      <c r="I47" s="652"/>
      <c r="J47" s="652" t="s">
        <v>1195</v>
      </c>
    </row>
    <row r="48" ht="17.25" spans="1:10">
      <c r="A48" s="618">
        <v>42</v>
      </c>
      <c r="B48" s="626"/>
      <c r="C48" s="620"/>
      <c r="D48" s="620"/>
      <c r="E48" s="621" t="s">
        <v>1288</v>
      </c>
      <c r="F48" s="622">
        <v>5</v>
      </c>
      <c r="G48" s="623" t="s">
        <v>125</v>
      </c>
      <c r="H48" s="624" t="s">
        <v>1289</v>
      </c>
      <c r="I48" s="652"/>
      <c r="J48" s="652" t="s">
        <v>1195</v>
      </c>
    </row>
    <row r="49" ht="17.25" spans="1:10">
      <c r="A49" s="618">
        <v>43</v>
      </c>
      <c r="B49" s="627"/>
      <c r="C49" s="621"/>
      <c r="D49" s="621"/>
      <c r="E49" s="621" t="s">
        <v>1290</v>
      </c>
      <c r="F49" s="622">
        <v>6</v>
      </c>
      <c r="G49" s="623" t="s">
        <v>125</v>
      </c>
      <c r="H49" s="624" t="s">
        <v>1289</v>
      </c>
      <c r="I49" s="652"/>
      <c r="J49" s="652" t="s">
        <v>1195</v>
      </c>
    </row>
    <row r="50" ht="17.25" spans="1:10">
      <c r="A50" s="618">
        <v>44</v>
      </c>
      <c r="B50" s="628"/>
      <c r="C50" s="621"/>
      <c r="D50" s="621"/>
      <c r="E50" s="621" t="s">
        <v>1290</v>
      </c>
      <c r="F50" s="622">
        <v>5</v>
      </c>
      <c r="G50" s="623" t="s">
        <v>125</v>
      </c>
      <c r="H50" s="624" t="s">
        <v>1289</v>
      </c>
      <c r="I50" s="652"/>
      <c r="J50" s="652" t="s">
        <v>1195</v>
      </c>
    </row>
    <row r="51" ht="17.25" spans="1:10">
      <c r="A51" s="241">
        <v>45</v>
      </c>
      <c r="B51" s="629" t="s">
        <v>1287</v>
      </c>
      <c r="C51" s="630" t="s">
        <v>1291</v>
      </c>
      <c r="D51" s="631"/>
      <c r="E51" s="630" t="s">
        <v>1290</v>
      </c>
      <c r="F51" s="630">
        <v>1</v>
      </c>
      <c r="G51" s="617" t="s">
        <v>125</v>
      </c>
      <c r="H51" s="498" t="s">
        <v>1289</v>
      </c>
      <c r="I51" s="497"/>
      <c r="J51" s="497" t="s">
        <v>1292</v>
      </c>
    </row>
    <row r="52" ht="17.25" spans="1:10">
      <c r="A52" s="241">
        <v>46</v>
      </c>
      <c r="B52" s="630"/>
      <c r="C52" s="630"/>
      <c r="D52" s="631"/>
      <c r="E52" s="630"/>
      <c r="F52" s="630"/>
      <c r="G52" s="617"/>
      <c r="H52" s="498"/>
      <c r="I52" s="497"/>
      <c r="J52" s="497" t="s">
        <v>1292</v>
      </c>
    </row>
    <row r="53" ht="17.25" spans="1:10">
      <c r="A53" s="241">
        <v>47</v>
      </c>
      <c r="B53" s="630"/>
      <c r="C53" s="630"/>
      <c r="D53" s="631"/>
      <c r="E53" s="630"/>
      <c r="F53" s="630"/>
      <c r="G53" s="617"/>
      <c r="H53" s="498"/>
      <c r="I53" s="497"/>
      <c r="J53" s="497" t="s">
        <v>1292</v>
      </c>
    </row>
    <row r="54" ht="17.25" spans="1:10">
      <c r="A54" s="241">
        <v>48</v>
      </c>
      <c r="B54" s="630"/>
      <c r="C54" s="630"/>
      <c r="D54" s="631"/>
      <c r="E54" s="630"/>
      <c r="F54" s="630"/>
      <c r="G54" s="617"/>
      <c r="H54" s="498"/>
      <c r="I54" s="497"/>
      <c r="J54" s="497" t="s">
        <v>1292</v>
      </c>
    </row>
    <row r="55" ht="17.25" spans="1:10">
      <c r="A55" s="241">
        <v>49</v>
      </c>
      <c r="B55" s="630"/>
      <c r="C55" s="632" t="s">
        <v>1293</v>
      </c>
      <c r="D55" s="632"/>
      <c r="E55" s="630" t="s">
        <v>1290</v>
      </c>
      <c r="F55" s="630" t="s">
        <v>1294</v>
      </c>
      <c r="G55" s="617" t="s">
        <v>125</v>
      </c>
      <c r="H55" s="498"/>
      <c r="I55" s="497"/>
      <c r="J55" s="497" t="s">
        <v>1292</v>
      </c>
    </row>
    <row r="56" ht="17.25" spans="1:10">
      <c r="A56" s="633">
        <v>51</v>
      </c>
      <c r="B56" s="634" t="s">
        <v>1295</v>
      </c>
      <c r="C56" s="634"/>
      <c r="D56" s="634"/>
      <c r="E56" s="635" t="s">
        <v>1296</v>
      </c>
      <c r="F56" s="635">
        <v>2</v>
      </c>
      <c r="G56" s="636" t="s">
        <v>125</v>
      </c>
      <c r="H56" s="637" t="s">
        <v>1297</v>
      </c>
      <c r="I56" s="635"/>
      <c r="J56" s="635" t="s">
        <v>1292</v>
      </c>
    </row>
    <row r="57" ht="28.05" customHeight="1" spans="1:10">
      <c r="A57" s="579" t="s">
        <v>1298</v>
      </c>
      <c r="B57" s="580"/>
      <c r="C57" s="580"/>
      <c r="D57" s="580"/>
      <c r="E57" s="580"/>
      <c r="F57" s="579" t="s">
        <v>1299</v>
      </c>
      <c r="G57" s="580"/>
      <c r="H57" s="638" t="s">
        <v>1300</v>
      </c>
      <c r="I57" s="653"/>
      <c r="J57" s="653"/>
    </row>
    <row r="58" ht="28.05" customHeight="1" spans="1:10">
      <c r="A58" s="639">
        <v>1</v>
      </c>
      <c r="B58" s="640" t="s">
        <v>1301</v>
      </c>
      <c r="C58" s="640"/>
      <c r="D58" s="640"/>
      <c r="E58" s="641" t="s">
        <v>1302</v>
      </c>
      <c r="F58" s="642" t="s">
        <v>1303</v>
      </c>
      <c r="G58" s="641" t="s">
        <v>1302</v>
      </c>
      <c r="H58" s="643" t="s">
        <v>1304</v>
      </c>
      <c r="I58" s="643"/>
      <c r="J58" s="641" t="s">
        <v>1302</v>
      </c>
    </row>
    <row r="59" ht="28.05" customHeight="1" spans="1:10">
      <c r="A59" s="639">
        <v>2</v>
      </c>
      <c r="B59" s="640" t="s">
        <v>1305</v>
      </c>
      <c r="C59" s="640"/>
      <c r="D59" s="640"/>
      <c r="E59" s="641" t="s">
        <v>1302</v>
      </c>
      <c r="F59" s="642" t="s">
        <v>1306</v>
      </c>
      <c r="G59" s="641" t="s">
        <v>1302</v>
      </c>
      <c r="H59" s="643" t="s">
        <v>1307</v>
      </c>
      <c r="I59" s="643"/>
      <c r="J59" s="641" t="s">
        <v>1302</v>
      </c>
    </row>
    <row r="60" ht="28.05" customHeight="1" spans="1:10">
      <c r="A60" s="639">
        <v>3</v>
      </c>
      <c r="B60" s="640" t="s">
        <v>1308</v>
      </c>
      <c r="C60" s="640"/>
      <c r="D60" s="640"/>
      <c r="E60" s="641" t="s">
        <v>1302</v>
      </c>
      <c r="F60" s="642" t="s">
        <v>1309</v>
      </c>
      <c r="G60" s="641" t="s">
        <v>1302</v>
      </c>
      <c r="H60" s="643" t="s">
        <v>1310</v>
      </c>
      <c r="I60" s="643"/>
      <c r="J60" s="641" t="s">
        <v>1302</v>
      </c>
    </row>
    <row r="61" ht="28.05" customHeight="1" spans="1:10">
      <c r="A61" s="639">
        <v>4</v>
      </c>
      <c r="B61" s="640" t="s">
        <v>1311</v>
      </c>
      <c r="C61" s="640"/>
      <c r="D61" s="640"/>
      <c r="E61" s="641" t="s">
        <v>1302</v>
      </c>
      <c r="F61" s="642" t="s">
        <v>1312</v>
      </c>
      <c r="G61" s="641" t="s">
        <v>1302</v>
      </c>
      <c r="H61" s="643" t="s">
        <v>1313</v>
      </c>
      <c r="I61" s="643"/>
      <c r="J61" s="641" t="s">
        <v>1302</v>
      </c>
    </row>
    <row r="62" ht="28.05" customHeight="1" spans="1:10">
      <c r="A62" s="639">
        <v>5</v>
      </c>
      <c r="B62" s="640" t="s">
        <v>1314</v>
      </c>
      <c r="C62" s="640"/>
      <c r="D62" s="640"/>
      <c r="E62" s="641" t="s">
        <v>1302</v>
      </c>
      <c r="F62" s="642" t="s">
        <v>1315</v>
      </c>
      <c r="G62" s="644" t="s">
        <v>1316</v>
      </c>
      <c r="H62" s="643" t="s">
        <v>1317</v>
      </c>
      <c r="I62" s="643"/>
      <c r="J62" s="641" t="s">
        <v>1302</v>
      </c>
    </row>
    <row r="63" ht="28.05" customHeight="1" spans="1:10">
      <c r="A63" s="639">
        <v>6</v>
      </c>
      <c r="B63" s="640" t="s">
        <v>1318</v>
      </c>
      <c r="C63" s="640"/>
      <c r="D63" s="640"/>
      <c r="E63" s="641" t="s">
        <v>1302</v>
      </c>
      <c r="F63" s="642" t="s">
        <v>1319</v>
      </c>
      <c r="G63" s="644" t="s">
        <v>1316</v>
      </c>
      <c r="H63" s="643" t="s">
        <v>1320</v>
      </c>
      <c r="I63" s="643"/>
      <c r="J63" s="641" t="s">
        <v>1302</v>
      </c>
    </row>
    <row r="64" ht="28.05" customHeight="1" spans="1:10">
      <c r="A64" s="639">
        <v>7</v>
      </c>
      <c r="B64" s="640"/>
      <c r="C64" s="640"/>
      <c r="D64" s="640"/>
      <c r="E64" s="644" t="s">
        <v>1316</v>
      </c>
      <c r="F64" s="642" t="s">
        <v>1321</v>
      </c>
      <c r="G64" s="641" t="s">
        <v>1302</v>
      </c>
      <c r="H64" s="643" t="s">
        <v>1322</v>
      </c>
      <c r="I64" s="643"/>
      <c r="J64" s="641" t="s">
        <v>1302</v>
      </c>
    </row>
    <row r="65" ht="28.05" customHeight="1" spans="1:10">
      <c r="A65" s="639">
        <v>8</v>
      </c>
      <c r="B65" s="640"/>
      <c r="C65" s="640"/>
      <c r="D65" s="640"/>
      <c r="E65" s="644" t="s">
        <v>1316</v>
      </c>
      <c r="F65" s="642" t="s">
        <v>1323</v>
      </c>
      <c r="G65" s="641" t="s">
        <v>1302</v>
      </c>
      <c r="H65" s="643"/>
      <c r="I65" s="643"/>
      <c r="J65" s="641" t="s">
        <v>1302</v>
      </c>
    </row>
    <row r="66" ht="28.05" customHeight="1" spans="1:10">
      <c r="A66" s="639">
        <v>9</v>
      </c>
      <c r="B66" s="640"/>
      <c r="C66" s="640"/>
      <c r="D66" s="640"/>
      <c r="E66" s="644" t="s">
        <v>1316</v>
      </c>
      <c r="F66" s="642" t="s">
        <v>1324</v>
      </c>
      <c r="G66" s="641" t="s">
        <v>1302</v>
      </c>
      <c r="H66" s="643"/>
      <c r="I66" s="643"/>
      <c r="J66" s="659"/>
    </row>
    <row r="67" ht="28.05" customHeight="1" spans="1:10">
      <c r="A67" s="639"/>
      <c r="B67" s="640" t="s">
        <v>1325</v>
      </c>
      <c r="C67" s="640"/>
      <c r="D67" s="640"/>
      <c r="E67" s="642" t="s">
        <v>1325</v>
      </c>
      <c r="F67" s="642" t="s">
        <v>1325</v>
      </c>
      <c r="G67" s="642" t="s">
        <v>1325</v>
      </c>
      <c r="H67" s="639" t="s">
        <v>1325</v>
      </c>
      <c r="I67" s="639"/>
      <c r="J67" s="660" t="s">
        <v>1325</v>
      </c>
    </row>
    <row r="68" ht="24" customHeight="1" spans="1:10">
      <c r="A68" s="579" t="s">
        <v>1326</v>
      </c>
      <c r="B68" s="580"/>
      <c r="C68" s="580"/>
      <c r="D68" s="580"/>
      <c r="E68" s="580"/>
      <c r="F68" s="579" t="s">
        <v>1327</v>
      </c>
      <c r="G68" s="580"/>
      <c r="H68" s="654" t="s">
        <v>1328</v>
      </c>
      <c r="I68" s="661"/>
      <c r="J68" s="661"/>
    </row>
    <row r="69" ht="72" customHeight="1" spans="1:10">
      <c r="A69" s="655" t="s">
        <v>1181</v>
      </c>
      <c r="B69" s="656"/>
      <c r="C69" s="656"/>
      <c r="D69" s="656"/>
      <c r="E69" s="656"/>
      <c r="F69" s="655" t="s">
        <v>1181</v>
      </c>
      <c r="G69" s="656"/>
      <c r="H69" s="655" t="s">
        <v>1181</v>
      </c>
      <c r="I69" s="656"/>
      <c r="J69" s="656"/>
    </row>
    <row r="70" ht="24" customHeight="1" spans="1:10">
      <c r="A70" s="657" t="s">
        <v>1329</v>
      </c>
      <c r="B70" s="657"/>
      <c r="C70" s="657"/>
      <c r="D70" s="657"/>
      <c r="E70" s="657"/>
      <c r="F70" s="657"/>
      <c r="G70" s="657"/>
      <c r="H70" s="657"/>
      <c r="I70" s="657"/>
      <c r="J70" s="657"/>
    </row>
    <row r="71" ht="24" customHeight="1" spans="1:10">
      <c r="A71" s="658" t="s">
        <v>1330</v>
      </c>
      <c r="B71" s="658"/>
      <c r="C71" s="658"/>
      <c r="D71" s="658"/>
      <c r="E71" s="658"/>
      <c r="F71" s="658"/>
      <c r="G71" s="658"/>
      <c r="H71" s="658"/>
      <c r="I71" s="658"/>
      <c r="J71" s="658"/>
    </row>
    <row r="72" ht="24" customHeight="1" spans="1:10">
      <c r="A72" s="658" t="s">
        <v>1331</v>
      </c>
      <c r="B72" s="658"/>
      <c r="C72" s="658"/>
      <c r="D72" s="658"/>
      <c r="E72" s="658"/>
      <c r="F72" s="658"/>
      <c r="G72" s="658"/>
      <c r="H72" s="658"/>
      <c r="I72" s="658"/>
      <c r="J72" s="658"/>
    </row>
  </sheetData>
  <mergeCells count="70">
    <mergeCell ref="A1:J1"/>
    <mergeCell ref="A2:C2"/>
    <mergeCell ref="D2:E2"/>
    <mergeCell ref="F2:G2"/>
    <mergeCell ref="H2:I2"/>
    <mergeCell ref="A3:C3"/>
    <mergeCell ref="D3:E3"/>
    <mergeCell ref="F3:G3"/>
    <mergeCell ref="H3:I3"/>
    <mergeCell ref="A4:C4"/>
    <mergeCell ref="D4:E4"/>
    <mergeCell ref="F4:G4"/>
    <mergeCell ref="H4:I4"/>
    <mergeCell ref="A5:C5"/>
    <mergeCell ref="D5:E5"/>
    <mergeCell ref="F5:G5"/>
    <mergeCell ref="H5:I5"/>
    <mergeCell ref="C45:D45"/>
    <mergeCell ref="C46:D46"/>
    <mergeCell ref="C47:D47"/>
    <mergeCell ref="C48:D48"/>
    <mergeCell ref="C49:D49"/>
    <mergeCell ref="C50:D50"/>
    <mergeCell ref="C55:D55"/>
    <mergeCell ref="B56:C56"/>
    <mergeCell ref="A57:E57"/>
    <mergeCell ref="F57:G57"/>
    <mergeCell ref="H57:J57"/>
    <mergeCell ref="B58:D58"/>
    <mergeCell ref="H58:I58"/>
    <mergeCell ref="B59:D59"/>
    <mergeCell ref="H59:I59"/>
    <mergeCell ref="B60:D60"/>
    <mergeCell ref="H60:I60"/>
    <mergeCell ref="B61:D61"/>
    <mergeCell ref="H61:I61"/>
    <mergeCell ref="B62:D62"/>
    <mergeCell ref="H62:I62"/>
    <mergeCell ref="B63:D63"/>
    <mergeCell ref="H63:I63"/>
    <mergeCell ref="B64:D64"/>
    <mergeCell ref="H64:I64"/>
    <mergeCell ref="B65:D65"/>
    <mergeCell ref="H65:I65"/>
    <mergeCell ref="B66:D66"/>
    <mergeCell ref="H66:I66"/>
    <mergeCell ref="B67:D67"/>
    <mergeCell ref="H67:I67"/>
    <mergeCell ref="A68:E68"/>
    <mergeCell ref="F68:G68"/>
    <mergeCell ref="H68:J68"/>
    <mergeCell ref="A69:E69"/>
    <mergeCell ref="F69:G69"/>
    <mergeCell ref="H69:J69"/>
    <mergeCell ref="A70:J70"/>
    <mergeCell ref="A71:J71"/>
    <mergeCell ref="A72:J72"/>
    <mergeCell ref="B7:B13"/>
    <mergeCell ref="B14:B20"/>
    <mergeCell ref="B21:B31"/>
    <mergeCell ref="B32:B44"/>
    <mergeCell ref="B45:B48"/>
    <mergeCell ref="B49:B50"/>
    <mergeCell ref="B51:B55"/>
    <mergeCell ref="C28:C29"/>
    <mergeCell ref="C51:C54"/>
    <mergeCell ref="E51:E54"/>
    <mergeCell ref="F51:F54"/>
    <mergeCell ref="G51:G54"/>
    <mergeCell ref="H51:H54"/>
  </mergeCell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sheetPr>
  <dimension ref="A1:L39"/>
  <sheetViews>
    <sheetView showGridLines="0" zoomScale="55" zoomScaleNormal="55" zoomScalePageLayoutView="200" workbookViewId="0">
      <pane ySplit="4" topLeftCell="A5" activePane="bottomLeft" state="frozen"/>
      <selection/>
      <selection pane="bottomLeft" activeCell="E37" sqref="E37"/>
    </sheetView>
  </sheetViews>
  <sheetFormatPr defaultColWidth="8" defaultRowHeight="14.25"/>
  <cols>
    <col min="1" max="1" width="7.2" style="508" customWidth="1"/>
    <col min="2" max="2" width="27" style="508" customWidth="1"/>
    <col min="3" max="3" width="44.2" style="509" customWidth="1"/>
    <col min="4" max="4" width="24.7" style="508" customWidth="1"/>
    <col min="5" max="5" width="27.3" style="508" customWidth="1"/>
    <col min="6" max="6" width="29" style="508" customWidth="1"/>
    <col min="7" max="7" width="28" style="510" customWidth="1"/>
    <col min="8" max="8" width="29.2" style="510" customWidth="1"/>
    <col min="9" max="9" width="32.3" style="511" customWidth="1"/>
    <col min="10" max="10" width="27" style="511" customWidth="1"/>
    <col min="11" max="11" width="26.5" style="512" customWidth="1"/>
    <col min="12" max="12" width="27.5" style="512" customWidth="1"/>
    <col min="13" max="16384" width="8" style="511"/>
  </cols>
  <sheetData>
    <row r="1" s="506" customFormat="1" ht="34.95" customHeight="1" spans="1:12">
      <c r="A1" s="513"/>
      <c r="B1" s="514"/>
      <c r="C1" s="515" t="s">
        <v>1332</v>
      </c>
      <c r="D1" s="515"/>
      <c r="E1" s="515"/>
      <c r="F1" s="515"/>
      <c r="G1" s="515"/>
      <c r="H1" s="515"/>
      <c r="I1" s="515"/>
      <c r="J1" s="515"/>
      <c r="K1" s="515"/>
      <c r="L1" s="515"/>
    </row>
    <row r="2" s="507" customFormat="1" ht="33" customHeight="1" spans="1:12">
      <c r="A2" s="516" t="s">
        <v>1333</v>
      </c>
      <c r="B2" s="517"/>
      <c r="C2" s="517"/>
      <c r="D2" s="517"/>
      <c r="E2" s="517"/>
      <c r="F2" s="517"/>
      <c r="G2" s="518"/>
      <c r="H2" s="519" t="s">
        <v>1334</v>
      </c>
      <c r="I2" s="559"/>
      <c r="J2" s="559"/>
      <c r="K2" s="560"/>
      <c r="L2" s="561"/>
    </row>
    <row r="3" ht="40.95" customHeight="1" spans="1:12">
      <c r="A3" s="520" t="s">
        <v>63</v>
      </c>
      <c r="B3" s="521" t="s">
        <v>1335</v>
      </c>
      <c r="C3" s="522" t="s">
        <v>1336</v>
      </c>
      <c r="D3" s="523" t="s">
        <v>1337</v>
      </c>
      <c r="E3" s="524"/>
      <c r="F3" s="524"/>
      <c r="G3" s="525"/>
      <c r="H3" s="526" t="s">
        <v>1338</v>
      </c>
      <c r="I3" s="562"/>
      <c r="J3" s="562"/>
      <c r="K3" s="563"/>
      <c r="L3" s="564" t="s">
        <v>7</v>
      </c>
    </row>
    <row r="4" ht="34.05" customHeight="1" spans="1:12">
      <c r="A4" s="527"/>
      <c r="B4" s="528"/>
      <c r="C4" s="529"/>
      <c r="D4" s="530" t="s">
        <v>28</v>
      </c>
      <c r="E4" s="531" t="s">
        <v>1339</v>
      </c>
      <c r="F4" s="531" t="s">
        <v>1340</v>
      </c>
      <c r="G4" s="532" t="s">
        <v>1341</v>
      </c>
      <c r="H4" s="533" t="s">
        <v>28</v>
      </c>
      <c r="I4" s="565" t="s">
        <v>1339</v>
      </c>
      <c r="J4" s="565" t="s">
        <v>1340</v>
      </c>
      <c r="K4" s="566" t="s">
        <v>1341</v>
      </c>
      <c r="L4" s="567"/>
    </row>
    <row r="5" ht="25.05" customHeight="1" spans="1:12">
      <c r="A5" s="534">
        <v>1</v>
      </c>
      <c r="B5" s="535" t="s">
        <v>1342</v>
      </c>
      <c r="C5" s="536" t="s">
        <v>1343</v>
      </c>
      <c r="D5" s="537" t="s">
        <v>260</v>
      </c>
      <c r="E5" s="538">
        <v>123456789</v>
      </c>
      <c r="F5" s="538" t="s">
        <v>1344</v>
      </c>
      <c r="G5" s="537" t="s">
        <v>1345</v>
      </c>
      <c r="H5" s="539" t="s">
        <v>1346</v>
      </c>
      <c r="I5" s="568">
        <v>123456789</v>
      </c>
      <c r="J5" s="568" t="s">
        <v>1344</v>
      </c>
      <c r="K5" s="539" t="s">
        <v>1345</v>
      </c>
      <c r="L5" s="569" t="s">
        <v>1347</v>
      </c>
    </row>
    <row r="6" ht="25.05" customHeight="1" spans="1:12">
      <c r="A6" s="534">
        <v>2</v>
      </c>
      <c r="B6" s="535" t="s">
        <v>1348</v>
      </c>
      <c r="C6" s="536" t="s">
        <v>1349</v>
      </c>
      <c r="D6" s="537" t="s">
        <v>1350</v>
      </c>
      <c r="E6" s="538">
        <v>123456789</v>
      </c>
      <c r="F6" s="538" t="s">
        <v>1344</v>
      </c>
      <c r="G6" s="537" t="s">
        <v>1351</v>
      </c>
      <c r="H6" s="539" t="s">
        <v>1350</v>
      </c>
      <c r="I6" s="568">
        <v>123456789</v>
      </c>
      <c r="J6" s="568" t="s">
        <v>1344</v>
      </c>
      <c r="K6" s="539" t="s">
        <v>1351</v>
      </c>
      <c r="L6" s="569" t="s">
        <v>1352</v>
      </c>
    </row>
    <row r="7" ht="25.05" customHeight="1" spans="1:12">
      <c r="A7" s="534">
        <v>3</v>
      </c>
      <c r="B7" s="535" t="s">
        <v>1353</v>
      </c>
      <c r="C7" s="536" t="s">
        <v>1354</v>
      </c>
      <c r="D7" s="537" t="s">
        <v>1355</v>
      </c>
      <c r="E7" s="537" t="s">
        <v>1355</v>
      </c>
      <c r="F7" s="537" t="s">
        <v>1355</v>
      </c>
      <c r="G7" s="537" t="s">
        <v>1355</v>
      </c>
      <c r="H7" s="539" t="s">
        <v>1355</v>
      </c>
      <c r="I7" s="568" t="s">
        <v>1355</v>
      </c>
      <c r="J7" s="568" t="s">
        <v>1355</v>
      </c>
      <c r="K7" s="539" t="s">
        <v>1355</v>
      </c>
      <c r="L7" s="569" t="s">
        <v>1355</v>
      </c>
    </row>
    <row r="8" ht="25.05" customHeight="1" spans="1:12">
      <c r="A8" s="534">
        <v>4</v>
      </c>
      <c r="B8" s="535" t="s">
        <v>1356</v>
      </c>
      <c r="C8" s="536" t="s">
        <v>1357</v>
      </c>
      <c r="D8" s="537"/>
      <c r="E8" s="538"/>
      <c r="F8" s="538"/>
      <c r="G8" s="537"/>
      <c r="H8" s="539"/>
      <c r="I8" s="568"/>
      <c r="J8" s="568"/>
      <c r="K8" s="539"/>
      <c r="L8" s="569"/>
    </row>
    <row r="9" ht="25.05" customHeight="1" spans="1:12">
      <c r="A9" s="534">
        <v>5</v>
      </c>
      <c r="B9" s="535" t="s">
        <v>1358</v>
      </c>
      <c r="C9" s="536" t="s">
        <v>1359</v>
      </c>
      <c r="D9" s="537"/>
      <c r="E9" s="538"/>
      <c r="F9" s="538"/>
      <c r="G9" s="537"/>
      <c r="H9" s="539"/>
      <c r="I9" s="568"/>
      <c r="J9" s="568"/>
      <c r="K9" s="539"/>
      <c r="L9" s="569"/>
    </row>
    <row r="10" ht="25.05" customHeight="1" spans="1:12">
      <c r="A10" s="534">
        <v>6</v>
      </c>
      <c r="B10" s="535" t="s">
        <v>16</v>
      </c>
      <c r="C10" s="536" t="s">
        <v>1360</v>
      </c>
      <c r="D10" s="537"/>
      <c r="E10" s="538"/>
      <c r="F10" s="538"/>
      <c r="G10" s="537"/>
      <c r="H10" s="539"/>
      <c r="I10" s="568"/>
      <c r="J10" s="568"/>
      <c r="K10" s="539"/>
      <c r="L10" s="569"/>
    </row>
    <row r="11" ht="25.05" customHeight="1" spans="1:12">
      <c r="A11" s="534">
        <v>7</v>
      </c>
      <c r="B11" s="535" t="s">
        <v>1361</v>
      </c>
      <c r="C11" s="536" t="s">
        <v>1362</v>
      </c>
      <c r="D11" s="537"/>
      <c r="E11" s="538"/>
      <c r="F11" s="538"/>
      <c r="G11" s="537"/>
      <c r="H11" s="539"/>
      <c r="I11" s="568"/>
      <c r="J11" s="568"/>
      <c r="K11" s="539"/>
      <c r="L11" s="569"/>
    </row>
    <row r="12" ht="25.05" customHeight="1" spans="1:12">
      <c r="A12" s="534">
        <v>8</v>
      </c>
      <c r="B12" s="535" t="s">
        <v>1363</v>
      </c>
      <c r="C12" s="536" t="s">
        <v>1364</v>
      </c>
      <c r="D12" s="537"/>
      <c r="E12" s="537"/>
      <c r="F12" s="537"/>
      <c r="G12" s="537"/>
      <c r="H12" s="539"/>
      <c r="I12" s="568"/>
      <c r="J12" s="568"/>
      <c r="K12" s="539"/>
      <c r="L12" s="569"/>
    </row>
    <row r="13" ht="25.05" customHeight="1" spans="1:12">
      <c r="A13" s="534">
        <v>9</v>
      </c>
      <c r="B13" s="535" t="s">
        <v>1365</v>
      </c>
      <c r="C13" s="536" t="s">
        <v>1366</v>
      </c>
      <c r="D13" s="537"/>
      <c r="E13" s="538"/>
      <c r="F13" s="538"/>
      <c r="G13" s="537"/>
      <c r="H13" s="539"/>
      <c r="I13" s="568"/>
      <c r="J13" s="568"/>
      <c r="K13" s="539"/>
      <c r="L13" s="569"/>
    </row>
    <row r="14" ht="25.05" customHeight="1" spans="1:12">
      <c r="A14" s="534">
        <v>10</v>
      </c>
      <c r="B14" s="535" t="s">
        <v>1367</v>
      </c>
      <c r="C14" s="536" t="s">
        <v>1368</v>
      </c>
      <c r="D14" s="537"/>
      <c r="E14" s="537"/>
      <c r="F14" s="537"/>
      <c r="G14" s="537"/>
      <c r="H14" s="539"/>
      <c r="I14" s="539"/>
      <c r="J14" s="539"/>
      <c r="K14" s="539"/>
      <c r="L14" s="569"/>
    </row>
    <row r="15" ht="25.05" customHeight="1" spans="1:12">
      <c r="A15" s="534">
        <v>11</v>
      </c>
      <c r="B15" s="535"/>
      <c r="C15" s="536" t="s">
        <v>1369</v>
      </c>
      <c r="D15" s="537"/>
      <c r="E15" s="538"/>
      <c r="F15" s="538"/>
      <c r="G15" s="538"/>
      <c r="H15" s="540"/>
      <c r="I15" s="570"/>
      <c r="J15" s="570"/>
      <c r="K15" s="570"/>
      <c r="L15" s="569"/>
    </row>
    <row r="16" ht="25.05" customHeight="1" spans="1:12">
      <c r="A16" s="534">
        <v>12</v>
      </c>
      <c r="B16" s="535"/>
      <c r="C16" s="536" t="s">
        <v>1370</v>
      </c>
      <c r="D16" s="537"/>
      <c r="E16" s="538"/>
      <c r="F16" s="538"/>
      <c r="G16" s="538"/>
      <c r="H16" s="541"/>
      <c r="I16" s="570"/>
      <c r="J16" s="570"/>
      <c r="K16" s="570"/>
      <c r="L16" s="569"/>
    </row>
    <row r="17" ht="25.05" customHeight="1" spans="1:12">
      <c r="A17" s="534">
        <v>13</v>
      </c>
      <c r="B17" s="535"/>
      <c r="C17" s="536" t="s">
        <v>1371</v>
      </c>
      <c r="D17" s="537"/>
      <c r="E17" s="538"/>
      <c r="F17" s="538"/>
      <c r="G17" s="538"/>
      <c r="H17" s="541"/>
      <c r="I17" s="570"/>
      <c r="J17" s="570"/>
      <c r="K17" s="570"/>
      <c r="L17" s="569"/>
    </row>
    <row r="18" ht="25.05" customHeight="1" spans="1:12">
      <c r="A18" s="534">
        <v>14</v>
      </c>
      <c r="B18" s="535"/>
      <c r="C18" s="536" t="s">
        <v>1372</v>
      </c>
      <c r="D18" s="537"/>
      <c r="E18" s="538"/>
      <c r="F18" s="538"/>
      <c r="G18" s="538"/>
      <c r="H18" s="541"/>
      <c r="I18" s="570"/>
      <c r="J18" s="570"/>
      <c r="K18" s="570"/>
      <c r="L18" s="569"/>
    </row>
    <row r="19" ht="25.05" customHeight="1" spans="1:12">
      <c r="A19" s="534">
        <v>15</v>
      </c>
      <c r="B19" s="535"/>
      <c r="C19" s="536" t="s">
        <v>1373</v>
      </c>
      <c r="D19" s="542"/>
      <c r="E19" s="538"/>
      <c r="F19" s="538"/>
      <c r="G19" s="538"/>
      <c r="H19" s="541"/>
      <c r="I19" s="570"/>
      <c r="J19" s="570"/>
      <c r="K19" s="570"/>
      <c r="L19" s="569"/>
    </row>
    <row r="20" ht="25.05" customHeight="1" spans="1:12">
      <c r="A20" s="534">
        <v>17</v>
      </c>
      <c r="B20" s="535"/>
      <c r="C20" s="536" t="s">
        <v>1374</v>
      </c>
      <c r="D20" s="537"/>
      <c r="E20" s="538"/>
      <c r="F20" s="538"/>
      <c r="G20" s="538"/>
      <c r="H20" s="541"/>
      <c r="I20" s="570"/>
      <c r="J20" s="570"/>
      <c r="K20" s="570"/>
      <c r="L20" s="569"/>
    </row>
    <row r="21" ht="25.05" customHeight="1" spans="1:12">
      <c r="A21" s="534">
        <v>18</v>
      </c>
      <c r="B21" s="535"/>
      <c r="C21" s="536" t="s">
        <v>1375</v>
      </c>
      <c r="D21" s="537"/>
      <c r="E21" s="538"/>
      <c r="F21" s="538"/>
      <c r="G21" s="538"/>
      <c r="H21" s="541"/>
      <c r="I21" s="570"/>
      <c r="J21" s="570"/>
      <c r="K21" s="570"/>
      <c r="L21" s="569"/>
    </row>
    <row r="22" ht="25.05" customHeight="1" spans="1:12">
      <c r="A22" s="534">
        <v>19</v>
      </c>
      <c r="B22" s="535" t="s">
        <v>1376</v>
      </c>
      <c r="C22" s="536" t="s">
        <v>1377</v>
      </c>
      <c r="D22" s="537"/>
      <c r="E22" s="538"/>
      <c r="F22" s="538"/>
      <c r="G22" s="538"/>
      <c r="H22" s="541"/>
      <c r="I22" s="570"/>
      <c r="J22" s="570"/>
      <c r="K22" s="571"/>
      <c r="L22" s="569"/>
    </row>
    <row r="23" ht="25.05" customHeight="1" spans="1:12">
      <c r="A23" s="534">
        <v>20</v>
      </c>
      <c r="B23" s="535"/>
      <c r="C23" s="543" t="s">
        <v>1378</v>
      </c>
      <c r="D23" s="544"/>
      <c r="E23" s="538"/>
      <c r="F23" s="538"/>
      <c r="G23" s="538"/>
      <c r="H23" s="545"/>
      <c r="I23" s="570"/>
      <c r="J23" s="570"/>
      <c r="K23" s="570"/>
      <c r="L23" s="569"/>
    </row>
    <row r="24" ht="25.05" customHeight="1" spans="1:12">
      <c r="A24" s="534">
        <v>21</v>
      </c>
      <c r="B24" s="535"/>
      <c r="C24" s="543" t="s">
        <v>1379</v>
      </c>
      <c r="D24" s="544"/>
      <c r="E24" s="538"/>
      <c r="F24" s="538"/>
      <c r="G24" s="538"/>
      <c r="H24" s="545"/>
      <c r="I24" s="570"/>
      <c r="J24" s="570"/>
      <c r="K24" s="570"/>
      <c r="L24" s="569"/>
    </row>
    <row r="25" ht="25.05" customHeight="1" spans="1:12">
      <c r="A25" s="534">
        <v>22</v>
      </c>
      <c r="B25" s="535"/>
      <c r="C25" s="543" t="s">
        <v>1380</v>
      </c>
      <c r="D25" s="544"/>
      <c r="E25" s="538"/>
      <c r="F25" s="538"/>
      <c r="G25" s="538"/>
      <c r="H25" s="545"/>
      <c r="I25" s="570"/>
      <c r="J25" s="570"/>
      <c r="K25" s="570"/>
      <c r="L25" s="569"/>
    </row>
    <row r="26" ht="25.05" customHeight="1" spans="1:12">
      <c r="A26" s="534">
        <v>23</v>
      </c>
      <c r="B26" s="535" t="s">
        <v>1381</v>
      </c>
      <c r="C26" s="543" t="s">
        <v>458</v>
      </c>
      <c r="D26" s="544"/>
      <c r="E26" s="538"/>
      <c r="F26" s="538"/>
      <c r="G26" s="542"/>
      <c r="H26" s="545"/>
      <c r="I26" s="570"/>
      <c r="J26" s="570"/>
      <c r="K26" s="570"/>
      <c r="L26" s="569"/>
    </row>
    <row r="27" ht="25.05" customHeight="1" spans="1:12">
      <c r="A27" s="534">
        <v>24</v>
      </c>
      <c r="B27" s="546" t="s">
        <v>1382</v>
      </c>
      <c r="C27" s="543" t="s">
        <v>1383</v>
      </c>
      <c r="D27" s="544"/>
      <c r="E27" s="538"/>
      <c r="F27" s="538"/>
      <c r="G27" s="542"/>
      <c r="H27" s="545"/>
      <c r="I27" s="570"/>
      <c r="J27" s="570"/>
      <c r="K27" s="570"/>
      <c r="L27" s="569"/>
    </row>
    <row r="28" ht="25.05" customHeight="1" spans="1:12">
      <c r="A28" s="534">
        <v>29</v>
      </c>
      <c r="B28" s="547"/>
      <c r="C28" s="543" t="s">
        <v>1384</v>
      </c>
      <c r="D28" s="544"/>
      <c r="E28" s="538"/>
      <c r="F28" s="538"/>
      <c r="G28" s="542"/>
      <c r="H28" s="545"/>
      <c r="I28" s="570"/>
      <c r="J28" s="570"/>
      <c r="K28" s="570"/>
      <c r="L28" s="569"/>
    </row>
    <row r="29" ht="25.05" customHeight="1" spans="1:12">
      <c r="A29" s="534">
        <v>30</v>
      </c>
      <c r="B29" s="548"/>
      <c r="C29" s="543" t="s">
        <v>1385</v>
      </c>
      <c r="D29" s="544"/>
      <c r="E29" s="538"/>
      <c r="F29" s="538"/>
      <c r="G29" s="537"/>
      <c r="H29" s="545"/>
      <c r="I29" s="570"/>
      <c r="J29" s="570"/>
      <c r="K29" s="570"/>
      <c r="L29" s="569"/>
    </row>
    <row r="30" ht="25.05" customHeight="1" spans="1:12">
      <c r="A30" s="534">
        <v>31</v>
      </c>
      <c r="B30" s="549" t="s">
        <v>1386</v>
      </c>
      <c r="C30" s="543" t="s">
        <v>1387</v>
      </c>
      <c r="D30" s="544"/>
      <c r="E30" s="538"/>
      <c r="F30" s="538"/>
      <c r="G30" s="537"/>
      <c r="H30" s="545"/>
      <c r="I30" s="570"/>
      <c r="J30" s="570"/>
      <c r="K30" s="570"/>
      <c r="L30" s="569"/>
    </row>
    <row r="31" ht="25.05" customHeight="1" spans="1:12">
      <c r="A31" s="534">
        <v>32</v>
      </c>
      <c r="B31" s="549" t="s">
        <v>891</v>
      </c>
      <c r="C31" s="543" t="s">
        <v>1388</v>
      </c>
      <c r="D31" s="544"/>
      <c r="E31" s="538"/>
      <c r="F31" s="538"/>
      <c r="G31" s="537"/>
      <c r="H31" s="545"/>
      <c r="I31" s="570"/>
      <c r="J31" s="570"/>
      <c r="K31" s="570"/>
      <c r="L31" s="569"/>
    </row>
    <row r="32" ht="25.05" customHeight="1" spans="1:12">
      <c r="A32" s="550">
        <v>35</v>
      </c>
      <c r="B32" s="549" t="s">
        <v>1389</v>
      </c>
      <c r="C32" s="543" t="s">
        <v>1390</v>
      </c>
      <c r="D32" s="551"/>
      <c r="E32" s="538"/>
      <c r="F32" s="538"/>
      <c r="G32" s="537"/>
      <c r="H32" s="545"/>
      <c r="I32" s="570"/>
      <c r="J32" s="570"/>
      <c r="K32" s="572"/>
      <c r="L32" s="569"/>
    </row>
    <row r="33" ht="25.05" customHeight="1" spans="1:12">
      <c r="A33" s="534">
        <v>36</v>
      </c>
      <c r="B33" s="549"/>
      <c r="C33" s="543" t="s">
        <v>655</v>
      </c>
      <c r="D33" s="551"/>
      <c r="E33" s="538"/>
      <c r="F33" s="538"/>
      <c r="G33" s="537"/>
      <c r="H33" s="545"/>
      <c r="I33" s="570"/>
      <c r="J33" s="570"/>
      <c r="K33" s="545"/>
      <c r="L33" s="569"/>
    </row>
    <row r="34" ht="25.05" customHeight="1" spans="1:12">
      <c r="A34" s="534">
        <v>37</v>
      </c>
      <c r="B34" s="549" t="s">
        <v>1391</v>
      </c>
      <c r="C34" s="543" t="s">
        <v>1392</v>
      </c>
      <c r="D34" s="544"/>
      <c r="E34" s="538"/>
      <c r="F34" s="538"/>
      <c r="G34" s="537"/>
      <c r="H34" s="545"/>
      <c r="I34" s="570"/>
      <c r="J34" s="570"/>
      <c r="K34" s="570"/>
      <c r="L34" s="569"/>
    </row>
    <row r="35" ht="25.05" customHeight="1" spans="1:12">
      <c r="A35" s="534">
        <v>38</v>
      </c>
      <c r="B35" s="549" t="s">
        <v>1393</v>
      </c>
      <c r="C35" s="552" t="s">
        <v>258</v>
      </c>
      <c r="D35" s="544"/>
      <c r="E35" s="538"/>
      <c r="F35" s="538"/>
      <c r="G35" s="538"/>
      <c r="H35" s="545"/>
      <c r="I35" s="570"/>
      <c r="J35" s="570"/>
      <c r="K35" s="570"/>
      <c r="L35" s="569"/>
    </row>
    <row r="36" ht="25.05" customHeight="1" spans="1:12">
      <c r="A36" s="534">
        <v>39</v>
      </c>
      <c r="B36" s="549"/>
      <c r="C36" s="552" t="s">
        <v>1394</v>
      </c>
      <c r="D36" s="544"/>
      <c r="E36" s="538"/>
      <c r="F36" s="538"/>
      <c r="G36" s="538"/>
      <c r="H36" s="545"/>
      <c r="I36" s="570"/>
      <c r="J36" s="570"/>
      <c r="K36" s="570"/>
      <c r="L36" s="569"/>
    </row>
    <row r="37" ht="25.05" customHeight="1" spans="1:12">
      <c r="A37" s="534">
        <v>40</v>
      </c>
      <c r="B37" s="549"/>
      <c r="C37" s="552" t="s">
        <v>1395</v>
      </c>
      <c r="D37" s="544"/>
      <c r="E37" s="538"/>
      <c r="F37" s="538"/>
      <c r="G37" s="538"/>
      <c r="H37" s="545"/>
      <c r="I37" s="570"/>
      <c r="J37" s="570"/>
      <c r="K37" s="570"/>
      <c r="L37" s="569"/>
    </row>
    <row r="38" ht="25.05" customHeight="1" spans="1:12">
      <c r="A38" s="534">
        <v>41</v>
      </c>
      <c r="B38" s="549"/>
      <c r="C38" s="552" t="s">
        <v>1396</v>
      </c>
      <c r="D38" s="544"/>
      <c r="E38" s="538"/>
      <c r="F38" s="538"/>
      <c r="G38" s="538"/>
      <c r="H38" s="545"/>
      <c r="I38" s="570"/>
      <c r="J38" s="570"/>
      <c r="K38" s="570"/>
      <c r="L38" s="569"/>
    </row>
    <row r="39" ht="25.05" customHeight="1" spans="1:12">
      <c r="A39" s="550">
        <v>42</v>
      </c>
      <c r="B39" s="553"/>
      <c r="C39" s="554" t="s">
        <v>1397</v>
      </c>
      <c r="D39" s="555"/>
      <c r="E39" s="556"/>
      <c r="F39" s="556"/>
      <c r="G39" s="557"/>
      <c r="H39" s="558"/>
      <c r="I39" s="573"/>
      <c r="J39" s="573"/>
      <c r="K39" s="573"/>
      <c r="L39" s="569"/>
    </row>
  </sheetData>
  <mergeCells count="14">
    <mergeCell ref="C1:L1"/>
    <mergeCell ref="A2:G2"/>
    <mergeCell ref="H2:K2"/>
    <mergeCell ref="D3:G3"/>
    <mergeCell ref="H3:K3"/>
    <mergeCell ref="A3:A4"/>
    <mergeCell ref="B3:B4"/>
    <mergeCell ref="B14:B21"/>
    <mergeCell ref="B22:B25"/>
    <mergeCell ref="B27:B29"/>
    <mergeCell ref="B32:B33"/>
    <mergeCell ref="B35:B39"/>
    <mergeCell ref="C3:C4"/>
    <mergeCell ref="L3:L4"/>
  </mergeCells>
  <hyperlinks>
    <hyperlink ref="F5" r:id="rId1" display="4545445@qq.com"/>
    <hyperlink ref="F6" r:id="rId1" display="4545445@qq.com"/>
    <hyperlink ref="J5" r:id="rId1" display="4545445@qq.com"/>
    <hyperlink ref="J6" r:id="rId1" display="4545445@qq.com"/>
  </hyperlinks>
  <pageMargins left="0.156944444444444" right="0.196527777777778" top="0.196527777777778" bottom="0.156944444444444" header="0.156944444444444" footer="0.236111111111111"/>
  <pageSetup paperSize="9" scale="82" orientation="landscape"/>
  <headerFooter alignWithMargins="0"/>
  <colBreaks count="1" manualBreakCount="1">
    <brk id="6" max="1048575" man="1"/>
  </colBreak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7030A0"/>
  </sheetPr>
  <dimension ref="A1:L174"/>
  <sheetViews>
    <sheetView zoomScale="55" zoomScaleNormal="55" zoomScalePageLayoutView="230" workbookViewId="0">
      <pane xSplit="7" ySplit="4" topLeftCell="H158" activePane="bottomRight" state="frozen"/>
      <selection/>
      <selection pane="topRight"/>
      <selection pane="bottomLeft"/>
      <selection pane="bottomRight" activeCell="Q70" sqref="Q70"/>
    </sheetView>
  </sheetViews>
  <sheetFormatPr defaultColWidth="11.5" defaultRowHeight="14.25"/>
  <cols>
    <col min="1" max="1" width="20" style="445" customWidth="1"/>
    <col min="2" max="2" width="20.5" style="445" customWidth="1"/>
    <col min="3" max="3" width="92.8" style="445" customWidth="1"/>
    <col min="4" max="4" width="29.8" style="443" customWidth="1"/>
    <col min="5" max="5" width="25" style="446" customWidth="1"/>
    <col min="6" max="6" width="25" style="447" customWidth="1"/>
    <col min="7" max="7" width="21.8" style="448" customWidth="1"/>
    <col min="8" max="11" width="8.7" customWidth="1"/>
    <col min="12" max="12" width="13.3" customWidth="1"/>
    <col min="13" max="16384" width="11.5" style="445"/>
  </cols>
  <sheetData>
    <row r="1" ht="28.05" customHeight="1" spans="1:12">
      <c r="A1" s="449" t="s">
        <v>1398</v>
      </c>
      <c r="B1" s="449"/>
      <c r="C1" s="449"/>
      <c r="D1" s="449"/>
      <c r="E1" s="449"/>
      <c r="F1" s="449"/>
      <c r="G1" s="449"/>
      <c r="H1" s="450" t="s">
        <v>1399</v>
      </c>
      <c r="I1" s="472"/>
      <c r="J1" s="472"/>
      <c r="K1" s="472"/>
      <c r="L1" s="473"/>
    </row>
    <row r="2" ht="21" customHeight="1" spans="1:12">
      <c r="A2" s="451" t="s">
        <v>1400</v>
      </c>
      <c r="B2" s="451"/>
      <c r="C2" s="451"/>
      <c r="D2" s="451"/>
      <c r="E2" s="451"/>
      <c r="F2" s="451"/>
      <c r="G2" s="451"/>
      <c r="H2" s="452" t="s">
        <v>1401</v>
      </c>
      <c r="I2" s="452" t="s">
        <v>1402</v>
      </c>
      <c r="J2" s="452" t="s">
        <v>1403</v>
      </c>
      <c r="K2" s="452" t="s">
        <v>1404</v>
      </c>
      <c r="L2" s="452" t="s">
        <v>1405</v>
      </c>
    </row>
    <row r="3" s="443" customFormat="1" ht="18" spans="1:12">
      <c r="A3" s="453" t="s">
        <v>1406</v>
      </c>
      <c r="B3" s="453" t="s">
        <v>1407</v>
      </c>
      <c r="C3" s="453" t="s">
        <v>1408</v>
      </c>
      <c r="D3" s="453" t="s">
        <v>1409</v>
      </c>
      <c r="E3" s="453"/>
      <c r="F3" s="453"/>
      <c r="G3" s="453"/>
      <c r="H3" s="452"/>
      <c r="I3" s="452"/>
      <c r="J3" s="452"/>
      <c r="K3" s="452"/>
      <c r="L3" s="452"/>
    </row>
    <row r="4" s="443" customFormat="1" ht="19.95" customHeight="1" spans="1:12">
      <c r="A4" s="453"/>
      <c r="B4" s="453"/>
      <c r="C4" s="453"/>
      <c r="D4" s="453" t="s">
        <v>1410</v>
      </c>
      <c r="E4" s="453" t="s">
        <v>1411</v>
      </c>
      <c r="F4" s="453" t="s">
        <v>1412</v>
      </c>
      <c r="G4" s="453" t="s">
        <v>1413</v>
      </c>
      <c r="H4" s="454" t="s">
        <v>1414</v>
      </c>
      <c r="I4" s="454" t="s">
        <v>1415</v>
      </c>
      <c r="J4" s="454" t="s">
        <v>1416</v>
      </c>
      <c r="K4" s="454" t="s">
        <v>1417</v>
      </c>
      <c r="L4" s="454" t="s">
        <v>1418</v>
      </c>
    </row>
    <row r="5" ht="24" customHeight="1" spans="1:12">
      <c r="A5" s="455" t="s">
        <v>1419</v>
      </c>
      <c r="B5" s="456"/>
      <c r="C5" s="456"/>
      <c r="D5" s="456"/>
      <c r="E5" s="456"/>
      <c r="F5" s="456"/>
      <c r="G5" s="456"/>
      <c r="H5" s="456"/>
      <c r="I5" s="456"/>
      <c r="J5" s="456"/>
      <c r="K5" s="456"/>
      <c r="L5" s="465"/>
    </row>
    <row r="6" ht="24" customHeight="1" spans="1:12">
      <c r="A6" s="457" t="s">
        <v>1420</v>
      </c>
      <c r="B6" s="458" t="s">
        <v>1421</v>
      </c>
      <c r="C6" s="459" t="s">
        <v>1422</v>
      </c>
      <c r="D6" s="460" t="s">
        <v>260</v>
      </c>
      <c r="E6" s="458" t="s">
        <v>260</v>
      </c>
      <c r="F6" s="458" t="s">
        <v>260</v>
      </c>
      <c r="G6" s="458" t="s">
        <v>260</v>
      </c>
      <c r="H6" s="92"/>
      <c r="I6" s="92"/>
      <c r="J6" s="88"/>
      <c r="K6" s="88"/>
      <c r="L6" s="474"/>
    </row>
    <row r="7" ht="24" customHeight="1" spans="1:12">
      <c r="A7" s="461"/>
      <c r="B7" s="458" t="s">
        <v>1421</v>
      </c>
      <c r="C7" s="459" t="s">
        <v>1423</v>
      </c>
      <c r="D7" s="460" t="s">
        <v>670</v>
      </c>
      <c r="E7" s="458" t="s">
        <v>670</v>
      </c>
      <c r="F7" s="458" t="s">
        <v>670</v>
      </c>
      <c r="G7" s="458" t="s">
        <v>670</v>
      </c>
      <c r="H7" s="91"/>
      <c r="I7" s="100"/>
      <c r="J7" s="100"/>
      <c r="K7" s="91"/>
      <c r="L7" s="91"/>
    </row>
    <row r="8" ht="24" customHeight="1" spans="1:12">
      <c r="A8" s="461"/>
      <c r="B8" s="458" t="s">
        <v>1421</v>
      </c>
      <c r="C8" s="459" t="s">
        <v>1424</v>
      </c>
      <c r="D8" s="460"/>
      <c r="E8" s="458"/>
      <c r="F8" s="458"/>
      <c r="G8" s="458"/>
      <c r="H8" s="91"/>
      <c r="I8" s="91"/>
      <c r="J8" s="92"/>
      <c r="K8" s="89"/>
      <c r="L8" s="89"/>
    </row>
    <row r="9" ht="24" customHeight="1" spans="1:12">
      <c r="A9" s="461"/>
      <c r="B9" s="458" t="s">
        <v>1421</v>
      </c>
      <c r="C9" s="459" t="s">
        <v>1425</v>
      </c>
      <c r="D9" s="460"/>
      <c r="E9" s="458"/>
      <c r="F9" s="458"/>
      <c r="G9" s="458"/>
      <c r="H9" s="91"/>
      <c r="I9" s="91"/>
      <c r="J9" s="91"/>
      <c r="K9" s="100"/>
      <c r="L9" s="100"/>
    </row>
    <row r="10" ht="24" customHeight="1" spans="1:12">
      <c r="A10" s="461"/>
      <c r="B10" s="458" t="s">
        <v>1421</v>
      </c>
      <c r="C10" s="459" t="s">
        <v>1426</v>
      </c>
      <c r="D10" s="460"/>
      <c r="E10" s="458"/>
      <c r="F10" s="458"/>
      <c r="G10" s="458"/>
      <c r="H10" s="91"/>
      <c r="I10" s="475"/>
      <c r="J10" s="475"/>
      <c r="K10" s="475"/>
      <c r="L10" s="91"/>
    </row>
    <row r="11" ht="24" customHeight="1" spans="1:12">
      <c r="A11" s="461"/>
      <c r="B11" s="458" t="s">
        <v>1421</v>
      </c>
      <c r="C11" s="459" t="s">
        <v>1427</v>
      </c>
      <c r="D11" s="460"/>
      <c r="E11" s="458"/>
      <c r="F11" s="458"/>
      <c r="G11" s="458"/>
      <c r="H11" s="91"/>
      <c r="I11" s="91"/>
      <c r="J11" s="92"/>
      <c r="K11" s="92"/>
      <c r="L11" s="92"/>
    </row>
    <row r="12" ht="24" customHeight="1" spans="1:12">
      <c r="A12" s="461"/>
      <c r="B12" s="458" t="s">
        <v>1421</v>
      </c>
      <c r="C12" s="459" t="s">
        <v>1428</v>
      </c>
      <c r="D12" s="460"/>
      <c r="E12" s="458"/>
      <c r="F12" s="458"/>
      <c r="G12" s="458"/>
      <c r="H12" s="91"/>
      <c r="I12" s="91"/>
      <c r="J12" s="91"/>
      <c r="K12" s="91"/>
      <c r="L12" s="91"/>
    </row>
    <row r="13" ht="24" customHeight="1" spans="1:12">
      <c r="A13" s="461"/>
      <c r="B13" s="458" t="s">
        <v>1421</v>
      </c>
      <c r="C13" s="459" t="s">
        <v>1429</v>
      </c>
      <c r="D13" s="460"/>
      <c r="E13" s="458"/>
      <c r="F13" s="458"/>
      <c r="G13" s="458"/>
      <c r="H13" s="100"/>
      <c r="I13" s="100"/>
      <c r="J13" s="91"/>
      <c r="K13" s="91"/>
      <c r="L13" s="91"/>
    </row>
    <row r="14" ht="24" customHeight="1" spans="1:12">
      <c r="A14" s="461"/>
      <c r="B14" s="458" t="s">
        <v>1421</v>
      </c>
      <c r="C14" s="459" t="s">
        <v>1430</v>
      </c>
      <c r="D14" s="460"/>
      <c r="E14" s="458"/>
      <c r="F14" s="458"/>
      <c r="G14" s="458"/>
      <c r="H14" s="91"/>
      <c r="I14" s="92"/>
      <c r="J14" s="92"/>
      <c r="K14" s="92"/>
      <c r="L14" s="91"/>
    </row>
    <row r="15" ht="24" customHeight="1" spans="1:12">
      <c r="A15" s="461"/>
      <c r="B15" s="458" t="s">
        <v>1421</v>
      </c>
      <c r="C15" s="459" t="s">
        <v>1431</v>
      </c>
      <c r="D15" s="460"/>
      <c r="E15" s="458"/>
      <c r="F15" s="458"/>
      <c r="G15" s="458"/>
      <c r="H15" s="91"/>
      <c r="I15" s="91"/>
      <c r="J15" s="100"/>
      <c r="K15" s="100"/>
      <c r="L15" s="100"/>
    </row>
    <row r="16" ht="24" customHeight="1" spans="1:12">
      <c r="A16" s="461"/>
      <c r="B16" s="458" t="s">
        <v>1421</v>
      </c>
      <c r="C16" s="459" t="s">
        <v>1432</v>
      </c>
      <c r="D16" s="460"/>
      <c r="E16" s="458"/>
      <c r="F16" s="458"/>
      <c r="G16" s="458"/>
      <c r="H16" s="91"/>
      <c r="I16" s="91"/>
      <c r="J16" s="91"/>
      <c r="K16" s="91"/>
      <c r="L16" s="91"/>
    </row>
    <row r="17" ht="24" customHeight="1" spans="1:12">
      <c r="A17" s="461"/>
      <c r="B17" s="458" t="s">
        <v>1421</v>
      </c>
      <c r="C17" s="459" t="s">
        <v>1433</v>
      </c>
      <c r="D17" s="460"/>
      <c r="E17" s="458"/>
      <c r="F17" s="458"/>
      <c r="G17" s="458"/>
      <c r="H17" s="91"/>
      <c r="I17" s="100"/>
      <c r="J17" s="100"/>
      <c r="K17" s="100"/>
      <c r="L17" s="91"/>
    </row>
    <row r="18" ht="24" customHeight="1" spans="1:12">
      <c r="A18" s="462"/>
      <c r="B18" s="458" t="s">
        <v>1421</v>
      </c>
      <c r="C18" s="459" t="s">
        <v>1434</v>
      </c>
      <c r="D18" s="460"/>
      <c r="E18" s="458"/>
      <c r="F18" s="458"/>
      <c r="G18" s="458"/>
      <c r="H18" s="91"/>
      <c r="I18" s="91"/>
      <c r="J18" s="91"/>
      <c r="K18" s="91"/>
      <c r="L18" s="91"/>
    </row>
    <row r="19" ht="31.05" customHeight="1" spans="1:12">
      <c r="A19" s="455" t="s">
        <v>1435</v>
      </c>
      <c r="B19" s="456"/>
      <c r="C19" s="456"/>
      <c r="D19" s="456"/>
      <c r="E19" s="456"/>
      <c r="F19" s="456"/>
      <c r="G19" s="456"/>
      <c r="H19" s="456"/>
      <c r="I19" s="456"/>
      <c r="J19" s="456"/>
      <c r="K19" s="456"/>
      <c r="L19" s="465"/>
    </row>
    <row r="20" customFormat="1" ht="31.05" customHeight="1" spans="1:12">
      <c r="A20" s="457" t="s">
        <v>1436</v>
      </c>
      <c r="B20" s="458" t="s">
        <v>1421</v>
      </c>
      <c r="C20" s="459" t="s">
        <v>1437</v>
      </c>
      <c r="D20" s="460" t="s">
        <v>670</v>
      </c>
      <c r="E20" s="458" t="s">
        <v>670</v>
      </c>
      <c r="F20" s="458" t="s">
        <v>670</v>
      </c>
      <c r="G20" s="458" t="s">
        <v>670</v>
      </c>
      <c r="H20" s="92"/>
      <c r="I20" s="92"/>
      <c r="J20" s="88"/>
      <c r="K20" s="88"/>
      <c r="L20" s="474"/>
    </row>
    <row r="21" customFormat="1" ht="31.05" customHeight="1" spans="1:12">
      <c r="A21" s="461"/>
      <c r="B21" s="458" t="s">
        <v>1421</v>
      </c>
      <c r="C21" s="459" t="s">
        <v>1438</v>
      </c>
      <c r="D21" s="463"/>
      <c r="E21" s="464"/>
      <c r="F21" s="464"/>
      <c r="G21" s="464"/>
      <c r="H21" s="91"/>
      <c r="I21" s="100"/>
      <c r="J21" s="100"/>
      <c r="K21" s="91"/>
      <c r="L21" s="91"/>
    </row>
    <row r="22" customFormat="1" ht="31.05" customHeight="1" spans="1:12">
      <c r="A22" s="461"/>
      <c r="B22" s="458" t="s">
        <v>1421</v>
      </c>
      <c r="C22" s="459" t="s">
        <v>1439</v>
      </c>
      <c r="D22" s="463"/>
      <c r="E22" s="464"/>
      <c r="F22" s="464"/>
      <c r="G22" s="464"/>
      <c r="H22" s="91"/>
      <c r="I22" s="91"/>
      <c r="J22" s="92"/>
      <c r="K22" s="89"/>
      <c r="L22" s="89"/>
    </row>
    <row r="23" customFormat="1" ht="31.05" customHeight="1" spans="1:12">
      <c r="A23" s="461"/>
      <c r="B23" s="458" t="s">
        <v>1421</v>
      </c>
      <c r="C23" s="459" t="s">
        <v>1440</v>
      </c>
      <c r="D23" s="463"/>
      <c r="E23" s="464"/>
      <c r="F23" s="464"/>
      <c r="G23" s="464"/>
      <c r="H23" s="91"/>
      <c r="I23" s="91"/>
      <c r="J23" s="91"/>
      <c r="K23" s="100"/>
      <c r="L23" s="100"/>
    </row>
    <row r="24" customFormat="1" ht="31.05" customHeight="1" spans="1:12">
      <c r="A24" s="461"/>
      <c r="B24" s="458" t="s">
        <v>1421</v>
      </c>
      <c r="C24" s="459" t="s">
        <v>1441</v>
      </c>
      <c r="D24" s="463"/>
      <c r="E24" s="464"/>
      <c r="F24" s="464"/>
      <c r="G24" s="464"/>
      <c r="H24" s="92"/>
      <c r="I24" s="92"/>
      <c r="J24" s="88"/>
      <c r="K24" s="88"/>
      <c r="L24" s="474"/>
    </row>
    <row r="25" customFormat="1" ht="31.05" customHeight="1" spans="1:12">
      <c r="A25" s="461"/>
      <c r="B25" s="458" t="s">
        <v>1421</v>
      </c>
      <c r="C25" s="459" t="s">
        <v>1442</v>
      </c>
      <c r="D25" s="463"/>
      <c r="E25" s="464"/>
      <c r="F25" s="464"/>
      <c r="G25" s="464"/>
      <c r="H25" s="91"/>
      <c r="I25" s="100"/>
      <c r="J25" s="100"/>
      <c r="K25" s="91"/>
      <c r="L25" s="91"/>
    </row>
    <row r="26" customFormat="1" ht="31.05" customHeight="1" spans="1:12">
      <c r="A26" s="461"/>
      <c r="B26" s="458" t="s">
        <v>1421</v>
      </c>
      <c r="C26" s="459" t="s">
        <v>1443</v>
      </c>
      <c r="D26" s="463"/>
      <c r="E26" s="464"/>
      <c r="F26" s="464"/>
      <c r="G26" s="464"/>
      <c r="H26" s="91"/>
      <c r="I26" s="91"/>
      <c r="J26" s="92"/>
      <c r="K26" s="89"/>
      <c r="L26" s="89"/>
    </row>
    <row r="27" customFormat="1" ht="31.05" customHeight="1" spans="1:12">
      <c r="A27" s="461"/>
      <c r="B27" s="458" t="s">
        <v>1421</v>
      </c>
      <c r="C27" s="459" t="s">
        <v>1444</v>
      </c>
      <c r="D27" s="463"/>
      <c r="E27" s="464"/>
      <c r="F27" s="464"/>
      <c r="G27" s="464"/>
      <c r="H27" s="91"/>
      <c r="I27" s="91"/>
      <c r="J27" s="91"/>
      <c r="K27" s="100"/>
      <c r="L27" s="100"/>
    </row>
    <row r="28" customFormat="1" ht="31.05" customHeight="1" spans="1:12">
      <c r="A28" s="461"/>
      <c r="B28" s="458" t="s">
        <v>1421</v>
      </c>
      <c r="C28" s="459" t="s">
        <v>1445</v>
      </c>
      <c r="D28" s="463"/>
      <c r="E28" s="464"/>
      <c r="F28" s="464"/>
      <c r="G28" s="464"/>
      <c r="H28" s="92"/>
      <c r="I28" s="92"/>
      <c r="J28" s="88"/>
      <c r="K28" s="88"/>
      <c r="L28" s="474"/>
    </row>
    <row r="29" customFormat="1" ht="31.05" customHeight="1" spans="1:12">
      <c r="A29" s="461"/>
      <c r="B29" s="458" t="s">
        <v>1421</v>
      </c>
      <c r="C29" s="459" t="s">
        <v>1446</v>
      </c>
      <c r="D29" s="463"/>
      <c r="E29" s="464"/>
      <c r="F29" s="464"/>
      <c r="G29" s="464"/>
      <c r="H29" s="91"/>
      <c r="I29" s="100"/>
      <c r="J29" s="100"/>
      <c r="K29" s="91"/>
      <c r="L29" s="91"/>
    </row>
    <row r="30" customFormat="1" ht="31.05" customHeight="1" spans="1:12">
      <c r="A30" s="461"/>
      <c r="B30" s="458" t="s">
        <v>1421</v>
      </c>
      <c r="C30" s="459" t="s">
        <v>1447</v>
      </c>
      <c r="D30" s="463"/>
      <c r="E30" s="464"/>
      <c r="F30" s="464"/>
      <c r="G30" s="464"/>
      <c r="H30" s="91"/>
      <c r="I30" s="91"/>
      <c r="J30" s="92"/>
      <c r="K30" s="89"/>
      <c r="L30" s="89"/>
    </row>
    <row r="31" customFormat="1" ht="31.05" customHeight="1" spans="1:12">
      <c r="A31" s="461"/>
      <c r="B31" s="458" t="s">
        <v>1421</v>
      </c>
      <c r="C31" s="459" t="s">
        <v>1448</v>
      </c>
      <c r="D31" s="463"/>
      <c r="E31" s="464"/>
      <c r="F31" s="464"/>
      <c r="G31" s="464"/>
      <c r="H31" s="91"/>
      <c r="I31" s="91"/>
      <c r="J31" s="91"/>
      <c r="K31" s="100"/>
      <c r="L31" s="100"/>
    </row>
    <row r="32" customFormat="1" ht="31.05" customHeight="1" spans="1:12">
      <c r="A32" s="461"/>
      <c r="B32" s="458" t="s">
        <v>1421</v>
      </c>
      <c r="C32" s="459" t="s">
        <v>1449</v>
      </c>
      <c r="D32" s="463"/>
      <c r="E32" s="464"/>
      <c r="F32" s="464"/>
      <c r="G32" s="464"/>
      <c r="H32" s="91"/>
      <c r="I32" s="100"/>
      <c r="J32" s="100"/>
      <c r="K32" s="91"/>
      <c r="L32" s="91"/>
    </row>
    <row r="33" customFormat="1" ht="31.05" customHeight="1" spans="1:12">
      <c r="A33" s="461"/>
      <c r="B33" s="458" t="s">
        <v>1421</v>
      </c>
      <c r="C33" s="459" t="s">
        <v>1450</v>
      </c>
      <c r="D33" s="463"/>
      <c r="E33" s="464"/>
      <c r="F33" s="464"/>
      <c r="G33" s="464"/>
      <c r="H33" s="91"/>
      <c r="I33" s="91"/>
      <c r="J33" s="92"/>
      <c r="K33" s="89"/>
      <c r="L33" s="89"/>
    </row>
    <row r="34" customFormat="1" ht="31.05" customHeight="1" spans="1:12">
      <c r="A34" s="462"/>
      <c r="B34" s="458" t="s">
        <v>1421</v>
      </c>
      <c r="C34" s="459" t="s">
        <v>1451</v>
      </c>
      <c r="D34" s="463"/>
      <c r="E34" s="464"/>
      <c r="F34" s="464"/>
      <c r="G34" s="464"/>
      <c r="H34" s="91"/>
      <c r="I34" s="91"/>
      <c r="J34" s="91"/>
      <c r="K34" s="100"/>
      <c r="L34" s="100"/>
    </row>
    <row r="35" s="444" customFormat="1" ht="30" customHeight="1" spans="1:12">
      <c r="A35" s="455" t="s">
        <v>1452</v>
      </c>
      <c r="B35" s="456"/>
      <c r="C35" s="456"/>
      <c r="D35" s="456"/>
      <c r="E35" s="456"/>
      <c r="F35" s="456"/>
      <c r="G35" s="465"/>
      <c r="H35" s="105" t="s">
        <v>1453</v>
      </c>
      <c r="I35" s="476"/>
      <c r="J35" s="476"/>
      <c r="K35" s="476"/>
      <c r="L35" s="477"/>
    </row>
    <row r="36" ht="24" customHeight="1" spans="1:12">
      <c r="A36" s="455" t="s">
        <v>1454</v>
      </c>
      <c r="B36" s="456"/>
      <c r="C36" s="456"/>
      <c r="D36" s="456"/>
      <c r="E36" s="456"/>
      <c r="F36" s="456"/>
      <c r="G36" s="465"/>
      <c r="H36" s="466" t="s">
        <v>232</v>
      </c>
      <c r="I36" s="478"/>
      <c r="J36" s="478"/>
      <c r="K36" s="478"/>
      <c r="L36" s="479"/>
    </row>
    <row r="37" ht="24" customHeight="1" spans="1:12">
      <c r="A37" s="467" t="s">
        <v>1455</v>
      </c>
      <c r="B37" s="458" t="s">
        <v>1421</v>
      </c>
      <c r="C37" s="459" t="s">
        <v>1456</v>
      </c>
      <c r="D37" s="460" t="s">
        <v>670</v>
      </c>
      <c r="E37" s="458" t="s">
        <v>670</v>
      </c>
      <c r="F37" s="458" t="s">
        <v>670</v>
      </c>
      <c r="G37" s="458" t="s">
        <v>670</v>
      </c>
      <c r="H37" s="468" t="s">
        <v>1457</v>
      </c>
      <c r="I37" s="480"/>
      <c r="J37" s="480"/>
      <c r="K37" s="480"/>
      <c r="L37" s="481"/>
    </row>
    <row r="38" ht="24" customHeight="1" spans="1:12">
      <c r="A38" s="469"/>
      <c r="B38" s="458" t="s">
        <v>1421</v>
      </c>
      <c r="C38" s="459" t="s">
        <v>1458</v>
      </c>
      <c r="D38" s="463"/>
      <c r="E38" s="464"/>
      <c r="F38" s="464"/>
      <c r="G38" s="464"/>
      <c r="H38" s="468" t="s">
        <v>1459</v>
      </c>
      <c r="I38" s="480"/>
      <c r="J38" s="480"/>
      <c r="K38" s="480"/>
      <c r="L38" s="481"/>
    </row>
    <row r="39" ht="24" customHeight="1" spans="1:12">
      <c r="A39" s="469"/>
      <c r="B39" s="458" t="s">
        <v>1421</v>
      </c>
      <c r="C39" s="459" t="s">
        <v>1460</v>
      </c>
      <c r="D39" s="463"/>
      <c r="E39" s="464"/>
      <c r="F39" s="464"/>
      <c r="G39" s="464"/>
      <c r="H39" s="468" t="s">
        <v>1461</v>
      </c>
      <c r="I39" s="480"/>
      <c r="J39" s="480"/>
      <c r="K39" s="480"/>
      <c r="L39" s="481"/>
    </row>
    <row r="40" ht="24" customHeight="1" spans="1:12">
      <c r="A40" s="469"/>
      <c r="B40" s="458" t="s">
        <v>1421</v>
      </c>
      <c r="C40" s="459" t="s">
        <v>1462</v>
      </c>
      <c r="D40" s="463"/>
      <c r="E40" s="464"/>
      <c r="F40" s="464"/>
      <c r="G40" s="464"/>
      <c r="H40" s="468" t="s">
        <v>1463</v>
      </c>
      <c r="I40" s="480"/>
      <c r="J40" s="480"/>
      <c r="K40" s="480"/>
      <c r="L40" s="481"/>
    </row>
    <row r="41" ht="37.05" customHeight="1" spans="1:12">
      <c r="A41" s="469"/>
      <c r="B41" s="458" t="s">
        <v>1421</v>
      </c>
      <c r="C41" s="459" t="s">
        <v>1464</v>
      </c>
      <c r="D41" s="463"/>
      <c r="E41" s="464"/>
      <c r="F41" s="464"/>
      <c r="G41" s="464"/>
      <c r="H41" s="468" t="s">
        <v>1465</v>
      </c>
      <c r="I41" s="480"/>
      <c r="J41" s="480"/>
      <c r="K41" s="480"/>
      <c r="L41" s="481"/>
    </row>
    <row r="42" ht="39" customHeight="1" spans="1:12">
      <c r="A42" s="469"/>
      <c r="B42" s="458" t="s">
        <v>1421</v>
      </c>
      <c r="C42" s="459" t="s">
        <v>1466</v>
      </c>
      <c r="D42" s="463"/>
      <c r="E42" s="464"/>
      <c r="F42" s="464"/>
      <c r="G42" s="464"/>
      <c r="H42" s="468" t="s">
        <v>1467</v>
      </c>
      <c r="I42" s="480"/>
      <c r="J42" s="480"/>
      <c r="K42" s="480"/>
      <c r="L42" s="481"/>
    </row>
    <row r="43" ht="24" customHeight="1" spans="1:12">
      <c r="A43" s="470"/>
      <c r="B43" s="458" t="s">
        <v>1468</v>
      </c>
      <c r="C43" s="459" t="s">
        <v>1469</v>
      </c>
      <c r="D43" s="463"/>
      <c r="E43" s="464"/>
      <c r="F43" s="464"/>
      <c r="G43" s="464"/>
      <c r="H43" s="468" t="s">
        <v>1470</v>
      </c>
      <c r="I43" s="480"/>
      <c r="J43" s="480"/>
      <c r="K43" s="480"/>
      <c r="L43" s="481"/>
    </row>
    <row r="44" ht="43.95" customHeight="1" spans="1:12">
      <c r="A44" s="469" t="s">
        <v>1471</v>
      </c>
      <c r="B44" s="458" t="s">
        <v>1421</v>
      </c>
      <c r="C44" s="459" t="s">
        <v>1472</v>
      </c>
      <c r="D44" s="463"/>
      <c r="E44" s="464"/>
      <c r="F44" s="464"/>
      <c r="G44" s="464"/>
      <c r="H44" s="468" t="s">
        <v>1473</v>
      </c>
      <c r="I44" s="480"/>
      <c r="J44" s="480"/>
      <c r="K44" s="480"/>
      <c r="L44" s="481"/>
    </row>
    <row r="45" ht="24" customHeight="1" spans="1:12">
      <c r="A45" s="469"/>
      <c r="B45" s="458" t="s">
        <v>1421</v>
      </c>
      <c r="C45" s="459" t="s">
        <v>1474</v>
      </c>
      <c r="D45" s="463"/>
      <c r="E45" s="464"/>
      <c r="F45" s="464"/>
      <c r="G45" s="464"/>
      <c r="H45" s="468" t="s">
        <v>1475</v>
      </c>
      <c r="I45" s="480"/>
      <c r="J45" s="480"/>
      <c r="K45" s="480"/>
      <c r="L45" s="481"/>
    </row>
    <row r="46" ht="24" customHeight="1" spans="1:12">
      <c r="A46" s="469"/>
      <c r="B46" s="458" t="s">
        <v>1421</v>
      </c>
      <c r="C46" s="459" t="s">
        <v>1476</v>
      </c>
      <c r="D46" s="463"/>
      <c r="E46" s="464"/>
      <c r="F46" s="464"/>
      <c r="G46" s="464"/>
      <c r="H46" s="468" t="s">
        <v>1477</v>
      </c>
      <c r="I46" s="480"/>
      <c r="J46" s="480"/>
      <c r="K46" s="480"/>
      <c r="L46" s="481"/>
    </row>
    <row r="47" ht="43.95" customHeight="1" spans="1:12">
      <c r="A47" s="469"/>
      <c r="B47" s="458" t="s">
        <v>1421</v>
      </c>
      <c r="C47" s="459" t="s">
        <v>1478</v>
      </c>
      <c r="D47" s="463"/>
      <c r="E47" s="464"/>
      <c r="F47" s="464"/>
      <c r="G47" s="464"/>
      <c r="H47" s="471" t="s">
        <v>1479</v>
      </c>
      <c r="I47" s="480"/>
      <c r="J47" s="480"/>
      <c r="K47" s="480"/>
      <c r="L47" s="481"/>
    </row>
    <row r="48" ht="24" customHeight="1" spans="1:12">
      <c r="A48" s="469"/>
      <c r="B48" s="458" t="s">
        <v>1421</v>
      </c>
      <c r="C48" s="459" t="s">
        <v>1480</v>
      </c>
      <c r="D48" s="463"/>
      <c r="E48" s="464"/>
      <c r="F48" s="464"/>
      <c r="G48" s="464"/>
      <c r="H48" s="468" t="s">
        <v>1481</v>
      </c>
      <c r="I48" s="480"/>
      <c r="J48" s="480"/>
      <c r="K48" s="480"/>
      <c r="L48" s="481"/>
    </row>
    <row r="49" ht="24" customHeight="1" spans="1:12">
      <c r="A49" s="469"/>
      <c r="B49" s="458" t="s">
        <v>1421</v>
      </c>
      <c r="C49" s="459" t="s">
        <v>1482</v>
      </c>
      <c r="D49" s="463"/>
      <c r="E49" s="464"/>
      <c r="F49" s="464"/>
      <c r="G49" s="464"/>
      <c r="H49" s="468" t="s">
        <v>1483</v>
      </c>
      <c r="I49" s="480"/>
      <c r="J49" s="480"/>
      <c r="K49" s="480"/>
      <c r="L49" s="481"/>
    </row>
    <row r="50" ht="24" customHeight="1" spans="1:12">
      <c r="A50" s="470"/>
      <c r="B50" s="458" t="s">
        <v>1468</v>
      </c>
      <c r="C50" s="459" t="s">
        <v>1484</v>
      </c>
      <c r="D50" s="463"/>
      <c r="E50" s="464"/>
      <c r="F50" s="464"/>
      <c r="G50" s="464"/>
      <c r="H50" s="468" t="s">
        <v>1485</v>
      </c>
      <c r="I50" s="480"/>
      <c r="J50" s="480"/>
      <c r="K50" s="480"/>
      <c r="L50" s="481"/>
    </row>
    <row r="51" ht="24" customHeight="1" spans="1:12">
      <c r="A51" s="469" t="s">
        <v>1486</v>
      </c>
      <c r="B51" s="458" t="s">
        <v>1421</v>
      </c>
      <c r="C51" s="459" t="s">
        <v>1487</v>
      </c>
      <c r="D51" s="463"/>
      <c r="E51" s="464"/>
      <c r="F51" s="464"/>
      <c r="G51" s="464"/>
      <c r="H51" s="468" t="s">
        <v>1488</v>
      </c>
      <c r="I51" s="480"/>
      <c r="J51" s="480"/>
      <c r="K51" s="480"/>
      <c r="L51" s="481"/>
    </row>
    <row r="52" ht="39" customHeight="1" spans="1:12">
      <c r="A52" s="469"/>
      <c r="B52" s="458" t="s">
        <v>1421</v>
      </c>
      <c r="C52" s="459" t="s">
        <v>1489</v>
      </c>
      <c r="D52" s="463"/>
      <c r="E52" s="464"/>
      <c r="F52" s="464"/>
      <c r="G52" s="464"/>
      <c r="H52" s="468" t="s">
        <v>1490</v>
      </c>
      <c r="I52" s="480"/>
      <c r="J52" s="480"/>
      <c r="K52" s="480"/>
      <c r="L52" s="481"/>
    </row>
    <row r="53" ht="30" customHeight="1" spans="1:12">
      <c r="A53" s="469"/>
      <c r="B53" s="458" t="s">
        <v>1421</v>
      </c>
      <c r="C53" s="459" t="s">
        <v>1491</v>
      </c>
      <c r="D53" s="463"/>
      <c r="E53" s="464"/>
      <c r="F53" s="464"/>
      <c r="G53" s="464"/>
      <c r="H53" s="468" t="s">
        <v>1492</v>
      </c>
      <c r="I53" s="480"/>
      <c r="J53" s="480"/>
      <c r="K53" s="480"/>
      <c r="L53" s="481"/>
    </row>
    <row r="54" ht="24" customHeight="1" spans="1:12">
      <c r="A54" s="469"/>
      <c r="B54" s="458" t="s">
        <v>1421</v>
      </c>
      <c r="C54" s="459" t="s">
        <v>1493</v>
      </c>
      <c r="D54" s="463"/>
      <c r="E54" s="464"/>
      <c r="F54" s="464"/>
      <c r="G54" s="464"/>
      <c r="H54" s="468" t="s">
        <v>1494</v>
      </c>
      <c r="I54" s="480"/>
      <c r="J54" s="480"/>
      <c r="K54" s="480"/>
      <c r="L54" s="481"/>
    </row>
    <row r="55" ht="24" customHeight="1" spans="1:12">
      <c r="A55" s="469"/>
      <c r="B55" s="458" t="s">
        <v>1421</v>
      </c>
      <c r="C55" s="459" t="s">
        <v>1495</v>
      </c>
      <c r="D55" s="463"/>
      <c r="E55" s="464"/>
      <c r="F55" s="464"/>
      <c r="G55" s="464"/>
      <c r="H55" s="468" t="s">
        <v>1496</v>
      </c>
      <c r="I55" s="480"/>
      <c r="J55" s="480"/>
      <c r="K55" s="480"/>
      <c r="L55" s="481"/>
    </row>
    <row r="56" ht="24" customHeight="1" spans="1:12">
      <c r="A56" s="469"/>
      <c r="B56" s="458" t="s">
        <v>1421</v>
      </c>
      <c r="C56" s="459" t="s">
        <v>1497</v>
      </c>
      <c r="D56" s="463"/>
      <c r="E56" s="464"/>
      <c r="F56" s="464"/>
      <c r="G56" s="464"/>
      <c r="H56" s="468" t="s">
        <v>1498</v>
      </c>
      <c r="I56" s="480"/>
      <c r="J56" s="480"/>
      <c r="K56" s="480"/>
      <c r="L56" s="481"/>
    </row>
    <row r="57" ht="24" customHeight="1" spans="1:12">
      <c r="A57" s="469"/>
      <c r="B57" s="458" t="s">
        <v>1421</v>
      </c>
      <c r="C57" s="459" t="s">
        <v>1499</v>
      </c>
      <c r="D57" s="463"/>
      <c r="E57" s="464"/>
      <c r="F57" s="464"/>
      <c r="G57" s="464"/>
      <c r="H57" s="468" t="s">
        <v>1500</v>
      </c>
      <c r="I57" s="480"/>
      <c r="J57" s="480"/>
      <c r="K57" s="480"/>
      <c r="L57" s="481"/>
    </row>
    <row r="58" ht="24" customHeight="1" spans="1:12">
      <c r="A58" s="469"/>
      <c r="B58" s="458" t="s">
        <v>1421</v>
      </c>
      <c r="C58" s="459" t="s">
        <v>1501</v>
      </c>
      <c r="D58" s="463"/>
      <c r="E58" s="464"/>
      <c r="F58" s="464"/>
      <c r="G58" s="464"/>
      <c r="H58" s="468" t="s">
        <v>1502</v>
      </c>
      <c r="I58" s="480"/>
      <c r="J58" s="480"/>
      <c r="K58" s="480"/>
      <c r="L58" s="481"/>
    </row>
    <row r="59" ht="28.05" customHeight="1" spans="1:12">
      <c r="A59" s="469"/>
      <c r="B59" s="458" t="s">
        <v>1421</v>
      </c>
      <c r="C59" s="459" t="s">
        <v>1503</v>
      </c>
      <c r="D59" s="463"/>
      <c r="E59" s="464"/>
      <c r="F59" s="464"/>
      <c r="G59" s="464"/>
      <c r="H59" s="468" t="s">
        <v>1504</v>
      </c>
      <c r="I59" s="480"/>
      <c r="J59" s="480"/>
      <c r="K59" s="480"/>
      <c r="L59" s="481"/>
    </row>
    <row r="60" ht="24" customHeight="1" spans="1:12">
      <c r="A60" s="470"/>
      <c r="B60" s="458" t="s">
        <v>1421</v>
      </c>
      <c r="C60" s="459" t="s">
        <v>1505</v>
      </c>
      <c r="D60" s="463"/>
      <c r="E60" s="464"/>
      <c r="F60" s="464"/>
      <c r="G60" s="464"/>
      <c r="H60" s="468" t="s">
        <v>1506</v>
      </c>
      <c r="I60" s="480"/>
      <c r="J60" s="480"/>
      <c r="K60" s="480"/>
      <c r="L60" s="481"/>
    </row>
    <row r="61" ht="24" customHeight="1" spans="1:12">
      <c r="A61" s="469" t="s">
        <v>910</v>
      </c>
      <c r="B61" s="458" t="s">
        <v>1421</v>
      </c>
      <c r="C61" s="459" t="s">
        <v>1507</v>
      </c>
      <c r="D61" s="463"/>
      <c r="E61" s="464"/>
      <c r="F61" s="464"/>
      <c r="G61" s="464"/>
      <c r="H61" s="468" t="s">
        <v>1508</v>
      </c>
      <c r="I61" s="480"/>
      <c r="J61" s="480"/>
      <c r="K61" s="480"/>
      <c r="L61" s="481"/>
    </row>
    <row r="62" ht="24" customHeight="1" spans="1:12">
      <c r="A62" s="469"/>
      <c r="B62" s="458" t="s">
        <v>1421</v>
      </c>
      <c r="C62" s="459" t="s">
        <v>1509</v>
      </c>
      <c r="D62" s="463"/>
      <c r="E62" s="464"/>
      <c r="F62" s="464"/>
      <c r="G62" s="464"/>
      <c r="H62" s="468" t="s">
        <v>1510</v>
      </c>
      <c r="I62" s="480"/>
      <c r="J62" s="480"/>
      <c r="K62" s="480"/>
      <c r="L62" s="481"/>
    </row>
    <row r="63" ht="24" customHeight="1" spans="1:12">
      <c r="A63" s="469"/>
      <c r="B63" s="458" t="s">
        <v>1421</v>
      </c>
      <c r="C63" s="459" t="s">
        <v>1511</v>
      </c>
      <c r="D63" s="463"/>
      <c r="E63" s="464"/>
      <c r="F63" s="464"/>
      <c r="G63" s="464"/>
      <c r="H63" s="468" t="s">
        <v>1512</v>
      </c>
      <c r="I63" s="480"/>
      <c r="J63" s="480"/>
      <c r="K63" s="480"/>
      <c r="L63" s="481"/>
    </row>
    <row r="64" ht="24" customHeight="1" spans="1:12">
      <c r="A64" s="469"/>
      <c r="B64" s="458" t="s">
        <v>1421</v>
      </c>
      <c r="C64" s="459" t="s">
        <v>1513</v>
      </c>
      <c r="D64" s="463"/>
      <c r="E64" s="464"/>
      <c r="F64" s="464"/>
      <c r="G64" s="464"/>
      <c r="H64" s="468" t="s">
        <v>1514</v>
      </c>
      <c r="I64" s="480"/>
      <c r="J64" s="480"/>
      <c r="K64" s="480"/>
      <c r="L64" s="481"/>
    </row>
    <row r="65" ht="24" customHeight="1" spans="1:12">
      <c r="A65" s="469"/>
      <c r="B65" s="458" t="s">
        <v>1421</v>
      </c>
      <c r="C65" s="459" t="s">
        <v>1515</v>
      </c>
      <c r="D65" s="463"/>
      <c r="E65" s="464"/>
      <c r="F65" s="464"/>
      <c r="G65" s="464"/>
      <c r="H65" s="468"/>
      <c r="I65" s="480"/>
      <c r="J65" s="480"/>
      <c r="K65" s="480"/>
      <c r="L65" s="481"/>
    </row>
    <row r="66" ht="40.95" customHeight="1" spans="1:12">
      <c r="A66" s="469"/>
      <c r="B66" s="458" t="s">
        <v>1421</v>
      </c>
      <c r="C66" s="459" t="s">
        <v>1516</v>
      </c>
      <c r="D66" s="463"/>
      <c r="E66" s="464"/>
      <c r="F66" s="464"/>
      <c r="G66" s="464"/>
      <c r="H66" s="468" t="s">
        <v>1517</v>
      </c>
      <c r="I66" s="480"/>
      <c r="J66" s="480"/>
      <c r="K66" s="480"/>
      <c r="L66" s="481"/>
    </row>
    <row r="67" ht="24" customHeight="1" spans="1:12">
      <c r="A67" s="470"/>
      <c r="B67" s="458" t="s">
        <v>1421</v>
      </c>
      <c r="C67" s="459" t="s">
        <v>1518</v>
      </c>
      <c r="D67" s="463"/>
      <c r="E67" s="464"/>
      <c r="F67" s="464"/>
      <c r="G67" s="464"/>
      <c r="H67" s="468" t="s">
        <v>1519</v>
      </c>
      <c r="I67" s="480"/>
      <c r="J67" s="480"/>
      <c r="K67" s="480"/>
      <c r="L67" s="481"/>
    </row>
    <row r="68" ht="24" customHeight="1" spans="1:12">
      <c r="A68" s="469" t="s">
        <v>1520</v>
      </c>
      <c r="B68" s="458" t="s">
        <v>1421</v>
      </c>
      <c r="C68" s="459" t="s">
        <v>1521</v>
      </c>
      <c r="D68" s="463"/>
      <c r="E68" s="464"/>
      <c r="F68" s="464"/>
      <c r="G68" s="464"/>
      <c r="H68" s="468" t="s">
        <v>1522</v>
      </c>
      <c r="I68" s="480"/>
      <c r="J68" s="480"/>
      <c r="K68" s="480"/>
      <c r="L68" s="481"/>
    </row>
    <row r="69" ht="24" customHeight="1" spans="1:12">
      <c r="A69" s="469"/>
      <c r="B69" s="458" t="s">
        <v>1421</v>
      </c>
      <c r="C69" s="459" t="s">
        <v>1523</v>
      </c>
      <c r="D69" s="463"/>
      <c r="E69" s="464"/>
      <c r="F69" s="464"/>
      <c r="G69" s="464"/>
      <c r="H69" s="468" t="s">
        <v>1524</v>
      </c>
      <c r="I69" s="480"/>
      <c r="J69" s="480"/>
      <c r="K69" s="480"/>
      <c r="L69" s="481"/>
    </row>
    <row r="70" ht="24" customHeight="1" spans="1:12">
      <c r="A70" s="469"/>
      <c r="B70" s="458" t="s">
        <v>1421</v>
      </c>
      <c r="C70" s="459" t="s">
        <v>1525</v>
      </c>
      <c r="D70" s="463"/>
      <c r="E70" s="464"/>
      <c r="F70" s="464"/>
      <c r="G70" s="464"/>
      <c r="H70" s="468" t="s">
        <v>1526</v>
      </c>
      <c r="I70" s="480"/>
      <c r="J70" s="480"/>
      <c r="K70" s="480"/>
      <c r="L70" s="481"/>
    </row>
    <row r="71" ht="24" customHeight="1" spans="1:12">
      <c r="A71" s="469"/>
      <c r="B71" s="458" t="s">
        <v>1421</v>
      </c>
      <c r="C71" s="459" t="s">
        <v>1527</v>
      </c>
      <c r="D71" s="463"/>
      <c r="E71" s="464"/>
      <c r="F71" s="464"/>
      <c r="G71" s="464"/>
      <c r="H71" s="468" t="s">
        <v>1528</v>
      </c>
      <c r="I71" s="480"/>
      <c r="J71" s="480"/>
      <c r="K71" s="480"/>
      <c r="L71" s="481"/>
    </row>
    <row r="72" ht="24" customHeight="1" spans="1:12">
      <c r="A72" s="470"/>
      <c r="B72" s="458" t="s">
        <v>1421</v>
      </c>
      <c r="C72" s="459" t="s">
        <v>1529</v>
      </c>
      <c r="D72" s="463"/>
      <c r="E72" s="464"/>
      <c r="F72" s="464"/>
      <c r="G72" s="464"/>
      <c r="H72" s="468" t="s">
        <v>1530</v>
      </c>
      <c r="I72" s="480"/>
      <c r="J72" s="480"/>
      <c r="K72" s="480"/>
      <c r="L72" s="481"/>
    </row>
    <row r="73" ht="24" customHeight="1" spans="1:12">
      <c r="A73" s="455" t="s">
        <v>1531</v>
      </c>
      <c r="B73" s="456"/>
      <c r="C73" s="456"/>
      <c r="D73" s="456"/>
      <c r="E73" s="456"/>
      <c r="F73" s="456"/>
      <c r="G73" s="456"/>
      <c r="H73" s="466" t="s">
        <v>232</v>
      </c>
      <c r="I73" s="478"/>
      <c r="J73" s="478"/>
      <c r="K73" s="478"/>
      <c r="L73" s="479"/>
    </row>
    <row r="74" ht="24" customHeight="1" spans="1:12">
      <c r="A74" s="457" t="s">
        <v>1532</v>
      </c>
      <c r="B74" s="458" t="s">
        <v>1421</v>
      </c>
      <c r="C74" s="459" t="s">
        <v>1533</v>
      </c>
      <c r="D74" s="460" t="s">
        <v>670</v>
      </c>
      <c r="E74" s="458" t="s">
        <v>670</v>
      </c>
      <c r="F74" s="458" t="s">
        <v>670</v>
      </c>
      <c r="G74" s="458" t="s">
        <v>670</v>
      </c>
      <c r="H74" s="468" t="s">
        <v>1534</v>
      </c>
      <c r="I74" s="480"/>
      <c r="J74" s="480"/>
      <c r="K74" s="480"/>
      <c r="L74" s="481"/>
    </row>
    <row r="75" ht="24" customHeight="1" spans="1:12">
      <c r="A75" s="461"/>
      <c r="B75" s="458" t="s">
        <v>1421</v>
      </c>
      <c r="C75" s="459" t="s">
        <v>1535</v>
      </c>
      <c r="D75" s="463"/>
      <c r="E75" s="464"/>
      <c r="F75" s="464"/>
      <c r="G75" s="464"/>
      <c r="H75" s="468" t="s">
        <v>1536</v>
      </c>
      <c r="I75" s="480"/>
      <c r="J75" s="480"/>
      <c r="K75" s="480"/>
      <c r="L75" s="481"/>
    </row>
    <row r="76" ht="24" customHeight="1" spans="1:12">
      <c r="A76" s="461"/>
      <c r="B76" s="458" t="s">
        <v>1421</v>
      </c>
      <c r="C76" s="459" t="s">
        <v>1537</v>
      </c>
      <c r="D76" s="463"/>
      <c r="E76" s="464"/>
      <c r="F76" s="464"/>
      <c r="G76" s="464"/>
      <c r="H76" s="468" t="s">
        <v>1538</v>
      </c>
      <c r="I76" s="480"/>
      <c r="J76" s="480"/>
      <c r="K76" s="480"/>
      <c r="L76" s="481"/>
    </row>
    <row r="77" ht="24" customHeight="1" spans="1:12">
      <c r="A77" s="462"/>
      <c r="B77" s="458" t="s">
        <v>1421</v>
      </c>
      <c r="C77" s="459" t="s">
        <v>1539</v>
      </c>
      <c r="D77" s="463"/>
      <c r="E77" s="464"/>
      <c r="F77" s="464"/>
      <c r="G77" s="464"/>
      <c r="H77" s="468"/>
      <c r="I77" s="480"/>
      <c r="J77" s="480"/>
      <c r="K77" s="480"/>
      <c r="L77" s="481"/>
    </row>
    <row r="78" ht="24" customHeight="1" spans="1:12">
      <c r="A78" s="461" t="s">
        <v>1540</v>
      </c>
      <c r="B78" s="458" t="s">
        <v>1421</v>
      </c>
      <c r="C78" s="459" t="s">
        <v>1541</v>
      </c>
      <c r="D78" s="463"/>
      <c r="E78" s="464"/>
      <c r="F78" s="464"/>
      <c r="G78" s="464"/>
      <c r="H78" s="468" t="s">
        <v>1542</v>
      </c>
      <c r="I78" s="480"/>
      <c r="J78" s="480"/>
      <c r="K78" s="480"/>
      <c r="L78" s="481"/>
    </row>
    <row r="79" ht="24" customHeight="1" spans="1:12">
      <c r="A79" s="461"/>
      <c r="B79" s="458" t="s">
        <v>1421</v>
      </c>
      <c r="C79" s="459" t="s">
        <v>1543</v>
      </c>
      <c r="D79" s="463"/>
      <c r="E79" s="464"/>
      <c r="F79" s="464"/>
      <c r="G79" s="464"/>
      <c r="H79" s="468" t="s">
        <v>1544</v>
      </c>
      <c r="I79" s="480"/>
      <c r="J79" s="480"/>
      <c r="K79" s="480"/>
      <c r="L79" s="481"/>
    </row>
    <row r="80" ht="24" customHeight="1" spans="1:12">
      <c r="A80" s="461"/>
      <c r="B80" s="458" t="s">
        <v>1421</v>
      </c>
      <c r="C80" s="459" t="s">
        <v>1545</v>
      </c>
      <c r="D80" s="463"/>
      <c r="E80" s="464"/>
      <c r="F80" s="464"/>
      <c r="G80" s="464"/>
      <c r="H80" s="468"/>
      <c r="I80" s="480"/>
      <c r="J80" s="480"/>
      <c r="K80" s="480"/>
      <c r="L80" s="481"/>
    </row>
    <row r="81" ht="24" customHeight="1" spans="1:12">
      <c r="A81" s="461"/>
      <c r="B81" s="458" t="s">
        <v>1421</v>
      </c>
      <c r="C81" s="459" t="s">
        <v>1546</v>
      </c>
      <c r="D81" s="463"/>
      <c r="E81" s="464"/>
      <c r="F81" s="464"/>
      <c r="G81" s="464"/>
      <c r="H81" s="468" t="s">
        <v>1547</v>
      </c>
      <c r="I81" s="480"/>
      <c r="J81" s="480"/>
      <c r="K81" s="480"/>
      <c r="L81" s="481"/>
    </row>
    <row r="82" ht="24" customHeight="1" spans="1:12">
      <c r="A82" s="462"/>
      <c r="B82" s="458" t="s">
        <v>1421</v>
      </c>
      <c r="C82" s="459" t="s">
        <v>1548</v>
      </c>
      <c r="D82" s="463"/>
      <c r="E82" s="464"/>
      <c r="F82" s="464"/>
      <c r="G82" s="464"/>
      <c r="H82" s="468" t="s">
        <v>1549</v>
      </c>
      <c r="I82" s="480"/>
      <c r="J82" s="480"/>
      <c r="K82" s="480"/>
      <c r="L82" s="481"/>
    </row>
    <row r="83" ht="24" customHeight="1" spans="1:12">
      <c r="A83" s="461" t="s">
        <v>1550</v>
      </c>
      <c r="B83" s="458" t="s">
        <v>1421</v>
      </c>
      <c r="C83" s="459" t="s">
        <v>1551</v>
      </c>
      <c r="D83" s="463"/>
      <c r="E83" s="464"/>
      <c r="F83" s="464"/>
      <c r="G83" s="464"/>
      <c r="H83" s="468" t="s">
        <v>1552</v>
      </c>
      <c r="I83" s="480"/>
      <c r="J83" s="480"/>
      <c r="K83" s="480"/>
      <c r="L83" s="481"/>
    </row>
    <row r="84" ht="24" customHeight="1" spans="1:12">
      <c r="A84" s="461"/>
      <c r="B84" s="458" t="s">
        <v>1421</v>
      </c>
      <c r="C84" s="459" t="s">
        <v>1553</v>
      </c>
      <c r="D84" s="463"/>
      <c r="E84" s="464"/>
      <c r="F84" s="464"/>
      <c r="G84" s="464"/>
      <c r="H84" s="468" t="s">
        <v>1554</v>
      </c>
      <c r="I84" s="480"/>
      <c r="J84" s="480"/>
      <c r="K84" s="480"/>
      <c r="L84" s="481"/>
    </row>
    <row r="85" ht="24" customHeight="1" spans="1:12">
      <c r="A85" s="461"/>
      <c r="B85" s="458" t="s">
        <v>1421</v>
      </c>
      <c r="C85" s="459" t="s">
        <v>1555</v>
      </c>
      <c r="D85" s="463"/>
      <c r="E85" s="464"/>
      <c r="F85" s="464"/>
      <c r="G85" s="464"/>
      <c r="H85" s="468" t="s">
        <v>1556</v>
      </c>
      <c r="I85" s="480"/>
      <c r="J85" s="480"/>
      <c r="K85" s="480"/>
      <c r="L85" s="481"/>
    </row>
    <row r="86" ht="24" customHeight="1" spans="1:12">
      <c r="A86" s="461"/>
      <c r="B86" s="458" t="s">
        <v>1421</v>
      </c>
      <c r="C86" s="459" t="s">
        <v>1557</v>
      </c>
      <c r="D86" s="463"/>
      <c r="E86" s="464"/>
      <c r="F86" s="464"/>
      <c r="G86" s="464"/>
      <c r="H86" s="468" t="s">
        <v>1558</v>
      </c>
      <c r="I86" s="480"/>
      <c r="J86" s="480"/>
      <c r="K86" s="480"/>
      <c r="L86" s="481"/>
    </row>
    <row r="87" ht="24" customHeight="1" spans="1:12">
      <c r="A87" s="461"/>
      <c r="B87" s="458" t="s">
        <v>1421</v>
      </c>
      <c r="C87" s="459" t="s">
        <v>1559</v>
      </c>
      <c r="D87" s="463"/>
      <c r="E87" s="464"/>
      <c r="F87" s="464"/>
      <c r="G87" s="464"/>
      <c r="H87" s="468" t="s">
        <v>1560</v>
      </c>
      <c r="I87" s="480"/>
      <c r="J87" s="480"/>
      <c r="K87" s="480"/>
      <c r="L87" s="481"/>
    </row>
    <row r="88" ht="24" customHeight="1" spans="1:12">
      <c r="A88" s="461"/>
      <c r="B88" s="458" t="s">
        <v>1421</v>
      </c>
      <c r="C88" s="459" t="s">
        <v>1561</v>
      </c>
      <c r="D88" s="463"/>
      <c r="E88" s="464"/>
      <c r="F88" s="464"/>
      <c r="G88" s="464"/>
      <c r="H88" s="468" t="s">
        <v>1562</v>
      </c>
      <c r="I88" s="480"/>
      <c r="J88" s="480"/>
      <c r="K88" s="480"/>
      <c r="L88" s="481"/>
    </row>
    <row r="89" ht="24" customHeight="1" spans="1:12">
      <c r="A89" s="461"/>
      <c r="B89" s="458" t="s">
        <v>1421</v>
      </c>
      <c r="C89" s="459" t="s">
        <v>1563</v>
      </c>
      <c r="D89" s="463"/>
      <c r="E89" s="464"/>
      <c r="F89" s="464"/>
      <c r="G89" s="464"/>
      <c r="H89" s="468" t="s">
        <v>1564</v>
      </c>
      <c r="I89" s="480"/>
      <c r="J89" s="480"/>
      <c r="K89" s="480"/>
      <c r="L89" s="481"/>
    </row>
    <row r="90" ht="24" customHeight="1" spans="1:12">
      <c r="A90" s="461"/>
      <c r="B90" s="458" t="s">
        <v>1421</v>
      </c>
      <c r="C90" s="459" t="s">
        <v>1565</v>
      </c>
      <c r="D90" s="463"/>
      <c r="E90" s="464"/>
      <c r="F90" s="464"/>
      <c r="G90" s="464"/>
      <c r="H90" s="468" t="s">
        <v>1566</v>
      </c>
      <c r="I90" s="480"/>
      <c r="J90" s="480"/>
      <c r="K90" s="480"/>
      <c r="L90" s="481"/>
    </row>
    <row r="91" ht="24" customHeight="1" spans="1:12">
      <c r="A91" s="462"/>
      <c r="B91" s="458" t="s">
        <v>1421</v>
      </c>
      <c r="C91" s="459" t="s">
        <v>1567</v>
      </c>
      <c r="D91" s="463"/>
      <c r="E91" s="464"/>
      <c r="F91" s="464"/>
      <c r="G91" s="464"/>
      <c r="H91" s="468" t="s">
        <v>1568</v>
      </c>
      <c r="I91" s="480"/>
      <c r="J91" s="480"/>
      <c r="K91" s="480"/>
      <c r="L91" s="481"/>
    </row>
    <row r="92" ht="24" customHeight="1" spans="1:12">
      <c r="A92" s="461" t="s">
        <v>1569</v>
      </c>
      <c r="B92" s="458" t="s">
        <v>1421</v>
      </c>
      <c r="C92" s="459" t="s">
        <v>1570</v>
      </c>
      <c r="D92" s="463"/>
      <c r="E92" s="464"/>
      <c r="F92" s="464"/>
      <c r="G92" s="464"/>
      <c r="H92" s="468" t="s">
        <v>1571</v>
      </c>
      <c r="I92" s="480"/>
      <c r="J92" s="480"/>
      <c r="K92" s="480"/>
      <c r="L92" s="481"/>
    </row>
    <row r="93" ht="24" customHeight="1" spans="1:12">
      <c r="A93" s="461"/>
      <c r="B93" s="458" t="s">
        <v>1421</v>
      </c>
      <c r="C93" s="459" t="s">
        <v>1572</v>
      </c>
      <c r="D93" s="463"/>
      <c r="E93" s="464"/>
      <c r="F93" s="464"/>
      <c r="G93" s="464"/>
      <c r="H93" s="468" t="s">
        <v>1573</v>
      </c>
      <c r="I93" s="480"/>
      <c r="J93" s="480"/>
      <c r="K93" s="480"/>
      <c r="L93" s="481"/>
    </row>
    <row r="94" ht="24" customHeight="1" spans="1:12">
      <c r="A94" s="461"/>
      <c r="B94" s="458" t="s">
        <v>1421</v>
      </c>
      <c r="C94" s="459" t="s">
        <v>1574</v>
      </c>
      <c r="D94" s="463"/>
      <c r="E94" s="464"/>
      <c r="F94" s="464"/>
      <c r="G94" s="464"/>
      <c r="H94" s="468" t="s">
        <v>1556</v>
      </c>
      <c r="I94" s="480"/>
      <c r="J94" s="480"/>
      <c r="K94" s="480"/>
      <c r="L94" s="481"/>
    </row>
    <row r="95" ht="24" customHeight="1" spans="1:12">
      <c r="A95" s="461"/>
      <c r="B95" s="458" t="s">
        <v>1421</v>
      </c>
      <c r="C95" s="459" t="s">
        <v>1575</v>
      </c>
      <c r="D95" s="463"/>
      <c r="E95" s="464"/>
      <c r="F95" s="464"/>
      <c r="G95" s="464"/>
      <c r="H95" s="468" t="s">
        <v>1576</v>
      </c>
      <c r="I95" s="480"/>
      <c r="J95" s="480"/>
      <c r="K95" s="480"/>
      <c r="L95" s="481"/>
    </row>
    <row r="96" ht="24" customHeight="1" spans="1:12">
      <c r="A96" s="461"/>
      <c r="B96" s="458" t="s">
        <v>1421</v>
      </c>
      <c r="C96" s="459" t="s">
        <v>1577</v>
      </c>
      <c r="D96" s="463"/>
      <c r="E96" s="464"/>
      <c r="F96" s="464"/>
      <c r="G96" s="464"/>
      <c r="H96" s="468" t="s">
        <v>1578</v>
      </c>
      <c r="I96" s="480"/>
      <c r="J96" s="480"/>
      <c r="K96" s="480"/>
      <c r="L96" s="481"/>
    </row>
    <row r="97" ht="24" customHeight="1" spans="1:12">
      <c r="A97" s="461"/>
      <c r="B97" s="458" t="s">
        <v>1421</v>
      </c>
      <c r="C97" s="459" t="s">
        <v>1579</v>
      </c>
      <c r="D97" s="463"/>
      <c r="E97" s="464"/>
      <c r="F97" s="464"/>
      <c r="G97" s="464"/>
      <c r="H97" s="468" t="s">
        <v>1562</v>
      </c>
      <c r="I97" s="480"/>
      <c r="J97" s="480"/>
      <c r="K97" s="480"/>
      <c r="L97" s="481"/>
    </row>
    <row r="98" ht="24" customHeight="1" spans="1:12">
      <c r="A98" s="461"/>
      <c r="B98" s="458" t="s">
        <v>1421</v>
      </c>
      <c r="C98" s="459" t="s">
        <v>1580</v>
      </c>
      <c r="D98" s="463"/>
      <c r="E98" s="464"/>
      <c r="F98" s="464"/>
      <c r="G98" s="464"/>
      <c r="H98" s="468" t="s">
        <v>1581</v>
      </c>
      <c r="I98" s="480"/>
      <c r="J98" s="480"/>
      <c r="K98" s="480"/>
      <c r="L98" s="481"/>
    </row>
    <row r="99" ht="24" customHeight="1" spans="1:12">
      <c r="A99" s="462"/>
      <c r="B99" s="458" t="s">
        <v>1421</v>
      </c>
      <c r="C99" s="459" t="s">
        <v>1582</v>
      </c>
      <c r="D99" s="463"/>
      <c r="E99" s="464"/>
      <c r="F99" s="464"/>
      <c r="G99" s="464"/>
      <c r="H99" s="468" t="s">
        <v>1583</v>
      </c>
      <c r="I99" s="480"/>
      <c r="J99" s="480"/>
      <c r="K99" s="480"/>
      <c r="L99" s="481"/>
    </row>
    <row r="100" ht="24" customHeight="1" spans="1:12">
      <c r="A100" s="461" t="s">
        <v>1584</v>
      </c>
      <c r="B100" s="458" t="s">
        <v>1421</v>
      </c>
      <c r="C100" s="459" t="s">
        <v>1585</v>
      </c>
      <c r="D100" s="463"/>
      <c r="E100" s="464"/>
      <c r="F100" s="464"/>
      <c r="G100" s="464"/>
      <c r="H100" s="468" t="s">
        <v>1571</v>
      </c>
      <c r="I100" s="480"/>
      <c r="J100" s="480"/>
      <c r="K100" s="480"/>
      <c r="L100" s="481"/>
    </row>
    <row r="101" ht="24" customHeight="1" spans="1:12">
      <c r="A101" s="461"/>
      <c r="B101" s="458" t="s">
        <v>1421</v>
      </c>
      <c r="C101" s="459" t="s">
        <v>1586</v>
      </c>
      <c r="D101" s="463"/>
      <c r="E101" s="464"/>
      <c r="F101" s="464"/>
      <c r="G101" s="464"/>
      <c r="H101" s="468" t="s">
        <v>1556</v>
      </c>
      <c r="I101" s="480"/>
      <c r="J101" s="480"/>
      <c r="K101" s="480"/>
      <c r="L101" s="481"/>
    </row>
    <row r="102" ht="24" customHeight="1" spans="1:12">
      <c r="A102" s="461"/>
      <c r="B102" s="458" t="s">
        <v>1421</v>
      </c>
      <c r="C102" s="459" t="s">
        <v>1587</v>
      </c>
      <c r="D102" s="463"/>
      <c r="E102" s="464"/>
      <c r="F102" s="464"/>
      <c r="G102" s="464"/>
      <c r="H102" s="468" t="s">
        <v>1588</v>
      </c>
      <c r="I102" s="480"/>
      <c r="J102" s="480"/>
      <c r="K102" s="480"/>
      <c r="L102" s="481"/>
    </row>
    <row r="103" ht="24" customHeight="1" spans="1:12">
      <c r="A103" s="461"/>
      <c r="B103" s="458" t="s">
        <v>1421</v>
      </c>
      <c r="C103" s="459" t="s">
        <v>1589</v>
      </c>
      <c r="D103" s="463"/>
      <c r="E103" s="464"/>
      <c r="F103" s="464"/>
      <c r="G103" s="464"/>
      <c r="H103" s="468" t="s">
        <v>1590</v>
      </c>
      <c r="I103" s="480"/>
      <c r="J103" s="480"/>
      <c r="K103" s="480"/>
      <c r="L103" s="481"/>
    </row>
    <row r="104" ht="24" customHeight="1" spans="1:12">
      <c r="A104" s="461"/>
      <c r="B104" s="458" t="s">
        <v>1421</v>
      </c>
      <c r="C104" s="459" t="s">
        <v>1591</v>
      </c>
      <c r="D104" s="463"/>
      <c r="E104" s="464"/>
      <c r="F104" s="464"/>
      <c r="G104" s="464"/>
      <c r="H104" s="468" t="s">
        <v>1592</v>
      </c>
      <c r="I104" s="480"/>
      <c r="J104" s="480"/>
      <c r="K104" s="480"/>
      <c r="L104" s="481"/>
    </row>
    <row r="105" ht="24" customHeight="1" spans="1:12">
      <c r="A105" s="461"/>
      <c r="B105" s="458" t="s">
        <v>1421</v>
      </c>
      <c r="C105" s="459" t="s">
        <v>1579</v>
      </c>
      <c r="D105" s="463"/>
      <c r="E105" s="464"/>
      <c r="F105" s="464"/>
      <c r="G105" s="464"/>
      <c r="H105" s="468" t="s">
        <v>1562</v>
      </c>
      <c r="I105" s="480"/>
      <c r="J105" s="480"/>
      <c r="K105" s="480"/>
      <c r="L105" s="481"/>
    </row>
    <row r="106" ht="24" customHeight="1" spans="1:12">
      <c r="A106" s="461"/>
      <c r="B106" s="458" t="s">
        <v>1421</v>
      </c>
      <c r="C106" s="459" t="s">
        <v>1593</v>
      </c>
      <c r="D106" s="463"/>
      <c r="E106" s="464"/>
      <c r="F106" s="464"/>
      <c r="G106" s="464"/>
      <c r="H106" s="468" t="s">
        <v>1594</v>
      </c>
      <c r="I106" s="480"/>
      <c r="J106" s="480"/>
      <c r="K106" s="480"/>
      <c r="L106" s="481"/>
    </row>
    <row r="107" ht="24" customHeight="1" spans="1:12">
      <c r="A107" s="462"/>
      <c r="B107" s="458" t="s">
        <v>1421</v>
      </c>
      <c r="C107" s="459" t="s">
        <v>1595</v>
      </c>
      <c r="D107" s="463"/>
      <c r="E107" s="464"/>
      <c r="F107" s="464"/>
      <c r="G107" s="464"/>
      <c r="H107" s="468" t="s">
        <v>1583</v>
      </c>
      <c r="I107" s="480"/>
      <c r="J107" s="480"/>
      <c r="K107" s="480"/>
      <c r="L107" s="481"/>
    </row>
    <row r="108" ht="24" customHeight="1" spans="1:12">
      <c r="A108" s="461" t="s">
        <v>1596</v>
      </c>
      <c r="B108" s="458" t="s">
        <v>1421</v>
      </c>
      <c r="C108" s="459" t="s">
        <v>1597</v>
      </c>
      <c r="D108" s="463"/>
      <c r="E108" s="464"/>
      <c r="F108" s="464"/>
      <c r="G108" s="464"/>
      <c r="H108" s="468" t="s">
        <v>1598</v>
      </c>
      <c r="I108" s="480"/>
      <c r="J108" s="480"/>
      <c r="K108" s="480"/>
      <c r="L108" s="481"/>
    </row>
    <row r="109" ht="24" customHeight="1" spans="1:12">
      <c r="A109" s="461"/>
      <c r="B109" s="458" t="s">
        <v>1421</v>
      </c>
      <c r="C109" s="459" t="s">
        <v>1599</v>
      </c>
      <c r="D109" s="463"/>
      <c r="E109" s="464"/>
      <c r="F109" s="464"/>
      <c r="G109" s="464"/>
      <c r="H109" s="468" t="s">
        <v>1600</v>
      </c>
      <c r="I109" s="480"/>
      <c r="J109" s="480"/>
      <c r="K109" s="480"/>
      <c r="L109" s="481"/>
    </row>
    <row r="110" ht="24" customHeight="1" spans="1:12">
      <c r="A110" s="462"/>
      <c r="B110" s="458" t="s">
        <v>1421</v>
      </c>
      <c r="C110" s="459" t="s">
        <v>1601</v>
      </c>
      <c r="D110" s="463"/>
      <c r="E110" s="464"/>
      <c r="F110" s="464"/>
      <c r="G110" s="464"/>
      <c r="H110" s="468" t="s">
        <v>1602</v>
      </c>
      <c r="I110" s="480"/>
      <c r="J110" s="480"/>
      <c r="K110" s="480"/>
      <c r="L110" s="481"/>
    </row>
    <row r="111" ht="24" customHeight="1" spans="1:12">
      <c r="A111" s="461" t="s">
        <v>1603</v>
      </c>
      <c r="B111" s="458" t="s">
        <v>1421</v>
      </c>
      <c r="C111" s="459" t="s">
        <v>1604</v>
      </c>
      <c r="D111" s="463"/>
      <c r="E111" s="464"/>
      <c r="F111" s="464"/>
      <c r="G111" s="464"/>
      <c r="H111" s="468" t="s">
        <v>1605</v>
      </c>
      <c r="I111" s="480"/>
      <c r="J111" s="480"/>
      <c r="K111" s="480"/>
      <c r="L111" s="481"/>
    </row>
    <row r="112" ht="24" customHeight="1" spans="1:12">
      <c r="A112" s="461"/>
      <c r="B112" s="458" t="s">
        <v>1421</v>
      </c>
      <c r="C112" s="459" t="s">
        <v>1606</v>
      </c>
      <c r="D112" s="463"/>
      <c r="E112" s="464"/>
      <c r="F112" s="464"/>
      <c r="G112" s="464"/>
      <c r="H112" s="468" t="s">
        <v>1607</v>
      </c>
      <c r="I112" s="480"/>
      <c r="J112" s="480"/>
      <c r="K112" s="480"/>
      <c r="L112" s="481"/>
    </row>
    <row r="113" ht="31.05" customHeight="1" spans="1:12">
      <c r="A113" s="462"/>
      <c r="B113" s="458" t="s">
        <v>1421</v>
      </c>
      <c r="C113" s="482" t="s">
        <v>1608</v>
      </c>
      <c r="D113" s="483"/>
      <c r="E113" s="484"/>
      <c r="F113" s="485"/>
      <c r="G113" s="485"/>
      <c r="H113" s="468" t="s">
        <v>1609</v>
      </c>
      <c r="I113" s="480"/>
      <c r="J113" s="480"/>
      <c r="K113" s="480"/>
      <c r="L113" s="481"/>
    </row>
    <row r="114" ht="31.05" customHeight="1" spans="1:12">
      <c r="A114" s="469" t="s">
        <v>1610</v>
      </c>
      <c r="B114" s="458" t="s">
        <v>1421</v>
      </c>
      <c r="C114" s="482" t="s">
        <v>1611</v>
      </c>
      <c r="D114" s="483"/>
      <c r="E114" s="484"/>
      <c r="F114" s="485"/>
      <c r="G114" s="485"/>
      <c r="H114" s="468" t="s">
        <v>1612</v>
      </c>
      <c r="I114" s="480"/>
      <c r="J114" s="480"/>
      <c r="K114" s="480"/>
      <c r="L114" s="481"/>
    </row>
    <row r="115" ht="24" customHeight="1" spans="1:12">
      <c r="A115" s="469"/>
      <c r="B115" s="458" t="s">
        <v>1421</v>
      </c>
      <c r="C115" s="482" t="s">
        <v>1613</v>
      </c>
      <c r="D115" s="483"/>
      <c r="E115" s="484"/>
      <c r="F115" s="485"/>
      <c r="G115" s="482"/>
      <c r="H115" s="468" t="s">
        <v>1614</v>
      </c>
      <c r="I115" s="480"/>
      <c r="J115" s="480"/>
      <c r="K115" s="480"/>
      <c r="L115" s="481"/>
    </row>
    <row r="116" ht="33" customHeight="1" spans="1:12">
      <c r="A116" s="470"/>
      <c r="B116" s="458" t="s">
        <v>1421</v>
      </c>
      <c r="C116" s="482" t="s">
        <v>1615</v>
      </c>
      <c r="D116" s="483"/>
      <c r="E116" s="484"/>
      <c r="F116" s="485"/>
      <c r="G116" s="482"/>
      <c r="H116" s="468" t="s">
        <v>1616</v>
      </c>
      <c r="I116" s="480"/>
      <c r="J116" s="480"/>
      <c r="K116" s="480"/>
      <c r="L116" s="481"/>
    </row>
    <row r="117" ht="24" customHeight="1" spans="1:12">
      <c r="A117" s="455" t="s">
        <v>1617</v>
      </c>
      <c r="B117" s="456"/>
      <c r="C117" s="456"/>
      <c r="D117" s="456"/>
      <c r="E117" s="456"/>
      <c r="F117" s="456"/>
      <c r="G117" s="456"/>
      <c r="H117" s="466" t="s">
        <v>232</v>
      </c>
      <c r="I117" s="478"/>
      <c r="J117" s="478"/>
      <c r="K117" s="478"/>
      <c r="L117" s="479"/>
    </row>
    <row r="118" ht="24" customHeight="1" spans="1:12">
      <c r="A118" s="457" t="s">
        <v>1618</v>
      </c>
      <c r="B118" s="458" t="s">
        <v>1421</v>
      </c>
      <c r="C118" s="459" t="s">
        <v>1619</v>
      </c>
      <c r="D118" s="460" t="s">
        <v>670</v>
      </c>
      <c r="E118" s="458" t="s">
        <v>670</v>
      </c>
      <c r="F118" s="458" t="s">
        <v>670</v>
      </c>
      <c r="G118" s="458" t="s">
        <v>670</v>
      </c>
      <c r="H118" s="468" t="s">
        <v>1620</v>
      </c>
      <c r="I118" s="480"/>
      <c r="J118" s="480"/>
      <c r="K118" s="480"/>
      <c r="L118" s="481"/>
    </row>
    <row r="119" ht="24" customHeight="1" spans="1:12">
      <c r="A119" s="461"/>
      <c r="B119" s="458" t="s">
        <v>1421</v>
      </c>
      <c r="C119" s="459" t="s">
        <v>1621</v>
      </c>
      <c r="D119" s="463"/>
      <c r="E119" s="464"/>
      <c r="F119" s="464"/>
      <c r="G119" s="464"/>
      <c r="H119" s="468" t="s">
        <v>1622</v>
      </c>
      <c r="I119" s="480"/>
      <c r="J119" s="480"/>
      <c r="K119" s="480"/>
      <c r="L119" s="481"/>
    </row>
    <row r="120" ht="24" customHeight="1" spans="1:12">
      <c r="A120" s="461"/>
      <c r="B120" s="458" t="s">
        <v>1421</v>
      </c>
      <c r="C120" s="459" t="s">
        <v>1623</v>
      </c>
      <c r="D120" s="463"/>
      <c r="E120" s="464"/>
      <c r="F120" s="464"/>
      <c r="G120" s="464"/>
      <c r="H120" s="468"/>
      <c r="I120" s="480"/>
      <c r="J120" s="480"/>
      <c r="K120" s="480"/>
      <c r="L120" s="481"/>
    </row>
    <row r="121" ht="24" customHeight="1" spans="1:12">
      <c r="A121" s="461"/>
      <c r="B121" s="458" t="s">
        <v>1421</v>
      </c>
      <c r="C121" s="459" t="s">
        <v>1624</v>
      </c>
      <c r="D121" s="463"/>
      <c r="E121" s="464"/>
      <c r="F121" s="464"/>
      <c r="G121" s="464"/>
      <c r="H121" s="468"/>
      <c r="I121" s="480"/>
      <c r="J121" s="480"/>
      <c r="K121" s="480"/>
      <c r="L121" s="481"/>
    </row>
    <row r="122" ht="24" customHeight="1" spans="1:12">
      <c r="A122" s="462"/>
      <c r="B122" s="458" t="s">
        <v>1421</v>
      </c>
      <c r="C122" s="459" t="s">
        <v>1625</v>
      </c>
      <c r="D122" s="463"/>
      <c r="E122" s="464"/>
      <c r="F122" s="464"/>
      <c r="G122" s="464"/>
      <c r="H122" s="468"/>
      <c r="I122" s="480"/>
      <c r="J122" s="480"/>
      <c r="K122" s="480"/>
      <c r="L122" s="481"/>
    </row>
    <row r="123" ht="24" customHeight="1" spans="1:12">
      <c r="A123" s="461" t="s">
        <v>1626</v>
      </c>
      <c r="B123" s="458" t="s">
        <v>1421</v>
      </c>
      <c r="C123" s="459" t="s">
        <v>1627</v>
      </c>
      <c r="D123" s="463"/>
      <c r="E123" s="464"/>
      <c r="F123" s="464"/>
      <c r="G123" s="464"/>
      <c r="H123" s="468"/>
      <c r="I123" s="480"/>
      <c r="J123" s="480"/>
      <c r="K123" s="480"/>
      <c r="L123" s="481"/>
    </row>
    <row r="124" ht="24" customHeight="1" spans="1:12">
      <c r="A124" s="461"/>
      <c r="B124" s="458" t="s">
        <v>1421</v>
      </c>
      <c r="C124" s="459" t="s">
        <v>1628</v>
      </c>
      <c r="D124" s="463"/>
      <c r="E124" s="464"/>
      <c r="F124" s="464"/>
      <c r="G124" s="464"/>
      <c r="H124" s="468"/>
      <c r="I124" s="480"/>
      <c r="J124" s="480"/>
      <c r="K124" s="480"/>
      <c r="L124" s="481"/>
    </row>
    <row r="125" ht="24" customHeight="1" spans="1:12">
      <c r="A125" s="462"/>
      <c r="B125" s="458" t="s">
        <v>1421</v>
      </c>
      <c r="C125" s="459" t="s">
        <v>1629</v>
      </c>
      <c r="D125" s="463"/>
      <c r="E125" s="464"/>
      <c r="F125" s="464"/>
      <c r="G125" s="464"/>
      <c r="H125" s="468" t="s">
        <v>1630</v>
      </c>
      <c r="I125" s="480"/>
      <c r="J125" s="480"/>
      <c r="K125" s="480"/>
      <c r="L125" s="481"/>
    </row>
    <row r="126" ht="24" customHeight="1" spans="1:12">
      <c r="A126" s="469" t="s">
        <v>1631</v>
      </c>
      <c r="B126" s="458" t="s">
        <v>1421</v>
      </c>
      <c r="C126" s="459" t="s">
        <v>1632</v>
      </c>
      <c r="D126" s="463"/>
      <c r="E126" s="464"/>
      <c r="F126" s="464"/>
      <c r="G126" s="464"/>
      <c r="H126" s="468"/>
      <c r="I126" s="480"/>
      <c r="J126" s="480"/>
      <c r="K126" s="480"/>
      <c r="L126" s="481"/>
    </row>
    <row r="127" ht="24" customHeight="1" spans="1:12">
      <c r="A127" s="469"/>
      <c r="B127" s="458" t="s">
        <v>1421</v>
      </c>
      <c r="C127" s="459" t="s">
        <v>1633</v>
      </c>
      <c r="D127" s="463"/>
      <c r="E127" s="464"/>
      <c r="F127" s="464"/>
      <c r="G127" s="464"/>
      <c r="H127" s="468"/>
      <c r="I127" s="480"/>
      <c r="J127" s="480"/>
      <c r="K127" s="480"/>
      <c r="L127" s="481"/>
    </row>
    <row r="128" ht="24" customHeight="1" spans="1:12">
      <c r="A128" s="469"/>
      <c r="B128" s="458" t="s">
        <v>1421</v>
      </c>
      <c r="C128" s="482" t="s">
        <v>1634</v>
      </c>
      <c r="D128" s="483"/>
      <c r="E128" s="484"/>
      <c r="F128" s="485"/>
      <c r="G128" s="485"/>
      <c r="H128" s="468"/>
      <c r="I128" s="480"/>
      <c r="J128" s="480"/>
      <c r="K128" s="480"/>
      <c r="L128" s="481"/>
    </row>
    <row r="129" ht="30" customHeight="1" spans="1:12">
      <c r="A129" s="470"/>
      <c r="B129" s="458" t="s">
        <v>1421</v>
      </c>
      <c r="C129" s="482" t="s">
        <v>1635</v>
      </c>
      <c r="D129" s="483"/>
      <c r="E129" s="484"/>
      <c r="F129" s="485"/>
      <c r="G129" s="485"/>
      <c r="H129" s="468"/>
      <c r="I129" s="480"/>
      <c r="J129" s="480"/>
      <c r="K129" s="480"/>
      <c r="L129" s="481"/>
    </row>
    <row r="130" ht="28.95" customHeight="1" spans="1:12">
      <c r="A130" s="486" t="s">
        <v>1636</v>
      </c>
      <c r="B130" s="458" t="s">
        <v>1421</v>
      </c>
      <c r="C130" s="482" t="s">
        <v>1637</v>
      </c>
      <c r="D130" s="483"/>
      <c r="E130" s="484"/>
      <c r="F130" s="485"/>
      <c r="G130" s="485"/>
      <c r="H130" s="468"/>
      <c r="I130" s="480"/>
      <c r="J130" s="480"/>
      <c r="K130" s="480"/>
      <c r="L130" s="481"/>
    </row>
    <row r="131" ht="24" customHeight="1" spans="1:12">
      <c r="A131" s="455" t="s">
        <v>1638</v>
      </c>
      <c r="B131" s="456"/>
      <c r="C131" s="456"/>
      <c r="D131" s="456"/>
      <c r="E131" s="456"/>
      <c r="F131" s="456"/>
      <c r="G131" s="456"/>
      <c r="H131" s="466" t="s">
        <v>232</v>
      </c>
      <c r="I131" s="478"/>
      <c r="J131" s="478"/>
      <c r="K131" s="478"/>
      <c r="L131" s="479"/>
    </row>
    <row r="132" ht="24" customHeight="1" spans="1:12">
      <c r="A132" s="457" t="s">
        <v>1354</v>
      </c>
      <c r="B132" s="458" t="s">
        <v>1421</v>
      </c>
      <c r="C132" s="459" t="s">
        <v>1639</v>
      </c>
      <c r="D132" s="460" t="s">
        <v>670</v>
      </c>
      <c r="E132" s="458" t="s">
        <v>670</v>
      </c>
      <c r="F132" s="458" t="s">
        <v>670</v>
      </c>
      <c r="G132" s="458" t="s">
        <v>670</v>
      </c>
      <c r="H132" s="468" t="s">
        <v>1640</v>
      </c>
      <c r="I132" s="480"/>
      <c r="J132" s="480"/>
      <c r="K132" s="480"/>
      <c r="L132" s="481"/>
    </row>
    <row r="133" ht="24" customHeight="1" spans="1:12">
      <c r="A133" s="461"/>
      <c r="B133" s="458" t="s">
        <v>1421</v>
      </c>
      <c r="C133" s="459" t="s">
        <v>1641</v>
      </c>
      <c r="D133" s="463"/>
      <c r="E133" s="464"/>
      <c r="F133" s="464"/>
      <c r="G133" s="464"/>
      <c r="H133" s="468" t="s">
        <v>1642</v>
      </c>
      <c r="I133" s="480"/>
      <c r="J133" s="480"/>
      <c r="K133" s="480"/>
      <c r="L133" s="481"/>
    </row>
    <row r="134" ht="24" customHeight="1" spans="1:12">
      <c r="A134" s="461"/>
      <c r="B134" s="458" t="s">
        <v>1421</v>
      </c>
      <c r="C134" s="459" t="s">
        <v>1643</v>
      </c>
      <c r="D134" s="463"/>
      <c r="E134" s="464"/>
      <c r="F134" s="464"/>
      <c r="G134" s="464"/>
      <c r="H134" s="468" t="s">
        <v>1644</v>
      </c>
      <c r="I134" s="480"/>
      <c r="J134" s="480"/>
      <c r="K134" s="480"/>
      <c r="L134" s="481"/>
    </row>
    <row r="135" ht="37.05" customHeight="1" spans="1:12">
      <c r="A135" s="461"/>
      <c r="B135" s="458" t="s">
        <v>1421</v>
      </c>
      <c r="C135" s="459" t="s">
        <v>1645</v>
      </c>
      <c r="D135" s="463"/>
      <c r="E135" s="464"/>
      <c r="F135" s="464"/>
      <c r="G135" s="464"/>
      <c r="H135" s="468" t="s">
        <v>1646</v>
      </c>
      <c r="I135" s="480"/>
      <c r="J135" s="480"/>
      <c r="K135" s="480"/>
      <c r="L135" s="481"/>
    </row>
    <row r="136" ht="24" customHeight="1" spans="1:12">
      <c r="A136" s="462"/>
      <c r="B136" s="458" t="s">
        <v>1421</v>
      </c>
      <c r="C136" s="459" t="s">
        <v>1647</v>
      </c>
      <c r="D136" s="463"/>
      <c r="E136" s="464"/>
      <c r="F136" s="464"/>
      <c r="G136" s="464"/>
      <c r="H136" s="468" t="s">
        <v>1648</v>
      </c>
      <c r="I136" s="480"/>
      <c r="J136" s="480"/>
      <c r="K136" s="480"/>
      <c r="L136" s="481"/>
    </row>
    <row r="137" ht="24" customHeight="1" spans="1:12">
      <c r="A137" s="461" t="s">
        <v>1649</v>
      </c>
      <c r="B137" s="458" t="s">
        <v>1421</v>
      </c>
      <c r="C137" s="459" t="s">
        <v>1650</v>
      </c>
      <c r="D137" s="463"/>
      <c r="E137" s="464"/>
      <c r="F137" s="464"/>
      <c r="G137" s="464"/>
      <c r="H137" s="468" t="s">
        <v>1651</v>
      </c>
      <c r="I137" s="480"/>
      <c r="J137" s="480"/>
      <c r="K137" s="480"/>
      <c r="L137" s="481"/>
    </row>
    <row r="138" ht="24" customHeight="1" spans="1:12">
      <c r="A138" s="461"/>
      <c r="B138" s="458" t="s">
        <v>1421</v>
      </c>
      <c r="C138" s="459" t="s">
        <v>1652</v>
      </c>
      <c r="D138" s="463"/>
      <c r="E138" s="464"/>
      <c r="F138" s="464"/>
      <c r="G138" s="464"/>
      <c r="H138" s="468" t="s">
        <v>1651</v>
      </c>
      <c r="I138" s="480"/>
      <c r="J138" s="480"/>
      <c r="K138" s="480"/>
      <c r="L138" s="481"/>
    </row>
    <row r="139" ht="39" customHeight="1" spans="1:12">
      <c r="A139" s="462"/>
      <c r="B139" s="458" t="s">
        <v>1421</v>
      </c>
      <c r="C139" s="459" t="s">
        <v>1653</v>
      </c>
      <c r="D139" s="463"/>
      <c r="E139" s="464"/>
      <c r="F139" s="464"/>
      <c r="G139" s="464"/>
      <c r="H139" s="468" t="s">
        <v>1651</v>
      </c>
      <c r="I139" s="480"/>
      <c r="J139" s="480"/>
      <c r="K139" s="480"/>
      <c r="L139" s="481"/>
    </row>
    <row r="140" ht="28.95" customHeight="1" spans="1:12">
      <c r="A140" s="461" t="s">
        <v>1654</v>
      </c>
      <c r="B140" s="458" t="s">
        <v>1421</v>
      </c>
      <c r="C140" s="459" t="s">
        <v>1655</v>
      </c>
      <c r="D140" s="463"/>
      <c r="E140" s="464"/>
      <c r="F140" s="464"/>
      <c r="G140" s="464"/>
      <c r="H140" s="468" t="s">
        <v>1656</v>
      </c>
      <c r="I140" s="480"/>
      <c r="J140" s="480"/>
      <c r="K140" s="480"/>
      <c r="L140" s="481"/>
    </row>
    <row r="141" ht="24" customHeight="1" spans="1:12">
      <c r="A141" s="461"/>
      <c r="B141" s="458" t="s">
        <v>1421</v>
      </c>
      <c r="C141" s="459" t="s">
        <v>1657</v>
      </c>
      <c r="D141" s="463"/>
      <c r="E141" s="464"/>
      <c r="F141" s="464"/>
      <c r="G141" s="464"/>
      <c r="H141" s="468" t="s">
        <v>1658</v>
      </c>
      <c r="I141" s="480"/>
      <c r="J141" s="480"/>
      <c r="K141" s="480"/>
      <c r="L141" s="481"/>
    </row>
    <row r="142" ht="24" customHeight="1" spans="1:12">
      <c r="A142" s="461"/>
      <c r="B142" s="458" t="s">
        <v>1421</v>
      </c>
      <c r="C142" s="459" t="s">
        <v>1659</v>
      </c>
      <c r="D142" s="463"/>
      <c r="E142" s="464"/>
      <c r="F142" s="464"/>
      <c r="G142" s="464"/>
      <c r="H142" s="468" t="s">
        <v>1660</v>
      </c>
      <c r="I142" s="480"/>
      <c r="J142" s="480"/>
      <c r="K142" s="480"/>
      <c r="L142" s="481"/>
    </row>
    <row r="143" ht="24" customHeight="1" spans="1:12">
      <c r="A143" s="457" t="s">
        <v>1661</v>
      </c>
      <c r="B143" s="458" t="s">
        <v>1421</v>
      </c>
      <c r="C143" s="459" t="s">
        <v>1662</v>
      </c>
      <c r="D143" s="463"/>
      <c r="E143" s="464"/>
      <c r="F143" s="464"/>
      <c r="G143" s="464"/>
      <c r="H143" s="468"/>
      <c r="I143" s="480"/>
      <c r="J143" s="480"/>
      <c r="K143" s="480"/>
      <c r="L143" s="481"/>
    </row>
    <row r="144" ht="24" customHeight="1" spans="1:12">
      <c r="A144" s="461"/>
      <c r="B144" s="458" t="s">
        <v>1421</v>
      </c>
      <c r="C144" s="459" t="s">
        <v>1663</v>
      </c>
      <c r="D144" s="463"/>
      <c r="E144" s="464"/>
      <c r="F144" s="464"/>
      <c r="G144" s="464"/>
      <c r="H144" s="468"/>
      <c r="I144" s="480"/>
      <c r="J144" s="480"/>
      <c r="K144" s="480"/>
      <c r="L144" s="481"/>
    </row>
    <row r="145" ht="24" customHeight="1" spans="1:12">
      <c r="A145" s="461"/>
      <c r="B145" s="458" t="s">
        <v>1421</v>
      </c>
      <c r="C145" s="459" t="s">
        <v>1664</v>
      </c>
      <c r="D145" s="463"/>
      <c r="E145" s="464"/>
      <c r="F145" s="464"/>
      <c r="G145" s="464"/>
      <c r="H145" s="468"/>
      <c r="I145" s="480"/>
      <c r="J145" s="480"/>
      <c r="K145" s="480"/>
      <c r="L145" s="481"/>
    </row>
    <row r="146" ht="24" customHeight="1" spans="1:12">
      <c r="A146" s="461"/>
      <c r="B146" s="458" t="s">
        <v>1421</v>
      </c>
      <c r="C146" s="459" t="s">
        <v>1665</v>
      </c>
      <c r="D146" s="463"/>
      <c r="E146" s="464"/>
      <c r="F146" s="464"/>
      <c r="G146" s="464"/>
      <c r="H146" s="468"/>
      <c r="I146" s="480"/>
      <c r="J146" s="480"/>
      <c r="K146" s="480"/>
      <c r="L146" s="481"/>
    </row>
    <row r="147" ht="27" customHeight="1" spans="1:12">
      <c r="A147" s="461"/>
      <c r="B147" s="458" t="s">
        <v>1421</v>
      </c>
      <c r="C147" s="459" t="s">
        <v>1666</v>
      </c>
      <c r="D147" s="463"/>
      <c r="E147" s="464"/>
      <c r="F147" s="464"/>
      <c r="G147" s="464"/>
      <c r="H147" s="468"/>
      <c r="I147" s="480"/>
      <c r="J147" s="480"/>
      <c r="K147" s="480"/>
      <c r="L147" s="481"/>
    </row>
    <row r="148" ht="24" customHeight="1" spans="1:12">
      <c r="A148" s="462"/>
      <c r="B148" s="458" t="s">
        <v>1421</v>
      </c>
      <c r="C148" s="459" t="s">
        <v>1667</v>
      </c>
      <c r="D148" s="463"/>
      <c r="E148" s="464"/>
      <c r="F148" s="464"/>
      <c r="G148" s="464"/>
      <c r="H148" s="468"/>
      <c r="I148" s="480"/>
      <c r="J148" s="480"/>
      <c r="K148" s="480"/>
      <c r="L148" s="481"/>
    </row>
    <row r="149" ht="70.05" customHeight="1" spans="1:12">
      <c r="A149" s="486" t="s">
        <v>1668</v>
      </c>
      <c r="B149" s="458" t="s">
        <v>1421</v>
      </c>
      <c r="C149" s="482" t="s">
        <v>1669</v>
      </c>
      <c r="D149" s="483"/>
      <c r="E149" s="484"/>
      <c r="F149" s="485"/>
      <c r="G149" s="485"/>
      <c r="H149" s="468" t="s">
        <v>1670</v>
      </c>
      <c r="I149" s="480"/>
      <c r="J149" s="480"/>
      <c r="K149" s="480"/>
      <c r="L149" s="481"/>
    </row>
    <row r="150" ht="28.05" customHeight="1" spans="1:12">
      <c r="A150" s="487" t="s">
        <v>1671</v>
      </c>
      <c r="B150" s="488"/>
      <c r="C150" s="488"/>
      <c r="D150" s="488"/>
      <c r="E150" s="488"/>
      <c r="F150" s="488"/>
      <c r="G150" s="488"/>
      <c r="H150" s="466" t="s">
        <v>232</v>
      </c>
      <c r="I150" s="478"/>
      <c r="J150" s="478"/>
      <c r="K150" s="478"/>
      <c r="L150" s="479"/>
    </row>
    <row r="151" ht="17.25" spans="1:12">
      <c r="A151" s="489" t="s">
        <v>1672</v>
      </c>
      <c r="B151" s="489" t="s">
        <v>1673</v>
      </c>
      <c r="C151" s="490" t="s">
        <v>1674</v>
      </c>
      <c r="D151" s="491" t="s">
        <v>1675</v>
      </c>
      <c r="E151" s="489" t="s">
        <v>1676</v>
      </c>
      <c r="F151" s="490" t="s">
        <v>258</v>
      </c>
      <c r="G151" s="489" t="s">
        <v>7</v>
      </c>
      <c r="H151" s="492"/>
      <c r="I151" s="504"/>
      <c r="J151" s="504"/>
      <c r="K151" s="504"/>
      <c r="L151" s="505"/>
    </row>
    <row r="152" ht="28.95" customHeight="1" spans="1:12">
      <c r="A152" s="493" t="s">
        <v>1196</v>
      </c>
      <c r="B152" s="458" t="s">
        <v>1421</v>
      </c>
      <c r="C152" s="494" t="s">
        <v>1677</v>
      </c>
      <c r="D152" s="495" t="s">
        <v>260</v>
      </c>
      <c r="E152" s="496" t="s">
        <v>1678</v>
      </c>
      <c r="F152" s="493" t="s">
        <v>260</v>
      </c>
      <c r="G152" s="493" t="s">
        <v>1679</v>
      </c>
      <c r="H152" s="492"/>
      <c r="I152" s="504"/>
      <c r="J152" s="504"/>
      <c r="K152" s="504"/>
      <c r="L152" s="505"/>
    </row>
    <row r="153" ht="18" customHeight="1" spans="1:12">
      <c r="A153" s="493"/>
      <c r="B153" s="458" t="s">
        <v>1421</v>
      </c>
      <c r="C153" s="494" t="s">
        <v>1680</v>
      </c>
      <c r="D153" s="495" t="s">
        <v>260</v>
      </c>
      <c r="E153" s="5" t="s">
        <v>1681</v>
      </c>
      <c r="F153" s="493" t="s">
        <v>260</v>
      </c>
      <c r="G153" s="493" t="s">
        <v>1679</v>
      </c>
      <c r="H153" s="492"/>
      <c r="I153" s="504"/>
      <c r="J153" s="504"/>
      <c r="K153" s="504"/>
      <c r="L153" s="505"/>
    </row>
    <row r="154" ht="22.95" customHeight="1" spans="1:12">
      <c r="A154" s="497" t="s">
        <v>1682</v>
      </c>
      <c r="B154" s="458" t="s">
        <v>1421</v>
      </c>
      <c r="C154" s="5" t="s">
        <v>1683</v>
      </c>
      <c r="D154" s="495" t="s">
        <v>260</v>
      </c>
      <c r="E154" s="498" t="s">
        <v>1684</v>
      </c>
      <c r="F154" s="493" t="s">
        <v>260</v>
      </c>
      <c r="G154" s="493" t="s">
        <v>1679</v>
      </c>
      <c r="H154" s="492"/>
      <c r="I154" s="504"/>
      <c r="J154" s="504"/>
      <c r="K154" s="504"/>
      <c r="L154" s="505"/>
    </row>
    <row r="155" ht="22.95" customHeight="1" spans="1:12">
      <c r="A155" s="497"/>
      <c r="B155" s="458" t="s">
        <v>1421</v>
      </c>
      <c r="C155" s="5" t="s">
        <v>1685</v>
      </c>
      <c r="D155" s="495" t="s">
        <v>260</v>
      </c>
      <c r="E155" s="498" t="s">
        <v>1686</v>
      </c>
      <c r="F155" s="493" t="s">
        <v>260</v>
      </c>
      <c r="G155" s="493" t="s">
        <v>1679</v>
      </c>
      <c r="H155" s="492"/>
      <c r="I155" s="504"/>
      <c r="J155" s="504"/>
      <c r="K155" s="504"/>
      <c r="L155" s="505"/>
    </row>
    <row r="156" ht="22.05" customHeight="1" spans="1:12">
      <c r="A156" s="497"/>
      <c r="B156" s="458" t="s">
        <v>1421</v>
      </c>
      <c r="C156" s="5" t="s">
        <v>1687</v>
      </c>
      <c r="D156" s="495" t="s">
        <v>260</v>
      </c>
      <c r="E156" s="498" t="s">
        <v>1688</v>
      </c>
      <c r="F156" s="493" t="s">
        <v>260</v>
      </c>
      <c r="G156" s="493" t="s">
        <v>1679</v>
      </c>
      <c r="H156" s="492"/>
      <c r="I156" s="504"/>
      <c r="J156" s="504"/>
      <c r="K156" s="504"/>
      <c r="L156" s="505"/>
    </row>
    <row r="157" ht="34.5" spans="1:12">
      <c r="A157" s="497" t="s">
        <v>1367</v>
      </c>
      <c r="B157" s="458" t="s">
        <v>1421</v>
      </c>
      <c r="C157" s="5" t="s">
        <v>1689</v>
      </c>
      <c r="D157" s="495" t="s">
        <v>260</v>
      </c>
      <c r="E157" s="498" t="s">
        <v>1690</v>
      </c>
      <c r="F157" s="493" t="s">
        <v>260</v>
      </c>
      <c r="G157" s="493" t="s">
        <v>1679</v>
      </c>
      <c r="H157" s="492"/>
      <c r="I157" s="504"/>
      <c r="J157" s="504"/>
      <c r="K157" s="504"/>
      <c r="L157" s="505"/>
    </row>
    <row r="158" ht="22.95" customHeight="1" spans="1:12">
      <c r="A158" s="497"/>
      <c r="B158" s="458" t="s">
        <v>1421</v>
      </c>
      <c r="C158" s="498" t="s">
        <v>1691</v>
      </c>
      <c r="D158" s="495" t="s">
        <v>260</v>
      </c>
      <c r="E158" s="498" t="s">
        <v>1692</v>
      </c>
      <c r="F158" s="493" t="s">
        <v>260</v>
      </c>
      <c r="G158" s="493" t="s">
        <v>1679</v>
      </c>
      <c r="H158" s="492"/>
      <c r="I158" s="504"/>
      <c r="J158" s="504"/>
      <c r="K158" s="504"/>
      <c r="L158" s="505"/>
    </row>
    <row r="159" ht="22.05" customHeight="1" spans="1:12">
      <c r="A159" s="497"/>
      <c r="B159" s="458" t="s">
        <v>1421</v>
      </c>
      <c r="C159" s="498" t="s">
        <v>1693</v>
      </c>
      <c r="D159" s="495" t="s">
        <v>260</v>
      </c>
      <c r="E159" s="498" t="s">
        <v>1694</v>
      </c>
      <c r="F159" s="493" t="s">
        <v>260</v>
      </c>
      <c r="G159" s="493" t="s">
        <v>1679</v>
      </c>
      <c r="H159" s="492"/>
      <c r="I159" s="504"/>
      <c r="J159" s="504"/>
      <c r="K159" s="504"/>
      <c r="L159" s="505"/>
    </row>
    <row r="160" ht="25.05" customHeight="1" spans="1:12">
      <c r="A160" s="497" t="s">
        <v>958</v>
      </c>
      <c r="B160" s="458" t="s">
        <v>1421</v>
      </c>
      <c r="C160" s="498" t="s">
        <v>1695</v>
      </c>
      <c r="D160" s="495" t="s">
        <v>260</v>
      </c>
      <c r="E160" s="498" t="s">
        <v>1696</v>
      </c>
      <c r="F160" s="493" t="s">
        <v>260</v>
      </c>
      <c r="G160" s="493" t="s">
        <v>1679</v>
      </c>
      <c r="H160" s="492"/>
      <c r="I160" s="504"/>
      <c r="J160" s="504"/>
      <c r="K160" s="504"/>
      <c r="L160" s="505"/>
    </row>
    <row r="161" ht="34.5" spans="1:12">
      <c r="A161" s="497"/>
      <c r="B161" s="458" t="s">
        <v>1421</v>
      </c>
      <c r="C161" s="5" t="s">
        <v>1697</v>
      </c>
      <c r="D161" s="495" t="s">
        <v>260</v>
      </c>
      <c r="E161" s="498" t="s">
        <v>1698</v>
      </c>
      <c r="F161" s="493" t="s">
        <v>260</v>
      </c>
      <c r="G161" s="493" t="s">
        <v>1679</v>
      </c>
      <c r="H161" s="492"/>
      <c r="I161" s="504"/>
      <c r="J161" s="504"/>
      <c r="K161" s="504"/>
      <c r="L161" s="505"/>
    </row>
    <row r="162" ht="34.5" spans="1:12">
      <c r="A162" s="499" t="s">
        <v>1699</v>
      </c>
      <c r="B162" s="458" t="s">
        <v>1421</v>
      </c>
      <c r="C162" s="5" t="s">
        <v>1700</v>
      </c>
      <c r="D162" s="495" t="s">
        <v>260</v>
      </c>
      <c r="E162" s="498" t="s">
        <v>1701</v>
      </c>
      <c r="F162" s="493" t="s">
        <v>260</v>
      </c>
      <c r="G162" s="493" t="s">
        <v>1679</v>
      </c>
      <c r="H162" s="492"/>
      <c r="I162" s="504"/>
      <c r="J162" s="504"/>
      <c r="K162" s="504"/>
      <c r="L162" s="505"/>
    </row>
    <row r="163" ht="25.95" customHeight="1" spans="1:12">
      <c r="A163" s="499" t="s">
        <v>1702</v>
      </c>
      <c r="B163" s="458" t="s">
        <v>1421</v>
      </c>
      <c r="C163" s="498" t="s">
        <v>1703</v>
      </c>
      <c r="D163" s="495" t="s">
        <v>260</v>
      </c>
      <c r="E163" s="498" t="s">
        <v>1704</v>
      </c>
      <c r="F163" s="493" t="s">
        <v>260</v>
      </c>
      <c r="G163" s="493" t="s">
        <v>1679</v>
      </c>
      <c r="H163" s="492"/>
      <c r="I163" s="504"/>
      <c r="J163" s="504"/>
      <c r="K163" s="504"/>
      <c r="L163" s="505"/>
    </row>
    <row r="164" ht="22.95" customHeight="1" spans="1:12">
      <c r="A164" s="497"/>
      <c r="B164" s="458" t="s">
        <v>1421</v>
      </c>
      <c r="C164" s="498" t="s">
        <v>1705</v>
      </c>
      <c r="D164" s="495" t="s">
        <v>260</v>
      </c>
      <c r="E164" s="498" t="s">
        <v>1694</v>
      </c>
      <c r="F164" s="493" t="s">
        <v>260</v>
      </c>
      <c r="G164" s="493" t="s">
        <v>1679</v>
      </c>
      <c r="H164" s="492"/>
      <c r="I164" s="504"/>
      <c r="J164" s="504"/>
      <c r="K164" s="504"/>
      <c r="L164" s="505"/>
    </row>
    <row r="165" ht="17.25" spans="1:12">
      <c r="A165" s="497" t="s">
        <v>1706</v>
      </c>
      <c r="B165" s="458" t="s">
        <v>1421</v>
      </c>
      <c r="C165" s="498" t="s">
        <v>1707</v>
      </c>
      <c r="D165" s="495" t="s">
        <v>260</v>
      </c>
      <c r="E165" s="498" t="s">
        <v>1708</v>
      </c>
      <c r="F165" s="493" t="s">
        <v>260</v>
      </c>
      <c r="G165" s="493" t="s">
        <v>1679</v>
      </c>
      <c r="H165" s="492"/>
      <c r="I165" s="504"/>
      <c r="J165" s="504"/>
      <c r="K165" s="504"/>
      <c r="L165" s="505"/>
    </row>
    <row r="166" ht="25.05" customHeight="1" spans="1:12">
      <c r="A166" s="497"/>
      <c r="B166" s="458" t="s">
        <v>1421</v>
      </c>
      <c r="C166" s="498" t="s">
        <v>1709</v>
      </c>
      <c r="D166" s="495" t="s">
        <v>260</v>
      </c>
      <c r="E166" s="498" t="s">
        <v>1710</v>
      </c>
      <c r="F166" s="493" t="s">
        <v>260</v>
      </c>
      <c r="G166" s="493" t="s">
        <v>1679</v>
      </c>
      <c r="H166" s="492"/>
      <c r="I166" s="504"/>
      <c r="J166" s="504"/>
      <c r="K166" s="504"/>
      <c r="L166" s="505"/>
    </row>
    <row r="167" ht="25.05" customHeight="1" spans="1:12">
      <c r="A167" s="497"/>
      <c r="B167" s="458" t="s">
        <v>1421</v>
      </c>
      <c r="C167" s="498" t="s">
        <v>1711</v>
      </c>
      <c r="D167" s="495" t="s">
        <v>260</v>
      </c>
      <c r="E167" s="498"/>
      <c r="F167" s="493" t="s">
        <v>260</v>
      </c>
      <c r="G167" s="493" t="s">
        <v>1679</v>
      </c>
      <c r="H167" s="492"/>
      <c r="I167" s="504"/>
      <c r="J167" s="504"/>
      <c r="K167" s="504"/>
      <c r="L167" s="505"/>
    </row>
    <row r="168" ht="27" customHeight="1" spans="1:12">
      <c r="A168" s="497"/>
      <c r="B168" s="458" t="s">
        <v>1421</v>
      </c>
      <c r="C168" s="498" t="s">
        <v>1712</v>
      </c>
      <c r="D168" s="495" t="s">
        <v>260</v>
      </c>
      <c r="E168" s="498"/>
      <c r="F168" s="493" t="s">
        <v>260</v>
      </c>
      <c r="G168" s="493" t="s">
        <v>1679</v>
      </c>
      <c r="H168" s="492"/>
      <c r="I168" s="504"/>
      <c r="J168" s="504"/>
      <c r="K168" s="504"/>
      <c r="L168" s="505"/>
    </row>
    <row r="169" ht="17.25" spans="1:12">
      <c r="A169" s="497" t="s">
        <v>1713</v>
      </c>
      <c r="B169" s="458" t="s">
        <v>1421</v>
      </c>
      <c r="C169" s="5" t="s">
        <v>1714</v>
      </c>
      <c r="D169" s="495" t="s">
        <v>260</v>
      </c>
      <c r="E169" s="498" t="s">
        <v>1715</v>
      </c>
      <c r="F169" s="493" t="s">
        <v>260</v>
      </c>
      <c r="G169" s="493" t="s">
        <v>1679</v>
      </c>
      <c r="H169" s="492"/>
      <c r="I169" s="504"/>
      <c r="J169" s="504"/>
      <c r="K169" s="504"/>
      <c r="L169" s="505"/>
    </row>
    <row r="170" spans="1:7">
      <c r="A170" s="500"/>
      <c r="B170" s="500"/>
      <c r="C170" s="500"/>
      <c r="D170" s="500"/>
      <c r="E170" s="501"/>
      <c r="F170" s="502"/>
      <c r="G170" s="503"/>
    </row>
    <row r="171" spans="1:7">
      <c r="A171" s="500"/>
      <c r="B171" s="500"/>
      <c r="C171" s="500"/>
      <c r="D171" s="500"/>
      <c r="E171" s="501"/>
      <c r="F171" s="502"/>
      <c r="G171" s="503"/>
    </row>
    <row r="172" spans="1:7">
      <c r="A172" s="500"/>
      <c r="B172" s="500"/>
      <c r="C172" s="500"/>
      <c r="D172" s="500"/>
      <c r="E172" s="501"/>
      <c r="F172" s="502"/>
      <c r="G172" s="503"/>
    </row>
    <row r="173" spans="1:7">
      <c r="A173" s="500"/>
      <c r="B173" s="500"/>
      <c r="C173" s="500"/>
      <c r="D173" s="500"/>
      <c r="E173" s="501"/>
      <c r="F173" s="502"/>
      <c r="G173" s="503"/>
    </row>
    <row r="174" spans="1:7">
      <c r="A174" s="500"/>
      <c r="B174" s="500"/>
      <c r="C174" s="500"/>
      <c r="D174" s="500"/>
      <c r="E174" s="501"/>
      <c r="F174" s="502"/>
      <c r="G174" s="503"/>
    </row>
  </sheetData>
  <mergeCells count="179">
    <mergeCell ref="A1:G1"/>
    <mergeCell ref="H1:L1"/>
    <mergeCell ref="A2:G2"/>
    <mergeCell ref="D3:G3"/>
    <mergeCell ref="A5:L5"/>
    <mergeCell ref="A19:L19"/>
    <mergeCell ref="A35:G35"/>
    <mergeCell ref="H35:L35"/>
    <mergeCell ref="A36:G36"/>
    <mergeCell ref="H36:L36"/>
    <mergeCell ref="H37:L37"/>
    <mergeCell ref="H38:L38"/>
    <mergeCell ref="H39:L39"/>
    <mergeCell ref="H40:L40"/>
    <mergeCell ref="H41:L41"/>
    <mergeCell ref="H42:L42"/>
    <mergeCell ref="H43:L43"/>
    <mergeCell ref="H44:L44"/>
    <mergeCell ref="H45:L45"/>
    <mergeCell ref="H46:L46"/>
    <mergeCell ref="H47:L47"/>
    <mergeCell ref="H48:L48"/>
    <mergeCell ref="H49:L49"/>
    <mergeCell ref="H50:L50"/>
    <mergeCell ref="H51:L51"/>
    <mergeCell ref="H52:L52"/>
    <mergeCell ref="H53:L53"/>
    <mergeCell ref="H54:L54"/>
    <mergeCell ref="H55:L55"/>
    <mergeCell ref="H56:L56"/>
    <mergeCell ref="H57:L57"/>
    <mergeCell ref="H58:L58"/>
    <mergeCell ref="H59:L59"/>
    <mergeCell ref="H60:L60"/>
    <mergeCell ref="H61:L61"/>
    <mergeCell ref="H62:L62"/>
    <mergeCell ref="H63:L63"/>
    <mergeCell ref="H64:L64"/>
    <mergeCell ref="H65:L65"/>
    <mergeCell ref="H66:L66"/>
    <mergeCell ref="H67:L67"/>
    <mergeCell ref="H68:L68"/>
    <mergeCell ref="H69:L69"/>
    <mergeCell ref="H70:L70"/>
    <mergeCell ref="H71:L71"/>
    <mergeCell ref="H72:L72"/>
    <mergeCell ref="A73:G73"/>
    <mergeCell ref="H73:L73"/>
    <mergeCell ref="H74:L74"/>
    <mergeCell ref="H75:L75"/>
    <mergeCell ref="H76:L76"/>
    <mergeCell ref="H77:L77"/>
    <mergeCell ref="H78:L78"/>
    <mergeCell ref="H79:L79"/>
    <mergeCell ref="H80:L80"/>
    <mergeCell ref="H81:L81"/>
    <mergeCell ref="H82:L82"/>
    <mergeCell ref="H83:L83"/>
    <mergeCell ref="H84:L84"/>
    <mergeCell ref="H85:L85"/>
    <mergeCell ref="H86:L86"/>
    <mergeCell ref="H87:L87"/>
    <mergeCell ref="H88:L88"/>
    <mergeCell ref="H89:L89"/>
    <mergeCell ref="H90:L90"/>
    <mergeCell ref="H91:L91"/>
    <mergeCell ref="H92:L92"/>
    <mergeCell ref="H93:L93"/>
    <mergeCell ref="H94:L94"/>
    <mergeCell ref="H95:L95"/>
    <mergeCell ref="H96:L96"/>
    <mergeCell ref="H97:L97"/>
    <mergeCell ref="H98:L98"/>
    <mergeCell ref="H99:L99"/>
    <mergeCell ref="H100:L100"/>
    <mergeCell ref="H101:L101"/>
    <mergeCell ref="H102:L102"/>
    <mergeCell ref="H103:L103"/>
    <mergeCell ref="H104:L104"/>
    <mergeCell ref="H105:L105"/>
    <mergeCell ref="H106:L106"/>
    <mergeCell ref="H107:L107"/>
    <mergeCell ref="H108:L108"/>
    <mergeCell ref="H109:L109"/>
    <mergeCell ref="H110:L110"/>
    <mergeCell ref="H111:L111"/>
    <mergeCell ref="H112:L112"/>
    <mergeCell ref="H113:L113"/>
    <mergeCell ref="H114:L114"/>
    <mergeCell ref="H115:L115"/>
    <mergeCell ref="H116:L116"/>
    <mergeCell ref="A117:G117"/>
    <mergeCell ref="H117:L117"/>
    <mergeCell ref="H118:L118"/>
    <mergeCell ref="H119:L119"/>
    <mergeCell ref="H120:L120"/>
    <mergeCell ref="H121:L121"/>
    <mergeCell ref="H122:L122"/>
    <mergeCell ref="H123:L123"/>
    <mergeCell ref="H124:L124"/>
    <mergeCell ref="H125:L125"/>
    <mergeCell ref="H126:L126"/>
    <mergeCell ref="H127:L127"/>
    <mergeCell ref="H128:L128"/>
    <mergeCell ref="H129:L129"/>
    <mergeCell ref="H130:L130"/>
    <mergeCell ref="A131:G131"/>
    <mergeCell ref="H131:L131"/>
    <mergeCell ref="H132:L132"/>
    <mergeCell ref="H133:L133"/>
    <mergeCell ref="H134:L134"/>
    <mergeCell ref="H135:L135"/>
    <mergeCell ref="H136:L136"/>
    <mergeCell ref="H137:L137"/>
    <mergeCell ref="H138:L138"/>
    <mergeCell ref="H139:L139"/>
    <mergeCell ref="H140:L140"/>
    <mergeCell ref="H141:L141"/>
    <mergeCell ref="H142:L142"/>
    <mergeCell ref="H148:L148"/>
    <mergeCell ref="H149:L149"/>
    <mergeCell ref="A150:G150"/>
    <mergeCell ref="H150:L150"/>
    <mergeCell ref="H151:L151"/>
    <mergeCell ref="H152:L152"/>
    <mergeCell ref="H153:L153"/>
    <mergeCell ref="H154:L154"/>
    <mergeCell ref="H155:L155"/>
    <mergeCell ref="H156:L156"/>
    <mergeCell ref="H157:L157"/>
    <mergeCell ref="H158:L158"/>
    <mergeCell ref="H159:L159"/>
    <mergeCell ref="H160:L160"/>
    <mergeCell ref="H161:L161"/>
    <mergeCell ref="H162:L162"/>
    <mergeCell ref="H163:L163"/>
    <mergeCell ref="H164:L164"/>
    <mergeCell ref="H165:L165"/>
    <mergeCell ref="H166:L166"/>
    <mergeCell ref="H167:L167"/>
    <mergeCell ref="H168:L168"/>
    <mergeCell ref="H169:L169"/>
    <mergeCell ref="A3:A4"/>
    <mergeCell ref="A6:A18"/>
    <mergeCell ref="A20:A34"/>
    <mergeCell ref="A37:A43"/>
    <mergeCell ref="A44:A50"/>
    <mergeCell ref="A51:A60"/>
    <mergeCell ref="A61:A67"/>
    <mergeCell ref="A68:A72"/>
    <mergeCell ref="A74:A77"/>
    <mergeCell ref="A78:A82"/>
    <mergeCell ref="A83:A91"/>
    <mergeCell ref="A92:A99"/>
    <mergeCell ref="A100:A107"/>
    <mergeCell ref="A108:A110"/>
    <mergeCell ref="A111:A113"/>
    <mergeCell ref="A114:A116"/>
    <mergeCell ref="A118:A122"/>
    <mergeCell ref="A123:A125"/>
    <mergeCell ref="A126:A129"/>
    <mergeCell ref="A132:A136"/>
    <mergeCell ref="A137:A139"/>
    <mergeCell ref="A140:A142"/>
    <mergeCell ref="A143:A148"/>
    <mergeCell ref="A152:A153"/>
    <mergeCell ref="A154:A156"/>
    <mergeCell ref="A157:A159"/>
    <mergeCell ref="A160:A161"/>
    <mergeCell ref="A163:A164"/>
    <mergeCell ref="A165:A168"/>
    <mergeCell ref="B3:B4"/>
    <mergeCell ref="C3:C4"/>
    <mergeCell ref="E166:E168"/>
    <mergeCell ref="H2:H3"/>
    <mergeCell ref="I2:I3"/>
    <mergeCell ref="J2:J3"/>
    <mergeCell ref="K2:K3"/>
    <mergeCell ref="L2:L3"/>
  </mergeCells>
  <pageMargins left="0.75" right="0.75" top="1" bottom="1" header="0.5" footer="0.5"/>
  <pageSetup paperSize="9" orientation="portrait"/>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50"/>
  </sheetPr>
  <dimension ref="A1:BC20"/>
  <sheetViews>
    <sheetView zoomScale="70" zoomScaleNormal="70" zoomScalePageLayoutView="80" topLeftCell="K1" workbookViewId="0">
      <pane ySplit="5" topLeftCell="A15" activePane="bottomLeft" state="frozen"/>
      <selection/>
      <selection pane="bottomLeft" activeCell="H5" sqref="H5"/>
    </sheetView>
  </sheetViews>
  <sheetFormatPr defaultColWidth="9" defaultRowHeight="17.25"/>
  <cols>
    <col min="1" max="1" width="6.2" style="388" customWidth="1"/>
    <col min="2" max="2" width="13" style="388" customWidth="1"/>
    <col min="3" max="4" width="14" style="388" customWidth="1"/>
    <col min="5" max="5" width="14.8" style="388" customWidth="1"/>
    <col min="6" max="6" width="15.5" style="388" customWidth="1"/>
    <col min="7" max="7" width="18.4" style="388" customWidth="1"/>
    <col min="8" max="8" width="13.7" style="388" customWidth="1"/>
    <col min="9" max="9" width="15.7" style="388" customWidth="1"/>
    <col min="10" max="10" width="13.8" style="388" customWidth="1"/>
    <col min="11" max="11" width="18.7" style="388" customWidth="1"/>
    <col min="12" max="12" width="16.2" style="388" customWidth="1"/>
    <col min="13" max="13" width="12.8" style="388" customWidth="1"/>
    <col min="14" max="14" width="13.2" style="388" customWidth="1"/>
    <col min="15" max="15" width="13.8" style="388" customWidth="1"/>
    <col min="16" max="16" width="13.2" style="388" customWidth="1"/>
    <col min="17" max="17" width="14.5" style="388" customWidth="1"/>
    <col min="18" max="18" width="14.7" style="388" customWidth="1"/>
    <col min="19" max="19" width="16.7" style="388" customWidth="1"/>
    <col min="20" max="20" width="15" style="388" customWidth="1"/>
    <col min="21" max="21" width="14.7" style="388" customWidth="1"/>
    <col min="22" max="22" width="12.8" style="388" customWidth="1"/>
    <col min="23" max="23" width="14.3" style="388" customWidth="1"/>
    <col min="24" max="24" width="17.8" style="388" customWidth="1"/>
    <col min="25" max="16384" width="9" style="388"/>
  </cols>
  <sheetData>
    <row r="1" s="382" customFormat="1" ht="33" customHeight="1" spans="1:55">
      <c r="A1" s="389" t="s">
        <v>1716</v>
      </c>
      <c r="B1" s="390"/>
      <c r="C1" s="390"/>
      <c r="D1" s="390"/>
      <c r="E1" s="390"/>
      <c r="F1" s="390"/>
      <c r="G1" s="390"/>
      <c r="H1" s="390"/>
      <c r="I1" s="390"/>
      <c r="J1" s="390"/>
      <c r="K1" s="390"/>
      <c r="L1" s="390"/>
      <c r="M1" s="390"/>
      <c r="N1" s="390"/>
      <c r="O1" s="390"/>
      <c r="P1" s="390"/>
      <c r="Q1" s="390"/>
      <c r="R1" s="390"/>
      <c r="S1" s="390"/>
      <c r="T1" s="390"/>
      <c r="U1" s="390"/>
      <c r="V1" s="390"/>
      <c r="W1" s="390"/>
      <c r="X1" s="425"/>
      <c r="Y1" s="439"/>
      <c r="Z1" s="439"/>
      <c r="AA1" s="439"/>
      <c r="AB1" s="439"/>
      <c r="AC1" s="439"/>
      <c r="AD1" s="439"/>
      <c r="AE1" s="439"/>
      <c r="AF1" s="439"/>
      <c r="AG1" s="439"/>
      <c r="AH1" s="439"/>
      <c r="AI1" s="439"/>
      <c r="AJ1" s="439"/>
      <c r="AK1" s="439"/>
      <c r="AL1" s="439"/>
      <c r="AM1" s="439"/>
      <c r="AN1" s="439"/>
      <c r="AO1" s="439"/>
      <c r="AP1" s="439"/>
      <c r="AQ1" s="439"/>
      <c r="AR1" s="439"/>
      <c r="AS1" s="439"/>
      <c r="AT1" s="439"/>
      <c r="AU1" s="439"/>
      <c r="AV1" s="439"/>
      <c r="AW1" s="439"/>
      <c r="AX1" s="439"/>
      <c r="AY1" s="439"/>
      <c r="AZ1" s="439"/>
      <c r="BA1" s="439"/>
      <c r="BB1" s="439"/>
      <c r="BC1" s="439"/>
    </row>
    <row r="2" s="383" customFormat="1" ht="28.05" customHeight="1" spans="1:55">
      <c r="A2" s="391" t="s">
        <v>1717</v>
      </c>
      <c r="B2" s="392"/>
      <c r="C2" s="392"/>
      <c r="D2" s="392"/>
      <c r="E2" s="392"/>
      <c r="F2" s="392"/>
      <c r="G2" s="392"/>
      <c r="H2" s="392"/>
      <c r="I2" s="392"/>
      <c r="J2" s="392"/>
      <c r="K2" s="392"/>
      <c r="L2" s="392"/>
      <c r="M2" s="392"/>
      <c r="N2" s="392"/>
      <c r="O2" s="392"/>
      <c r="P2" s="392"/>
      <c r="Q2" s="392"/>
      <c r="R2" s="392"/>
      <c r="S2" s="392"/>
      <c r="T2" s="392"/>
      <c r="U2" s="392"/>
      <c r="V2" s="392"/>
      <c r="W2" s="392"/>
      <c r="X2" s="426"/>
      <c r="Y2" s="439"/>
      <c r="Z2" s="439"/>
      <c r="AA2" s="439"/>
      <c r="AB2" s="439"/>
      <c r="AC2" s="439"/>
      <c r="AD2" s="439"/>
      <c r="AE2" s="439"/>
      <c r="AF2" s="439"/>
      <c r="AG2" s="439"/>
      <c r="AH2" s="439"/>
      <c r="AI2" s="439"/>
      <c r="AJ2" s="439"/>
      <c r="AK2" s="439"/>
      <c r="AL2" s="439"/>
      <c r="AM2" s="439"/>
      <c r="AN2" s="439"/>
      <c r="AO2" s="439"/>
      <c r="AP2" s="439"/>
      <c r="AQ2" s="439"/>
      <c r="AR2" s="439"/>
      <c r="AS2" s="439"/>
      <c r="AT2" s="439"/>
      <c r="AU2" s="439"/>
      <c r="AV2" s="439"/>
      <c r="AW2" s="439"/>
      <c r="AX2" s="439"/>
      <c r="AY2" s="439"/>
      <c r="AZ2" s="439"/>
      <c r="BA2" s="439"/>
      <c r="BB2" s="439"/>
      <c r="BC2" s="439"/>
    </row>
    <row r="3" s="384" customFormat="1" ht="24" customHeight="1" spans="1:55">
      <c r="A3" s="393" t="s">
        <v>1718</v>
      </c>
      <c r="B3" s="394"/>
      <c r="C3" s="394"/>
      <c r="D3" s="394"/>
      <c r="E3" s="394"/>
      <c r="F3" s="394"/>
      <c r="G3" s="394"/>
      <c r="H3" s="394"/>
      <c r="I3" s="394"/>
      <c r="J3" s="394"/>
      <c r="K3" s="394"/>
      <c r="L3" s="394"/>
      <c r="M3" s="394"/>
      <c r="N3" s="394"/>
      <c r="O3" s="394"/>
      <c r="P3" s="394"/>
      <c r="Q3" s="394"/>
      <c r="R3" s="394"/>
      <c r="S3" s="394"/>
      <c r="T3" s="394"/>
      <c r="U3" s="394"/>
      <c r="V3" s="394"/>
      <c r="W3" s="394"/>
      <c r="X3" s="427"/>
      <c r="Y3" s="440"/>
      <c r="Z3" s="440"/>
      <c r="AA3" s="440"/>
      <c r="AB3" s="440"/>
      <c r="AC3" s="440"/>
      <c r="AD3" s="440"/>
      <c r="AE3" s="440"/>
      <c r="AF3" s="440"/>
      <c r="AG3" s="440"/>
      <c r="AH3" s="440"/>
      <c r="AI3" s="440"/>
      <c r="AJ3" s="440"/>
      <c r="AK3" s="440"/>
      <c r="AL3" s="440"/>
      <c r="AM3" s="440"/>
      <c r="AN3" s="440"/>
      <c r="AO3" s="440"/>
      <c r="AP3" s="440"/>
      <c r="AQ3" s="440"/>
      <c r="AR3" s="440"/>
      <c r="AS3" s="440"/>
      <c r="AT3" s="440"/>
      <c r="AU3" s="440"/>
      <c r="AV3" s="440"/>
      <c r="AW3" s="440"/>
      <c r="AX3" s="440"/>
      <c r="AY3" s="440"/>
      <c r="AZ3" s="440"/>
      <c r="BA3" s="440"/>
      <c r="BB3" s="440"/>
      <c r="BC3" s="440"/>
    </row>
    <row r="4" s="385" customFormat="1" ht="31.95" customHeight="1" spans="1:24">
      <c r="A4" s="395" t="s">
        <v>63</v>
      </c>
      <c r="B4" s="396" t="s">
        <v>28</v>
      </c>
      <c r="C4" s="396" t="s">
        <v>84</v>
      </c>
      <c r="D4" s="396" t="s">
        <v>1719</v>
      </c>
      <c r="E4" s="396" t="s">
        <v>1720</v>
      </c>
      <c r="F4" s="396" t="s">
        <v>1340</v>
      </c>
      <c r="G4" s="397" t="s">
        <v>1721</v>
      </c>
      <c r="H4" s="398"/>
      <c r="I4" s="398"/>
      <c r="J4" s="398"/>
      <c r="K4" s="398"/>
      <c r="L4" s="398"/>
      <c r="M4" s="398"/>
      <c r="N4" s="418"/>
      <c r="O4" s="419" t="s">
        <v>1722</v>
      </c>
      <c r="P4" s="420"/>
      <c r="Q4" s="420"/>
      <c r="R4" s="428"/>
      <c r="S4" s="429" t="s">
        <v>1723</v>
      </c>
      <c r="T4" s="430"/>
      <c r="U4" s="430"/>
      <c r="V4" s="430"/>
      <c r="W4" s="431"/>
      <c r="X4" s="432" t="s">
        <v>1724</v>
      </c>
    </row>
    <row r="5" s="385" customFormat="1" ht="33" customHeight="1" spans="1:34">
      <c r="A5" s="399"/>
      <c r="B5" s="400"/>
      <c r="C5" s="400"/>
      <c r="D5" s="400"/>
      <c r="E5" s="400"/>
      <c r="F5" s="400"/>
      <c r="G5" s="401" t="s">
        <v>1725</v>
      </c>
      <c r="H5" s="401" t="s">
        <v>1726</v>
      </c>
      <c r="I5" s="401" t="s">
        <v>1727</v>
      </c>
      <c r="J5" s="401" t="s">
        <v>1728</v>
      </c>
      <c r="K5" s="401" t="s">
        <v>1729</v>
      </c>
      <c r="L5" s="401" t="s">
        <v>1730</v>
      </c>
      <c r="M5" s="401" t="s">
        <v>1731</v>
      </c>
      <c r="N5" s="401" t="s">
        <v>1732</v>
      </c>
      <c r="O5" s="421" t="s">
        <v>1733</v>
      </c>
      <c r="P5" s="421" t="s">
        <v>1734</v>
      </c>
      <c r="Q5" s="421" t="s">
        <v>1735</v>
      </c>
      <c r="R5" s="421" t="s">
        <v>1736</v>
      </c>
      <c r="S5" s="433" t="s">
        <v>1725</v>
      </c>
      <c r="T5" s="433" t="s">
        <v>1727</v>
      </c>
      <c r="U5" s="433" t="s">
        <v>1737</v>
      </c>
      <c r="V5" s="433" t="s">
        <v>1738</v>
      </c>
      <c r="W5" s="433" t="s">
        <v>1739</v>
      </c>
      <c r="X5" s="434"/>
      <c r="Y5" s="441"/>
      <c r="Z5" s="441"/>
      <c r="AA5" s="441"/>
      <c r="AB5" s="441"/>
      <c r="AC5" s="441"/>
      <c r="AD5" s="441"/>
      <c r="AE5" s="441"/>
      <c r="AF5" s="441"/>
      <c r="AG5" s="441"/>
      <c r="AH5" s="441"/>
    </row>
    <row r="6" s="385" customFormat="1" ht="36" customHeight="1" spans="1:34">
      <c r="A6" s="402">
        <v>1</v>
      </c>
      <c r="B6" s="403" t="s">
        <v>1740</v>
      </c>
      <c r="C6" s="403" t="s">
        <v>1741</v>
      </c>
      <c r="D6" s="403" t="s">
        <v>1742</v>
      </c>
      <c r="E6" s="403">
        <v>1234545690</v>
      </c>
      <c r="F6" s="403" t="s">
        <v>1743</v>
      </c>
      <c r="G6" s="404" t="s">
        <v>1744</v>
      </c>
      <c r="H6" s="404" t="s">
        <v>1745</v>
      </c>
      <c r="I6" s="404" t="s">
        <v>1746</v>
      </c>
      <c r="J6" s="404" t="s">
        <v>1747</v>
      </c>
      <c r="K6" s="404" t="s">
        <v>1748</v>
      </c>
      <c r="L6" s="404" t="s">
        <v>1749</v>
      </c>
      <c r="M6" s="422">
        <v>301</v>
      </c>
      <c r="N6" s="422" t="s">
        <v>1750</v>
      </c>
      <c r="O6" s="422" t="s">
        <v>1751</v>
      </c>
      <c r="P6" s="422" t="s">
        <v>1752</v>
      </c>
      <c r="Q6" s="422" t="s">
        <v>1753</v>
      </c>
      <c r="R6" s="422" t="s">
        <v>1367</v>
      </c>
      <c r="S6" s="404" t="s">
        <v>1744</v>
      </c>
      <c r="T6" s="404" t="s">
        <v>1754</v>
      </c>
      <c r="U6" s="404" t="s">
        <v>1755</v>
      </c>
      <c r="V6" s="435">
        <v>0.833333333333333</v>
      </c>
      <c r="W6" s="404" t="s">
        <v>1750</v>
      </c>
      <c r="X6" s="436" t="s">
        <v>1756</v>
      </c>
      <c r="Y6" s="441"/>
      <c r="Z6" s="441"/>
      <c r="AA6" s="441"/>
      <c r="AB6" s="441"/>
      <c r="AC6" s="441"/>
      <c r="AD6" s="441"/>
      <c r="AE6" s="441"/>
      <c r="AF6" s="441"/>
      <c r="AG6" s="441"/>
      <c r="AH6" s="441"/>
    </row>
    <row r="7" s="386" customFormat="1" ht="36" customHeight="1" spans="1:34">
      <c r="A7" s="405">
        <v>2</v>
      </c>
      <c r="B7" s="406" t="s">
        <v>670</v>
      </c>
      <c r="C7" s="406" t="s">
        <v>670</v>
      </c>
      <c r="D7" s="406" t="s">
        <v>670</v>
      </c>
      <c r="E7" s="406" t="s">
        <v>670</v>
      </c>
      <c r="F7" s="406" t="s">
        <v>670</v>
      </c>
      <c r="G7" s="406" t="s">
        <v>670</v>
      </c>
      <c r="H7" s="406" t="s">
        <v>670</v>
      </c>
      <c r="I7" s="406" t="s">
        <v>670</v>
      </c>
      <c r="J7" s="406" t="s">
        <v>670</v>
      </c>
      <c r="K7" s="406" t="s">
        <v>670</v>
      </c>
      <c r="L7" s="406" t="s">
        <v>670</v>
      </c>
      <c r="M7" s="406" t="s">
        <v>670</v>
      </c>
      <c r="N7" s="406" t="s">
        <v>670</v>
      </c>
      <c r="O7" s="406" t="s">
        <v>670</v>
      </c>
      <c r="P7" s="406" t="s">
        <v>670</v>
      </c>
      <c r="Q7" s="406" t="s">
        <v>670</v>
      </c>
      <c r="R7" s="406" t="s">
        <v>670</v>
      </c>
      <c r="S7" s="406" t="s">
        <v>670</v>
      </c>
      <c r="T7" s="406" t="s">
        <v>670</v>
      </c>
      <c r="U7" s="406" t="s">
        <v>670</v>
      </c>
      <c r="V7" s="406" t="s">
        <v>670</v>
      </c>
      <c r="W7" s="406" t="s">
        <v>670</v>
      </c>
      <c r="X7" s="406" t="s">
        <v>670</v>
      </c>
      <c r="Y7" s="442"/>
      <c r="Z7" s="442"/>
      <c r="AA7" s="442"/>
      <c r="AB7" s="442"/>
      <c r="AC7" s="442"/>
      <c r="AD7" s="442"/>
      <c r="AE7" s="442"/>
      <c r="AF7" s="442"/>
      <c r="AG7" s="442"/>
      <c r="AH7" s="442"/>
    </row>
    <row r="8" s="386" customFormat="1" ht="36" customHeight="1" spans="1:34">
      <c r="A8" s="402">
        <v>3</v>
      </c>
      <c r="B8" s="407"/>
      <c r="C8" s="407"/>
      <c r="D8" s="403"/>
      <c r="E8" s="408"/>
      <c r="F8" s="404"/>
      <c r="G8" s="404"/>
      <c r="H8" s="404"/>
      <c r="I8" s="404"/>
      <c r="J8" s="404"/>
      <c r="K8" s="404"/>
      <c r="L8" s="404"/>
      <c r="M8" s="423"/>
      <c r="N8" s="423"/>
      <c r="O8" s="423"/>
      <c r="P8" s="423"/>
      <c r="Q8" s="423"/>
      <c r="R8" s="423"/>
      <c r="S8" s="404"/>
      <c r="T8" s="404"/>
      <c r="U8" s="404"/>
      <c r="V8" s="404"/>
      <c r="W8" s="404"/>
      <c r="X8" s="436"/>
      <c r="Y8" s="442"/>
      <c r="Z8" s="442"/>
      <c r="AA8" s="442"/>
      <c r="AB8" s="442"/>
      <c r="AC8" s="442"/>
      <c r="AD8" s="442"/>
      <c r="AE8" s="442"/>
      <c r="AF8" s="442"/>
      <c r="AG8" s="442"/>
      <c r="AH8" s="442"/>
    </row>
    <row r="9" s="386" customFormat="1" ht="36" customHeight="1" spans="1:24">
      <c r="A9" s="405">
        <v>4</v>
      </c>
      <c r="B9" s="409"/>
      <c r="C9" s="409"/>
      <c r="D9" s="410"/>
      <c r="E9" s="411"/>
      <c r="F9" s="412"/>
      <c r="G9" s="412"/>
      <c r="H9" s="412"/>
      <c r="I9" s="412"/>
      <c r="J9" s="412"/>
      <c r="K9" s="412"/>
      <c r="L9" s="412"/>
      <c r="M9" s="412"/>
      <c r="N9" s="412"/>
      <c r="O9" s="412"/>
      <c r="P9" s="412"/>
      <c r="Q9" s="412"/>
      <c r="R9" s="412"/>
      <c r="S9" s="412"/>
      <c r="T9" s="412"/>
      <c r="U9" s="412"/>
      <c r="V9" s="412"/>
      <c r="W9" s="412"/>
      <c r="X9" s="437"/>
    </row>
    <row r="10" s="386" customFormat="1" ht="36" customHeight="1" spans="1:24">
      <c r="A10" s="402">
        <v>5</v>
      </c>
      <c r="B10" s="407"/>
      <c r="C10" s="407"/>
      <c r="D10" s="403"/>
      <c r="E10" s="408"/>
      <c r="F10" s="404"/>
      <c r="G10" s="404"/>
      <c r="H10" s="404"/>
      <c r="I10" s="404"/>
      <c r="J10" s="404"/>
      <c r="K10" s="404"/>
      <c r="L10" s="404"/>
      <c r="M10" s="423"/>
      <c r="N10" s="423"/>
      <c r="O10" s="423"/>
      <c r="P10" s="423"/>
      <c r="Q10" s="423"/>
      <c r="R10" s="423"/>
      <c r="S10" s="404"/>
      <c r="T10" s="404"/>
      <c r="U10" s="404"/>
      <c r="V10" s="404"/>
      <c r="W10" s="404"/>
      <c r="X10" s="436"/>
    </row>
    <row r="11" s="386" customFormat="1" ht="36" customHeight="1" spans="1:24">
      <c r="A11" s="405">
        <v>6</v>
      </c>
      <c r="B11" s="409"/>
      <c r="C11" s="409"/>
      <c r="D11" s="410"/>
      <c r="E11" s="411"/>
      <c r="F11" s="412"/>
      <c r="G11" s="412"/>
      <c r="H11" s="412"/>
      <c r="I11" s="412"/>
      <c r="J11" s="412"/>
      <c r="K11" s="412"/>
      <c r="L11" s="412"/>
      <c r="M11" s="412"/>
      <c r="N11" s="412"/>
      <c r="O11" s="412"/>
      <c r="P11" s="412"/>
      <c r="Q11" s="412"/>
      <c r="R11" s="412"/>
      <c r="S11" s="412"/>
      <c r="T11" s="412"/>
      <c r="U11" s="412"/>
      <c r="V11" s="412"/>
      <c r="W11" s="412"/>
      <c r="X11" s="437"/>
    </row>
    <row r="12" s="386" customFormat="1" ht="36" customHeight="1" spans="1:24">
      <c r="A12" s="402">
        <v>7</v>
      </c>
      <c r="B12" s="407"/>
      <c r="C12" s="407"/>
      <c r="D12" s="403"/>
      <c r="E12" s="408"/>
      <c r="F12" s="404"/>
      <c r="G12" s="404"/>
      <c r="H12" s="404"/>
      <c r="I12" s="404"/>
      <c r="J12" s="404"/>
      <c r="K12" s="404"/>
      <c r="L12" s="404"/>
      <c r="M12" s="423"/>
      <c r="N12" s="423"/>
      <c r="O12" s="423"/>
      <c r="P12" s="423"/>
      <c r="Q12" s="423"/>
      <c r="R12" s="423"/>
      <c r="S12" s="404"/>
      <c r="T12" s="404"/>
      <c r="U12" s="404"/>
      <c r="V12" s="404"/>
      <c r="W12" s="404"/>
      <c r="X12" s="436"/>
    </row>
    <row r="13" s="386" customFormat="1" ht="36" customHeight="1" spans="1:24">
      <c r="A13" s="405">
        <v>8</v>
      </c>
      <c r="B13" s="409"/>
      <c r="C13" s="409"/>
      <c r="D13" s="410"/>
      <c r="E13" s="411"/>
      <c r="F13" s="412"/>
      <c r="G13" s="412"/>
      <c r="H13" s="412"/>
      <c r="I13" s="412"/>
      <c r="J13" s="412"/>
      <c r="K13" s="412"/>
      <c r="L13" s="412"/>
      <c r="M13" s="412"/>
      <c r="N13" s="412"/>
      <c r="O13" s="412"/>
      <c r="P13" s="412"/>
      <c r="Q13" s="412"/>
      <c r="R13" s="412"/>
      <c r="S13" s="412"/>
      <c r="T13" s="412"/>
      <c r="U13" s="412"/>
      <c r="V13" s="412"/>
      <c r="W13" s="412"/>
      <c r="X13" s="437"/>
    </row>
    <row r="14" s="386" customFormat="1" ht="36" customHeight="1" spans="1:24">
      <c r="A14" s="402">
        <v>9</v>
      </c>
      <c r="B14" s="407"/>
      <c r="C14" s="407"/>
      <c r="D14" s="403"/>
      <c r="E14" s="408"/>
      <c r="F14" s="404"/>
      <c r="G14" s="404"/>
      <c r="H14" s="404"/>
      <c r="I14" s="404"/>
      <c r="J14" s="404"/>
      <c r="K14" s="404"/>
      <c r="L14" s="404"/>
      <c r="M14" s="423"/>
      <c r="N14" s="423"/>
      <c r="O14" s="423"/>
      <c r="P14" s="423"/>
      <c r="Q14" s="423"/>
      <c r="R14" s="423"/>
      <c r="S14" s="404"/>
      <c r="T14" s="404"/>
      <c r="U14" s="404"/>
      <c r="V14" s="404"/>
      <c r="W14" s="404"/>
      <c r="X14" s="436"/>
    </row>
    <row r="15" s="386" customFormat="1" ht="36" customHeight="1" spans="1:24">
      <c r="A15" s="405">
        <v>10</v>
      </c>
      <c r="B15" s="409"/>
      <c r="C15" s="409"/>
      <c r="D15" s="410"/>
      <c r="E15" s="411"/>
      <c r="F15" s="412"/>
      <c r="G15" s="412"/>
      <c r="H15" s="412"/>
      <c r="I15" s="412"/>
      <c r="J15" s="412"/>
      <c r="K15" s="412"/>
      <c r="L15" s="412"/>
      <c r="M15" s="412"/>
      <c r="N15" s="412"/>
      <c r="O15" s="412"/>
      <c r="P15" s="412"/>
      <c r="Q15" s="412"/>
      <c r="R15" s="412"/>
      <c r="S15" s="412"/>
      <c r="T15" s="412"/>
      <c r="U15" s="412"/>
      <c r="V15" s="412"/>
      <c r="W15" s="412"/>
      <c r="X15" s="437"/>
    </row>
    <row r="16" s="386" customFormat="1" ht="36" customHeight="1" spans="1:24">
      <c r="A16" s="402">
        <v>11</v>
      </c>
      <c r="B16" s="407"/>
      <c r="C16" s="407"/>
      <c r="D16" s="403"/>
      <c r="E16" s="408"/>
      <c r="F16" s="404"/>
      <c r="G16" s="404"/>
      <c r="H16" s="404"/>
      <c r="I16" s="404"/>
      <c r="J16" s="404"/>
      <c r="K16" s="404"/>
      <c r="L16" s="404"/>
      <c r="M16" s="423"/>
      <c r="N16" s="423"/>
      <c r="O16" s="423"/>
      <c r="P16" s="423"/>
      <c r="Q16" s="423"/>
      <c r="R16" s="423"/>
      <c r="S16" s="404"/>
      <c r="T16" s="404"/>
      <c r="U16" s="404"/>
      <c r="V16" s="404"/>
      <c r="W16" s="404"/>
      <c r="X16" s="436"/>
    </row>
    <row r="17" s="386" customFormat="1" ht="36" customHeight="1" spans="1:24">
      <c r="A17" s="405">
        <v>12</v>
      </c>
      <c r="B17" s="409"/>
      <c r="C17" s="409"/>
      <c r="D17" s="410"/>
      <c r="E17" s="411"/>
      <c r="F17" s="412"/>
      <c r="G17" s="412"/>
      <c r="H17" s="412"/>
      <c r="I17" s="412"/>
      <c r="J17" s="412"/>
      <c r="K17" s="412"/>
      <c r="L17" s="412"/>
      <c r="M17" s="412"/>
      <c r="N17" s="412"/>
      <c r="O17" s="412"/>
      <c r="P17" s="412"/>
      <c r="Q17" s="412"/>
      <c r="R17" s="412"/>
      <c r="S17" s="412"/>
      <c r="T17" s="412"/>
      <c r="U17" s="412"/>
      <c r="V17" s="412"/>
      <c r="W17" s="412"/>
      <c r="X17" s="437"/>
    </row>
    <row r="18" s="387" customFormat="1" ht="36" customHeight="1" spans="1:24">
      <c r="A18" s="402">
        <v>13</v>
      </c>
      <c r="B18" s="407"/>
      <c r="C18" s="407"/>
      <c r="D18" s="403"/>
      <c r="E18" s="408"/>
      <c r="F18" s="404"/>
      <c r="G18" s="404"/>
      <c r="H18" s="404"/>
      <c r="I18" s="404"/>
      <c r="J18" s="404"/>
      <c r="K18" s="404"/>
      <c r="L18" s="404"/>
      <c r="M18" s="423"/>
      <c r="N18" s="423"/>
      <c r="O18" s="423"/>
      <c r="P18" s="423"/>
      <c r="Q18" s="423"/>
      <c r="R18" s="423"/>
      <c r="S18" s="404"/>
      <c r="T18" s="404"/>
      <c r="U18" s="404"/>
      <c r="V18" s="404"/>
      <c r="W18" s="404"/>
      <c r="X18" s="436"/>
    </row>
    <row r="19" s="387" customFormat="1" ht="36" customHeight="1" spans="1:24">
      <c r="A19" s="405">
        <v>14</v>
      </c>
      <c r="B19" s="409"/>
      <c r="C19" s="409"/>
      <c r="D19" s="410"/>
      <c r="E19" s="411"/>
      <c r="F19" s="412"/>
      <c r="G19" s="412"/>
      <c r="H19" s="412"/>
      <c r="I19" s="412"/>
      <c r="J19" s="412"/>
      <c r="K19" s="412"/>
      <c r="L19" s="412"/>
      <c r="M19" s="412"/>
      <c r="N19" s="412"/>
      <c r="O19" s="412"/>
      <c r="P19" s="412"/>
      <c r="Q19" s="412"/>
      <c r="R19" s="412"/>
      <c r="S19" s="412"/>
      <c r="T19" s="412"/>
      <c r="U19" s="412"/>
      <c r="V19" s="412"/>
      <c r="W19" s="412"/>
      <c r="X19" s="437"/>
    </row>
    <row r="20" s="387" customFormat="1" ht="36" customHeight="1" spans="1:24">
      <c r="A20" s="413">
        <v>15</v>
      </c>
      <c r="B20" s="414"/>
      <c r="C20" s="414"/>
      <c r="D20" s="415"/>
      <c r="E20" s="416"/>
      <c r="F20" s="417"/>
      <c r="G20" s="417"/>
      <c r="H20" s="417"/>
      <c r="I20" s="417"/>
      <c r="J20" s="417"/>
      <c r="K20" s="417"/>
      <c r="L20" s="417"/>
      <c r="M20" s="424"/>
      <c r="N20" s="424"/>
      <c r="O20" s="424"/>
      <c r="P20" s="424"/>
      <c r="Q20" s="424"/>
      <c r="R20" s="424"/>
      <c r="S20" s="417"/>
      <c r="T20" s="417"/>
      <c r="U20" s="417"/>
      <c r="V20" s="417"/>
      <c r="W20" s="417"/>
      <c r="X20" s="438"/>
    </row>
  </sheetData>
  <mergeCells count="13">
    <mergeCell ref="A1:X1"/>
    <mergeCell ref="A2:X2"/>
    <mergeCell ref="A3:X3"/>
    <mergeCell ref="G4:N4"/>
    <mergeCell ref="O4:R4"/>
    <mergeCell ref="S4:W4"/>
    <mergeCell ref="A4:A5"/>
    <mergeCell ref="B4:B5"/>
    <mergeCell ref="C4:C5"/>
    <mergeCell ref="D4:D5"/>
    <mergeCell ref="E4:E5"/>
    <mergeCell ref="F4:F5"/>
    <mergeCell ref="X4:X5"/>
  </mergeCells>
  <conditionalFormatting sqref="M6:R6">
    <cfRule type="cellIs" dxfId="0" priority="16" operator="equal">
      <formula>"未名潮"</formula>
    </cfRule>
  </conditionalFormatting>
  <conditionalFormatting sqref="A20">
    <cfRule type="cellIs" dxfId="1" priority="1" operator="equal">
      <formula>"未名潮"</formula>
    </cfRule>
  </conditionalFormatting>
  <conditionalFormatting sqref="M20:R20">
    <cfRule type="cellIs" dxfId="0" priority="8" operator="equal">
      <formula>"未名潮"</formula>
    </cfRule>
  </conditionalFormatting>
  <conditionalFormatting sqref="A6:A7">
    <cfRule type="cellIs" dxfId="1" priority="15" operator="equal">
      <formula>"未名潮"</formula>
    </cfRule>
  </conditionalFormatting>
  <conditionalFormatting sqref="A8:A9">
    <cfRule type="cellIs" dxfId="1" priority="7" operator="equal">
      <formula>"未名潮"</formula>
    </cfRule>
  </conditionalFormatting>
  <conditionalFormatting sqref="A10:A11">
    <cfRule type="cellIs" dxfId="1" priority="6" operator="equal">
      <formula>"未名潮"</formula>
    </cfRule>
  </conditionalFormatting>
  <conditionalFormatting sqref="A12:A13">
    <cfRule type="cellIs" dxfId="1" priority="5" operator="equal">
      <formula>"未名潮"</formula>
    </cfRule>
  </conditionalFormatting>
  <conditionalFormatting sqref="A14:A15">
    <cfRule type="cellIs" dxfId="1" priority="4" operator="equal">
      <formula>"未名潮"</formula>
    </cfRule>
  </conditionalFormatting>
  <conditionalFormatting sqref="A16:A17">
    <cfRule type="cellIs" dxfId="1" priority="3" operator="equal">
      <formula>"未名潮"</formula>
    </cfRule>
  </conditionalFormatting>
  <conditionalFormatting sqref="A18:A19">
    <cfRule type="cellIs" dxfId="1" priority="2" operator="equal">
      <formula>"未名潮"</formula>
    </cfRule>
  </conditionalFormatting>
  <conditionalFormatting sqref="M8:R9">
    <cfRule type="cellIs" dxfId="0" priority="14" operator="equal">
      <formula>"未名潮"</formula>
    </cfRule>
  </conditionalFormatting>
  <conditionalFormatting sqref="M10:R11">
    <cfRule type="cellIs" dxfId="0" priority="13" operator="equal">
      <formula>"未名潮"</formula>
    </cfRule>
  </conditionalFormatting>
  <conditionalFormatting sqref="M12:R13">
    <cfRule type="cellIs" dxfId="0" priority="12" operator="equal">
      <formula>"未名潮"</formula>
    </cfRule>
  </conditionalFormatting>
  <conditionalFormatting sqref="M14:R15">
    <cfRule type="cellIs" dxfId="0" priority="11" operator="equal">
      <formula>"未名潮"</formula>
    </cfRule>
  </conditionalFormatting>
  <conditionalFormatting sqref="M16:R17">
    <cfRule type="cellIs" dxfId="0" priority="10" operator="equal">
      <formula>"未名潮"</formula>
    </cfRule>
  </conditionalFormatting>
  <conditionalFormatting sqref="M18:R19">
    <cfRule type="cellIs" dxfId="0" priority="9" operator="equal">
      <formula>"未名潮"</formula>
    </cfRule>
  </conditionalFormatting>
  <hyperlinks>
    <hyperlink ref="F6" r:id="rId1" display="afaf@qq.com"/>
  </hyperlinks>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70C0"/>
  </sheetPr>
  <dimension ref="A1:G23"/>
  <sheetViews>
    <sheetView showGridLines="0" zoomScale="70" zoomScaleNormal="70" zoomScalePageLayoutView="280" workbookViewId="0">
      <pane xSplit="7" ySplit="3" topLeftCell="W10" activePane="bottomRight" state="frozen"/>
      <selection/>
      <selection pane="topRight"/>
      <selection pane="bottomLeft"/>
      <selection pane="bottomRight" activeCell="E6" sqref="E6"/>
    </sheetView>
  </sheetViews>
  <sheetFormatPr defaultColWidth="8.8" defaultRowHeight="13.5" outlineLevelCol="6"/>
  <cols>
    <col min="1" max="1" width="11.7" style="353" customWidth="1"/>
    <col min="2" max="2" width="15.5" style="353" customWidth="1"/>
    <col min="3" max="3" width="27.8" style="353" customWidth="1"/>
    <col min="4" max="4" width="50" style="353" customWidth="1"/>
    <col min="5" max="5" width="44.5" style="353" customWidth="1"/>
    <col min="6" max="6" width="26.7" style="353" customWidth="1"/>
    <col min="7" max="7" width="37.2" style="353" customWidth="1"/>
    <col min="8" max="16384" width="8.8" style="353"/>
  </cols>
  <sheetData>
    <row r="1" ht="29.25" spans="1:7">
      <c r="A1" s="354" t="s">
        <v>1757</v>
      </c>
      <c r="B1" s="354"/>
      <c r="C1" s="354"/>
      <c r="D1" s="354"/>
      <c r="E1" s="354"/>
      <c r="F1" s="354"/>
      <c r="G1" s="354"/>
    </row>
    <row r="2" ht="16.95" customHeight="1" spans="1:7">
      <c r="A2" s="355" t="s">
        <v>1758</v>
      </c>
      <c r="B2" s="356"/>
      <c r="C2" s="357"/>
      <c r="D2" s="358" t="s">
        <v>1759</v>
      </c>
      <c r="E2" s="358" t="s">
        <v>1760</v>
      </c>
      <c r="F2" s="358" t="s">
        <v>1761</v>
      </c>
      <c r="G2" s="358" t="s">
        <v>1762</v>
      </c>
    </row>
    <row r="3" ht="19.05" customHeight="1" spans="1:7">
      <c r="A3" s="359" t="s">
        <v>1763</v>
      </c>
      <c r="B3" s="359" t="s">
        <v>1764</v>
      </c>
      <c r="C3" s="359" t="s">
        <v>151</v>
      </c>
      <c r="D3" s="359" t="s">
        <v>1765</v>
      </c>
      <c r="E3" s="359" t="s">
        <v>1766</v>
      </c>
      <c r="F3" s="359" t="s">
        <v>1732</v>
      </c>
      <c r="G3" s="359" t="s">
        <v>7</v>
      </c>
    </row>
    <row r="4" customFormat="1" ht="19.05" customHeight="1" spans="1:7">
      <c r="A4" s="360" t="s">
        <v>1767</v>
      </c>
      <c r="B4" s="360" t="s">
        <v>1421</v>
      </c>
      <c r="C4" s="361" t="s">
        <v>1768</v>
      </c>
      <c r="D4" s="362" t="s">
        <v>1769</v>
      </c>
      <c r="E4" s="363" t="s">
        <v>1770</v>
      </c>
      <c r="F4" s="364"/>
      <c r="G4" s="364"/>
    </row>
    <row r="5" customFormat="1" ht="19.05" customHeight="1" spans="1:7">
      <c r="A5" s="365"/>
      <c r="B5" s="365"/>
      <c r="C5" s="361" t="s">
        <v>1771</v>
      </c>
      <c r="D5" s="362" t="s">
        <v>1772</v>
      </c>
      <c r="E5" s="363" t="s">
        <v>1770</v>
      </c>
      <c r="F5" s="364"/>
      <c r="G5" s="364"/>
    </row>
    <row r="6" customFormat="1" ht="19.05" customHeight="1" spans="1:7">
      <c r="A6" s="365"/>
      <c r="B6" s="365"/>
      <c r="C6" s="361" t="s">
        <v>1773</v>
      </c>
      <c r="D6" s="366" t="s">
        <v>1774</v>
      </c>
      <c r="E6" s="363" t="s">
        <v>1770</v>
      </c>
      <c r="F6" s="364"/>
      <c r="G6" s="364"/>
    </row>
    <row r="7" customFormat="1" ht="19.05" customHeight="1" spans="1:7">
      <c r="A7" s="365"/>
      <c r="B7" s="365"/>
      <c r="C7" s="361" t="s">
        <v>1775</v>
      </c>
      <c r="D7" s="362" t="s">
        <v>1776</v>
      </c>
      <c r="E7" s="363" t="s">
        <v>1770</v>
      </c>
      <c r="F7" s="364"/>
      <c r="G7" s="364"/>
    </row>
    <row r="8" customFormat="1" ht="19.05" customHeight="1" spans="1:7">
      <c r="A8" s="365"/>
      <c r="B8" s="365"/>
      <c r="C8" s="361" t="s">
        <v>1777</v>
      </c>
      <c r="D8" s="362" t="s">
        <v>1778</v>
      </c>
      <c r="E8" s="363" t="s">
        <v>1770</v>
      </c>
      <c r="F8" s="364"/>
      <c r="G8" s="364"/>
    </row>
    <row r="9" customFormat="1" ht="19.05" customHeight="1" spans="1:7">
      <c r="A9" s="365"/>
      <c r="B9" s="365"/>
      <c r="C9" s="361" t="s">
        <v>1779</v>
      </c>
      <c r="D9" s="362" t="s">
        <v>1780</v>
      </c>
      <c r="E9" s="363" t="s">
        <v>1770</v>
      </c>
      <c r="F9" s="364"/>
      <c r="G9" s="364"/>
    </row>
    <row r="10" customFormat="1" ht="19.05" customHeight="1" spans="1:7">
      <c r="A10" s="365"/>
      <c r="B10" s="365"/>
      <c r="C10" s="361" t="s">
        <v>1781</v>
      </c>
      <c r="D10" s="362" t="s">
        <v>1782</v>
      </c>
      <c r="E10" s="363" t="s">
        <v>1770</v>
      </c>
      <c r="F10" s="364"/>
      <c r="G10" s="364"/>
    </row>
    <row r="11" customFormat="1" ht="19.05" customHeight="1" spans="1:7">
      <c r="A11" s="365"/>
      <c r="B11" s="365"/>
      <c r="C11" s="361" t="s">
        <v>1783</v>
      </c>
      <c r="D11" s="362" t="s">
        <v>1784</v>
      </c>
      <c r="E11" s="363" t="s">
        <v>1770</v>
      </c>
      <c r="F11" s="364"/>
      <c r="G11" s="364"/>
    </row>
    <row r="12" customFormat="1" ht="19.05" customHeight="1" spans="1:7">
      <c r="A12" s="367" t="s">
        <v>1785</v>
      </c>
      <c r="B12" s="367" t="s">
        <v>1421</v>
      </c>
      <c r="C12" s="367" t="s">
        <v>1786</v>
      </c>
      <c r="D12" s="363" t="s">
        <v>1787</v>
      </c>
      <c r="E12" s="363" t="s">
        <v>1770</v>
      </c>
      <c r="F12" s="368"/>
      <c r="G12" s="368" t="s">
        <v>1788</v>
      </c>
    </row>
    <row r="13" customFormat="1" ht="19.05" customHeight="1" spans="1:7">
      <c r="A13" s="369"/>
      <c r="B13" s="367" t="s">
        <v>1421</v>
      </c>
      <c r="C13" s="367" t="s">
        <v>1789</v>
      </c>
      <c r="D13" s="363" t="s">
        <v>1787</v>
      </c>
      <c r="E13" s="363" t="s">
        <v>1770</v>
      </c>
      <c r="F13" s="368"/>
      <c r="G13" s="368" t="s">
        <v>1790</v>
      </c>
    </row>
    <row r="14" ht="17.25" spans="1:7">
      <c r="A14" s="369"/>
      <c r="B14" s="367" t="s">
        <v>1421</v>
      </c>
      <c r="C14" s="367" t="s">
        <v>1791</v>
      </c>
      <c r="D14" s="370" t="s">
        <v>1787</v>
      </c>
      <c r="E14" s="370" t="s">
        <v>1792</v>
      </c>
      <c r="F14" s="368"/>
      <c r="G14" s="368" t="s">
        <v>1793</v>
      </c>
    </row>
    <row r="15" ht="17.25" spans="1:7">
      <c r="A15" s="371" t="s">
        <v>1794</v>
      </c>
      <c r="B15" s="371" t="s">
        <v>1421</v>
      </c>
      <c r="C15" s="372" t="s">
        <v>1795</v>
      </c>
      <c r="D15" s="373" t="s">
        <v>1796</v>
      </c>
      <c r="E15" s="373" t="s">
        <v>1797</v>
      </c>
      <c r="F15" s="368"/>
      <c r="G15" s="372" t="s">
        <v>1798</v>
      </c>
    </row>
    <row r="16" ht="48" customHeight="1" spans="1:7">
      <c r="A16" s="374"/>
      <c r="B16" s="375"/>
      <c r="C16" s="372" t="s">
        <v>1455</v>
      </c>
      <c r="D16" s="373" t="s">
        <v>1799</v>
      </c>
      <c r="E16" s="376" t="s">
        <v>1800</v>
      </c>
      <c r="F16" s="372"/>
      <c r="G16" s="372" t="s">
        <v>1801</v>
      </c>
    </row>
    <row r="17" ht="17.25" spans="1:7">
      <c r="A17" s="374"/>
      <c r="B17" s="371" t="s">
        <v>1421</v>
      </c>
      <c r="C17" s="377" t="s">
        <v>1802</v>
      </c>
      <c r="D17" s="373" t="s">
        <v>1803</v>
      </c>
      <c r="E17" s="373" t="s">
        <v>1804</v>
      </c>
      <c r="F17" s="372"/>
      <c r="G17" s="372"/>
    </row>
    <row r="18" ht="30" customHeight="1" spans="1:7">
      <c r="A18" s="375"/>
      <c r="B18" s="375"/>
      <c r="C18" s="377" t="s">
        <v>1805</v>
      </c>
      <c r="D18" s="373" t="s">
        <v>1806</v>
      </c>
      <c r="E18" s="373" t="s">
        <v>1807</v>
      </c>
      <c r="F18" s="372"/>
      <c r="G18" s="372" t="s">
        <v>1808</v>
      </c>
    </row>
    <row r="19" ht="17.25" spans="1:7">
      <c r="A19" s="378"/>
      <c r="B19" s="371" t="s">
        <v>1421</v>
      </c>
      <c r="C19" s="379" t="s">
        <v>1809</v>
      </c>
      <c r="D19" s="380" t="s">
        <v>1810</v>
      </c>
      <c r="E19" s="379" t="s">
        <v>1811</v>
      </c>
      <c r="F19" s="372"/>
      <c r="G19" s="372" t="s">
        <v>1812</v>
      </c>
    </row>
    <row r="20" ht="99" customHeight="1" spans="1:7">
      <c r="A20" s="374" t="s">
        <v>1813</v>
      </c>
      <c r="B20" s="375"/>
      <c r="C20" s="372" t="s">
        <v>1814</v>
      </c>
      <c r="D20" s="381" t="s">
        <v>1815</v>
      </c>
      <c r="E20" s="381" t="s">
        <v>1816</v>
      </c>
      <c r="F20" s="372"/>
      <c r="G20" s="372" t="s">
        <v>1817</v>
      </c>
    </row>
    <row r="21" ht="86.25" spans="1:7">
      <c r="A21" s="374"/>
      <c r="B21" s="371" t="s">
        <v>1421</v>
      </c>
      <c r="C21" s="375" t="s">
        <v>1818</v>
      </c>
      <c r="D21" s="373" t="s">
        <v>1819</v>
      </c>
      <c r="E21" s="373" t="s">
        <v>1820</v>
      </c>
      <c r="F21" s="372"/>
      <c r="G21" s="372" t="s">
        <v>1821</v>
      </c>
    </row>
    <row r="22" ht="17.25" spans="1:7">
      <c r="A22" s="374"/>
      <c r="B22" s="375"/>
      <c r="C22" s="377" t="s">
        <v>1822</v>
      </c>
      <c r="D22" s="373" t="s">
        <v>1823</v>
      </c>
      <c r="E22" s="373" t="s">
        <v>1824</v>
      </c>
      <c r="F22" s="372"/>
      <c r="G22" s="372"/>
    </row>
    <row r="23" ht="81" customHeight="1" spans="1:7">
      <c r="A23" s="375"/>
      <c r="B23" s="372" t="s">
        <v>1421</v>
      </c>
      <c r="C23" s="377" t="s">
        <v>1825</v>
      </c>
      <c r="D23" s="373" t="s">
        <v>1826</v>
      </c>
      <c r="E23" s="373" t="s">
        <v>1827</v>
      </c>
      <c r="F23" s="372"/>
      <c r="G23" s="372" t="s">
        <v>1828</v>
      </c>
    </row>
  </sheetData>
  <mergeCells count="11">
    <mergeCell ref="A1:G1"/>
    <mergeCell ref="A2:C2"/>
    <mergeCell ref="A4:A11"/>
    <mergeCell ref="A12:A14"/>
    <mergeCell ref="A15:A18"/>
    <mergeCell ref="A20:A23"/>
    <mergeCell ref="B4:B11"/>
    <mergeCell ref="B15:B16"/>
    <mergeCell ref="B17:B18"/>
    <mergeCell ref="B19:B20"/>
    <mergeCell ref="B21:B22"/>
  </mergeCells>
  <pageMargins left="0.699305555555556" right="0.699305555555556" top="0.75" bottom="0.75" header="0.3" footer="0.3"/>
  <pageSetup paperSize="9" scale="52" orientation="portrait" horizontalDpi="300" verticalDpi="300"/>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tint="-0.249977111117893"/>
  </sheetPr>
  <dimension ref="A1:R14"/>
  <sheetViews>
    <sheetView zoomScale="85" zoomScaleNormal="85" zoomScalePageLayoutView="330" workbookViewId="0">
      <pane xSplit="3" ySplit="2" topLeftCell="D3" activePane="bottomRight" state="frozen"/>
      <selection/>
      <selection pane="topRight"/>
      <selection pane="bottomLeft"/>
      <selection pane="bottomRight" activeCell="D3" sqref="D3:O3"/>
    </sheetView>
  </sheetViews>
  <sheetFormatPr defaultColWidth="9" defaultRowHeight="14.25"/>
  <sheetData>
    <row r="1" ht="34.05" customHeight="1" spans="1:18">
      <c r="A1" s="328" t="s">
        <v>1829</v>
      </c>
      <c r="B1" s="328"/>
      <c r="C1" s="328"/>
      <c r="D1" s="328"/>
      <c r="E1" s="328"/>
      <c r="F1" s="328"/>
      <c r="G1" s="328"/>
      <c r="H1" s="328"/>
      <c r="I1" s="328"/>
      <c r="J1" s="328"/>
      <c r="K1" s="328"/>
      <c r="L1" s="328"/>
      <c r="M1" s="328"/>
      <c r="N1" s="328"/>
      <c r="O1" s="328"/>
      <c r="P1" s="328"/>
      <c r="Q1" s="328"/>
      <c r="R1" s="328"/>
    </row>
    <row r="2" s="317" customFormat="1" ht="22.05" customHeight="1" spans="1:18">
      <c r="A2" s="329" t="s">
        <v>1830</v>
      </c>
      <c r="B2" s="330"/>
      <c r="C2" s="329"/>
      <c r="D2" s="329"/>
      <c r="E2" s="329"/>
      <c r="F2" s="329"/>
      <c r="G2" s="329"/>
      <c r="H2" s="329"/>
      <c r="I2" s="329"/>
      <c r="J2" s="329"/>
      <c r="K2" s="329"/>
      <c r="L2" s="329"/>
      <c r="M2" s="329"/>
      <c r="N2" s="329"/>
      <c r="O2" s="329"/>
      <c r="P2" s="329"/>
      <c r="Q2" s="329"/>
      <c r="R2" s="329"/>
    </row>
    <row r="3" s="317" customFormat="1" ht="105" customHeight="1" spans="1:18">
      <c r="A3" s="331" t="s">
        <v>1831</v>
      </c>
      <c r="B3" s="331"/>
      <c r="C3" s="331"/>
      <c r="D3" s="332" t="s">
        <v>1832</v>
      </c>
      <c r="E3" s="333"/>
      <c r="F3" s="333"/>
      <c r="G3" s="333"/>
      <c r="H3" s="333"/>
      <c r="I3" s="333"/>
      <c r="J3" s="333"/>
      <c r="K3" s="333"/>
      <c r="L3" s="333"/>
      <c r="M3" s="333"/>
      <c r="N3" s="333"/>
      <c r="O3" s="347"/>
      <c r="P3" s="331" t="s">
        <v>1833</v>
      </c>
      <c r="Q3" s="350"/>
      <c r="R3" s="350"/>
    </row>
    <row r="4" s="317" customFormat="1" ht="30" customHeight="1" spans="1:18">
      <c r="A4" s="334" t="s">
        <v>1834</v>
      </c>
      <c r="B4" s="334" t="s">
        <v>1834</v>
      </c>
      <c r="C4" s="335" t="s">
        <v>1835</v>
      </c>
      <c r="D4" s="336" t="s">
        <v>1836</v>
      </c>
      <c r="E4" s="336" t="s">
        <v>1836</v>
      </c>
      <c r="F4" s="336" t="s">
        <v>1836</v>
      </c>
      <c r="G4" s="336" t="s">
        <v>1836</v>
      </c>
      <c r="H4" s="335" t="s">
        <v>1835</v>
      </c>
      <c r="I4" s="336" t="s">
        <v>1836</v>
      </c>
      <c r="J4" s="336" t="s">
        <v>1836</v>
      </c>
      <c r="K4" s="336" t="s">
        <v>1836</v>
      </c>
      <c r="L4" s="336" t="s">
        <v>1836</v>
      </c>
      <c r="M4" s="336" t="s">
        <v>1836</v>
      </c>
      <c r="N4" s="336" t="s">
        <v>1836</v>
      </c>
      <c r="O4" s="336" t="s">
        <v>1836</v>
      </c>
      <c r="P4" s="335" t="s">
        <v>1835</v>
      </c>
      <c r="Q4" s="351" t="s">
        <v>1837</v>
      </c>
      <c r="R4" s="351" t="s">
        <v>1837</v>
      </c>
    </row>
    <row r="5" s="317" customFormat="1" ht="30" customHeight="1" spans="1:18">
      <c r="A5" s="334" t="s">
        <v>1834</v>
      </c>
      <c r="B5" s="334" t="s">
        <v>1834</v>
      </c>
      <c r="C5" s="337"/>
      <c r="D5" s="338" t="s">
        <v>1838</v>
      </c>
      <c r="E5" s="338" t="s">
        <v>1838</v>
      </c>
      <c r="F5" s="338" t="s">
        <v>1838</v>
      </c>
      <c r="G5" s="338" t="s">
        <v>1838</v>
      </c>
      <c r="H5" s="337"/>
      <c r="I5" s="338" t="s">
        <v>1838</v>
      </c>
      <c r="J5" s="338" t="s">
        <v>1838</v>
      </c>
      <c r="K5" s="338" t="s">
        <v>1838</v>
      </c>
      <c r="L5" s="338" t="s">
        <v>1838</v>
      </c>
      <c r="M5" s="338" t="s">
        <v>1838</v>
      </c>
      <c r="N5" s="338" t="s">
        <v>1838</v>
      </c>
      <c r="O5" s="338" t="s">
        <v>1838</v>
      </c>
      <c r="P5" s="337"/>
      <c r="Q5" s="351" t="s">
        <v>1837</v>
      </c>
      <c r="R5" s="351" t="s">
        <v>1837</v>
      </c>
    </row>
    <row r="6" s="317" customFormat="1" ht="30" customHeight="1" spans="1:18">
      <c r="A6" s="334" t="s">
        <v>1834</v>
      </c>
      <c r="B6" s="334" t="s">
        <v>1834</v>
      </c>
      <c r="C6" s="337"/>
      <c r="D6" s="338" t="s">
        <v>1838</v>
      </c>
      <c r="E6" s="338" t="s">
        <v>1838</v>
      </c>
      <c r="F6" s="338" t="s">
        <v>1838</v>
      </c>
      <c r="G6" s="338" t="s">
        <v>1838</v>
      </c>
      <c r="H6" s="337"/>
      <c r="I6" s="338" t="s">
        <v>1838</v>
      </c>
      <c r="J6" s="338" t="s">
        <v>1838</v>
      </c>
      <c r="K6" s="338" t="s">
        <v>1838</v>
      </c>
      <c r="L6" s="338" t="s">
        <v>1838</v>
      </c>
      <c r="M6" s="338" t="s">
        <v>1838</v>
      </c>
      <c r="N6" s="338" t="s">
        <v>1838</v>
      </c>
      <c r="O6" s="338" t="s">
        <v>1838</v>
      </c>
      <c r="P6" s="337"/>
      <c r="Q6" s="351" t="s">
        <v>1837</v>
      </c>
      <c r="R6" s="351" t="s">
        <v>1837</v>
      </c>
    </row>
    <row r="7" s="317" customFormat="1" ht="30" customHeight="1" spans="1:18">
      <c r="A7" s="334" t="s">
        <v>1834</v>
      </c>
      <c r="B7" s="334" t="s">
        <v>1834</v>
      </c>
      <c r="C7" s="337"/>
      <c r="D7" s="339" t="s">
        <v>1839</v>
      </c>
      <c r="E7" s="339" t="s">
        <v>1839</v>
      </c>
      <c r="F7" s="339" t="s">
        <v>1839</v>
      </c>
      <c r="G7" s="339" t="s">
        <v>1839</v>
      </c>
      <c r="H7" s="337"/>
      <c r="I7" s="339" t="s">
        <v>1839</v>
      </c>
      <c r="J7" s="339" t="s">
        <v>1839</v>
      </c>
      <c r="K7" s="339" t="s">
        <v>1839</v>
      </c>
      <c r="L7" s="339" t="s">
        <v>1839</v>
      </c>
      <c r="M7" s="339" t="s">
        <v>1839</v>
      </c>
      <c r="N7" s="339" t="s">
        <v>1839</v>
      </c>
      <c r="O7" s="339" t="s">
        <v>1839</v>
      </c>
      <c r="P7" s="337"/>
      <c r="Q7" s="351" t="s">
        <v>1837</v>
      </c>
      <c r="R7" s="351" t="s">
        <v>1837</v>
      </c>
    </row>
    <row r="8" s="317" customFormat="1" ht="30" customHeight="1" spans="1:18">
      <c r="A8" s="339" t="s">
        <v>1839</v>
      </c>
      <c r="B8" s="339" t="s">
        <v>1839</v>
      </c>
      <c r="C8" s="337"/>
      <c r="D8" s="339" t="s">
        <v>1839</v>
      </c>
      <c r="E8" s="339" t="s">
        <v>1839</v>
      </c>
      <c r="F8" s="339" t="s">
        <v>1839</v>
      </c>
      <c r="G8" s="339" t="s">
        <v>1839</v>
      </c>
      <c r="H8" s="337"/>
      <c r="I8" s="339" t="s">
        <v>1839</v>
      </c>
      <c r="J8" s="339" t="s">
        <v>1839</v>
      </c>
      <c r="K8" s="339" t="s">
        <v>1839</v>
      </c>
      <c r="L8" s="339" t="s">
        <v>1839</v>
      </c>
      <c r="M8" s="339" t="s">
        <v>1839</v>
      </c>
      <c r="N8" s="339" t="s">
        <v>1839</v>
      </c>
      <c r="O8" s="339" t="s">
        <v>1839</v>
      </c>
      <c r="P8" s="337"/>
      <c r="Q8" s="351" t="s">
        <v>1837</v>
      </c>
      <c r="R8" s="351" t="s">
        <v>1837</v>
      </c>
    </row>
    <row r="9" s="317" customFormat="1" ht="30" customHeight="1" spans="1:18">
      <c r="A9" s="339" t="s">
        <v>1839</v>
      </c>
      <c r="B9" s="339" t="s">
        <v>1839</v>
      </c>
      <c r="C9" s="337"/>
      <c r="D9" s="339" t="s">
        <v>1839</v>
      </c>
      <c r="E9" s="339" t="s">
        <v>1839</v>
      </c>
      <c r="F9" s="339" t="s">
        <v>1839</v>
      </c>
      <c r="G9" s="339" t="s">
        <v>1839</v>
      </c>
      <c r="H9" s="337"/>
      <c r="I9" s="348" t="s">
        <v>1840</v>
      </c>
      <c r="J9" s="349"/>
      <c r="K9" s="339" t="s">
        <v>1839</v>
      </c>
      <c r="L9" s="339" t="s">
        <v>1839</v>
      </c>
      <c r="M9" s="339" t="s">
        <v>1839</v>
      </c>
      <c r="N9" s="339" t="s">
        <v>1839</v>
      </c>
      <c r="O9" s="339" t="s">
        <v>1839</v>
      </c>
      <c r="P9" s="337"/>
      <c r="Q9" s="351" t="s">
        <v>1837</v>
      </c>
      <c r="R9" s="351" t="s">
        <v>1837</v>
      </c>
    </row>
    <row r="10" s="317" customFormat="1" ht="30" customHeight="1" spans="1:18">
      <c r="A10" s="339" t="s">
        <v>1839</v>
      </c>
      <c r="B10" s="339" t="s">
        <v>1839</v>
      </c>
      <c r="C10" s="337"/>
      <c r="D10" s="339" t="s">
        <v>1839</v>
      </c>
      <c r="E10" s="339" t="s">
        <v>1839</v>
      </c>
      <c r="F10" s="339" t="s">
        <v>1839</v>
      </c>
      <c r="G10" s="339" t="s">
        <v>1839</v>
      </c>
      <c r="H10" s="337"/>
      <c r="I10" s="339" t="s">
        <v>1839</v>
      </c>
      <c r="J10" s="339" t="s">
        <v>1839</v>
      </c>
      <c r="K10" s="339" t="s">
        <v>1839</v>
      </c>
      <c r="L10" s="339" t="s">
        <v>1839</v>
      </c>
      <c r="M10" s="339" t="s">
        <v>1839</v>
      </c>
      <c r="N10" s="339" t="s">
        <v>1839</v>
      </c>
      <c r="O10" s="339" t="s">
        <v>1839</v>
      </c>
      <c r="P10" s="337"/>
      <c r="Q10" s="351" t="s">
        <v>1837</v>
      </c>
      <c r="R10" s="351" t="s">
        <v>1837</v>
      </c>
    </row>
    <row r="11" s="317" customFormat="1" ht="30" customHeight="1" spans="1:18">
      <c r="A11" s="339" t="s">
        <v>1839</v>
      </c>
      <c r="B11" s="339" t="s">
        <v>1839</v>
      </c>
      <c r="C11" s="337"/>
      <c r="D11" s="339" t="s">
        <v>1839</v>
      </c>
      <c r="E11" s="339" t="s">
        <v>1839</v>
      </c>
      <c r="F11" s="339" t="s">
        <v>1839</v>
      </c>
      <c r="G11" s="339" t="s">
        <v>1839</v>
      </c>
      <c r="H11" s="337"/>
      <c r="I11" s="339" t="s">
        <v>1839</v>
      </c>
      <c r="J11" s="339" t="s">
        <v>1839</v>
      </c>
      <c r="K11" s="339" t="s">
        <v>1839</v>
      </c>
      <c r="L11" s="339" t="s">
        <v>1839</v>
      </c>
      <c r="M11" s="339" t="s">
        <v>1839</v>
      </c>
      <c r="N11" s="339" t="s">
        <v>1839</v>
      </c>
      <c r="O11" s="339" t="s">
        <v>1839</v>
      </c>
      <c r="P11" s="337"/>
      <c r="Q11" s="351" t="s">
        <v>1837</v>
      </c>
      <c r="R11" s="351" t="s">
        <v>1837</v>
      </c>
    </row>
    <row r="12" s="317" customFormat="1" ht="30" customHeight="1" spans="1:18">
      <c r="A12" s="339" t="s">
        <v>1839</v>
      </c>
      <c r="B12" s="339" t="s">
        <v>1839</v>
      </c>
      <c r="C12" s="340"/>
      <c r="D12" s="339" t="s">
        <v>1839</v>
      </c>
      <c r="E12" s="339" t="s">
        <v>1839</v>
      </c>
      <c r="F12" s="339" t="s">
        <v>1839</v>
      </c>
      <c r="G12" s="339" t="s">
        <v>1839</v>
      </c>
      <c r="H12" s="340"/>
      <c r="I12" s="339" t="s">
        <v>1839</v>
      </c>
      <c r="J12" s="339" t="s">
        <v>1839</v>
      </c>
      <c r="K12" s="339" t="s">
        <v>1839</v>
      </c>
      <c r="L12" s="339" t="s">
        <v>1839</v>
      </c>
      <c r="M12" s="339" t="s">
        <v>1839</v>
      </c>
      <c r="N12" s="339" t="s">
        <v>1839</v>
      </c>
      <c r="O12" s="339" t="s">
        <v>1839</v>
      </c>
      <c r="P12" s="340"/>
      <c r="Q12" s="351" t="s">
        <v>1837</v>
      </c>
      <c r="R12" s="351" t="s">
        <v>1837</v>
      </c>
    </row>
    <row r="13" s="317" customFormat="1" ht="60" customHeight="1" spans="1:18">
      <c r="A13" s="341" t="s">
        <v>1835</v>
      </c>
      <c r="B13" s="342"/>
      <c r="C13" s="342"/>
      <c r="D13" s="342"/>
      <c r="E13" s="342"/>
      <c r="F13" s="342"/>
      <c r="G13" s="342"/>
      <c r="H13" s="342"/>
      <c r="I13" s="342"/>
      <c r="J13" s="342"/>
      <c r="K13" s="342"/>
      <c r="L13" s="342"/>
      <c r="M13" s="342"/>
      <c r="N13" s="342"/>
      <c r="O13" s="342"/>
      <c r="P13" s="342"/>
      <c r="Q13" s="342"/>
      <c r="R13" s="352"/>
    </row>
    <row r="14" s="317" customFormat="1" ht="60" customHeight="1" spans="1:18">
      <c r="A14" s="343" t="s">
        <v>1841</v>
      </c>
      <c r="B14" s="344"/>
      <c r="C14" s="345"/>
      <c r="D14" s="346" t="s">
        <v>1842</v>
      </c>
      <c r="E14" s="346"/>
      <c r="F14" s="346"/>
      <c r="G14" s="346"/>
      <c r="H14" s="346"/>
      <c r="I14" s="346"/>
      <c r="J14" s="346"/>
      <c r="K14" s="346"/>
      <c r="L14" s="346"/>
      <c r="M14" s="346"/>
      <c r="N14" s="346"/>
      <c r="O14" s="346"/>
      <c r="P14" s="343" t="s">
        <v>1841</v>
      </c>
      <c r="Q14" s="344"/>
      <c r="R14" s="345"/>
    </row>
  </sheetData>
  <mergeCells count="12">
    <mergeCell ref="A1:R1"/>
    <mergeCell ref="A3:C3"/>
    <mergeCell ref="D3:O3"/>
    <mergeCell ref="P3:R3"/>
    <mergeCell ref="I9:J9"/>
    <mergeCell ref="A13:R13"/>
    <mergeCell ref="A14:C14"/>
    <mergeCell ref="D14:O14"/>
    <mergeCell ref="P14:R14"/>
    <mergeCell ref="C4:C12"/>
    <mergeCell ref="H4:H12"/>
    <mergeCell ref="P4:P12"/>
  </mergeCells>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8" tint="-0.249977111117893"/>
  </sheetPr>
  <dimension ref="A1:K26"/>
  <sheetViews>
    <sheetView zoomScale="85" zoomScaleNormal="85" zoomScalePageLayoutView="310" workbookViewId="0">
      <pane xSplit="3" ySplit="5" topLeftCell="D6" activePane="bottomRight" state="frozen"/>
      <selection/>
      <selection pane="topRight"/>
      <selection pane="bottomLeft"/>
      <selection pane="bottomRight" activeCell="I14" sqref="I14"/>
    </sheetView>
  </sheetViews>
  <sheetFormatPr defaultColWidth="9" defaultRowHeight="14.25"/>
  <cols>
    <col min="1" max="1" width="7.7" customWidth="1"/>
    <col min="2" max="2" width="11" customWidth="1"/>
    <col min="3" max="3" width="22" customWidth="1"/>
    <col min="4" max="4" width="19.3" customWidth="1"/>
    <col min="5" max="5" width="15.2" customWidth="1"/>
    <col min="6" max="6" width="19" customWidth="1"/>
    <col min="7" max="7" width="13.7" customWidth="1"/>
    <col min="8" max="8" width="24.3" customWidth="1"/>
    <col min="9" max="9" width="18.2" customWidth="1"/>
    <col min="10" max="10" width="16.7" customWidth="1"/>
    <col min="11" max="11" width="20" customWidth="1"/>
  </cols>
  <sheetData>
    <row r="1" s="317" customFormat="1" ht="25.95" customHeight="1" spans="1:11">
      <c r="A1" s="4" t="s">
        <v>1843</v>
      </c>
      <c r="B1" s="4"/>
      <c r="C1" s="4"/>
      <c r="D1" s="4"/>
      <c r="E1" s="4"/>
      <c r="F1" s="4"/>
      <c r="G1" s="4"/>
      <c r="H1" s="4"/>
      <c r="I1" s="4"/>
      <c r="J1" s="4"/>
      <c r="K1" s="4"/>
    </row>
    <row r="2" s="317" customFormat="1" ht="19.95" customHeight="1" spans="1:11">
      <c r="A2" s="318" t="s">
        <v>1844</v>
      </c>
      <c r="B2" s="319"/>
      <c r="C2" s="320"/>
      <c r="D2" s="318" t="s">
        <v>1845</v>
      </c>
      <c r="E2" s="319"/>
      <c r="F2" s="320"/>
      <c r="G2" s="318" t="s">
        <v>1846</v>
      </c>
      <c r="H2" s="319"/>
      <c r="I2" s="319"/>
      <c r="J2" s="319"/>
      <c r="K2" s="320"/>
    </row>
    <row r="3" s="317" customFormat="1" ht="21" customHeight="1" spans="1:11">
      <c r="A3" s="321" t="s">
        <v>1847</v>
      </c>
      <c r="B3" s="322"/>
      <c r="C3" s="323"/>
      <c r="D3" s="324" t="s">
        <v>1848</v>
      </c>
      <c r="E3" s="324"/>
      <c r="F3" s="324"/>
      <c r="G3" s="321" t="s">
        <v>1849</v>
      </c>
      <c r="H3" s="322"/>
      <c r="I3" s="322"/>
      <c r="J3" s="322"/>
      <c r="K3" s="323"/>
    </row>
    <row r="4" s="317" customFormat="1" ht="21" customHeight="1" spans="1:11">
      <c r="A4" s="321" t="s">
        <v>1100</v>
      </c>
      <c r="B4" s="322"/>
      <c r="C4" s="323"/>
      <c r="D4" s="321" t="s">
        <v>1850</v>
      </c>
      <c r="E4" s="322"/>
      <c r="F4" s="323"/>
      <c r="G4" s="325" t="s">
        <v>1851</v>
      </c>
      <c r="H4" s="322"/>
      <c r="I4" s="322"/>
      <c r="J4" s="322"/>
      <c r="K4" s="323"/>
    </row>
    <row r="5" s="317" customFormat="1" ht="21" customHeight="1" spans="1:11">
      <c r="A5" s="326" t="s">
        <v>63</v>
      </c>
      <c r="B5" s="326" t="s">
        <v>28</v>
      </c>
      <c r="C5" s="326" t="s">
        <v>1852</v>
      </c>
      <c r="D5" s="326" t="s">
        <v>1719</v>
      </c>
      <c r="E5" s="326" t="s">
        <v>1853</v>
      </c>
      <c r="F5" s="326" t="s">
        <v>1854</v>
      </c>
      <c r="G5" s="326" t="s">
        <v>28</v>
      </c>
      <c r="H5" s="326" t="s">
        <v>1852</v>
      </c>
      <c r="I5" s="326" t="s">
        <v>1719</v>
      </c>
      <c r="J5" s="326" t="s">
        <v>1853</v>
      </c>
      <c r="K5" s="326" t="s">
        <v>1854</v>
      </c>
    </row>
    <row r="6" s="317" customFormat="1" ht="21" customHeight="1" spans="1:11">
      <c r="A6" s="216">
        <v>1</v>
      </c>
      <c r="B6" s="216" t="s">
        <v>260</v>
      </c>
      <c r="C6" s="216"/>
      <c r="D6" s="216" t="s">
        <v>1855</v>
      </c>
      <c r="E6" s="216" t="s">
        <v>1856</v>
      </c>
      <c r="F6" s="216" t="s">
        <v>1857</v>
      </c>
      <c r="G6" s="216" t="s">
        <v>260</v>
      </c>
      <c r="H6" s="216"/>
      <c r="I6" s="216" t="s">
        <v>1855</v>
      </c>
      <c r="J6" s="216" t="s">
        <v>1856</v>
      </c>
      <c r="K6" s="216" t="s">
        <v>1857</v>
      </c>
    </row>
    <row r="7" s="317" customFormat="1" ht="21" customHeight="1" spans="1:11">
      <c r="A7" s="216">
        <v>2</v>
      </c>
      <c r="B7" s="216"/>
      <c r="C7" s="216"/>
      <c r="D7" s="216"/>
      <c r="E7" s="216"/>
      <c r="F7" s="216"/>
      <c r="G7" s="216"/>
      <c r="H7" s="216"/>
      <c r="I7" s="216"/>
      <c r="J7" s="216"/>
      <c r="K7" s="216"/>
    </row>
    <row r="8" s="317" customFormat="1" ht="21" customHeight="1" spans="1:11">
      <c r="A8" s="216">
        <v>3</v>
      </c>
      <c r="B8" s="216"/>
      <c r="C8" s="216"/>
      <c r="D8" s="216"/>
      <c r="E8" s="216"/>
      <c r="F8" s="216"/>
      <c r="G8" s="216"/>
      <c r="H8" s="216"/>
      <c r="I8" s="216"/>
      <c r="J8" s="216"/>
      <c r="K8" s="216"/>
    </row>
    <row r="9" s="317" customFormat="1" ht="21" customHeight="1" spans="1:11">
      <c r="A9" s="216">
        <v>4</v>
      </c>
      <c r="B9" s="216" t="s">
        <v>670</v>
      </c>
      <c r="C9" s="216" t="s">
        <v>670</v>
      </c>
      <c r="D9" s="216" t="s">
        <v>670</v>
      </c>
      <c r="E9" s="216" t="s">
        <v>670</v>
      </c>
      <c r="F9" s="216" t="s">
        <v>670</v>
      </c>
      <c r="G9" s="216" t="s">
        <v>670</v>
      </c>
      <c r="H9" s="216" t="s">
        <v>670</v>
      </c>
      <c r="I9" s="216" t="s">
        <v>670</v>
      </c>
      <c r="J9" s="216" t="s">
        <v>670</v>
      </c>
      <c r="K9" s="216" t="s">
        <v>670</v>
      </c>
    </row>
    <row r="10" s="317" customFormat="1" ht="21" customHeight="1" spans="1:11">
      <c r="A10" s="216">
        <v>5</v>
      </c>
      <c r="B10" s="216"/>
      <c r="C10" s="216"/>
      <c r="D10" s="216"/>
      <c r="E10" s="216"/>
      <c r="F10" s="216"/>
      <c r="G10" s="216"/>
      <c r="H10" s="216"/>
      <c r="I10" s="216"/>
      <c r="J10" s="216"/>
      <c r="K10" s="216"/>
    </row>
    <row r="11" s="317" customFormat="1" ht="21" customHeight="1" spans="1:11">
      <c r="A11" s="216">
        <v>6</v>
      </c>
      <c r="B11" s="216"/>
      <c r="C11" s="216"/>
      <c r="D11" s="216"/>
      <c r="E11" s="216"/>
      <c r="F11" s="216"/>
      <c r="G11" s="216"/>
      <c r="H11" s="216"/>
      <c r="I11" s="216"/>
      <c r="J11" s="216"/>
      <c r="K11" s="216"/>
    </row>
    <row r="12" s="317" customFormat="1" ht="21" customHeight="1" spans="1:11">
      <c r="A12" s="216">
        <v>7</v>
      </c>
      <c r="B12" s="216"/>
      <c r="C12" s="216"/>
      <c r="D12" s="216"/>
      <c r="E12" s="216"/>
      <c r="F12" s="216"/>
      <c r="G12" s="216"/>
      <c r="H12" s="216"/>
      <c r="I12" s="216"/>
      <c r="J12" s="216"/>
      <c r="K12" s="216"/>
    </row>
    <row r="13" s="317" customFormat="1" ht="21" customHeight="1" spans="1:11">
      <c r="A13" s="216">
        <v>8</v>
      </c>
      <c r="B13" s="216"/>
      <c r="C13" s="216"/>
      <c r="D13" s="216"/>
      <c r="E13" s="216"/>
      <c r="F13" s="216"/>
      <c r="G13" s="216"/>
      <c r="H13" s="216"/>
      <c r="I13" s="216"/>
      <c r="J13" s="216"/>
      <c r="K13" s="216"/>
    </row>
    <row r="14" s="317" customFormat="1" ht="21" customHeight="1" spans="1:11">
      <c r="A14" s="216">
        <v>9</v>
      </c>
      <c r="B14" s="216"/>
      <c r="C14" s="216"/>
      <c r="D14" s="216"/>
      <c r="E14" s="216"/>
      <c r="F14" s="216"/>
      <c r="G14" s="216"/>
      <c r="H14" s="216"/>
      <c r="I14" s="216"/>
      <c r="J14" s="216"/>
      <c r="K14" s="216"/>
    </row>
    <row r="15" s="317" customFormat="1" ht="21" customHeight="1" spans="1:11">
      <c r="A15" s="216">
        <v>10</v>
      </c>
      <c r="B15" s="216"/>
      <c r="C15" s="216"/>
      <c r="D15" s="216"/>
      <c r="E15" s="216"/>
      <c r="F15" s="216"/>
      <c r="G15" s="216"/>
      <c r="H15" s="216"/>
      <c r="I15" s="216"/>
      <c r="J15" s="216"/>
      <c r="K15" s="216"/>
    </row>
    <row r="16" s="317" customFormat="1" ht="21" customHeight="1" spans="1:11">
      <c r="A16" s="216">
        <v>11</v>
      </c>
      <c r="B16" s="216"/>
      <c r="C16" s="216"/>
      <c r="D16" s="216"/>
      <c r="E16" s="216"/>
      <c r="F16" s="216"/>
      <c r="G16" s="216"/>
      <c r="H16" s="216"/>
      <c r="I16" s="216"/>
      <c r="J16" s="216"/>
      <c r="K16" s="216"/>
    </row>
    <row r="17" s="317" customFormat="1" ht="21" customHeight="1" spans="1:11">
      <c r="A17" s="216">
        <v>12</v>
      </c>
      <c r="B17" s="216"/>
      <c r="C17" s="216"/>
      <c r="D17" s="216"/>
      <c r="E17" s="216"/>
      <c r="F17" s="216"/>
      <c r="G17" s="216"/>
      <c r="H17" s="216"/>
      <c r="I17" s="216"/>
      <c r="J17" s="216"/>
      <c r="K17" s="216"/>
    </row>
    <row r="18" s="317" customFormat="1" ht="21" customHeight="1" spans="1:11">
      <c r="A18" s="216">
        <v>13</v>
      </c>
      <c r="B18" s="216"/>
      <c r="C18" s="216"/>
      <c r="D18" s="216"/>
      <c r="E18" s="216"/>
      <c r="F18" s="216"/>
      <c r="G18" s="216"/>
      <c r="H18" s="216"/>
      <c r="I18" s="216"/>
      <c r="J18" s="216"/>
      <c r="K18" s="216"/>
    </row>
    <row r="19" s="317" customFormat="1" ht="21" customHeight="1" spans="1:11">
      <c r="A19" s="216">
        <v>14</v>
      </c>
      <c r="B19" s="216"/>
      <c r="C19" s="216"/>
      <c r="D19" s="216"/>
      <c r="E19" s="216"/>
      <c r="F19" s="216"/>
      <c r="G19" s="216"/>
      <c r="H19" s="216"/>
      <c r="I19" s="216"/>
      <c r="J19" s="216"/>
      <c r="K19" s="216"/>
    </row>
    <row r="20" s="317" customFormat="1" ht="21" customHeight="1" spans="1:11">
      <c r="A20" s="216">
        <v>15</v>
      </c>
      <c r="B20" s="216"/>
      <c r="C20" s="216"/>
      <c r="D20" s="216"/>
      <c r="E20" s="216"/>
      <c r="F20" s="216"/>
      <c r="G20" s="216"/>
      <c r="H20" s="216"/>
      <c r="I20" s="216"/>
      <c r="J20" s="216"/>
      <c r="K20" s="216"/>
    </row>
    <row r="21" s="317" customFormat="1" ht="21" customHeight="1" spans="1:11">
      <c r="A21" s="216">
        <v>16</v>
      </c>
      <c r="B21" s="216"/>
      <c r="C21" s="216"/>
      <c r="D21" s="216"/>
      <c r="E21" s="216"/>
      <c r="F21" s="216"/>
      <c r="G21" s="216"/>
      <c r="H21" s="216"/>
      <c r="I21" s="216"/>
      <c r="J21" s="216"/>
      <c r="K21" s="216"/>
    </row>
    <row r="22" s="317" customFormat="1" ht="21" customHeight="1" spans="1:11">
      <c r="A22" s="216">
        <v>17</v>
      </c>
      <c r="B22" s="216"/>
      <c r="C22" s="216"/>
      <c r="D22" s="216"/>
      <c r="E22" s="216"/>
      <c r="F22" s="216"/>
      <c r="G22" s="216"/>
      <c r="H22" s="216"/>
      <c r="I22" s="216"/>
      <c r="J22" s="216"/>
      <c r="K22" s="216"/>
    </row>
    <row r="23" s="317" customFormat="1" ht="21" customHeight="1" spans="1:11">
      <c r="A23" s="216">
        <v>18</v>
      </c>
      <c r="B23" s="216"/>
      <c r="C23" s="216"/>
      <c r="D23" s="216"/>
      <c r="E23" s="216"/>
      <c r="F23" s="216"/>
      <c r="G23" s="216"/>
      <c r="H23" s="216"/>
      <c r="I23" s="216"/>
      <c r="J23" s="216"/>
      <c r="K23" s="216"/>
    </row>
    <row r="24" s="317" customFormat="1" ht="21" customHeight="1" spans="1:11">
      <c r="A24" s="216">
        <v>19</v>
      </c>
      <c r="B24" s="216"/>
      <c r="C24" s="216"/>
      <c r="D24" s="216"/>
      <c r="E24" s="216"/>
      <c r="F24" s="216"/>
      <c r="G24" s="216"/>
      <c r="H24" s="216"/>
      <c r="I24" s="216"/>
      <c r="J24" s="216"/>
      <c r="K24" s="216"/>
    </row>
    <row r="25" s="317" customFormat="1" ht="21" customHeight="1" spans="1:11">
      <c r="A25" s="216">
        <v>20</v>
      </c>
      <c r="B25" s="216"/>
      <c r="C25" s="216"/>
      <c r="D25" s="216"/>
      <c r="E25" s="216"/>
      <c r="F25" s="216"/>
      <c r="G25" s="216"/>
      <c r="H25" s="216"/>
      <c r="I25" s="216"/>
      <c r="J25" s="216"/>
      <c r="K25" s="216"/>
    </row>
    <row r="26" spans="1:11">
      <c r="A26" s="327"/>
      <c r="B26" s="327"/>
      <c r="C26" s="327"/>
      <c r="D26" s="327"/>
      <c r="E26" s="327"/>
      <c r="F26" s="327"/>
      <c r="G26" s="327"/>
      <c r="H26" s="327"/>
      <c r="I26" s="327"/>
      <c r="J26" s="327"/>
      <c r="K26" s="327"/>
    </row>
  </sheetData>
  <mergeCells count="10">
    <mergeCell ref="A1:K1"/>
    <mergeCell ref="A2:C2"/>
    <mergeCell ref="D2:F2"/>
    <mergeCell ref="G2:K2"/>
    <mergeCell ref="A3:C3"/>
    <mergeCell ref="D3:F3"/>
    <mergeCell ref="G3:K3"/>
    <mergeCell ref="A4:C4"/>
    <mergeCell ref="D4:F4"/>
    <mergeCell ref="G4:K4"/>
  </mergeCells>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7030A0"/>
  </sheetPr>
  <dimension ref="A1:AJ25"/>
  <sheetViews>
    <sheetView showGridLines="0" zoomScale="85" zoomScaleNormal="85" zoomScalePageLayoutView="310" workbookViewId="0">
      <pane xSplit="1" ySplit="5" topLeftCell="B6" activePane="bottomRight" state="frozen"/>
      <selection/>
      <selection pane="topRight"/>
      <selection pane="bottomLeft"/>
      <selection pane="bottomRight" activeCell="B8" sqref="B8"/>
    </sheetView>
  </sheetViews>
  <sheetFormatPr defaultColWidth="8.8" defaultRowHeight="11.25"/>
  <cols>
    <col min="1" max="1" width="12.3" style="292" customWidth="1"/>
    <col min="2" max="2" width="18.2" style="293" customWidth="1"/>
    <col min="3" max="3" width="33.8" style="294" customWidth="1"/>
    <col min="4" max="4" width="84" style="262" customWidth="1"/>
    <col min="5" max="5" width="11.2" style="262" customWidth="1"/>
    <col min="6" max="6" width="28.3" style="262" customWidth="1"/>
    <col min="7" max="7" width="8.8" style="262" hidden="1" customWidth="1"/>
    <col min="8" max="16384" width="8.8" style="262"/>
  </cols>
  <sheetData>
    <row r="1" ht="29.25" spans="1:36">
      <c r="A1" s="295" t="s">
        <v>1858</v>
      </c>
      <c r="B1" s="295"/>
      <c r="C1" s="295"/>
      <c r="D1" s="295"/>
      <c r="E1" s="295"/>
      <c r="F1" s="295"/>
      <c r="G1" s="296"/>
      <c r="J1" s="298"/>
      <c r="K1" s="298"/>
      <c r="L1" s="298"/>
      <c r="M1" s="298"/>
      <c r="N1" s="298"/>
      <c r="O1" s="298"/>
      <c r="P1" s="298"/>
      <c r="Q1" s="298"/>
      <c r="R1" s="298"/>
      <c r="S1" s="298"/>
      <c r="T1" s="298"/>
      <c r="U1" s="298"/>
      <c r="V1" s="298"/>
      <c r="W1" s="298"/>
      <c r="X1" s="298"/>
      <c r="Y1" s="298"/>
      <c r="Z1" s="298"/>
      <c r="AA1" s="298"/>
      <c r="AB1" s="298"/>
      <c r="AC1" s="298"/>
      <c r="AD1" s="298"/>
      <c r="AE1" s="298"/>
      <c r="AF1" s="298"/>
      <c r="AG1" s="298"/>
      <c r="AH1" s="298"/>
      <c r="AI1" s="298"/>
      <c r="AJ1" s="298"/>
    </row>
    <row r="2" s="290" customFormat="1" ht="17.25" spans="1:36">
      <c r="A2" s="59" t="s">
        <v>1859</v>
      </c>
      <c r="B2" s="59"/>
      <c r="C2" s="59"/>
      <c r="D2" s="59"/>
      <c r="E2" s="59"/>
      <c r="F2" s="59"/>
      <c r="G2" s="297"/>
      <c r="H2" s="298"/>
      <c r="I2" s="298"/>
      <c r="J2" s="298"/>
      <c r="K2" s="298"/>
      <c r="L2" s="298"/>
      <c r="M2" s="298"/>
      <c r="N2" s="298"/>
      <c r="O2" s="298"/>
      <c r="P2" s="298"/>
      <c r="Q2" s="298"/>
      <c r="R2" s="298"/>
      <c r="S2" s="298"/>
      <c r="T2" s="298"/>
      <c r="U2" s="298"/>
      <c r="V2" s="298"/>
      <c r="W2" s="298"/>
      <c r="X2" s="298"/>
      <c r="Y2" s="298"/>
      <c r="Z2" s="298"/>
      <c r="AA2" s="298"/>
      <c r="AB2" s="298"/>
      <c r="AC2" s="298"/>
      <c r="AD2" s="298"/>
      <c r="AE2" s="298"/>
      <c r="AF2" s="298"/>
      <c r="AG2" s="298"/>
      <c r="AH2" s="298"/>
      <c r="AI2" s="298"/>
      <c r="AJ2" s="298"/>
    </row>
    <row r="3" s="291" customFormat="1" ht="18" spans="1:36">
      <c r="A3" s="299" t="s">
        <v>1860</v>
      </c>
      <c r="B3" s="299"/>
      <c r="C3" s="299"/>
      <c r="D3" s="299"/>
      <c r="E3" s="300" t="s">
        <v>1861</v>
      </c>
      <c r="F3" s="300" t="s">
        <v>1862</v>
      </c>
      <c r="G3" s="301"/>
      <c r="H3" s="298"/>
      <c r="I3" s="298"/>
      <c r="J3" s="298"/>
      <c r="K3" s="298"/>
      <c r="L3" s="298"/>
      <c r="M3" s="298"/>
      <c r="N3" s="298"/>
      <c r="O3" s="298"/>
      <c r="P3" s="298"/>
      <c r="Q3" s="298"/>
      <c r="R3" s="298"/>
      <c r="S3" s="298"/>
      <c r="T3" s="298"/>
      <c r="U3" s="298"/>
      <c r="V3" s="298"/>
      <c r="W3" s="298"/>
      <c r="X3" s="298"/>
      <c r="Y3" s="298"/>
      <c r="Z3" s="298"/>
      <c r="AA3" s="298"/>
      <c r="AB3" s="298"/>
      <c r="AC3" s="298"/>
      <c r="AD3" s="298"/>
      <c r="AE3" s="298"/>
      <c r="AF3" s="298"/>
      <c r="AG3" s="298"/>
      <c r="AH3" s="298"/>
      <c r="AI3" s="298"/>
      <c r="AJ3" s="298"/>
    </row>
    <row r="4" ht="22.95" customHeight="1" spans="1:36">
      <c r="A4" s="302" t="s">
        <v>1863</v>
      </c>
      <c r="B4" s="302"/>
      <c r="C4" s="302"/>
      <c r="D4" s="302"/>
      <c r="E4" s="303" t="s">
        <v>1864</v>
      </c>
      <c r="F4" s="304" t="s">
        <v>1421</v>
      </c>
      <c r="G4" s="296"/>
      <c r="J4" s="298"/>
      <c r="K4" s="298"/>
      <c r="L4" s="298"/>
      <c r="M4" s="298"/>
      <c r="N4" s="298"/>
      <c r="O4" s="298"/>
      <c r="P4" s="298"/>
      <c r="Q4" s="298"/>
      <c r="R4" s="298"/>
      <c r="S4" s="298"/>
      <c r="T4" s="298"/>
      <c r="U4" s="298"/>
      <c r="V4" s="298"/>
      <c r="W4" s="298"/>
      <c r="X4" s="298"/>
      <c r="Y4" s="298"/>
      <c r="Z4" s="298"/>
      <c r="AA4" s="298"/>
      <c r="AB4" s="298"/>
      <c r="AC4" s="298"/>
      <c r="AD4" s="298"/>
      <c r="AE4" s="298"/>
      <c r="AF4" s="298"/>
      <c r="AG4" s="298"/>
      <c r="AH4" s="298"/>
      <c r="AI4" s="298"/>
      <c r="AJ4" s="298"/>
    </row>
    <row r="5" ht="18" spans="1:36">
      <c r="A5" s="305" t="s">
        <v>581</v>
      </c>
      <c r="B5" s="305" t="s">
        <v>1672</v>
      </c>
      <c r="C5" s="305" t="s">
        <v>26</v>
      </c>
      <c r="D5" s="306" t="s">
        <v>1408</v>
      </c>
      <c r="E5" s="305" t="s">
        <v>1865</v>
      </c>
      <c r="F5" s="305" t="s">
        <v>1862</v>
      </c>
      <c r="G5" s="296"/>
      <c r="J5" s="298"/>
      <c r="K5" s="298"/>
      <c r="L5" s="298"/>
      <c r="M5" s="298"/>
      <c r="N5" s="298"/>
      <c r="O5" s="298"/>
      <c r="P5" s="298"/>
      <c r="Q5" s="298"/>
      <c r="R5" s="298"/>
      <c r="S5" s="298"/>
      <c r="T5" s="298"/>
      <c r="U5" s="298"/>
      <c r="V5" s="298"/>
      <c r="W5" s="298"/>
      <c r="X5" s="298"/>
      <c r="Y5" s="298"/>
      <c r="Z5" s="298"/>
      <c r="AA5" s="298"/>
      <c r="AB5" s="298"/>
      <c r="AC5" s="298"/>
      <c r="AD5" s="298"/>
      <c r="AE5" s="298"/>
      <c r="AF5" s="298"/>
      <c r="AG5" s="298"/>
      <c r="AH5" s="298"/>
      <c r="AI5" s="298"/>
      <c r="AJ5" s="298"/>
    </row>
    <row r="6" ht="17.25" spans="1:7">
      <c r="A6" s="307" t="s">
        <v>1866</v>
      </c>
      <c r="B6" s="307" t="s">
        <v>1867</v>
      </c>
      <c r="C6" s="308" t="s">
        <v>1868</v>
      </c>
      <c r="D6" s="309" t="s">
        <v>1869</v>
      </c>
      <c r="E6" s="308" t="s">
        <v>1870</v>
      </c>
      <c r="F6" s="310" t="s">
        <v>1421</v>
      </c>
      <c r="G6" s="296"/>
    </row>
    <row r="7" ht="34.5" spans="1:7">
      <c r="A7" s="307"/>
      <c r="B7" s="308" t="s">
        <v>1871</v>
      </c>
      <c r="C7" s="308" t="s">
        <v>1872</v>
      </c>
      <c r="D7" s="299" t="s">
        <v>1873</v>
      </c>
      <c r="E7" s="308" t="s">
        <v>1874</v>
      </c>
      <c r="F7" s="310" t="s">
        <v>1421</v>
      </c>
      <c r="G7" s="296"/>
    </row>
    <row r="8" ht="151.95" customHeight="1" spans="1:7">
      <c r="A8" s="308" t="s">
        <v>1875</v>
      </c>
      <c r="B8" s="308" t="s">
        <v>1876</v>
      </c>
      <c r="C8" s="308" t="s">
        <v>1877</v>
      </c>
      <c r="D8" s="299" t="s">
        <v>1878</v>
      </c>
      <c r="E8" s="308" t="s">
        <v>1879</v>
      </c>
      <c r="F8" s="310" t="s">
        <v>1421</v>
      </c>
      <c r="G8" s="296"/>
    </row>
    <row r="9" ht="28.05" customHeight="1" spans="1:7">
      <c r="A9" s="308" t="s">
        <v>649</v>
      </c>
      <c r="B9" s="308" t="s">
        <v>1880</v>
      </c>
      <c r="C9" s="308" t="s">
        <v>1881</v>
      </c>
      <c r="D9" s="299" t="s">
        <v>1882</v>
      </c>
      <c r="E9" s="308" t="s">
        <v>1883</v>
      </c>
      <c r="F9" s="310" t="s">
        <v>1421</v>
      </c>
      <c r="G9" s="296"/>
    </row>
    <row r="10" ht="24" customHeight="1" spans="1:7">
      <c r="A10" s="307" t="s">
        <v>1825</v>
      </c>
      <c r="B10" s="308" t="s">
        <v>1884</v>
      </c>
      <c r="C10" s="308" t="s">
        <v>1885</v>
      </c>
      <c r="D10" s="311" t="s">
        <v>1886</v>
      </c>
      <c r="E10" s="308" t="s">
        <v>1874</v>
      </c>
      <c r="F10" s="312" t="s">
        <v>1887</v>
      </c>
      <c r="G10" s="296"/>
    </row>
    <row r="11" ht="21" customHeight="1" spans="1:7">
      <c r="A11" s="307"/>
      <c r="B11" s="308"/>
      <c r="C11" s="308"/>
      <c r="D11" s="311" t="s">
        <v>1888</v>
      </c>
      <c r="E11" s="308"/>
      <c r="F11" s="313"/>
      <c r="G11" s="296"/>
    </row>
    <row r="12" ht="22.95" customHeight="1" spans="1:7">
      <c r="A12" s="307"/>
      <c r="B12" s="308"/>
      <c r="C12" s="308" t="s">
        <v>1889</v>
      </c>
      <c r="D12" s="311" t="s">
        <v>1890</v>
      </c>
      <c r="E12" s="308" t="s">
        <v>1883</v>
      </c>
      <c r="F12" s="310" t="s">
        <v>1421</v>
      </c>
      <c r="G12" s="296"/>
    </row>
    <row r="13" ht="63" customHeight="1" spans="1:10">
      <c r="A13" s="307"/>
      <c r="B13" s="308"/>
      <c r="C13" s="308" t="s">
        <v>1891</v>
      </c>
      <c r="D13" s="311" t="s">
        <v>1892</v>
      </c>
      <c r="E13" s="308"/>
      <c r="F13" s="310" t="s">
        <v>1421</v>
      </c>
      <c r="G13" s="296"/>
      <c r="J13" s="262">
        <v>13</v>
      </c>
    </row>
    <row r="14" ht="13.5" spans="1:6">
      <c r="A14" s="314"/>
      <c r="B14" s="315"/>
      <c r="C14" s="316"/>
      <c r="D14" s="261"/>
      <c r="E14" s="261"/>
      <c r="F14" s="261"/>
    </row>
    <row r="15" ht="13.5" spans="1:6">
      <c r="A15" s="314"/>
      <c r="B15" s="315"/>
      <c r="C15" s="316"/>
      <c r="D15" s="261"/>
      <c r="E15" s="261"/>
      <c r="F15" s="261"/>
    </row>
    <row r="16" ht="13.5" spans="1:6">
      <c r="A16" s="314"/>
      <c r="B16" s="315"/>
      <c r="C16" s="316"/>
      <c r="D16" s="261"/>
      <c r="E16" s="261"/>
      <c r="F16" s="261"/>
    </row>
    <row r="17" ht="13.5" spans="1:6">
      <c r="A17" s="314"/>
      <c r="B17" s="315"/>
      <c r="C17" s="316"/>
      <c r="D17" s="261"/>
      <c r="E17" s="261"/>
      <c r="F17" s="261"/>
    </row>
    <row r="18" ht="13.5" spans="1:6">
      <c r="A18" s="314"/>
      <c r="B18" s="315"/>
      <c r="C18" s="316"/>
      <c r="D18" s="261"/>
      <c r="E18" s="261"/>
      <c r="F18" s="261"/>
    </row>
    <row r="19" ht="13.5" spans="1:6">
      <c r="A19" s="314"/>
      <c r="B19" s="315"/>
      <c r="C19" s="316"/>
      <c r="D19" s="261"/>
      <c r="E19" s="261"/>
      <c r="F19" s="261"/>
    </row>
    <row r="20" ht="13.5" spans="1:6">
      <c r="A20" s="314"/>
      <c r="B20" s="315"/>
      <c r="C20" s="316"/>
      <c r="D20" s="261"/>
      <c r="E20" s="261"/>
      <c r="F20" s="261"/>
    </row>
    <row r="21" ht="13.5" spans="1:6">
      <c r="A21" s="314"/>
      <c r="B21" s="315"/>
      <c r="C21" s="316"/>
      <c r="D21" s="261"/>
      <c r="E21" s="261"/>
      <c r="F21" s="261"/>
    </row>
    <row r="22" ht="13.5" spans="1:6">
      <c r="A22" s="314"/>
      <c r="B22" s="315"/>
      <c r="C22" s="316"/>
      <c r="D22" s="261"/>
      <c r="E22" s="261"/>
      <c r="F22" s="261"/>
    </row>
    <row r="23" ht="13.5" spans="1:6">
      <c r="A23" s="314"/>
      <c r="B23" s="315"/>
      <c r="C23" s="316"/>
      <c r="D23" s="261"/>
      <c r="E23" s="261"/>
      <c r="F23" s="261"/>
    </row>
    <row r="24" ht="13.5" spans="1:6">
      <c r="A24" s="314"/>
      <c r="B24" s="315"/>
      <c r="C24" s="316"/>
      <c r="D24" s="261"/>
      <c r="E24" s="261"/>
      <c r="F24" s="261"/>
    </row>
    <row r="25" ht="13.5" spans="1:6">
      <c r="A25" s="314"/>
      <c r="B25" s="315"/>
      <c r="C25" s="316"/>
      <c r="D25" s="261"/>
      <c r="E25" s="261"/>
      <c r="F25" s="261"/>
    </row>
  </sheetData>
  <mergeCells count="11">
    <mergeCell ref="A1:F1"/>
    <mergeCell ref="A2:F2"/>
    <mergeCell ref="A3:D3"/>
    <mergeCell ref="A4:D4"/>
    <mergeCell ref="A6:A7"/>
    <mergeCell ref="A10:A13"/>
    <mergeCell ref="B10:B13"/>
    <mergeCell ref="C10:C11"/>
    <mergeCell ref="E10:E11"/>
    <mergeCell ref="E12:E13"/>
    <mergeCell ref="F10:F11"/>
  </mergeCells>
  <pageMargins left="0.590277777777778" right="0.590277777777778" top="0.393055555555556" bottom="0.393055555555556" header="0.314583333333333" footer="0.314583333333333"/>
  <pageSetup paperSize="9" scale="65" orientation="portrait" verticalDpi="300"/>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sheetPr>
  <dimension ref="A1:H37"/>
  <sheetViews>
    <sheetView showGridLines="0" zoomScalePageLayoutView="150" workbookViewId="0">
      <pane xSplit="8" ySplit="3" topLeftCell="I4" activePane="bottomRight" state="frozen"/>
      <selection/>
      <selection pane="topRight"/>
      <selection pane="bottomLeft"/>
      <selection pane="bottomRight" activeCell="B14" sqref="B14"/>
    </sheetView>
  </sheetViews>
  <sheetFormatPr defaultColWidth="8.8" defaultRowHeight="11.25" outlineLevelCol="7"/>
  <cols>
    <col min="1" max="1" width="15.5" style="262" customWidth="1"/>
    <col min="2" max="2" width="26.7" style="262" customWidth="1"/>
    <col min="3" max="3" width="15.2" style="262" customWidth="1"/>
    <col min="4" max="4" width="23" style="262" customWidth="1"/>
    <col min="5" max="6" width="8.8" style="262"/>
    <col min="7" max="7" width="33.7" style="262" customWidth="1"/>
    <col min="8" max="8" width="22.8" style="262" customWidth="1"/>
    <col min="9" max="16384" width="8.8" style="262"/>
  </cols>
  <sheetData>
    <row r="1" ht="21" spans="1:8">
      <c r="A1" s="263" t="s">
        <v>1893</v>
      </c>
      <c r="B1" s="263"/>
      <c r="C1" s="263"/>
      <c r="D1" s="263"/>
      <c r="E1" s="263"/>
      <c r="F1" s="263"/>
      <c r="G1" s="263"/>
      <c r="H1" s="263"/>
    </row>
    <row r="2" s="260" customFormat="1" ht="16.5" spans="1:8">
      <c r="A2" s="264" t="s">
        <v>1845</v>
      </c>
      <c r="B2" s="265"/>
      <c r="C2" s="264" t="s">
        <v>1894</v>
      </c>
      <c r="D2" s="265"/>
      <c r="E2" s="264" t="s">
        <v>1895</v>
      </c>
      <c r="F2" s="266"/>
      <c r="G2" s="265"/>
      <c r="H2" s="267" t="s">
        <v>1896</v>
      </c>
    </row>
    <row r="3" s="261" customFormat="1" ht="16.05" customHeight="1" spans="1:8">
      <c r="A3" s="268" t="s">
        <v>1897</v>
      </c>
      <c r="B3" s="269"/>
      <c r="C3" s="269"/>
      <c r="D3" s="269"/>
      <c r="E3" s="269"/>
      <c r="F3" s="269"/>
      <c r="G3" s="269"/>
      <c r="H3" s="270"/>
    </row>
    <row r="4" s="261" customFormat="1" ht="16.05" customHeight="1" spans="1:8">
      <c r="A4" s="271" t="s">
        <v>1898</v>
      </c>
      <c r="B4" s="272" t="s">
        <v>1899</v>
      </c>
      <c r="C4" s="273"/>
      <c r="D4" s="273"/>
      <c r="E4" s="273"/>
      <c r="F4" s="273"/>
      <c r="G4" s="273"/>
      <c r="H4" s="274"/>
    </row>
    <row r="5" s="261" customFormat="1" ht="16.05" customHeight="1" spans="1:8">
      <c r="A5" s="271" t="s">
        <v>1900</v>
      </c>
      <c r="B5" s="272" t="s">
        <v>1901</v>
      </c>
      <c r="C5" s="273"/>
      <c r="D5" s="273"/>
      <c r="E5" s="273"/>
      <c r="F5" s="273"/>
      <c r="G5" s="273"/>
      <c r="H5" s="274"/>
    </row>
    <row r="6" s="261" customFormat="1" ht="16.05" customHeight="1" spans="1:8">
      <c r="A6" s="271" t="s">
        <v>1902</v>
      </c>
      <c r="B6" s="272" t="s">
        <v>1903</v>
      </c>
      <c r="C6" s="273"/>
      <c r="D6" s="273"/>
      <c r="E6" s="273"/>
      <c r="F6" s="273"/>
      <c r="G6" s="273"/>
      <c r="H6" s="274"/>
    </row>
    <row r="7" s="261" customFormat="1" ht="16.05" customHeight="1" spans="1:8">
      <c r="A7" s="271" t="s">
        <v>1904</v>
      </c>
      <c r="B7" s="272" t="s">
        <v>1905</v>
      </c>
      <c r="C7" s="273"/>
      <c r="D7" s="273"/>
      <c r="E7" s="273"/>
      <c r="F7" s="273"/>
      <c r="G7" s="273"/>
      <c r="H7" s="274"/>
    </row>
    <row r="8" s="261" customFormat="1" ht="16.05" customHeight="1" spans="1:8">
      <c r="A8" s="271" t="s">
        <v>1906</v>
      </c>
      <c r="B8" s="272" t="s">
        <v>1907</v>
      </c>
      <c r="C8" s="273"/>
      <c r="D8" s="273"/>
      <c r="E8" s="273"/>
      <c r="F8" s="273"/>
      <c r="G8" s="273"/>
      <c r="H8" s="274"/>
    </row>
    <row r="9" s="261" customFormat="1" ht="16.05" customHeight="1" spans="1:8">
      <c r="A9" s="271" t="s">
        <v>1908</v>
      </c>
      <c r="B9" s="272" t="s">
        <v>1909</v>
      </c>
      <c r="C9" s="273"/>
      <c r="D9" s="273"/>
      <c r="E9" s="273"/>
      <c r="F9" s="273"/>
      <c r="G9" s="273"/>
      <c r="H9" s="274"/>
    </row>
    <row r="10" s="261" customFormat="1" ht="16.05" customHeight="1" spans="1:8">
      <c r="A10" s="271" t="s">
        <v>1910</v>
      </c>
      <c r="B10" s="272" t="s">
        <v>1911</v>
      </c>
      <c r="C10" s="273"/>
      <c r="D10" s="273"/>
      <c r="E10" s="273"/>
      <c r="F10" s="273"/>
      <c r="G10" s="273"/>
      <c r="H10" s="274"/>
    </row>
    <row r="11" s="261" customFormat="1" ht="16.05" customHeight="1" spans="1:8">
      <c r="A11" s="271" t="s">
        <v>1912</v>
      </c>
      <c r="B11" s="272" t="s">
        <v>1913</v>
      </c>
      <c r="C11" s="273"/>
      <c r="D11" s="273"/>
      <c r="E11" s="273"/>
      <c r="F11" s="273"/>
      <c r="G11" s="273"/>
      <c r="H11" s="274"/>
    </row>
    <row r="12" s="261" customFormat="1" ht="16.05" customHeight="1" spans="1:8">
      <c r="A12" s="271" t="s">
        <v>1914</v>
      </c>
      <c r="B12" s="272" t="s">
        <v>1915</v>
      </c>
      <c r="C12" s="273"/>
      <c r="D12" s="273"/>
      <c r="E12" s="273"/>
      <c r="F12" s="273"/>
      <c r="G12" s="273"/>
      <c r="H12" s="274"/>
    </row>
    <row r="13" ht="13.05" customHeight="1" spans="1:8">
      <c r="A13" s="275" t="s">
        <v>1764</v>
      </c>
      <c r="B13" s="276" t="s">
        <v>1916</v>
      </c>
      <c r="C13" s="276" t="s">
        <v>1676</v>
      </c>
      <c r="D13" s="276"/>
      <c r="E13" s="276" t="s">
        <v>1917</v>
      </c>
      <c r="F13" s="276"/>
      <c r="G13" s="276"/>
      <c r="H13" s="277"/>
    </row>
    <row r="14" ht="22.95" customHeight="1" spans="1:8">
      <c r="A14" s="278" t="s">
        <v>1421</v>
      </c>
      <c r="B14" s="279" t="s">
        <v>1918</v>
      </c>
      <c r="C14" s="280" t="s">
        <v>1919</v>
      </c>
      <c r="D14" s="281"/>
      <c r="E14" s="282" t="s">
        <v>1920</v>
      </c>
      <c r="F14" s="282"/>
      <c r="G14" s="282"/>
      <c r="H14" s="282"/>
    </row>
    <row r="15" ht="16.5" spans="1:8">
      <c r="A15" s="278" t="s">
        <v>1421</v>
      </c>
      <c r="B15" s="279" t="s">
        <v>1918</v>
      </c>
      <c r="C15" s="280" t="s">
        <v>1921</v>
      </c>
      <c r="D15" s="281"/>
      <c r="E15" s="282" t="s">
        <v>1922</v>
      </c>
      <c r="F15" s="282"/>
      <c r="G15" s="282"/>
      <c r="H15" s="282"/>
    </row>
    <row r="16" ht="16.5" spans="1:8">
      <c r="A16" s="278" t="s">
        <v>1421</v>
      </c>
      <c r="B16" s="279" t="s">
        <v>1918</v>
      </c>
      <c r="C16" s="280" t="s">
        <v>1921</v>
      </c>
      <c r="D16" s="281"/>
      <c r="E16" s="282" t="s">
        <v>1923</v>
      </c>
      <c r="F16" s="282"/>
      <c r="G16" s="282"/>
      <c r="H16" s="282"/>
    </row>
    <row r="17" ht="16.5" spans="1:8">
      <c r="A17" s="278" t="s">
        <v>1421</v>
      </c>
      <c r="B17" s="279" t="s">
        <v>1918</v>
      </c>
      <c r="C17" s="280" t="s">
        <v>1921</v>
      </c>
      <c r="D17" s="281"/>
      <c r="E17" s="282" t="s">
        <v>1924</v>
      </c>
      <c r="F17" s="282"/>
      <c r="G17" s="282"/>
      <c r="H17" s="282"/>
    </row>
    <row r="18" ht="19.95" customHeight="1" spans="1:8">
      <c r="A18" s="278" t="s">
        <v>1421</v>
      </c>
      <c r="B18" s="283" t="s">
        <v>1925</v>
      </c>
      <c r="C18" s="280" t="s">
        <v>1926</v>
      </c>
      <c r="D18" s="280"/>
      <c r="E18" s="282" t="s">
        <v>1927</v>
      </c>
      <c r="F18" s="282"/>
      <c r="G18" s="282"/>
      <c r="H18" s="282"/>
    </row>
    <row r="19" ht="16.5" spans="1:8">
      <c r="A19" s="278" t="s">
        <v>1421</v>
      </c>
      <c r="B19" s="279" t="s">
        <v>1928</v>
      </c>
      <c r="C19" s="280" t="s">
        <v>1929</v>
      </c>
      <c r="D19" s="281"/>
      <c r="E19" s="282" t="s">
        <v>1930</v>
      </c>
      <c r="F19" s="282"/>
      <c r="G19" s="282"/>
      <c r="H19" s="282"/>
    </row>
    <row r="20" ht="16.5" spans="1:8">
      <c r="A20" s="278" t="s">
        <v>1421</v>
      </c>
      <c r="B20" s="279" t="s">
        <v>1931</v>
      </c>
      <c r="C20" s="280" t="s">
        <v>1932</v>
      </c>
      <c r="D20" s="281"/>
      <c r="E20" s="282" t="s">
        <v>1933</v>
      </c>
      <c r="F20" s="282"/>
      <c r="G20" s="282"/>
      <c r="H20" s="282"/>
    </row>
    <row r="21" ht="16.5" spans="1:8">
      <c r="A21" s="278" t="s">
        <v>1421</v>
      </c>
      <c r="B21" s="279" t="s">
        <v>1931</v>
      </c>
      <c r="C21" s="280" t="s">
        <v>1934</v>
      </c>
      <c r="D21" s="280"/>
      <c r="E21" s="284" t="s">
        <v>1935</v>
      </c>
      <c r="F21" s="284"/>
      <c r="G21" s="284"/>
      <c r="H21" s="284"/>
    </row>
    <row r="22" ht="16.5" spans="1:8">
      <c r="A22" s="278" t="s">
        <v>1421</v>
      </c>
      <c r="B22" s="279" t="s">
        <v>1367</v>
      </c>
      <c r="C22" s="280" t="s">
        <v>1936</v>
      </c>
      <c r="D22" s="280"/>
      <c r="E22" s="282" t="s">
        <v>1937</v>
      </c>
      <c r="F22" s="282"/>
      <c r="G22" s="282"/>
      <c r="H22" s="282"/>
    </row>
    <row r="23" ht="16.5" spans="1:8">
      <c r="A23" s="278" t="s">
        <v>1421</v>
      </c>
      <c r="B23" s="279"/>
      <c r="C23" s="280" t="s">
        <v>1938</v>
      </c>
      <c r="D23" s="280"/>
      <c r="E23" s="284" t="s">
        <v>1939</v>
      </c>
      <c r="F23" s="284"/>
      <c r="G23" s="284"/>
      <c r="H23" s="284"/>
    </row>
    <row r="24" ht="16.5" spans="1:8">
      <c r="A24" s="278" t="s">
        <v>1421</v>
      </c>
      <c r="B24" s="279"/>
      <c r="C24" s="280" t="s">
        <v>1940</v>
      </c>
      <c r="D24" s="280"/>
      <c r="E24" s="282" t="s">
        <v>1941</v>
      </c>
      <c r="F24" s="282"/>
      <c r="G24" s="282"/>
      <c r="H24" s="282"/>
    </row>
    <row r="25" ht="16.5" spans="1:8">
      <c r="A25" s="278" t="s">
        <v>1421</v>
      </c>
      <c r="B25" s="279"/>
      <c r="C25" s="280" t="s">
        <v>1942</v>
      </c>
      <c r="D25" s="280"/>
      <c r="E25" s="284" t="s">
        <v>1943</v>
      </c>
      <c r="F25" s="284"/>
      <c r="G25" s="284"/>
      <c r="H25" s="284"/>
    </row>
    <row r="26" ht="16.5" spans="1:8">
      <c r="A26" s="278" t="s">
        <v>1421</v>
      </c>
      <c r="B26" s="279"/>
      <c r="C26" s="285" t="s">
        <v>1944</v>
      </c>
      <c r="D26" s="285"/>
      <c r="E26" s="282" t="s">
        <v>1945</v>
      </c>
      <c r="F26" s="282"/>
      <c r="G26" s="282"/>
      <c r="H26" s="282"/>
    </row>
    <row r="27" ht="16.5" spans="1:8">
      <c r="A27" s="278" t="s">
        <v>1421</v>
      </c>
      <c r="B27" s="286" t="s">
        <v>1946</v>
      </c>
      <c r="C27" s="280" t="s">
        <v>1947</v>
      </c>
      <c r="D27" s="280"/>
      <c r="E27" s="282" t="s">
        <v>1948</v>
      </c>
      <c r="F27" s="282"/>
      <c r="G27" s="282"/>
      <c r="H27" s="282"/>
    </row>
    <row r="28" ht="16.5" spans="1:8">
      <c r="A28" s="278" t="s">
        <v>1421</v>
      </c>
      <c r="B28" s="286" t="s">
        <v>1949</v>
      </c>
      <c r="C28" s="280" t="s">
        <v>1950</v>
      </c>
      <c r="D28" s="280"/>
      <c r="E28" s="282" t="s">
        <v>1951</v>
      </c>
      <c r="F28" s="282"/>
      <c r="G28" s="282"/>
      <c r="H28" s="282"/>
    </row>
    <row r="29" ht="16.5" customHeight="1" spans="1:8">
      <c r="A29" s="278" t="s">
        <v>1421</v>
      </c>
      <c r="B29" s="283" t="s">
        <v>1952</v>
      </c>
      <c r="C29" s="280" t="s">
        <v>1953</v>
      </c>
      <c r="D29" s="280"/>
      <c r="E29" s="281" t="s">
        <v>1954</v>
      </c>
      <c r="F29" s="281"/>
      <c r="G29" s="281"/>
      <c r="H29" s="281"/>
    </row>
    <row r="30" ht="16.05" customHeight="1" spans="1:8">
      <c r="A30" s="278" t="s">
        <v>1421</v>
      </c>
      <c r="B30" s="279"/>
      <c r="C30" s="287" t="s">
        <v>1955</v>
      </c>
      <c r="D30" s="288"/>
      <c r="E30" s="281" t="s">
        <v>1956</v>
      </c>
      <c r="F30" s="281"/>
      <c r="G30" s="281"/>
      <c r="H30" s="281"/>
    </row>
    <row r="31" ht="16.5" spans="1:8">
      <c r="A31" s="278" t="s">
        <v>1421</v>
      </c>
      <c r="B31" s="279"/>
      <c r="C31" s="280" t="s">
        <v>1957</v>
      </c>
      <c r="D31" s="280"/>
      <c r="E31" s="282" t="s">
        <v>1958</v>
      </c>
      <c r="F31" s="282"/>
      <c r="G31" s="282"/>
      <c r="H31" s="282"/>
    </row>
    <row r="32" ht="16.5" customHeight="1" spans="1:8">
      <c r="A32" s="278" t="s">
        <v>1421</v>
      </c>
      <c r="B32" s="279"/>
      <c r="C32" s="280" t="s">
        <v>1959</v>
      </c>
      <c r="D32" s="280"/>
      <c r="E32" s="284" t="s">
        <v>1960</v>
      </c>
      <c r="F32" s="284"/>
      <c r="G32" s="284"/>
      <c r="H32" s="284"/>
    </row>
    <row r="33" ht="16.5" customHeight="1" spans="1:8">
      <c r="A33" s="278" t="s">
        <v>1421</v>
      </c>
      <c r="B33" s="279"/>
      <c r="C33" s="280" t="s">
        <v>1961</v>
      </c>
      <c r="D33" s="280"/>
      <c r="E33" s="289" t="s">
        <v>1962</v>
      </c>
      <c r="F33" s="289"/>
      <c r="G33" s="289"/>
      <c r="H33" s="289"/>
    </row>
    <row r="34" ht="16.5" spans="1:8">
      <c r="A34" s="278" t="s">
        <v>1421</v>
      </c>
      <c r="B34" s="279"/>
      <c r="C34" s="280" t="s">
        <v>1963</v>
      </c>
      <c r="D34" s="280"/>
      <c r="E34" s="282" t="s">
        <v>1964</v>
      </c>
      <c r="F34" s="282"/>
      <c r="G34" s="282"/>
      <c r="H34" s="282"/>
    </row>
    <row r="35" ht="16.5" spans="1:8">
      <c r="A35" s="278" t="s">
        <v>1421</v>
      </c>
      <c r="B35" s="279"/>
      <c r="C35" s="280" t="s">
        <v>1965</v>
      </c>
      <c r="D35" s="280"/>
      <c r="E35" s="282" t="s">
        <v>1966</v>
      </c>
      <c r="F35" s="282"/>
      <c r="G35" s="282"/>
      <c r="H35" s="282"/>
    </row>
    <row r="36" ht="21" customHeight="1" spans="1:8">
      <c r="A36" s="278" t="s">
        <v>1421</v>
      </c>
      <c r="B36" s="279"/>
      <c r="C36" s="280" t="s">
        <v>1967</v>
      </c>
      <c r="D36" s="280"/>
      <c r="E36" s="284" t="s">
        <v>1968</v>
      </c>
      <c r="F36" s="284"/>
      <c r="G36" s="284"/>
      <c r="H36" s="284"/>
    </row>
    <row r="37" ht="16.5" spans="1:8">
      <c r="A37" s="278" t="s">
        <v>1421</v>
      </c>
      <c r="B37" s="286" t="s">
        <v>1969</v>
      </c>
      <c r="C37" s="280" t="s">
        <v>1969</v>
      </c>
      <c r="D37" s="280"/>
      <c r="E37" s="282" t="s">
        <v>1969</v>
      </c>
      <c r="F37" s="282"/>
      <c r="G37" s="282"/>
      <c r="H37" s="282"/>
    </row>
  </sheetData>
  <mergeCells count="65">
    <mergeCell ref="A1:H1"/>
    <mergeCell ref="A2:B2"/>
    <mergeCell ref="C2:D2"/>
    <mergeCell ref="E2:G2"/>
    <mergeCell ref="A3:H3"/>
    <mergeCell ref="B4:H4"/>
    <mergeCell ref="B5:H5"/>
    <mergeCell ref="B6:H6"/>
    <mergeCell ref="B7:H7"/>
    <mergeCell ref="B8:H8"/>
    <mergeCell ref="B9:H9"/>
    <mergeCell ref="B10:H10"/>
    <mergeCell ref="B11:H11"/>
    <mergeCell ref="B12:H12"/>
    <mergeCell ref="C13:D13"/>
    <mergeCell ref="E13:H13"/>
    <mergeCell ref="C14:D14"/>
    <mergeCell ref="E14:H14"/>
    <mergeCell ref="C15:D15"/>
    <mergeCell ref="E15:H15"/>
    <mergeCell ref="C16:D16"/>
    <mergeCell ref="E16:H16"/>
    <mergeCell ref="C17:D17"/>
    <mergeCell ref="E17:H17"/>
    <mergeCell ref="C18:D18"/>
    <mergeCell ref="E18:H18"/>
    <mergeCell ref="C19:D19"/>
    <mergeCell ref="E19:H19"/>
    <mergeCell ref="C20:D20"/>
    <mergeCell ref="E20:H20"/>
    <mergeCell ref="C21:D21"/>
    <mergeCell ref="E21:H21"/>
    <mergeCell ref="C22:D22"/>
    <mergeCell ref="E22:H22"/>
    <mergeCell ref="C23:D23"/>
    <mergeCell ref="E23:H23"/>
    <mergeCell ref="C24:D24"/>
    <mergeCell ref="E24:H24"/>
    <mergeCell ref="C25:D25"/>
    <mergeCell ref="E25:H25"/>
    <mergeCell ref="C26:D26"/>
    <mergeCell ref="E26:H26"/>
    <mergeCell ref="C27:D27"/>
    <mergeCell ref="E27:H27"/>
    <mergeCell ref="C28:D28"/>
    <mergeCell ref="E28:H28"/>
    <mergeCell ref="C29:D29"/>
    <mergeCell ref="E29:H29"/>
    <mergeCell ref="E30:H30"/>
    <mergeCell ref="C31:D31"/>
    <mergeCell ref="E31:H31"/>
    <mergeCell ref="C32:D32"/>
    <mergeCell ref="E32:H32"/>
    <mergeCell ref="C33:D33"/>
    <mergeCell ref="E33:H33"/>
    <mergeCell ref="C34:D34"/>
    <mergeCell ref="E34:H34"/>
    <mergeCell ref="C35:D35"/>
    <mergeCell ref="E35:H35"/>
    <mergeCell ref="C36:D36"/>
    <mergeCell ref="E36:H36"/>
    <mergeCell ref="C37:D37"/>
    <mergeCell ref="E37:H37"/>
    <mergeCell ref="B22:B26"/>
    <mergeCell ref="B29:B36"/>
  </mergeCells>
  <pageMargins left="0.590277777777778" right="0.590277777777778" top="0.393055555555556" bottom="0.393055555555556" header="0.314583333333333" footer="0.314583333333333"/>
  <pageSetup paperSize="9" scale="78" orientation="portrait" verticalDpi="300"/>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3" tint="0.599993896298105"/>
    <pageSetUpPr fitToPage="1"/>
  </sheetPr>
  <dimension ref="A1:H76"/>
  <sheetViews>
    <sheetView showGridLines="0" zoomScalePageLayoutView="130" workbookViewId="0">
      <pane xSplit="6" ySplit="3" topLeftCell="G4" activePane="bottomRight" state="frozen"/>
      <selection/>
      <selection pane="topRight"/>
      <selection pane="bottomLeft"/>
      <selection pane="bottomRight" activeCell="G57" sqref="G57"/>
    </sheetView>
  </sheetViews>
  <sheetFormatPr defaultColWidth="8.8" defaultRowHeight="14.25" outlineLevelCol="7"/>
  <cols>
    <col min="1" max="1" width="16.2" customWidth="1"/>
    <col min="2" max="2" width="24.3" customWidth="1"/>
    <col min="3" max="3" width="38.7" customWidth="1"/>
    <col min="4" max="4" width="17.7" customWidth="1"/>
    <col min="5" max="5" width="21.8" customWidth="1"/>
    <col min="6" max="6" width="33.5" customWidth="1"/>
    <col min="7" max="7" width="21.5" style="205" customWidth="1"/>
    <col min="8" max="8" width="20.3" style="205" customWidth="1"/>
  </cols>
  <sheetData>
    <row r="1" ht="29.25" spans="1:6">
      <c r="A1" s="206" t="s">
        <v>1970</v>
      </c>
      <c r="B1" s="206"/>
      <c r="C1" s="206"/>
      <c r="D1" s="206"/>
      <c r="E1" s="206"/>
      <c r="F1" s="206"/>
    </row>
    <row r="2" ht="16.5" spans="1:6">
      <c r="A2" s="207" t="s">
        <v>1971</v>
      </c>
      <c r="B2" s="207"/>
      <c r="C2" s="207"/>
      <c r="D2" s="207"/>
      <c r="E2" s="207"/>
      <c r="F2" s="207"/>
    </row>
    <row r="3" ht="22.95" customHeight="1" spans="1:8">
      <c r="A3" s="208" t="s">
        <v>1672</v>
      </c>
      <c r="B3" s="208" t="s">
        <v>1972</v>
      </c>
      <c r="C3" s="208"/>
      <c r="D3" s="208" t="s">
        <v>85</v>
      </c>
      <c r="E3" s="209" t="s">
        <v>84</v>
      </c>
      <c r="F3" s="210" t="s">
        <v>1973</v>
      </c>
      <c r="G3" s="211"/>
      <c r="H3" s="211"/>
    </row>
    <row r="4" s="202" customFormat="1" ht="16.95" customHeight="1" spans="1:8">
      <c r="A4" s="212" t="s">
        <v>1367</v>
      </c>
      <c r="B4" s="213" t="s">
        <v>1974</v>
      </c>
      <c r="C4" s="213"/>
      <c r="D4" s="213"/>
      <c r="E4" s="213"/>
      <c r="F4" s="213"/>
      <c r="G4" s="214"/>
      <c r="H4" s="214"/>
    </row>
    <row r="5" s="203" customFormat="1" ht="16.95" customHeight="1" spans="1:8">
      <c r="A5" s="212"/>
      <c r="B5" s="215" t="s">
        <v>1975</v>
      </c>
      <c r="C5" s="215"/>
      <c r="D5" s="216">
        <v>108</v>
      </c>
      <c r="E5" s="217" t="s">
        <v>1976</v>
      </c>
      <c r="F5" s="218" t="s">
        <v>1977</v>
      </c>
      <c r="G5" s="219"/>
      <c r="H5" s="219"/>
    </row>
    <row r="6" s="202" customFormat="1" ht="16.95" customHeight="1" spans="1:8">
      <c r="A6" s="212"/>
      <c r="B6" s="215" t="s">
        <v>1978</v>
      </c>
      <c r="C6" s="215"/>
      <c r="D6" s="220">
        <v>7</v>
      </c>
      <c r="E6" s="220" t="s">
        <v>108</v>
      </c>
      <c r="F6" s="218" t="s">
        <v>1977</v>
      </c>
      <c r="G6" s="221"/>
      <c r="H6" s="214"/>
    </row>
    <row r="7" s="202" customFormat="1" ht="16.95" customHeight="1" spans="1:8">
      <c r="A7" s="212"/>
      <c r="B7" s="215" t="s">
        <v>1979</v>
      </c>
      <c r="C7" s="215"/>
      <c r="D7" s="220">
        <v>4</v>
      </c>
      <c r="E7" s="220" t="s">
        <v>117</v>
      </c>
      <c r="F7" s="218" t="s">
        <v>1977</v>
      </c>
      <c r="G7" s="214"/>
      <c r="H7" s="214"/>
    </row>
    <row r="8" s="202" customFormat="1" ht="16.95" customHeight="1" spans="1:8">
      <c r="A8" s="212"/>
      <c r="B8" s="215" t="s">
        <v>1980</v>
      </c>
      <c r="C8" s="215"/>
      <c r="D8" s="220">
        <v>1</v>
      </c>
      <c r="E8" s="220" t="s">
        <v>117</v>
      </c>
      <c r="F8" s="218" t="s">
        <v>1977</v>
      </c>
      <c r="G8" s="214"/>
      <c r="H8" s="214"/>
    </row>
    <row r="9" s="202" customFormat="1" ht="16.95" customHeight="1" spans="1:8">
      <c r="A9" s="212"/>
      <c r="B9" s="215" t="s">
        <v>1981</v>
      </c>
      <c r="C9" s="215"/>
      <c r="D9" s="220">
        <v>1</v>
      </c>
      <c r="E9" s="220" t="s">
        <v>117</v>
      </c>
      <c r="F9" s="218" t="s">
        <v>1977</v>
      </c>
      <c r="G9" s="214"/>
      <c r="H9" s="214"/>
    </row>
    <row r="10" s="204" customFormat="1" ht="16.95" customHeight="1" spans="1:8">
      <c r="A10" s="212"/>
      <c r="B10" s="215" t="s">
        <v>1982</v>
      </c>
      <c r="C10" s="215"/>
      <c r="D10" s="220">
        <v>2</v>
      </c>
      <c r="E10" s="220" t="s">
        <v>117</v>
      </c>
      <c r="F10" s="218" t="s">
        <v>1977</v>
      </c>
      <c r="G10" s="222"/>
      <c r="H10" s="222"/>
    </row>
    <row r="11" s="204" customFormat="1" ht="17.25" spans="1:8">
      <c r="A11" s="212"/>
      <c r="B11" s="215" t="s">
        <v>1983</v>
      </c>
      <c r="C11" s="215"/>
      <c r="D11" s="220">
        <v>6</v>
      </c>
      <c r="E11" s="220" t="s">
        <v>1835</v>
      </c>
      <c r="F11" s="218" t="s">
        <v>1977</v>
      </c>
      <c r="G11" s="222"/>
      <c r="H11" s="222"/>
    </row>
    <row r="12" s="202" customFormat="1" ht="17.25" spans="1:8">
      <c r="A12" s="212"/>
      <c r="B12" s="223" t="s">
        <v>1984</v>
      </c>
      <c r="C12" s="224"/>
      <c r="D12" s="220">
        <v>2</v>
      </c>
      <c r="E12" s="220" t="s">
        <v>117</v>
      </c>
      <c r="F12" s="218" t="s">
        <v>1977</v>
      </c>
      <c r="G12" s="214"/>
      <c r="H12" s="214"/>
    </row>
    <row r="13" s="204" customFormat="1" ht="16.95" customHeight="1" spans="1:8">
      <c r="A13" s="212"/>
      <c r="B13" s="215" t="s">
        <v>1985</v>
      </c>
      <c r="C13" s="215"/>
      <c r="D13" s="220">
        <v>5</v>
      </c>
      <c r="E13" s="220" t="s">
        <v>117</v>
      </c>
      <c r="F13" s="218" t="s">
        <v>1977</v>
      </c>
      <c r="G13" s="222"/>
      <c r="H13" s="222"/>
    </row>
    <row r="14" s="204" customFormat="1" ht="17.25" spans="1:8">
      <c r="A14" s="212"/>
      <c r="B14" s="215" t="s">
        <v>1986</v>
      </c>
      <c r="C14" s="215"/>
      <c r="D14" s="220">
        <v>2</v>
      </c>
      <c r="E14" s="220" t="s">
        <v>117</v>
      </c>
      <c r="F14" s="218" t="s">
        <v>1977</v>
      </c>
      <c r="G14" s="222"/>
      <c r="H14" s="222"/>
    </row>
    <row r="15" s="204" customFormat="1" ht="16.95" customHeight="1" spans="1:8">
      <c r="A15" s="212"/>
      <c r="B15" s="215" t="s">
        <v>1987</v>
      </c>
      <c r="C15" s="215"/>
      <c r="D15" s="220">
        <v>2</v>
      </c>
      <c r="E15" s="220" t="s">
        <v>108</v>
      </c>
      <c r="F15" s="218" t="s">
        <v>1977</v>
      </c>
      <c r="G15" s="222"/>
      <c r="H15" s="222"/>
    </row>
    <row r="16" s="202" customFormat="1" ht="17.25" spans="1:8">
      <c r="A16" s="212"/>
      <c r="B16" s="225" t="s">
        <v>1988</v>
      </c>
      <c r="C16" s="225"/>
      <c r="D16" s="220">
        <v>1</v>
      </c>
      <c r="E16" s="220" t="s">
        <v>1989</v>
      </c>
      <c r="F16" s="218" t="s">
        <v>1977</v>
      </c>
      <c r="G16" s="214"/>
      <c r="H16" s="214"/>
    </row>
    <row r="17" s="202" customFormat="1" ht="17.25" spans="1:8">
      <c r="A17" s="212"/>
      <c r="B17" s="226" t="s">
        <v>1990</v>
      </c>
      <c r="C17" s="226"/>
      <c r="D17" s="226"/>
      <c r="E17" s="226"/>
      <c r="F17" s="226"/>
      <c r="G17" s="214"/>
      <c r="H17" s="214"/>
    </row>
    <row r="18" s="204" customFormat="1" ht="17.25" spans="1:8">
      <c r="A18" s="212"/>
      <c r="B18" s="227" t="s">
        <v>1991</v>
      </c>
      <c r="C18" s="227"/>
      <c r="D18" s="220">
        <v>12</v>
      </c>
      <c r="E18" s="220" t="s">
        <v>218</v>
      </c>
      <c r="F18" s="218" t="s">
        <v>1977</v>
      </c>
      <c r="G18" s="222"/>
      <c r="H18" s="222"/>
    </row>
    <row r="19" s="204" customFormat="1" ht="16.95" customHeight="1" spans="1:8">
      <c r="A19" s="212"/>
      <c r="B19" s="227" t="s">
        <v>1992</v>
      </c>
      <c r="C19" s="227"/>
      <c r="D19" s="220">
        <v>4</v>
      </c>
      <c r="E19" s="220" t="s">
        <v>218</v>
      </c>
      <c r="F19" s="218" t="s">
        <v>1977</v>
      </c>
      <c r="G19" s="222"/>
      <c r="H19" s="222"/>
    </row>
    <row r="20" s="204" customFormat="1" ht="16.95" customHeight="1" spans="1:8">
      <c r="A20" s="212"/>
      <c r="B20" s="227" t="s">
        <v>1993</v>
      </c>
      <c r="C20" s="227"/>
      <c r="D20" s="220">
        <v>4</v>
      </c>
      <c r="E20" s="220" t="s">
        <v>218</v>
      </c>
      <c r="F20" s="218" t="s">
        <v>1977</v>
      </c>
      <c r="G20" s="222"/>
      <c r="H20" s="222"/>
    </row>
    <row r="21" s="204" customFormat="1" ht="17.25" spans="1:8">
      <c r="A21" s="212"/>
      <c r="B21" s="227" t="s">
        <v>1994</v>
      </c>
      <c r="C21" s="227"/>
      <c r="D21" s="220">
        <v>4</v>
      </c>
      <c r="E21" s="220" t="s">
        <v>218</v>
      </c>
      <c r="F21" s="218" t="s">
        <v>1977</v>
      </c>
      <c r="G21" s="222"/>
      <c r="H21" s="222"/>
    </row>
    <row r="22" s="204" customFormat="1" ht="17.25" spans="1:8">
      <c r="A22" s="212"/>
      <c r="B22" s="227" t="s">
        <v>1995</v>
      </c>
      <c r="C22" s="227"/>
      <c r="D22" s="220">
        <v>12</v>
      </c>
      <c r="E22" s="220" t="s">
        <v>117</v>
      </c>
      <c r="F22" s="218" t="s">
        <v>1977</v>
      </c>
      <c r="G22" s="222"/>
      <c r="H22" s="222"/>
    </row>
    <row r="23" s="204" customFormat="1" ht="16.95" customHeight="1" spans="1:8">
      <c r="A23" s="212"/>
      <c r="B23" s="227" t="s">
        <v>1996</v>
      </c>
      <c r="C23" s="227"/>
      <c r="D23" s="220">
        <v>2</v>
      </c>
      <c r="E23" s="220" t="s">
        <v>117</v>
      </c>
      <c r="F23" s="218" t="s">
        <v>1977</v>
      </c>
      <c r="G23" s="222"/>
      <c r="H23" s="222"/>
    </row>
    <row r="24" s="204" customFormat="1" ht="17.25" spans="1:8">
      <c r="A24" s="212"/>
      <c r="B24" s="227" t="s">
        <v>1997</v>
      </c>
      <c r="C24" s="227"/>
      <c r="D24" s="220">
        <v>1</v>
      </c>
      <c r="E24" s="220" t="s">
        <v>117</v>
      </c>
      <c r="F24" s="218" t="s">
        <v>1977</v>
      </c>
      <c r="G24" s="222"/>
      <c r="H24" s="222"/>
    </row>
    <row r="25" s="204" customFormat="1" ht="16.95" customHeight="1" spans="1:8">
      <c r="A25" s="212"/>
      <c r="B25" s="227" t="s">
        <v>1998</v>
      </c>
      <c r="C25" s="227"/>
      <c r="D25" s="220">
        <v>2</v>
      </c>
      <c r="E25" s="220" t="s">
        <v>125</v>
      </c>
      <c r="F25" s="218" t="s">
        <v>1977</v>
      </c>
      <c r="G25" s="222"/>
      <c r="H25" s="222"/>
    </row>
    <row r="26" s="204" customFormat="1" ht="16.95" customHeight="1" spans="1:8">
      <c r="A26" s="212"/>
      <c r="B26" s="227" t="s">
        <v>1999</v>
      </c>
      <c r="C26" s="227"/>
      <c r="D26" s="220">
        <v>10</v>
      </c>
      <c r="E26" s="220" t="s">
        <v>218</v>
      </c>
      <c r="F26" s="218" t="s">
        <v>1977</v>
      </c>
      <c r="G26" s="222"/>
      <c r="H26" s="222"/>
    </row>
    <row r="27" s="204" customFormat="1" ht="16.95" customHeight="1" spans="1:8">
      <c r="A27" s="212"/>
      <c r="B27" s="228" t="s">
        <v>2000</v>
      </c>
      <c r="C27" s="229"/>
      <c r="D27" s="220">
        <v>5</v>
      </c>
      <c r="E27" s="220" t="s">
        <v>125</v>
      </c>
      <c r="F27" s="218" t="s">
        <v>1977</v>
      </c>
      <c r="G27" s="222"/>
      <c r="H27" s="222"/>
    </row>
    <row r="28" s="204" customFormat="1" ht="16.95" customHeight="1" spans="1:8">
      <c r="A28" s="212"/>
      <c r="B28" s="227" t="s">
        <v>2001</v>
      </c>
      <c r="C28" s="227"/>
      <c r="D28" s="220">
        <v>2</v>
      </c>
      <c r="E28" s="220" t="s">
        <v>117</v>
      </c>
      <c r="F28" s="218" t="s">
        <v>1977</v>
      </c>
      <c r="G28" s="222"/>
      <c r="H28" s="222"/>
    </row>
    <row r="29" s="202" customFormat="1" ht="16.95" customHeight="1" spans="1:8">
      <c r="A29" s="212"/>
      <c r="B29" s="227" t="s">
        <v>2002</v>
      </c>
      <c r="C29" s="227"/>
      <c r="D29" s="220">
        <v>1</v>
      </c>
      <c r="E29" s="220" t="s">
        <v>117</v>
      </c>
      <c r="F29" s="218" t="s">
        <v>1977</v>
      </c>
      <c r="G29" s="214"/>
      <c r="H29" s="214"/>
    </row>
    <row r="30" s="202" customFormat="1" ht="17.25" spans="1:8">
      <c r="A30" s="212"/>
      <c r="B30" s="227" t="s">
        <v>2003</v>
      </c>
      <c r="C30" s="227"/>
      <c r="D30" s="220">
        <v>1</v>
      </c>
      <c r="E30" s="220" t="s">
        <v>1989</v>
      </c>
      <c r="F30" s="218" t="s">
        <v>1977</v>
      </c>
      <c r="G30" s="214"/>
      <c r="H30" s="214"/>
    </row>
    <row r="31" s="202" customFormat="1" ht="17.25" spans="1:8">
      <c r="A31" s="212"/>
      <c r="B31" s="226" t="s">
        <v>2004</v>
      </c>
      <c r="C31" s="226"/>
      <c r="D31" s="226"/>
      <c r="E31" s="226"/>
      <c r="F31" s="226"/>
      <c r="G31" s="214"/>
      <c r="H31" s="214"/>
    </row>
    <row r="32" s="204" customFormat="1" ht="19.05" customHeight="1" spans="1:8">
      <c r="A32" s="212"/>
      <c r="B32" s="230" t="s">
        <v>2005</v>
      </c>
      <c r="C32" s="231"/>
      <c r="D32" s="232">
        <v>10</v>
      </c>
      <c r="E32" s="220" t="s">
        <v>218</v>
      </c>
      <c r="F32" s="218" t="s">
        <v>1977</v>
      </c>
      <c r="G32" s="222"/>
      <c r="H32" s="222"/>
    </row>
    <row r="33" s="204" customFormat="1" ht="16.95" customHeight="1" spans="1:8">
      <c r="A33" s="212"/>
      <c r="B33" s="230" t="s">
        <v>2006</v>
      </c>
      <c r="C33" s="231"/>
      <c r="D33" s="232">
        <v>6</v>
      </c>
      <c r="E33" s="220" t="s">
        <v>117</v>
      </c>
      <c r="F33" s="218" t="s">
        <v>1977</v>
      </c>
      <c r="G33" s="222"/>
      <c r="H33" s="222"/>
    </row>
    <row r="34" s="204" customFormat="1" ht="16.95" customHeight="1" spans="1:8">
      <c r="A34" s="212"/>
      <c r="B34" s="233" t="s">
        <v>2007</v>
      </c>
      <c r="C34" s="233"/>
      <c r="D34" s="232">
        <v>18</v>
      </c>
      <c r="E34" s="220" t="s">
        <v>117</v>
      </c>
      <c r="F34" s="218" t="s">
        <v>1977</v>
      </c>
      <c r="G34" s="222"/>
      <c r="H34" s="222"/>
    </row>
    <row r="35" s="204" customFormat="1" ht="16.95" customHeight="1" spans="1:8">
      <c r="A35" s="212"/>
      <c r="B35" s="234" t="s">
        <v>2008</v>
      </c>
      <c r="C35" s="235"/>
      <c r="D35" s="232">
        <v>32</v>
      </c>
      <c r="E35" s="220" t="s">
        <v>218</v>
      </c>
      <c r="F35" s="218" t="s">
        <v>1977</v>
      </c>
      <c r="G35" s="222"/>
      <c r="H35" s="222"/>
    </row>
    <row r="36" s="204" customFormat="1" ht="16.95" customHeight="1" spans="1:8">
      <c r="A36" s="212"/>
      <c r="B36" s="233" t="s">
        <v>2009</v>
      </c>
      <c r="C36" s="233"/>
      <c r="D36" s="232">
        <v>1</v>
      </c>
      <c r="E36" s="220" t="s">
        <v>117</v>
      </c>
      <c r="F36" s="218" t="s">
        <v>1977</v>
      </c>
      <c r="G36" s="222"/>
      <c r="H36" s="222"/>
    </row>
    <row r="37" s="204" customFormat="1" ht="16.95" customHeight="1" spans="1:8">
      <c r="A37" s="212"/>
      <c r="B37" s="233" t="s">
        <v>2010</v>
      </c>
      <c r="C37" s="233"/>
      <c r="D37" s="232">
        <v>1</v>
      </c>
      <c r="E37" s="220" t="s">
        <v>117</v>
      </c>
      <c r="F37" s="218" t="s">
        <v>1977</v>
      </c>
      <c r="G37" s="222"/>
      <c r="H37" s="222"/>
    </row>
    <row r="38" s="204" customFormat="1" ht="16.95" customHeight="1" spans="1:8">
      <c r="A38" s="212"/>
      <c r="B38" s="233" t="s">
        <v>2011</v>
      </c>
      <c r="C38" s="233"/>
      <c r="D38" s="232">
        <v>2</v>
      </c>
      <c r="E38" s="220" t="s">
        <v>117</v>
      </c>
      <c r="F38" s="218" t="s">
        <v>1977</v>
      </c>
      <c r="G38" s="222"/>
      <c r="H38" s="222"/>
    </row>
    <row r="39" s="204" customFormat="1" ht="16.95" customHeight="1" spans="1:8">
      <c r="A39" s="212"/>
      <c r="B39" s="233" t="s">
        <v>2012</v>
      </c>
      <c r="C39" s="233"/>
      <c r="D39" s="232">
        <v>100</v>
      </c>
      <c r="E39" s="220" t="s">
        <v>122</v>
      </c>
      <c r="F39" s="218" t="s">
        <v>1977</v>
      </c>
      <c r="G39" s="222"/>
      <c r="H39" s="222"/>
    </row>
    <row r="40" s="202" customFormat="1" ht="16.95" customHeight="1" spans="1:8">
      <c r="A40" s="212"/>
      <c r="B40" s="233" t="s">
        <v>2013</v>
      </c>
      <c r="C40" s="233"/>
      <c r="D40" s="232">
        <v>10</v>
      </c>
      <c r="E40" s="220" t="s">
        <v>117</v>
      </c>
      <c r="F40" s="218" t="s">
        <v>1977</v>
      </c>
      <c r="G40" s="214"/>
      <c r="H40" s="214"/>
    </row>
    <row r="41" s="202" customFormat="1" ht="16.95" customHeight="1" spans="1:8">
      <c r="A41" s="212"/>
      <c r="B41" s="233" t="s">
        <v>2014</v>
      </c>
      <c r="C41" s="233"/>
      <c r="D41" s="232">
        <v>1</v>
      </c>
      <c r="E41" s="220" t="s">
        <v>108</v>
      </c>
      <c r="F41" s="218" t="s">
        <v>1977</v>
      </c>
      <c r="G41" s="214"/>
      <c r="H41" s="214"/>
    </row>
    <row r="42" s="202" customFormat="1" ht="16.95" customHeight="1" spans="1:8">
      <c r="A42" s="212"/>
      <c r="B42" s="233" t="s">
        <v>2015</v>
      </c>
      <c r="C42" s="233"/>
      <c r="D42" s="232">
        <v>3</v>
      </c>
      <c r="E42" s="220" t="s">
        <v>117</v>
      </c>
      <c r="F42" s="218" t="s">
        <v>1977</v>
      </c>
      <c r="G42" s="214"/>
      <c r="H42" s="214"/>
    </row>
    <row r="43" s="202" customFormat="1" ht="16.95" customHeight="1" spans="1:8">
      <c r="A43" s="212"/>
      <c r="B43" s="233" t="s">
        <v>2016</v>
      </c>
      <c r="C43" s="233"/>
      <c r="D43" s="232">
        <v>1</v>
      </c>
      <c r="E43" s="220" t="s">
        <v>1989</v>
      </c>
      <c r="F43" s="218" t="s">
        <v>1977</v>
      </c>
      <c r="G43" s="214"/>
      <c r="H43" s="214"/>
    </row>
    <row r="44" s="202" customFormat="1" ht="17.25" spans="1:8">
      <c r="A44" s="212" t="s">
        <v>2017</v>
      </c>
      <c r="B44" s="236" t="s">
        <v>1974</v>
      </c>
      <c r="C44" s="237"/>
      <c r="D44" s="237"/>
      <c r="E44" s="237"/>
      <c r="F44" s="238"/>
      <c r="G44" s="214"/>
      <c r="H44" s="214"/>
    </row>
    <row r="45" s="203" customFormat="1" ht="16.95" customHeight="1" spans="1:8">
      <c r="A45" s="212"/>
      <c r="B45" s="223" t="s">
        <v>2018</v>
      </c>
      <c r="C45" s="224"/>
      <c r="D45" s="216">
        <v>28</v>
      </c>
      <c r="E45" s="217" t="s">
        <v>1976</v>
      </c>
      <c r="F45" s="218" t="s">
        <v>1977</v>
      </c>
      <c r="G45" s="219"/>
      <c r="H45" s="219"/>
    </row>
    <row r="46" s="202" customFormat="1" ht="16.95" customHeight="1" spans="1:8">
      <c r="A46" s="212"/>
      <c r="B46" s="223" t="s">
        <v>1978</v>
      </c>
      <c r="C46" s="224"/>
      <c r="D46" s="220">
        <v>2</v>
      </c>
      <c r="E46" s="220" t="s">
        <v>108</v>
      </c>
      <c r="F46" s="218" t="s">
        <v>1977</v>
      </c>
      <c r="G46" s="221"/>
      <c r="H46" s="214"/>
    </row>
    <row r="47" s="202" customFormat="1" ht="16.95" customHeight="1" spans="1:8">
      <c r="A47" s="212"/>
      <c r="B47" s="223" t="s">
        <v>1979</v>
      </c>
      <c r="C47" s="224"/>
      <c r="D47" s="220">
        <v>2</v>
      </c>
      <c r="E47" s="220" t="s">
        <v>117</v>
      </c>
      <c r="F47" s="218" t="s">
        <v>1977</v>
      </c>
      <c r="G47" s="214"/>
      <c r="H47" s="214"/>
    </row>
    <row r="48" s="204" customFormat="1" ht="16.95" customHeight="1" spans="1:8">
      <c r="A48" s="212"/>
      <c r="B48" s="228" t="s">
        <v>2019</v>
      </c>
      <c r="C48" s="229"/>
      <c r="D48" s="220">
        <v>1</v>
      </c>
      <c r="E48" s="220" t="s">
        <v>117</v>
      </c>
      <c r="F48" s="218" t="s">
        <v>1977</v>
      </c>
      <c r="G48" s="222"/>
      <c r="H48" s="222"/>
    </row>
    <row r="49" s="202" customFormat="1" ht="16.95" customHeight="1" spans="1:8">
      <c r="A49" s="212"/>
      <c r="B49" s="239" t="s">
        <v>1985</v>
      </c>
      <c r="C49" s="240"/>
      <c r="D49" s="241">
        <v>1</v>
      </c>
      <c r="E49" s="241" t="s">
        <v>117</v>
      </c>
      <c r="F49" s="218" t="s">
        <v>1977</v>
      </c>
      <c r="G49" s="214"/>
      <c r="H49" s="214"/>
    </row>
    <row r="50" s="204" customFormat="1" ht="17.25" spans="1:8">
      <c r="A50" s="212"/>
      <c r="B50" s="242" t="s">
        <v>1987</v>
      </c>
      <c r="C50" s="243"/>
      <c r="D50" s="241">
        <v>1</v>
      </c>
      <c r="E50" s="241" t="s">
        <v>108</v>
      </c>
      <c r="F50" s="218" t="s">
        <v>1977</v>
      </c>
      <c r="G50" s="222"/>
      <c r="H50" s="222"/>
    </row>
    <row r="51" s="202" customFormat="1" ht="17.25" spans="1:8">
      <c r="A51" s="212"/>
      <c r="B51" s="239" t="s">
        <v>1986</v>
      </c>
      <c r="C51" s="240"/>
      <c r="D51" s="241">
        <v>2</v>
      </c>
      <c r="E51" s="241" t="s">
        <v>117</v>
      </c>
      <c r="F51" s="218" t="s">
        <v>1977</v>
      </c>
      <c r="G51" s="214"/>
      <c r="H51" s="214"/>
    </row>
    <row r="52" s="202" customFormat="1" ht="17.25" spans="1:8">
      <c r="A52" s="212"/>
      <c r="B52" s="242" t="s">
        <v>2015</v>
      </c>
      <c r="C52" s="243"/>
      <c r="D52" s="241">
        <v>1</v>
      </c>
      <c r="E52" s="241" t="s">
        <v>117</v>
      </c>
      <c r="F52" s="218" t="s">
        <v>1977</v>
      </c>
      <c r="G52" s="214"/>
      <c r="H52" s="214"/>
    </row>
    <row r="53" s="202" customFormat="1" ht="16.95" customHeight="1" spans="1:8">
      <c r="A53" s="212"/>
      <c r="B53" s="244" t="s">
        <v>1990</v>
      </c>
      <c r="C53" s="245"/>
      <c r="D53" s="245"/>
      <c r="E53" s="245"/>
      <c r="F53" s="246"/>
      <c r="G53" s="214"/>
      <c r="H53" s="214"/>
    </row>
    <row r="54" s="202" customFormat="1" ht="16.95" customHeight="1" spans="1:8">
      <c r="A54" s="212"/>
      <c r="B54" s="228" t="s">
        <v>2020</v>
      </c>
      <c r="C54" s="229"/>
      <c r="D54" s="241">
        <v>4</v>
      </c>
      <c r="E54" s="241" t="s">
        <v>2021</v>
      </c>
      <c r="F54" s="247" t="s">
        <v>1977</v>
      </c>
      <c r="G54" s="214"/>
      <c r="H54" s="214"/>
    </row>
    <row r="55" s="202" customFormat="1" ht="16.95" customHeight="1" spans="1:8">
      <c r="A55" s="212"/>
      <c r="B55" s="228" t="s">
        <v>2022</v>
      </c>
      <c r="C55" s="229"/>
      <c r="D55" s="241">
        <v>2</v>
      </c>
      <c r="E55" s="241" t="s">
        <v>2021</v>
      </c>
      <c r="F55" s="247" t="s">
        <v>1977</v>
      </c>
      <c r="G55" s="214"/>
      <c r="H55" s="214"/>
    </row>
    <row r="56" s="202" customFormat="1" ht="16.95" customHeight="1" spans="1:8">
      <c r="A56" s="212"/>
      <c r="B56" s="228" t="s">
        <v>2023</v>
      </c>
      <c r="C56" s="229"/>
      <c r="D56" s="241">
        <v>2</v>
      </c>
      <c r="E56" s="241" t="s">
        <v>2021</v>
      </c>
      <c r="F56" s="247" t="s">
        <v>1977</v>
      </c>
      <c r="G56" s="214"/>
      <c r="H56" s="214"/>
    </row>
    <row r="57" s="202" customFormat="1" ht="17.25" spans="1:8">
      <c r="A57" s="212"/>
      <c r="B57" s="228" t="s">
        <v>2024</v>
      </c>
      <c r="C57" s="229"/>
      <c r="D57" s="241">
        <v>1</v>
      </c>
      <c r="E57" s="241" t="s">
        <v>117</v>
      </c>
      <c r="F57" s="247" t="s">
        <v>1977</v>
      </c>
      <c r="G57" s="214"/>
      <c r="H57" s="214"/>
    </row>
    <row r="58" s="202" customFormat="1" ht="18" customHeight="1" spans="1:8">
      <c r="A58" s="212"/>
      <c r="B58" s="228" t="s">
        <v>2025</v>
      </c>
      <c r="C58" s="229"/>
      <c r="D58" s="241">
        <v>1</v>
      </c>
      <c r="E58" s="241" t="s">
        <v>117</v>
      </c>
      <c r="F58" s="247" t="s">
        <v>1977</v>
      </c>
      <c r="G58" s="214"/>
      <c r="H58" s="214"/>
    </row>
    <row r="59" s="202" customFormat="1" ht="16.95" customHeight="1" spans="1:8">
      <c r="A59" s="212"/>
      <c r="B59" s="228" t="s">
        <v>1998</v>
      </c>
      <c r="C59" s="229"/>
      <c r="D59" s="241">
        <v>2</v>
      </c>
      <c r="E59" s="241" t="s">
        <v>125</v>
      </c>
      <c r="F59" s="247" t="s">
        <v>1977</v>
      </c>
      <c r="G59" s="214"/>
      <c r="H59" s="214"/>
    </row>
    <row r="60" s="202" customFormat="1" ht="18" customHeight="1" spans="1:8">
      <c r="A60" s="212"/>
      <c r="B60" s="228" t="s">
        <v>1999</v>
      </c>
      <c r="C60" s="229"/>
      <c r="D60" s="241">
        <v>4</v>
      </c>
      <c r="E60" s="241" t="s">
        <v>218</v>
      </c>
      <c r="F60" s="247" t="s">
        <v>1977</v>
      </c>
      <c r="G60" s="214"/>
      <c r="H60" s="214"/>
    </row>
    <row r="61" s="202" customFormat="1" ht="16.95" customHeight="1" spans="1:8">
      <c r="A61" s="212"/>
      <c r="B61" s="228" t="s">
        <v>2026</v>
      </c>
      <c r="C61" s="229"/>
      <c r="D61" s="241">
        <v>1</v>
      </c>
      <c r="E61" s="241" t="s">
        <v>117</v>
      </c>
      <c r="F61" s="247" t="s">
        <v>1977</v>
      </c>
      <c r="G61" s="214"/>
      <c r="H61" s="214"/>
    </row>
    <row r="62" s="202" customFormat="1" ht="16.95" customHeight="1" spans="1:8">
      <c r="A62" s="212"/>
      <c r="B62" s="248" t="s">
        <v>2004</v>
      </c>
      <c r="C62" s="249"/>
      <c r="D62" s="249"/>
      <c r="E62" s="249"/>
      <c r="F62" s="249"/>
      <c r="G62" s="214"/>
      <c r="H62" s="214"/>
    </row>
    <row r="63" s="202" customFormat="1" ht="16.95" customHeight="1" spans="1:8">
      <c r="A63" s="212"/>
      <c r="B63" s="250" t="s">
        <v>2015</v>
      </c>
      <c r="C63" s="251"/>
      <c r="D63" s="252">
        <v>2</v>
      </c>
      <c r="E63" s="241" t="s">
        <v>117</v>
      </c>
      <c r="F63" s="253" t="s">
        <v>1977</v>
      </c>
      <c r="G63" s="214"/>
      <c r="H63" s="214"/>
    </row>
    <row r="64" s="202" customFormat="1" ht="17.25" spans="1:8">
      <c r="A64" s="212"/>
      <c r="B64" s="230" t="s">
        <v>2006</v>
      </c>
      <c r="C64" s="231"/>
      <c r="D64" s="252">
        <v>2</v>
      </c>
      <c r="E64" s="241" t="s">
        <v>117</v>
      </c>
      <c r="F64" s="253" t="s">
        <v>1977</v>
      </c>
      <c r="G64" s="214"/>
      <c r="H64" s="214"/>
    </row>
    <row r="65" s="202" customFormat="1" ht="16.95" customHeight="1" spans="1:8">
      <c r="A65" s="212"/>
      <c r="B65" s="230" t="s">
        <v>2027</v>
      </c>
      <c r="C65" s="231"/>
      <c r="D65" s="252">
        <v>4</v>
      </c>
      <c r="E65" s="241" t="s">
        <v>117</v>
      </c>
      <c r="F65" s="253" t="s">
        <v>1977</v>
      </c>
      <c r="G65" s="214"/>
      <c r="H65" s="214"/>
    </row>
    <row r="66" s="202" customFormat="1" ht="16.95" customHeight="1" spans="1:8">
      <c r="A66" s="212"/>
      <c r="B66" s="234" t="s">
        <v>2008</v>
      </c>
      <c r="C66" s="235"/>
      <c r="D66" s="252">
        <v>12</v>
      </c>
      <c r="E66" s="241" t="s">
        <v>218</v>
      </c>
      <c r="F66" s="253" t="s">
        <v>1977</v>
      </c>
      <c r="G66" s="214"/>
      <c r="H66" s="214"/>
    </row>
    <row r="67" s="202" customFormat="1" ht="17.25" spans="1:8">
      <c r="A67" s="212"/>
      <c r="B67" s="254" t="s">
        <v>2028</v>
      </c>
      <c r="C67" s="254"/>
      <c r="D67" s="252">
        <v>1</v>
      </c>
      <c r="E67" s="241" t="s">
        <v>117</v>
      </c>
      <c r="F67" s="253" t="s">
        <v>1977</v>
      </c>
      <c r="G67" s="214"/>
      <c r="H67" s="214"/>
    </row>
    <row r="68" s="202" customFormat="1" ht="16.95" customHeight="1" spans="1:8">
      <c r="A68" s="212"/>
      <c r="B68" s="254" t="s">
        <v>2029</v>
      </c>
      <c r="C68" s="254"/>
      <c r="D68" s="252">
        <v>40</v>
      </c>
      <c r="E68" s="241" t="s">
        <v>122</v>
      </c>
      <c r="F68" s="253" t="s">
        <v>1977</v>
      </c>
      <c r="G68" s="214"/>
      <c r="H68" s="214"/>
    </row>
    <row r="69" s="202" customFormat="1" ht="16.95" customHeight="1" spans="1:8">
      <c r="A69" s="212"/>
      <c r="B69" s="254" t="s">
        <v>2030</v>
      </c>
      <c r="C69" s="254"/>
      <c r="D69" s="252">
        <v>4</v>
      </c>
      <c r="E69" s="241" t="s">
        <v>117</v>
      </c>
      <c r="F69" s="253" t="s">
        <v>1977</v>
      </c>
      <c r="G69" s="214"/>
      <c r="H69" s="214"/>
    </row>
    <row r="70" s="202" customFormat="1" ht="16.95" customHeight="1" spans="1:8">
      <c r="A70" s="212"/>
      <c r="B70" s="254" t="s">
        <v>2016</v>
      </c>
      <c r="C70" s="254"/>
      <c r="D70" s="252">
        <v>1</v>
      </c>
      <c r="E70" s="241" t="s">
        <v>1989</v>
      </c>
      <c r="F70" s="253" t="s">
        <v>1977</v>
      </c>
      <c r="G70" s="214"/>
      <c r="H70" s="214"/>
    </row>
    <row r="71" s="202" customFormat="1" ht="30" customHeight="1" spans="1:8">
      <c r="A71" s="255" t="s">
        <v>2031</v>
      </c>
      <c r="B71" s="256" t="s">
        <v>2032</v>
      </c>
      <c r="C71" s="257"/>
      <c r="D71" s="257"/>
      <c r="E71" s="258"/>
      <c r="F71" s="253" t="s">
        <v>1977</v>
      </c>
      <c r="G71" s="214"/>
      <c r="H71" s="214"/>
    </row>
    <row r="72" s="202" customFormat="1" ht="37.95" customHeight="1" spans="1:8">
      <c r="A72" s="255"/>
      <c r="B72" s="256" t="s">
        <v>2033</v>
      </c>
      <c r="C72" s="257"/>
      <c r="D72" s="257"/>
      <c r="E72" s="258"/>
      <c r="F72" s="253" t="s">
        <v>1977</v>
      </c>
      <c r="G72" s="214"/>
      <c r="H72" s="214"/>
    </row>
    <row r="73" s="72" customFormat="1" ht="16.5" customHeight="1" spans="7:8">
      <c r="G73" s="259"/>
      <c r="H73" s="259"/>
    </row>
    <row r="74" ht="16.95" customHeight="1"/>
    <row r="75" ht="16.95" customHeight="1"/>
    <row r="76" ht="16.95" customHeight="1"/>
  </sheetData>
  <mergeCells count="75">
    <mergeCell ref="A1:F1"/>
    <mergeCell ref="A2:F2"/>
    <mergeCell ref="B3:C3"/>
    <mergeCell ref="B4:F4"/>
    <mergeCell ref="B5:C5"/>
    <mergeCell ref="B6:C6"/>
    <mergeCell ref="B7:C7"/>
    <mergeCell ref="B8:C8"/>
    <mergeCell ref="B9:C9"/>
    <mergeCell ref="B10:C10"/>
    <mergeCell ref="B11:C11"/>
    <mergeCell ref="B12:C12"/>
    <mergeCell ref="B13:C13"/>
    <mergeCell ref="B14:C14"/>
    <mergeCell ref="B15:C15"/>
    <mergeCell ref="B16:C16"/>
    <mergeCell ref="B17:F17"/>
    <mergeCell ref="B18:C18"/>
    <mergeCell ref="B19:C19"/>
    <mergeCell ref="B20:C20"/>
    <mergeCell ref="B21:C21"/>
    <mergeCell ref="B22:C22"/>
    <mergeCell ref="B23:C23"/>
    <mergeCell ref="B24:C24"/>
    <mergeCell ref="B25:C25"/>
    <mergeCell ref="B26:C26"/>
    <mergeCell ref="B27:C27"/>
    <mergeCell ref="B28:C28"/>
    <mergeCell ref="B29:C29"/>
    <mergeCell ref="B30:C30"/>
    <mergeCell ref="B31:F31"/>
    <mergeCell ref="B32:C32"/>
    <mergeCell ref="B33:C33"/>
    <mergeCell ref="B34:C34"/>
    <mergeCell ref="B35:C35"/>
    <mergeCell ref="B36:C36"/>
    <mergeCell ref="B37:C37"/>
    <mergeCell ref="B38:C38"/>
    <mergeCell ref="B39:C39"/>
    <mergeCell ref="B40:C40"/>
    <mergeCell ref="B41:C41"/>
    <mergeCell ref="B42:C42"/>
    <mergeCell ref="B43:C43"/>
    <mergeCell ref="B44:F44"/>
    <mergeCell ref="B45:C45"/>
    <mergeCell ref="B46:C46"/>
    <mergeCell ref="B47:C47"/>
    <mergeCell ref="B48:C48"/>
    <mergeCell ref="B49:C49"/>
    <mergeCell ref="B50:C50"/>
    <mergeCell ref="B51:C51"/>
    <mergeCell ref="B52:C52"/>
    <mergeCell ref="B53:F53"/>
    <mergeCell ref="B54:C54"/>
    <mergeCell ref="B55:C55"/>
    <mergeCell ref="B56:C56"/>
    <mergeCell ref="B57:C57"/>
    <mergeCell ref="B58:C58"/>
    <mergeCell ref="B59:C59"/>
    <mergeCell ref="B60:C60"/>
    <mergeCell ref="B61:C61"/>
    <mergeCell ref="B62:F62"/>
    <mergeCell ref="B63:C63"/>
    <mergeCell ref="B64:C64"/>
    <mergeCell ref="B65:C65"/>
    <mergeCell ref="B66:C66"/>
    <mergeCell ref="B67:C67"/>
    <mergeCell ref="B68:C68"/>
    <mergeCell ref="B69:C69"/>
    <mergeCell ref="B70:C70"/>
    <mergeCell ref="B71:E71"/>
    <mergeCell ref="B72:E72"/>
    <mergeCell ref="A4:A43"/>
    <mergeCell ref="A44:A70"/>
    <mergeCell ref="A71:A72"/>
  </mergeCells>
  <pageMargins left="0.699305555555556" right="0.699305555555556" top="0.75" bottom="0.75" header="0.3" footer="0.3"/>
  <pageSetup paperSize="9" scale="34" orientation="landscape"/>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7030A0"/>
  </sheetPr>
  <dimension ref="A1:L35"/>
  <sheetViews>
    <sheetView zoomScalePageLayoutView="110" workbookViewId="0">
      <pane ySplit="4" topLeftCell="A5" activePane="bottomLeft" state="frozen"/>
      <selection/>
      <selection pane="bottomLeft" activeCell="G10" sqref="G10:G11"/>
    </sheetView>
  </sheetViews>
  <sheetFormatPr defaultColWidth="9" defaultRowHeight="18" customHeight="1"/>
  <cols>
    <col min="1" max="1" width="11.8" style="131" customWidth="1"/>
    <col min="2" max="2" width="11.7" style="131" customWidth="1"/>
    <col min="3" max="3" width="13" style="131" customWidth="1"/>
    <col min="4" max="4" width="14.2" style="131" customWidth="1"/>
    <col min="5" max="5" width="17.7" style="131" customWidth="1"/>
    <col min="6" max="6" width="18.5" style="131" customWidth="1"/>
    <col min="7" max="7" width="20.2" style="131" customWidth="1"/>
    <col min="8" max="8" width="19.2" style="131" customWidth="1"/>
    <col min="9" max="10" width="16.8" style="131" customWidth="1"/>
    <col min="11" max="11" width="18.8" style="131" customWidth="1"/>
    <col min="12" max="12" width="21" style="131" customWidth="1"/>
    <col min="13" max="16384" width="9" style="131"/>
  </cols>
  <sheetData>
    <row r="1" ht="36" customHeight="1" spans="1:12">
      <c r="A1" s="132" t="s">
        <v>2034</v>
      </c>
      <c r="B1" s="133"/>
      <c r="C1" s="133"/>
      <c r="D1" s="133"/>
      <c r="E1" s="133"/>
      <c r="F1" s="133"/>
      <c r="G1" s="133"/>
      <c r="H1" s="133"/>
      <c r="I1" s="133"/>
      <c r="J1" s="133"/>
      <c r="K1" s="133"/>
      <c r="L1" s="180"/>
    </row>
    <row r="2" ht="25.05" customHeight="1" spans="1:12">
      <c r="A2" s="134" t="s">
        <v>2035</v>
      </c>
      <c r="B2" s="135"/>
      <c r="C2" s="135"/>
      <c r="D2" s="135"/>
      <c r="E2" s="135"/>
      <c r="F2" s="135"/>
      <c r="G2" s="135"/>
      <c r="H2" s="135"/>
      <c r="I2" s="135"/>
      <c r="J2" s="135"/>
      <c r="K2" s="135"/>
      <c r="L2" s="181"/>
    </row>
    <row r="3" ht="24" customHeight="1" spans="1:12">
      <c r="A3" s="136" t="s">
        <v>2036</v>
      </c>
      <c r="B3" s="137"/>
      <c r="C3" s="137"/>
      <c r="D3" s="137"/>
      <c r="E3" s="137"/>
      <c r="F3" s="137"/>
      <c r="G3" s="137"/>
      <c r="H3" s="137"/>
      <c r="I3" s="137"/>
      <c r="J3" s="137"/>
      <c r="K3" s="137"/>
      <c r="L3" s="182"/>
    </row>
    <row r="4" ht="25.95" customHeight="1" spans="1:12">
      <c r="A4" s="138" t="s">
        <v>2037</v>
      </c>
      <c r="B4" s="139" t="s">
        <v>2038</v>
      </c>
      <c r="C4" s="139" t="s">
        <v>2039</v>
      </c>
      <c r="D4" s="139" t="s">
        <v>2040</v>
      </c>
      <c r="E4" s="139" t="s">
        <v>2041</v>
      </c>
      <c r="F4" s="139" t="s">
        <v>2042</v>
      </c>
      <c r="G4" s="139" t="s">
        <v>2043</v>
      </c>
      <c r="H4" s="139" t="s">
        <v>2044</v>
      </c>
      <c r="I4" s="139" t="s">
        <v>2042</v>
      </c>
      <c r="J4" s="139" t="s">
        <v>2045</v>
      </c>
      <c r="K4" s="139" t="s">
        <v>2046</v>
      </c>
      <c r="L4" s="139" t="s">
        <v>2047</v>
      </c>
    </row>
    <row r="5" ht="19.05" customHeight="1" spans="1:12">
      <c r="A5" s="140" t="s">
        <v>1421</v>
      </c>
      <c r="B5" s="141"/>
      <c r="C5" s="142"/>
      <c r="D5" s="142"/>
      <c r="E5" s="142"/>
      <c r="F5" s="142"/>
      <c r="G5" s="142" t="s">
        <v>2048</v>
      </c>
      <c r="H5" s="142"/>
      <c r="I5" s="142"/>
      <c r="J5" s="142"/>
      <c r="K5" s="142"/>
      <c r="L5" s="183"/>
    </row>
    <row r="6" ht="17.25" spans="1:12">
      <c r="A6" s="143" t="s">
        <v>1421</v>
      </c>
      <c r="B6" s="144" t="s">
        <v>2049</v>
      </c>
      <c r="C6" s="145"/>
      <c r="D6" s="146"/>
      <c r="E6" s="147"/>
      <c r="F6" s="147"/>
      <c r="G6" s="147"/>
      <c r="H6" s="147"/>
      <c r="I6" s="147"/>
      <c r="J6" s="147"/>
      <c r="K6" s="147"/>
      <c r="L6" s="147"/>
    </row>
    <row r="7" ht="17.25" spans="1:12">
      <c r="A7" s="143" t="s">
        <v>1421</v>
      </c>
      <c r="B7" s="148"/>
      <c r="C7" s="149"/>
      <c r="D7" s="150"/>
      <c r="E7" s="147"/>
      <c r="F7" s="147"/>
      <c r="G7" s="147"/>
      <c r="H7" s="147"/>
      <c r="I7" s="147"/>
      <c r="J7" s="147"/>
      <c r="K7" s="147"/>
      <c r="L7" s="147"/>
    </row>
    <row r="8" ht="17.25" spans="1:12">
      <c r="A8" s="143" t="s">
        <v>1421</v>
      </c>
      <c r="B8" s="148"/>
      <c r="C8" s="149"/>
      <c r="D8" s="150"/>
      <c r="E8" s="147"/>
      <c r="F8" s="147"/>
      <c r="G8" s="147"/>
      <c r="H8" s="147"/>
      <c r="I8" s="147"/>
      <c r="J8" s="147"/>
      <c r="K8" s="147"/>
      <c r="L8" s="147"/>
    </row>
    <row r="9" ht="17.25" spans="1:12">
      <c r="A9" s="143" t="s">
        <v>1421</v>
      </c>
      <c r="B9" s="151"/>
      <c r="C9" s="152"/>
      <c r="D9" s="153"/>
      <c r="E9" s="154" t="s">
        <v>2050</v>
      </c>
      <c r="F9" s="155"/>
      <c r="G9" s="147"/>
      <c r="H9" s="147"/>
      <c r="I9" s="147"/>
      <c r="J9" s="147"/>
      <c r="K9" s="147"/>
      <c r="L9" s="147"/>
    </row>
    <row r="10" ht="17.25" spans="1:12">
      <c r="A10" s="143" t="s">
        <v>1421</v>
      </c>
      <c r="B10" s="147"/>
      <c r="C10" s="147"/>
      <c r="D10" s="147"/>
      <c r="E10" s="156"/>
      <c r="F10" s="157"/>
      <c r="G10" s="158" t="s">
        <v>2051</v>
      </c>
      <c r="H10" s="147"/>
      <c r="I10" s="147"/>
      <c r="J10" s="147"/>
      <c r="K10" s="147"/>
      <c r="L10" s="147"/>
    </row>
    <row r="11" ht="58.05" customHeight="1" spans="1:12">
      <c r="A11" s="143" t="s">
        <v>1421</v>
      </c>
      <c r="B11" s="147"/>
      <c r="C11" s="147"/>
      <c r="D11" s="147"/>
      <c r="E11" s="147"/>
      <c r="F11" s="147"/>
      <c r="G11" s="159"/>
      <c r="H11" s="147"/>
      <c r="I11" s="147"/>
      <c r="J11" s="147"/>
      <c r="K11" s="147"/>
      <c r="L11" s="147"/>
    </row>
    <row r="12" ht="17.25" spans="1:12">
      <c r="A12" s="143" t="s">
        <v>1421</v>
      </c>
      <c r="B12" s="147"/>
      <c r="C12" s="147"/>
      <c r="D12" s="147"/>
      <c r="E12" s="147"/>
      <c r="F12" s="147"/>
      <c r="G12" s="64"/>
      <c r="H12" s="160" t="s">
        <v>2052</v>
      </c>
      <c r="I12" s="184"/>
      <c r="J12" s="184"/>
      <c r="K12" s="184"/>
      <c r="L12" s="184"/>
    </row>
    <row r="13" ht="17.25" spans="1:12">
      <c r="A13" s="143" t="s">
        <v>1421</v>
      </c>
      <c r="B13" s="147"/>
      <c r="C13" s="147"/>
      <c r="D13" s="147"/>
      <c r="E13" s="147"/>
      <c r="F13" s="147"/>
      <c r="G13" s="147"/>
      <c r="H13" s="161"/>
      <c r="I13" s="185"/>
      <c r="J13" s="185"/>
      <c r="K13" s="185"/>
      <c r="L13" s="185"/>
    </row>
    <row r="14" ht="17.25" spans="1:12">
      <c r="A14" s="143" t="s">
        <v>1421</v>
      </c>
      <c r="B14" s="147"/>
      <c r="C14" s="147"/>
      <c r="D14" s="147"/>
      <c r="E14" s="147"/>
      <c r="F14" s="147"/>
      <c r="G14" s="147"/>
      <c r="H14" s="147"/>
      <c r="I14" s="147"/>
      <c r="J14" s="147"/>
      <c r="K14" s="147"/>
      <c r="L14" s="147"/>
    </row>
    <row r="15" ht="17.25" spans="1:12">
      <c r="A15" s="143" t="s">
        <v>1421</v>
      </c>
      <c r="B15" s="147"/>
      <c r="C15" s="147"/>
      <c r="D15" s="147"/>
      <c r="E15" s="147"/>
      <c r="F15" s="147"/>
      <c r="G15" s="147"/>
      <c r="H15" s="147"/>
      <c r="I15" s="147"/>
      <c r="J15" s="147"/>
      <c r="K15" s="147"/>
      <c r="L15" s="147"/>
    </row>
    <row r="16" ht="17.25" spans="1:12">
      <c r="A16" s="143" t="s">
        <v>1421</v>
      </c>
      <c r="B16" s="147"/>
      <c r="C16" s="147"/>
      <c r="D16" s="147"/>
      <c r="E16" s="147"/>
      <c r="F16" s="147"/>
      <c r="G16" s="147"/>
      <c r="H16" s="147"/>
      <c r="I16" s="147"/>
      <c r="J16" s="147"/>
      <c r="K16" s="147"/>
      <c r="L16" s="147"/>
    </row>
    <row r="17" ht="17.25" spans="1:12">
      <c r="A17" s="143" t="s">
        <v>1421</v>
      </c>
      <c r="B17" s="147"/>
      <c r="C17" s="147"/>
      <c r="D17" s="147"/>
      <c r="E17" s="147"/>
      <c r="F17" s="147"/>
      <c r="G17" s="147"/>
      <c r="H17" s="147"/>
      <c r="I17" s="147"/>
      <c r="J17" s="147"/>
      <c r="K17" s="147"/>
      <c r="L17" s="147"/>
    </row>
    <row r="18" ht="17.25" spans="1:12">
      <c r="A18" s="143" t="s">
        <v>1421</v>
      </c>
      <c r="B18" s="147"/>
      <c r="C18" s="147"/>
      <c r="D18" s="147"/>
      <c r="E18" s="147"/>
      <c r="F18" s="147"/>
      <c r="G18" s="147"/>
      <c r="H18" s="147"/>
      <c r="I18" s="147"/>
      <c r="J18" s="147"/>
      <c r="K18" s="147"/>
      <c r="L18" s="147"/>
    </row>
    <row r="19" ht="17.25" spans="1:12">
      <c r="A19" s="143" t="s">
        <v>1421</v>
      </c>
      <c r="B19" s="147"/>
      <c r="C19" s="147"/>
      <c r="D19" s="147"/>
      <c r="E19" s="147"/>
      <c r="F19" s="147"/>
      <c r="G19" s="147"/>
      <c r="H19" s="147"/>
      <c r="I19" s="186" t="s">
        <v>2053</v>
      </c>
      <c r="J19" s="187"/>
      <c r="K19" s="187"/>
      <c r="L19" s="187"/>
    </row>
    <row r="20" ht="17.25" spans="1:12">
      <c r="A20" s="143" t="s">
        <v>1421</v>
      </c>
      <c r="B20" s="147"/>
      <c r="C20" s="147"/>
      <c r="D20" s="147"/>
      <c r="E20" s="147"/>
      <c r="F20" s="147"/>
      <c r="G20" s="147"/>
      <c r="H20" s="147"/>
      <c r="I20" s="188"/>
      <c r="J20" s="189"/>
      <c r="K20" s="189"/>
      <c r="L20" s="189"/>
    </row>
    <row r="21" customHeight="1" spans="1:12">
      <c r="A21" s="143" t="s">
        <v>1421</v>
      </c>
      <c r="B21" s="147"/>
      <c r="C21" s="147"/>
      <c r="D21" s="147"/>
      <c r="E21" s="147"/>
      <c r="F21" s="147"/>
      <c r="G21" s="147"/>
      <c r="H21" s="147"/>
      <c r="I21" s="147"/>
      <c r="J21" s="158" t="s">
        <v>2054</v>
      </c>
      <c r="K21" s="147"/>
      <c r="L21" s="147"/>
    </row>
    <row r="22" customHeight="1" spans="1:12">
      <c r="A22" s="143" t="s">
        <v>1421</v>
      </c>
      <c r="B22" s="147"/>
      <c r="C22" s="147"/>
      <c r="D22" s="147"/>
      <c r="E22" s="147"/>
      <c r="F22" s="147"/>
      <c r="G22" s="147"/>
      <c r="H22" s="147"/>
      <c r="I22" s="147"/>
      <c r="J22" s="190"/>
      <c r="K22" s="147"/>
      <c r="L22" s="147"/>
    </row>
    <row r="23" customHeight="1" spans="1:12">
      <c r="A23" s="143" t="s">
        <v>1421</v>
      </c>
      <c r="B23" s="147"/>
      <c r="C23" s="147"/>
      <c r="D23" s="147"/>
      <c r="E23" s="147"/>
      <c r="F23" s="147"/>
      <c r="G23" s="147"/>
      <c r="H23" s="147"/>
      <c r="I23" s="147"/>
      <c r="J23" s="147"/>
      <c r="K23" s="191" t="s">
        <v>2055</v>
      </c>
      <c r="L23" s="192" t="s">
        <v>2056</v>
      </c>
    </row>
    <row r="24" customHeight="1" spans="1:12">
      <c r="A24" s="143" t="s">
        <v>1421</v>
      </c>
      <c r="B24" s="147"/>
      <c r="C24" s="147"/>
      <c r="D24" s="147"/>
      <c r="E24" s="147"/>
      <c r="F24" s="147"/>
      <c r="G24" s="147"/>
      <c r="H24" s="147"/>
      <c r="I24" s="147"/>
      <c r="J24" s="147"/>
      <c r="K24" s="193"/>
      <c r="L24" s="194"/>
    </row>
    <row r="25" customHeight="1" spans="1:12">
      <c r="A25" s="143" t="s">
        <v>1421</v>
      </c>
      <c r="B25" s="162" t="s">
        <v>2057</v>
      </c>
      <c r="C25" s="163"/>
      <c r="D25" s="163"/>
      <c r="E25" s="163"/>
      <c r="F25" s="163"/>
      <c r="G25" s="163"/>
      <c r="H25" s="163"/>
      <c r="I25" s="163"/>
      <c r="J25" s="163"/>
      <c r="K25" s="163"/>
      <c r="L25" s="195"/>
    </row>
    <row r="26" customHeight="1" spans="1:12">
      <c r="A26" s="143" t="s">
        <v>1421</v>
      </c>
      <c r="B26" s="164"/>
      <c r="C26" s="165"/>
      <c r="D26" s="165"/>
      <c r="E26" s="165"/>
      <c r="F26" s="165"/>
      <c r="G26" s="165"/>
      <c r="H26" s="165"/>
      <c r="I26" s="165"/>
      <c r="J26" s="165"/>
      <c r="K26" s="165"/>
      <c r="L26" s="196"/>
    </row>
    <row r="27" customHeight="1" spans="1:12">
      <c r="A27" s="143" t="s">
        <v>1421</v>
      </c>
      <c r="B27" s="166" t="s">
        <v>2058</v>
      </c>
      <c r="C27" s="167"/>
      <c r="D27" s="167"/>
      <c r="E27" s="167"/>
      <c r="F27" s="167"/>
      <c r="G27" s="167"/>
      <c r="H27" s="167"/>
      <c r="I27" s="167"/>
      <c r="J27" s="167"/>
      <c r="K27" s="167"/>
      <c r="L27" s="197"/>
    </row>
    <row r="28" ht="12" customHeight="1" spans="1:12">
      <c r="A28" s="143" t="s">
        <v>1421</v>
      </c>
      <c r="B28" s="168"/>
      <c r="C28" s="169"/>
      <c r="D28" s="169"/>
      <c r="E28" s="169"/>
      <c r="F28" s="169"/>
      <c r="G28" s="169"/>
      <c r="H28" s="169"/>
      <c r="I28" s="169"/>
      <c r="J28" s="169"/>
      <c r="K28" s="169"/>
      <c r="L28" s="198"/>
    </row>
    <row r="29" customHeight="1" spans="1:12">
      <c r="A29" s="143" t="s">
        <v>1421</v>
      </c>
      <c r="B29" s="170" t="s">
        <v>2059</v>
      </c>
      <c r="C29" s="171"/>
      <c r="D29" s="171"/>
      <c r="E29" s="171"/>
      <c r="F29" s="171"/>
      <c r="G29" s="171"/>
      <c r="H29" s="171"/>
      <c r="I29" s="171"/>
      <c r="J29" s="171"/>
      <c r="K29" s="171"/>
      <c r="L29" s="199"/>
    </row>
    <row r="30" customHeight="1" spans="1:12">
      <c r="A30" s="143" t="s">
        <v>1421</v>
      </c>
      <c r="B30" s="172"/>
      <c r="C30" s="173"/>
      <c r="D30" s="173"/>
      <c r="E30" s="173"/>
      <c r="F30" s="173"/>
      <c r="G30" s="173"/>
      <c r="H30" s="173"/>
      <c r="I30" s="173"/>
      <c r="J30" s="173"/>
      <c r="K30" s="173"/>
      <c r="L30" s="200"/>
    </row>
    <row r="31" customHeight="1" spans="1:12">
      <c r="A31" s="143" t="s">
        <v>1421</v>
      </c>
      <c r="B31" s="174" t="s">
        <v>2060</v>
      </c>
      <c r="C31" s="175"/>
      <c r="D31" s="175"/>
      <c r="E31" s="175"/>
      <c r="F31" s="175"/>
      <c r="G31" s="175"/>
      <c r="H31" s="175"/>
      <c r="I31" s="175"/>
      <c r="J31" s="175"/>
      <c r="K31" s="175"/>
      <c r="L31" s="201"/>
    </row>
    <row r="32" customHeight="1" spans="1:12">
      <c r="A32" s="176" t="s">
        <v>2061</v>
      </c>
      <c r="B32" s="177"/>
      <c r="C32" s="177"/>
      <c r="D32" s="177"/>
      <c r="E32" s="177"/>
      <c r="F32" s="177"/>
      <c r="G32" s="177"/>
      <c r="H32" s="177"/>
      <c r="I32" s="177"/>
      <c r="J32" s="177"/>
      <c r="K32" s="177"/>
      <c r="L32" s="177"/>
    </row>
    <row r="33" customHeight="1" spans="1:12">
      <c r="A33" s="178" t="s">
        <v>2062</v>
      </c>
      <c r="B33" s="179"/>
      <c r="C33" s="179"/>
      <c r="D33" s="179"/>
      <c r="E33" s="179"/>
      <c r="F33" s="179"/>
      <c r="G33" s="179"/>
      <c r="H33" s="179"/>
      <c r="I33" s="179"/>
      <c r="J33" s="179"/>
      <c r="K33" s="179"/>
      <c r="L33" s="179"/>
    </row>
    <row r="34" customHeight="1" spans="1:12">
      <c r="A34" s="178" t="s">
        <v>2063</v>
      </c>
      <c r="B34" s="179"/>
      <c r="C34" s="179"/>
      <c r="D34" s="179"/>
      <c r="E34" s="179"/>
      <c r="F34" s="179"/>
      <c r="G34" s="179"/>
      <c r="H34" s="179"/>
      <c r="I34" s="179"/>
      <c r="J34" s="179"/>
      <c r="K34" s="179"/>
      <c r="L34" s="179"/>
    </row>
    <row r="35" customHeight="1" spans="1:12">
      <c r="A35" s="178" t="s">
        <v>2064</v>
      </c>
      <c r="B35" s="179"/>
      <c r="C35" s="179"/>
      <c r="D35" s="179"/>
      <c r="E35" s="179"/>
      <c r="F35" s="179"/>
      <c r="G35" s="179"/>
      <c r="H35" s="179"/>
      <c r="I35" s="179"/>
      <c r="J35" s="179"/>
      <c r="K35" s="179"/>
      <c r="L35" s="179"/>
    </row>
  </sheetData>
  <mergeCells count="26">
    <mergeCell ref="A1:L1"/>
    <mergeCell ref="A2:L2"/>
    <mergeCell ref="A3:L3"/>
    <mergeCell ref="B31:L31"/>
    <mergeCell ref="A32:L32"/>
    <mergeCell ref="A33:L33"/>
    <mergeCell ref="A34:L34"/>
    <mergeCell ref="A35:L35"/>
    <mergeCell ref="G10:G11"/>
    <mergeCell ref="H12:H13"/>
    <mergeCell ref="I12:I13"/>
    <mergeCell ref="I19:I20"/>
    <mergeCell ref="J12:J13"/>
    <mergeCell ref="J19:J20"/>
    <mergeCell ref="J21:J22"/>
    <mergeCell ref="K12:K13"/>
    <mergeCell ref="K19:K20"/>
    <mergeCell ref="K23:K24"/>
    <mergeCell ref="L12:L13"/>
    <mergeCell ref="L19:L20"/>
    <mergeCell ref="L23:L24"/>
    <mergeCell ref="B6:D9"/>
    <mergeCell ref="E9:F10"/>
    <mergeCell ref="B29:L30"/>
    <mergeCell ref="B25:L26"/>
    <mergeCell ref="B27:L28"/>
  </mergeCells>
  <pageMargins left="0.699305555555556" right="0.699305555555556" top="0.75" bottom="0.75" header="0.3" footer="0.3"/>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C27"/>
  <sheetViews>
    <sheetView zoomScale="85" zoomScaleNormal="85" workbookViewId="0">
      <pane xSplit="3" ySplit="3" topLeftCell="D4" activePane="bottomRight" state="frozen"/>
      <selection/>
      <selection pane="topRight"/>
      <selection pane="bottomLeft"/>
      <selection pane="bottomRight" activeCell="A25" sqref="A25:A27"/>
    </sheetView>
  </sheetViews>
  <sheetFormatPr defaultColWidth="9" defaultRowHeight="14.25" outlineLevelCol="2"/>
  <cols>
    <col min="1" max="1" width="32.7" customWidth="1"/>
    <col min="2" max="2" width="18.3" customWidth="1"/>
    <col min="3" max="3" width="143.2" customWidth="1"/>
  </cols>
  <sheetData>
    <row r="1" ht="29.25" spans="1:3">
      <c r="A1" s="112" t="s">
        <v>2065</v>
      </c>
      <c r="B1" s="112"/>
      <c r="C1" s="112"/>
    </row>
    <row r="2" s="72" customFormat="1" ht="22.5" spans="1:3">
      <c r="A2" s="113" t="s">
        <v>2066</v>
      </c>
      <c r="B2" s="114"/>
      <c r="C2" s="115"/>
    </row>
    <row r="3" ht="33" customHeight="1" spans="1:3">
      <c r="A3" s="116" t="s">
        <v>2067</v>
      </c>
      <c r="B3" s="117"/>
      <c r="C3" s="117"/>
    </row>
    <row r="4" ht="96" customHeight="1" spans="1:3">
      <c r="A4" s="118" t="s">
        <v>2068</v>
      </c>
      <c r="B4" s="119" t="s">
        <v>2069</v>
      </c>
      <c r="C4" s="120" t="s">
        <v>2070</v>
      </c>
    </row>
    <row r="5" ht="96" customHeight="1" spans="1:3">
      <c r="A5" s="118"/>
      <c r="B5" s="121" t="s">
        <v>2071</v>
      </c>
      <c r="C5" s="120" t="s">
        <v>2072</v>
      </c>
    </row>
    <row r="6" ht="63" customHeight="1" spans="1:3">
      <c r="A6" s="118"/>
      <c r="B6" s="122" t="s">
        <v>2073</v>
      </c>
      <c r="C6" s="120" t="s">
        <v>2074</v>
      </c>
    </row>
    <row r="7" ht="64.95" customHeight="1" spans="1:3">
      <c r="A7" s="123" t="s">
        <v>2075</v>
      </c>
      <c r="B7" s="119" t="s">
        <v>2069</v>
      </c>
      <c r="C7" s="124" t="s">
        <v>2076</v>
      </c>
    </row>
    <row r="8" ht="88.05" customHeight="1" spans="1:3">
      <c r="A8" s="123"/>
      <c r="B8" s="121" t="s">
        <v>2071</v>
      </c>
      <c r="C8" s="124" t="s">
        <v>2077</v>
      </c>
    </row>
    <row r="9" ht="69" spans="1:3">
      <c r="A9" s="123"/>
      <c r="B9" s="122" t="s">
        <v>2073</v>
      </c>
      <c r="C9" s="124" t="s">
        <v>2078</v>
      </c>
    </row>
    <row r="10" ht="51.75" spans="1:3">
      <c r="A10" s="125" t="s">
        <v>2079</v>
      </c>
      <c r="B10" s="119" t="s">
        <v>2069</v>
      </c>
      <c r="C10" s="124" t="s">
        <v>2080</v>
      </c>
    </row>
    <row r="11" ht="85.95" customHeight="1" spans="1:3">
      <c r="A11" s="125"/>
      <c r="B11" s="121" t="s">
        <v>2071</v>
      </c>
      <c r="C11" s="124" t="s">
        <v>2081</v>
      </c>
    </row>
    <row r="12" ht="69" spans="1:3">
      <c r="A12" s="125"/>
      <c r="B12" s="122" t="s">
        <v>2073</v>
      </c>
      <c r="C12" s="124" t="s">
        <v>2082</v>
      </c>
    </row>
    <row r="13" ht="45" customHeight="1" spans="1:3">
      <c r="A13" s="126" t="s">
        <v>2083</v>
      </c>
      <c r="B13" s="119" t="s">
        <v>2069</v>
      </c>
      <c r="C13" s="124" t="s">
        <v>2084</v>
      </c>
    </row>
    <row r="14" ht="66" customHeight="1" spans="1:3">
      <c r="A14" s="126"/>
      <c r="B14" s="121" t="s">
        <v>2071</v>
      </c>
      <c r="C14" s="124" t="s">
        <v>2085</v>
      </c>
    </row>
    <row r="15" ht="86.25" spans="1:3">
      <c r="A15" s="126"/>
      <c r="B15" s="122" t="s">
        <v>2073</v>
      </c>
      <c r="C15" s="124" t="s">
        <v>2086</v>
      </c>
    </row>
    <row r="16" ht="48" customHeight="1" spans="1:3">
      <c r="A16" s="127" t="s">
        <v>2087</v>
      </c>
      <c r="B16" s="119" t="s">
        <v>2069</v>
      </c>
      <c r="C16" s="124" t="s">
        <v>2088</v>
      </c>
    </row>
    <row r="17" ht="87" customHeight="1" spans="1:3">
      <c r="A17" s="127"/>
      <c r="B17" s="121" t="s">
        <v>2071</v>
      </c>
      <c r="C17" s="124" t="s">
        <v>2089</v>
      </c>
    </row>
    <row r="18" ht="108" customHeight="1" spans="1:3">
      <c r="A18" s="127"/>
      <c r="B18" s="122" t="s">
        <v>2090</v>
      </c>
      <c r="C18" s="124" t="s">
        <v>2091</v>
      </c>
    </row>
    <row r="19" ht="127.05" customHeight="1" spans="1:3">
      <c r="A19" s="128" t="s">
        <v>2092</v>
      </c>
      <c r="B19" s="119" t="s">
        <v>2069</v>
      </c>
      <c r="C19" s="124" t="s">
        <v>2093</v>
      </c>
    </row>
    <row r="20" ht="271.95" customHeight="1" spans="1:3">
      <c r="A20" s="128"/>
      <c r="B20" s="121" t="s">
        <v>2071</v>
      </c>
      <c r="C20" s="124" t="s">
        <v>2094</v>
      </c>
    </row>
    <row r="21" ht="48" customHeight="1" spans="1:3">
      <c r="A21" s="128"/>
      <c r="B21" s="122" t="s">
        <v>2073</v>
      </c>
      <c r="C21" s="124" t="s">
        <v>2095</v>
      </c>
    </row>
    <row r="22" ht="54" customHeight="1" spans="1:3">
      <c r="A22" s="129" t="s">
        <v>2096</v>
      </c>
      <c r="B22" s="119" t="s">
        <v>2069</v>
      </c>
      <c r="C22" s="124" t="s">
        <v>2097</v>
      </c>
    </row>
    <row r="23" ht="73.05" customHeight="1" spans="1:3">
      <c r="A23" s="129"/>
      <c r="B23" s="121" t="s">
        <v>2071</v>
      </c>
      <c r="C23" s="124" t="s">
        <v>2098</v>
      </c>
    </row>
    <row r="24" ht="78" customHeight="1" spans="1:3">
      <c r="A24" s="129"/>
      <c r="B24" s="122" t="s">
        <v>2073</v>
      </c>
      <c r="C24" s="124" t="s">
        <v>2099</v>
      </c>
    </row>
    <row r="25" ht="70.95" customHeight="1" spans="1:3">
      <c r="A25" s="130" t="s">
        <v>2100</v>
      </c>
      <c r="B25" s="119" t="s">
        <v>2069</v>
      </c>
      <c r="C25" s="124" t="s">
        <v>2101</v>
      </c>
    </row>
    <row r="26" ht="90" customHeight="1" spans="1:3">
      <c r="A26" s="130"/>
      <c r="B26" s="121" t="s">
        <v>2071</v>
      </c>
      <c r="C26" s="124" t="s">
        <v>2102</v>
      </c>
    </row>
    <row r="27" ht="61.05" customHeight="1" spans="1:3">
      <c r="A27" s="130"/>
      <c r="B27" s="122" t="s">
        <v>2073</v>
      </c>
      <c r="C27" s="124" t="s">
        <v>2103</v>
      </c>
    </row>
  </sheetData>
  <mergeCells count="11">
    <mergeCell ref="A1:C1"/>
    <mergeCell ref="A2:C2"/>
    <mergeCell ref="A3:C3"/>
    <mergeCell ref="A4:A6"/>
    <mergeCell ref="A7:A9"/>
    <mergeCell ref="A10:A12"/>
    <mergeCell ref="A13:A15"/>
    <mergeCell ref="A16:A18"/>
    <mergeCell ref="A19:A21"/>
    <mergeCell ref="A22:A24"/>
    <mergeCell ref="A25:A27"/>
  </mergeCells>
  <pageMargins left="0.75" right="0.75" top="1" bottom="1" header="0.5" footer="0.5"/>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3" tint="0.599993896298105"/>
  </sheetPr>
  <dimension ref="A1:AM42"/>
  <sheetViews>
    <sheetView showGridLines="0" tabSelected="1" zoomScale="70" zoomScaleNormal="70" zoomScalePageLayoutView="90" workbookViewId="0">
      <pane xSplit="9" ySplit="4" topLeftCell="U5" activePane="bottomRight" state="frozen"/>
      <selection/>
      <selection pane="topRight"/>
      <selection pane="bottomLeft"/>
      <selection pane="bottomRight" activeCell="H10" sqref="H10"/>
    </sheetView>
  </sheetViews>
  <sheetFormatPr defaultColWidth="11" defaultRowHeight="14.25"/>
  <cols>
    <col min="1" max="1" width="13" customWidth="1"/>
    <col min="2" max="2" width="15" customWidth="1"/>
    <col min="3" max="3" width="25.3" customWidth="1"/>
    <col min="4" max="4" width="38" customWidth="1"/>
    <col min="5" max="5" width="19.5" customWidth="1"/>
    <col min="6" max="6" width="12.5" customWidth="1"/>
    <col min="7" max="7" width="8.8" hidden="1" customWidth="1"/>
    <col min="8" max="8" width="20" customWidth="1"/>
    <col min="9" max="9" width="35.7" customWidth="1"/>
    <col min="10" max="10" width="3.2" customWidth="1"/>
    <col min="11" max="39" width="3.7" customWidth="1"/>
  </cols>
  <sheetData>
    <row r="1" ht="29.25" spans="1:39">
      <c r="A1" s="58" t="s">
        <v>2104</v>
      </c>
      <c r="B1" s="58"/>
      <c r="C1" s="58"/>
      <c r="D1" s="58"/>
      <c r="E1" s="58"/>
      <c r="F1" s="58"/>
      <c r="G1" s="58"/>
      <c r="H1" s="58"/>
      <c r="I1" s="58"/>
      <c r="J1" s="80" t="s">
        <v>2105</v>
      </c>
      <c r="K1" s="80"/>
      <c r="L1" s="80"/>
      <c r="M1" s="80"/>
      <c r="N1" s="80"/>
      <c r="O1" s="80"/>
      <c r="P1" s="80"/>
      <c r="Q1" s="80"/>
      <c r="R1" s="80"/>
      <c r="S1" s="80"/>
      <c r="T1" s="80"/>
      <c r="U1" s="80"/>
      <c r="V1" s="80"/>
      <c r="W1" s="80"/>
      <c r="X1" s="80"/>
      <c r="Y1" s="80"/>
      <c r="Z1" s="80"/>
      <c r="AA1" s="80"/>
      <c r="AB1" s="80"/>
      <c r="AC1" s="80"/>
      <c r="AD1" s="80"/>
      <c r="AE1" s="80"/>
      <c r="AF1" s="80"/>
      <c r="AG1" s="80"/>
      <c r="AH1" s="80"/>
      <c r="AI1" s="80"/>
      <c r="AJ1" s="80"/>
      <c r="AK1" s="80"/>
      <c r="AL1" s="80"/>
      <c r="AM1" s="80"/>
    </row>
    <row r="2" ht="17.25" spans="1:39">
      <c r="A2" s="59" t="s">
        <v>2106</v>
      </c>
      <c r="B2" s="59"/>
      <c r="C2" s="59"/>
      <c r="D2" s="59"/>
      <c r="E2" s="59"/>
      <c r="F2" s="59"/>
      <c r="G2" s="59"/>
      <c r="H2" s="59"/>
      <c r="I2" s="59"/>
      <c r="J2" s="81">
        <v>1</v>
      </c>
      <c r="K2" s="81">
        <v>2</v>
      </c>
      <c r="L2" s="81">
        <v>3</v>
      </c>
      <c r="M2" s="81">
        <v>4</v>
      </c>
      <c r="N2" s="81">
        <v>5</v>
      </c>
      <c r="O2" s="81">
        <v>6</v>
      </c>
      <c r="P2" s="81">
        <v>7</v>
      </c>
      <c r="Q2" s="81">
        <v>8</v>
      </c>
      <c r="R2" s="81">
        <v>9</v>
      </c>
      <c r="S2" s="81">
        <v>10</v>
      </c>
      <c r="T2" s="81">
        <v>11</v>
      </c>
      <c r="U2" s="81">
        <v>12</v>
      </c>
      <c r="V2" s="81">
        <v>13</v>
      </c>
      <c r="W2" s="81">
        <v>14</v>
      </c>
      <c r="X2" s="81">
        <v>15</v>
      </c>
      <c r="Y2" s="81">
        <v>16</v>
      </c>
      <c r="Z2" s="81">
        <v>17</v>
      </c>
      <c r="AA2" s="81">
        <v>18</v>
      </c>
      <c r="AB2" s="81">
        <v>19</v>
      </c>
      <c r="AC2" s="81">
        <v>20</v>
      </c>
      <c r="AD2" s="81">
        <v>21</v>
      </c>
      <c r="AE2" s="81">
        <v>22</v>
      </c>
      <c r="AF2" s="81">
        <v>23</v>
      </c>
      <c r="AG2" s="81">
        <v>24</v>
      </c>
      <c r="AH2" s="81">
        <v>25</v>
      </c>
      <c r="AI2" s="81">
        <v>26</v>
      </c>
      <c r="AJ2" s="81">
        <v>27</v>
      </c>
      <c r="AK2" s="81">
        <v>28</v>
      </c>
      <c r="AL2" s="81">
        <v>29</v>
      </c>
      <c r="AM2" s="81">
        <v>30</v>
      </c>
    </row>
    <row r="3" ht="17.25" spans="1:39">
      <c r="A3" s="59" t="s">
        <v>2107</v>
      </c>
      <c r="B3" s="59"/>
      <c r="C3" s="59"/>
      <c r="D3" s="59"/>
      <c r="E3" s="59"/>
      <c r="F3" s="59"/>
      <c r="G3" s="59"/>
      <c r="H3" s="59"/>
      <c r="I3" s="59"/>
      <c r="J3" s="81"/>
      <c r="K3" s="81"/>
      <c r="L3" s="81"/>
      <c r="M3" s="81"/>
      <c r="N3" s="81"/>
      <c r="O3" s="81"/>
      <c r="P3" s="81"/>
      <c r="Q3" s="81"/>
      <c r="R3" s="81"/>
      <c r="S3" s="81"/>
      <c r="T3" s="81"/>
      <c r="U3" s="81"/>
      <c r="V3" s="81"/>
      <c r="W3" s="81"/>
      <c r="X3" s="81"/>
      <c r="Y3" s="81"/>
      <c r="Z3" s="81"/>
      <c r="AA3" s="81"/>
      <c r="AB3" s="81"/>
      <c r="AC3" s="81"/>
      <c r="AD3" s="81"/>
      <c r="AE3" s="81"/>
      <c r="AF3" s="81"/>
      <c r="AG3" s="81"/>
      <c r="AH3" s="81"/>
      <c r="AI3" s="81"/>
      <c r="AJ3" s="81"/>
      <c r="AK3" s="81"/>
      <c r="AL3" s="81"/>
      <c r="AM3" s="81"/>
    </row>
    <row r="4" ht="18" spans="1:39">
      <c r="A4" s="59" t="s">
        <v>2108</v>
      </c>
      <c r="B4" s="59"/>
      <c r="C4" s="59"/>
      <c r="D4" s="59"/>
      <c r="E4" s="59"/>
      <c r="F4" s="59"/>
      <c r="G4" s="59"/>
      <c r="H4" s="59"/>
      <c r="I4" s="59"/>
      <c r="J4" s="82" t="s">
        <v>589</v>
      </c>
      <c r="K4" s="82" t="s">
        <v>590</v>
      </c>
      <c r="L4" s="82" t="s">
        <v>591</v>
      </c>
      <c r="M4" s="82" t="s">
        <v>592</v>
      </c>
      <c r="N4" s="82" t="s">
        <v>593</v>
      </c>
      <c r="O4" s="82" t="s">
        <v>594</v>
      </c>
      <c r="P4" s="82" t="s">
        <v>595</v>
      </c>
      <c r="Q4" s="82" t="s">
        <v>589</v>
      </c>
      <c r="R4" s="82" t="s">
        <v>590</v>
      </c>
      <c r="S4" s="82" t="s">
        <v>591</v>
      </c>
      <c r="T4" s="82" t="s">
        <v>592</v>
      </c>
      <c r="U4" s="82" t="s">
        <v>593</v>
      </c>
      <c r="V4" s="82" t="s">
        <v>594</v>
      </c>
      <c r="W4" s="82" t="s">
        <v>595</v>
      </c>
      <c r="X4" s="82" t="s">
        <v>589</v>
      </c>
      <c r="Y4" s="82" t="s">
        <v>590</v>
      </c>
      <c r="Z4" s="82" t="s">
        <v>591</v>
      </c>
      <c r="AA4" s="82" t="s">
        <v>592</v>
      </c>
      <c r="AB4" s="82" t="s">
        <v>593</v>
      </c>
      <c r="AC4" s="82" t="s">
        <v>594</v>
      </c>
      <c r="AD4" s="82" t="s">
        <v>595</v>
      </c>
      <c r="AE4" s="82" t="s">
        <v>589</v>
      </c>
      <c r="AF4" s="82" t="s">
        <v>590</v>
      </c>
      <c r="AG4" s="82" t="s">
        <v>591</v>
      </c>
      <c r="AH4" s="82" t="s">
        <v>592</v>
      </c>
      <c r="AI4" s="82" t="s">
        <v>593</v>
      </c>
      <c r="AJ4" s="82" t="s">
        <v>594</v>
      </c>
      <c r="AK4" s="82" t="s">
        <v>595</v>
      </c>
      <c r="AL4" s="82" t="s">
        <v>589</v>
      </c>
      <c r="AM4" s="82" t="s">
        <v>590</v>
      </c>
    </row>
    <row r="5" ht="18" spans="1:39">
      <c r="A5" s="60" t="s">
        <v>2109</v>
      </c>
      <c r="B5" s="60" t="s">
        <v>2110</v>
      </c>
      <c r="C5" s="60" t="s">
        <v>2111</v>
      </c>
      <c r="D5" s="60" t="s">
        <v>2112</v>
      </c>
      <c r="E5" s="60" t="s">
        <v>2113</v>
      </c>
      <c r="F5" s="60" t="s">
        <v>2114</v>
      </c>
      <c r="G5" s="61"/>
      <c r="H5" s="60" t="s">
        <v>2115</v>
      </c>
      <c r="I5" s="60" t="s">
        <v>2116</v>
      </c>
      <c r="J5" s="83" t="s">
        <v>2117</v>
      </c>
      <c r="K5" s="84"/>
      <c r="L5" s="84"/>
      <c r="M5" s="84"/>
      <c r="N5" s="84"/>
      <c r="O5" s="84"/>
      <c r="P5" s="84"/>
      <c r="Q5" s="84"/>
      <c r="R5" s="84"/>
      <c r="S5" s="84"/>
      <c r="T5" s="84"/>
      <c r="U5" s="84"/>
      <c r="V5" s="84"/>
      <c r="W5" s="84"/>
      <c r="X5" s="84"/>
      <c r="Y5" s="84"/>
      <c r="Z5" s="84"/>
      <c r="AA5" s="84"/>
      <c r="AB5" s="84"/>
      <c r="AC5" s="84"/>
      <c r="AD5" s="84"/>
      <c r="AE5" s="84"/>
      <c r="AF5" s="84"/>
      <c r="AG5" s="84"/>
      <c r="AH5" s="84"/>
      <c r="AI5" s="84"/>
      <c r="AJ5" s="84"/>
      <c r="AK5" s="84"/>
      <c r="AL5" s="84"/>
      <c r="AM5" s="106"/>
    </row>
    <row r="6" ht="17.25" spans="1:39">
      <c r="A6" s="62" t="s">
        <v>2118</v>
      </c>
      <c r="B6" s="62" t="s">
        <v>2119</v>
      </c>
      <c r="C6" s="62" t="s">
        <v>2120</v>
      </c>
      <c r="D6" s="62" t="s">
        <v>2121</v>
      </c>
      <c r="E6" s="62" t="s">
        <v>2122</v>
      </c>
      <c r="F6" s="62" t="s">
        <v>2123</v>
      </c>
      <c r="G6" s="63"/>
      <c r="H6" s="62" t="s">
        <v>2124</v>
      </c>
      <c r="I6" s="62" t="s">
        <v>2125</v>
      </c>
      <c r="J6" s="85"/>
      <c r="K6" s="86"/>
      <c r="L6" s="87"/>
      <c r="M6" s="87"/>
      <c r="N6" s="87"/>
      <c r="O6" s="88"/>
      <c r="P6" s="88"/>
      <c r="Q6" s="88"/>
      <c r="R6" s="88"/>
      <c r="S6" s="88"/>
      <c r="T6" s="88"/>
      <c r="U6" s="86"/>
      <c r="V6" s="86"/>
      <c r="W6" s="98"/>
      <c r="X6" s="98"/>
      <c r="Y6" s="98"/>
      <c r="Z6" s="98"/>
      <c r="AA6" s="98"/>
      <c r="AB6" s="98"/>
      <c r="AC6" s="98"/>
      <c r="AD6" s="98"/>
      <c r="AE6" s="98"/>
      <c r="AF6" s="98"/>
      <c r="AG6" s="98"/>
      <c r="AH6" s="98"/>
      <c r="AI6" s="98"/>
      <c r="AJ6" s="98"/>
      <c r="AK6" s="98"/>
      <c r="AL6" s="107"/>
      <c r="AM6" s="107"/>
    </row>
    <row r="7" ht="17.25" spans="1:39">
      <c r="A7" s="62" t="s">
        <v>2126</v>
      </c>
      <c r="B7" s="62" t="s">
        <v>2119</v>
      </c>
      <c r="C7" s="62" t="s">
        <v>2120</v>
      </c>
      <c r="D7" s="62" t="s">
        <v>2121</v>
      </c>
      <c r="E7" s="62" t="s">
        <v>2127</v>
      </c>
      <c r="F7" s="62" t="s">
        <v>2128</v>
      </c>
      <c r="G7" s="63"/>
      <c r="H7" s="62" t="s">
        <v>2129</v>
      </c>
      <c r="I7" s="62" t="s">
        <v>2130</v>
      </c>
      <c r="J7" s="85"/>
      <c r="K7" s="86"/>
      <c r="L7" s="86"/>
      <c r="M7" s="86"/>
      <c r="N7" s="86"/>
      <c r="O7" s="86"/>
      <c r="P7" s="86"/>
      <c r="Q7" s="99"/>
      <c r="R7" s="99"/>
      <c r="S7" s="99"/>
      <c r="T7" s="86"/>
      <c r="U7" s="86"/>
      <c r="V7" s="86"/>
      <c r="W7" s="86"/>
      <c r="X7" s="86"/>
      <c r="Y7" s="86"/>
      <c r="Z7" s="86"/>
      <c r="AA7" s="86"/>
      <c r="AB7" s="86"/>
      <c r="AC7" s="86"/>
      <c r="AD7" s="86"/>
      <c r="AE7" s="86"/>
      <c r="AF7" s="86"/>
      <c r="AG7" s="86"/>
      <c r="AH7" s="86"/>
      <c r="AI7" s="86"/>
      <c r="AJ7" s="86"/>
      <c r="AK7" s="86"/>
      <c r="AL7" s="108"/>
      <c r="AM7" s="108"/>
    </row>
    <row r="8" ht="17.25" spans="1:39">
      <c r="A8" s="62" t="s">
        <v>2131</v>
      </c>
      <c r="B8" s="62" t="s">
        <v>2132</v>
      </c>
      <c r="C8" s="62" t="s">
        <v>2120</v>
      </c>
      <c r="D8" s="62" t="s">
        <v>2121</v>
      </c>
      <c r="E8" s="62" t="s">
        <v>2133</v>
      </c>
      <c r="F8" s="62" t="s">
        <v>2134</v>
      </c>
      <c r="G8" s="63"/>
      <c r="H8" s="62" t="s">
        <v>2135</v>
      </c>
      <c r="I8" s="62" t="s">
        <v>2136</v>
      </c>
      <c r="J8" s="85"/>
      <c r="K8" s="86"/>
      <c r="L8" s="86"/>
      <c r="M8" s="89"/>
      <c r="N8" s="89"/>
      <c r="O8" s="89"/>
      <c r="P8" s="89"/>
      <c r="Q8" s="89"/>
      <c r="R8" s="89"/>
      <c r="S8" s="86"/>
      <c r="T8" s="86"/>
      <c r="U8" s="86"/>
      <c r="V8" s="86"/>
      <c r="W8" s="86"/>
      <c r="X8" s="86"/>
      <c r="Y8" s="86"/>
      <c r="Z8" s="86"/>
      <c r="AA8" s="86"/>
      <c r="AB8" s="86"/>
      <c r="AC8" s="86"/>
      <c r="AD8" s="86"/>
      <c r="AE8" s="86"/>
      <c r="AF8" s="86"/>
      <c r="AG8" s="86"/>
      <c r="AH8" s="86"/>
      <c r="AI8" s="86"/>
      <c r="AJ8" s="86"/>
      <c r="AK8" s="86"/>
      <c r="AL8" s="108"/>
      <c r="AM8" s="108"/>
    </row>
    <row r="9" ht="17.25" spans="1:39">
      <c r="A9" s="62" t="s">
        <v>2137</v>
      </c>
      <c r="B9" s="62" t="s">
        <v>2138</v>
      </c>
      <c r="C9" s="62" t="s">
        <v>2120</v>
      </c>
      <c r="D9" s="62" t="s">
        <v>2121</v>
      </c>
      <c r="E9" s="62" t="s">
        <v>2122</v>
      </c>
      <c r="F9" s="62" t="s">
        <v>2128</v>
      </c>
      <c r="G9" s="63"/>
      <c r="H9" s="62" t="s">
        <v>2139</v>
      </c>
      <c r="I9" s="90" t="s">
        <v>2140</v>
      </c>
      <c r="J9" s="85"/>
      <c r="K9" s="86"/>
      <c r="L9" s="86"/>
      <c r="M9" s="86"/>
      <c r="N9" s="86"/>
      <c r="O9" s="86"/>
      <c r="P9" s="86"/>
      <c r="Q9" s="86"/>
      <c r="R9" s="100"/>
      <c r="S9" s="100"/>
      <c r="T9" s="100"/>
      <c r="U9" s="100"/>
      <c r="V9" s="100"/>
      <c r="W9" s="100"/>
      <c r="X9" s="86"/>
      <c r="Y9" s="86"/>
      <c r="Z9" s="86"/>
      <c r="AA9" s="86"/>
      <c r="AB9" s="86"/>
      <c r="AC9" s="86"/>
      <c r="AD9" s="86"/>
      <c r="AE9" s="86"/>
      <c r="AF9" s="86"/>
      <c r="AG9" s="86"/>
      <c r="AH9" s="86"/>
      <c r="AI9" s="86"/>
      <c r="AJ9" s="86"/>
      <c r="AK9" s="86"/>
      <c r="AL9" s="108"/>
      <c r="AM9" s="108"/>
    </row>
    <row r="10" ht="17.25" spans="1:39">
      <c r="A10" s="62" t="s">
        <v>2141</v>
      </c>
      <c r="B10" s="62" t="s">
        <v>2142</v>
      </c>
      <c r="C10" s="62" t="s">
        <v>2120</v>
      </c>
      <c r="D10" s="62" t="s">
        <v>2121</v>
      </c>
      <c r="E10" s="62" t="s">
        <v>2127</v>
      </c>
      <c r="F10" s="62" t="s">
        <v>2143</v>
      </c>
      <c r="G10" s="63"/>
      <c r="H10" s="62" t="s">
        <v>2144</v>
      </c>
      <c r="I10" s="62" t="s">
        <v>2125</v>
      </c>
      <c r="J10" s="85"/>
      <c r="K10" s="86"/>
      <c r="L10" s="86"/>
      <c r="M10" s="86"/>
      <c r="N10" s="86"/>
      <c r="O10" s="86"/>
      <c r="P10" s="86"/>
      <c r="Q10" s="86"/>
      <c r="R10" s="86"/>
      <c r="S10" s="86"/>
      <c r="T10" s="86"/>
      <c r="U10" s="86"/>
      <c r="V10" s="92"/>
      <c r="W10" s="92"/>
      <c r="X10" s="92"/>
      <c r="Y10" s="86"/>
      <c r="Z10" s="86"/>
      <c r="AA10" s="86"/>
      <c r="AB10" s="86"/>
      <c r="AC10" s="86"/>
      <c r="AD10" s="86"/>
      <c r="AE10" s="86"/>
      <c r="AF10" s="86"/>
      <c r="AG10" s="86"/>
      <c r="AH10" s="86"/>
      <c r="AI10" s="86"/>
      <c r="AJ10" s="86"/>
      <c r="AK10" s="86"/>
      <c r="AL10" s="108"/>
      <c r="AM10" s="108"/>
    </row>
    <row r="11" ht="17.25" spans="1:39">
      <c r="A11" s="62" t="s">
        <v>2145</v>
      </c>
      <c r="B11" s="62" t="s">
        <v>2142</v>
      </c>
      <c r="C11" s="62" t="s">
        <v>2120</v>
      </c>
      <c r="D11" s="62" t="s">
        <v>2121</v>
      </c>
      <c r="E11" s="62" t="s">
        <v>2146</v>
      </c>
      <c r="F11" s="62" t="s">
        <v>2128</v>
      </c>
      <c r="G11" s="63"/>
      <c r="H11" s="62" t="s">
        <v>2147</v>
      </c>
      <c r="I11" s="62" t="s">
        <v>2130</v>
      </c>
      <c r="J11" s="85"/>
      <c r="K11" s="86"/>
      <c r="L11" s="86"/>
      <c r="M11" s="86"/>
      <c r="N11" s="86"/>
      <c r="O11" s="86"/>
      <c r="P11" s="86"/>
      <c r="Q11" s="86"/>
      <c r="R11" s="86"/>
      <c r="S11" s="86"/>
      <c r="T11" s="86"/>
      <c r="U11" s="86"/>
      <c r="V11" s="86"/>
      <c r="W11" s="86"/>
      <c r="X11" s="92"/>
      <c r="Y11" s="92"/>
      <c r="Z11" s="92"/>
      <c r="AA11" s="92"/>
      <c r="AB11" s="92"/>
      <c r="AC11" s="92"/>
      <c r="AD11" s="92"/>
      <c r="AE11" s="92"/>
      <c r="AF11" s="92"/>
      <c r="AG11" s="86"/>
      <c r="AH11" s="86"/>
      <c r="AI11" s="86"/>
      <c r="AJ11" s="86"/>
      <c r="AK11" s="86"/>
      <c r="AL11" s="108"/>
      <c r="AM11" s="108"/>
    </row>
    <row r="12" ht="17.25" spans="1:39">
      <c r="A12" s="62" t="s">
        <v>2148</v>
      </c>
      <c r="B12" s="62" t="s">
        <v>2149</v>
      </c>
      <c r="C12" s="62" t="s">
        <v>2120</v>
      </c>
      <c r="D12" s="62" t="s">
        <v>2121</v>
      </c>
      <c r="E12" s="62" t="s">
        <v>2122</v>
      </c>
      <c r="F12" s="62" t="s">
        <v>2128</v>
      </c>
      <c r="G12" s="63"/>
      <c r="H12" s="62" t="s">
        <v>2139</v>
      </c>
      <c r="I12" s="62" t="s">
        <v>2125</v>
      </c>
      <c r="J12" s="85"/>
      <c r="K12" s="86"/>
      <c r="L12" s="86"/>
      <c r="M12" s="86"/>
      <c r="N12" s="86"/>
      <c r="O12" s="86"/>
      <c r="P12" s="86"/>
      <c r="Q12" s="86"/>
      <c r="R12" s="86"/>
      <c r="S12" s="100"/>
      <c r="T12" s="100"/>
      <c r="U12" s="100"/>
      <c r="V12" s="100"/>
      <c r="W12" s="100"/>
      <c r="X12" s="100"/>
      <c r="Y12" s="100"/>
      <c r="Z12" s="100"/>
      <c r="AA12" s="100"/>
      <c r="AB12" s="100"/>
      <c r="AC12" s="100"/>
      <c r="AD12" s="100"/>
      <c r="AE12" s="100"/>
      <c r="AF12" s="100"/>
      <c r="AG12" s="86"/>
      <c r="AH12" s="86"/>
      <c r="AI12" s="86"/>
      <c r="AJ12" s="86"/>
      <c r="AK12" s="86"/>
      <c r="AL12" s="108"/>
      <c r="AM12" s="108"/>
    </row>
    <row r="13" ht="17.25" spans="1:39">
      <c r="A13" s="62" t="s">
        <v>2150</v>
      </c>
      <c r="B13" s="62" t="s">
        <v>2149</v>
      </c>
      <c r="C13" s="62" t="s">
        <v>2120</v>
      </c>
      <c r="D13" s="62" t="s">
        <v>2121</v>
      </c>
      <c r="E13" s="62" t="s">
        <v>2127</v>
      </c>
      <c r="F13" s="62" t="s">
        <v>2143</v>
      </c>
      <c r="G13" s="63"/>
      <c r="H13" s="62" t="s">
        <v>2144</v>
      </c>
      <c r="I13" s="62" t="s">
        <v>2130</v>
      </c>
      <c r="J13" s="85"/>
      <c r="K13" s="86"/>
      <c r="L13" s="86"/>
      <c r="M13" s="86"/>
      <c r="N13" s="86"/>
      <c r="O13" s="86"/>
      <c r="P13" s="86"/>
      <c r="Q13" s="86"/>
      <c r="R13" s="86"/>
      <c r="S13" s="86"/>
      <c r="T13" s="86"/>
      <c r="U13" s="86"/>
      <c r="V13" s="86"/>
      <c r="W13" s="86"/>
      <c r="X13" s="92"/>
      <c r="Y13" s="92"/>
      <c r="Z13" s="92"/>
      <c r="AA13" s="92"/>
      <c r="AB13" s="92"/>
      <c r="AC13" s="92"/>
      <c r="AD13" s="92"/>
      <c r="AE13" s="92"/>
      <c r="AF13" s="92"/>
      <c r="AG13" s="86"/>
      <c r="AH13" s="86"/>
      <c r="AI13" s="86"/>
      <c r="AJ13" s="86"/>
      <c r="AK13" s="86"/>
      <c r="AL13" s="108"/>
      <c r="AM13" s="108"/>
    </row>
    <row r="14" ht="17.25" spans="1:39">
      <c r="A14" s="62" t="s">
        <v>2151</v>
      </c>
      <c r="B14" s="62" t="s">
        <v>2149</v>
      </c>
      <c r="C14" s="62" t="s">
        <v>2120</v>
      </c>
      <c r="D14" s="62" t="s">
        <v>2121</v>
      </c>
      <c r="E14" s="62" t="s">
        <v>2146</v>
      </c>
      <c r="F14" s="62" t="s">
        <v>2128</v>
      </c>
      <c r="G14" s="63"/>
      <c r="H14" s="62" t="s">
        <v>2147</v>
      </c>
      <c r="I14" s="62" t="s">
        <v>2136</v>
      </c>
      <c r="J14" s="85"/>
      <c r="K14" s="86"/>
      <c r="L14" s="86"/>
      <c r="M14" s="86"/>
      <c r="N14" s="86"/>
      <c r="O14" s="86"/>
      <c r="P14" s="86"/>
      <c r="Q14" s="86"/>
      <c r="R14" s="86"/>
      <c r="S14" s="86"/>
      <c r="T14" s="86"/>
      <c r="U14" s="86"/>
      <c r="V14" s="86"/>
      <c r="W14" s="86"/>
      <c r="X14" s="100"/>
      <c r="Y14" s="100"/>
      <c r="Z14" s="100"/>
      <c r="AA14" s="100"/>
      <c r="AB14" s="100"/>
      <c r="AC14" s="100"/>
      <c r="AD14" s="100"/>
      <c r="AE14" s="100"/>
      <c r="AF14" s="100"/>
      <c r="AG14" s="100"/>
      <c r="AH14" s="100"/>
      <c r="AI14" s="100"/>
      <c r="AJ14" s="100"/>
      <c r="AK14" s="100"/>
      <c r="AL14" s="109"/>
      <c r="AM14" s="108"/>
    </row>
    <row r="15" ht="17.25" spans="1:39">
      <c r="A15" s="62" t="s">
        <v>2152</v>
      </c>
      <c r="B15" s="62" t="s">
        <v>2153</v>
      </c>
      <c r="C15" s="62" t="s">
        <v>2120</v>
      </c>
      <c r="D15" s="62" t="s">
        <v>2121</v>
      </c>
      <c r="E15" s="62" t="s">
        <v>2122</v>
      </c>
      <c r="F15" s="62" t="s">
        <v>2128</v>
      </c>
      <c r="G15" s="63"/>
      <c r="H15" s="62" t="s">
        <v>2154</v>
      </c>
      <c r="I15" s="62" t="s">
        <v>2136</v>
      </c>
      <c r="J15" s="85"/>
      <c r="K15" s="86"/>
      <c r="L15" s="86"/>
      <c r="M15" s="86"/>
      <c r="N15" s="86"/>
      <c r="O15" s="86"/>
      <c r="P15" s="86"/>
      <c r="Q15" s="86"/>
      <c r="R15" s="86"/>
      <c r="S15" s="86"/>
      <c r="T15" s="86"/>
      <c r="U15" s="86"/>
      <c r="V15" s="86"/>
      <c r="W15" s="86"/>
      <c r="X15" s="86"/>
      <c r="Y15" s="86"/>
      <c r="Z15" s="100"/>
      <c r="AA15" s="100"/>
      <c r="AB15" s="86"/>
      <c r="AC15" s="86"/>
      <c r="AD15" s="86"/>
      <c r="AE15" s="86"/>
      <c r="AF15" s="86"/>
      <c r="AG15" s="86"/>
      <c r="AH15" s="86"/>
      <c r="AI15" s="86"/>
      <c r="AJ15" s="86"/>
      <c r="AK15" s="86"/>
      <c r="AL15" s="108"/>
      <c r="AM15" s="108"/>
    </row>
    <row r="16" ht="17.25" spans="1:39">
      <c r="A16" s="62" t="s">
        <v>2155</v>
      </c>
      <c r="B16" s="62" t="s">
        <v>2149</v>
      </c>
      <c r="C16" s="62" t="s">
        <v>2120</v>
      </c>
      <c r="D16" s="62" t="s">
        <v>2121</v>
      </c>
      <c r="E16" s="62" t="s">
        <v>2127</v>
      </c>
      <c r="F16" s="62" t="s">
        <v>2128</v>
      </c>
      <c r="G16" s="63"/>
      <c r="H16" s="62" t="s">
        <v>2156</v>
      </c>
      <c r="I16" s="90" t="s">
        <v>2140</v>
      </c>
      <c r="J16" s="85"/>
      <c r="K16" s="86"/>
      <c r="L16" s="86"/>
      <c r="M16" s="86"/>
      <c r="N16" s="86"/>
      <c r="O16" s="86"/>
      <c r="P16" s="86"/>
      <c r="Q16" s="86"/>
      <c r="R16" s="86"/>
      <c r="S16" s="86"/>
      <c r="T16" s="86"/>
      <c r="U16" s="86"/>
      <c r="V16" s="86"/>
      <c r="W16" s="86"/>
      <c r="X16" s="86"/>
      <c r="Y16" s="86"/>
      <c r="Z16" s="92"/>
      <c r="AA16" s="92"/>
      <c r="AB16" s="86"/>
      <c r="AC16" s="86"/>
      <c r="AD16" s="86"/>
      <c r="AE16" s="86"/>
      <c r="AF16" s="86"/>
      <c r="AG16" s="86"/>
      <c r="AH16" s="86"/>
      <c r="AI16" s="86"/>
      <c r="AJ16" s="86"/>
      <c r="AK16" s="86"/>
      <c r="AL16" s="108"/>
      <c r="AM16" s="108"/>
    </row>
    <row r="17" ht="17.25" spans="1:39">
      <c r="A17" s="62" t="s">
        <v>2157</v>
      </c>
      <c r="B17" s="62" t="s">
        <v>2149</v>
      </c>
      <c r="C17" s="62" t="s">
        <v>2120</v>
      </c>
      <c r="D17" s="62" t="s">
        <v>2121</v>
      </c>
      <c r="E17" s="62" t="s">
        <v>2158</v>
      </c>
      <c r="F17" s="62" t="s">
        <v>2128</v>
      </c>
      <c r="G17" s="63"/>
      <c r="H17" s="62" t="s">
        <v>2144</v>
      </c>
      <c r="I17" s="62" t="s">
        <v>2125</v>
      </c>
      <c r="J17" s="85"/>
      <c r="K17" s="86"/>
      <c r="L17" s="86"/>
      <c r="M17" s="86"/>
      <c r="N17" s="86"/>
      <c r="O17" s="86"/>
      <c r="P17" s="86"/>
      <c r="Q17" s="86"/>
      <c r="R17" s="86"/>
      <c r="S17" s="86"/>
      <c r="T17" s="86"/>
      <c r="U17" s="86"/>
      <c r="V17" s="86"/>
      <c r="W17" s="86"/>
      <c r="X17" s="86"/>
      <c r="Y17" s="86"/>
      <c r="Z17" s="86"/>
      <c r="AA17" s="100"/>
      <c r="AB17" s="100"/>
      <c r="AC17" s="100"/>
      <c r="AD17" s="86"/>
      <c r="AE17" s="86"/>
      <c r="AF17" s="86"/>
      <c r="AG17" s="86"/>
      <c r="AH17" s="86"/>
      <c r="AI17" s="86"/>
      <c r="AJ17" s="86"/>
      <c r="AK17" s="86"/>
      <c r="AL17" s="108"/>
      <c r="AM17" s="108"/>
    </row>
    <row r="18" ht="17.25" spans="1:39">
      <c r="A18" s="63"/>
      <c r="B18" s="63"/>
      <c r="C18" s="63"/>
      <c r="D18" s="63"/>
      <c r="E18" s="62" t="s">
        <v>66</v>
      </c>
      <c r="F18" s="62" t="s">
        <v>66</v>
      </c>
      <c r="G18" s="63"/>
      <c r="H18" s="62" t="s">
        <v>66</v>
      </c>
      <c r="I18" s="62" t="s">
        <v>2159</v>
      </c>
      <c r="J18" s="85"/>
      <c r="K18" s="86"/>
      <c r="L18" s="86"/>
      <c r="M18" s="86"/>
      <c r="N18" s="86"/>
      <c r="O18" s="86"/>
      <c r="P18" s="86"/>
      <c r="Q18" s="86"/>
      <c r="R18" s="86"/>
      <c r="S18" s="86"/>
      <c r="T18" s="86"/>
      <c r="U18" s="86"/>
      <c r="V18" s="86"/>
      <c r="W18" s="86"/>
      <c r="X18" s="86"/>
      <c r="Y18" s="86"/>
      <c r="Z18" s="86"/>
      <c r="AA18" s="86"/>
      <c r="AB18" s="86"/>
      <c r="AC18" s="86"/>
      <c r="AD18" s="86"/>
      <c r="AE18" s="100"/>
      <c r="AF18" s="100"/>
      <c r="AG18" s="100"/>
      <c r="AH18" s="100"/>
      <c r="AI18" s="100"/>
      <c r="AJ18" s="100"/>
      <c r="AK18" s="100"/>
      <c r="AL18" s="86"/>
      <c r="AM18" s="86"/>
    </row>
    <row r="19" s="56" customFormat="1" ht="18" spans="1:39">
      <c r="A19" s="60" t="s">
        <v>2160</v>
      </c>
      <c r="B19" s="60" t="s">
        <v>2110</v>
      </c>
      <c r="C19" s="60" t="s">
        <v>2111</v>
      </c>
      <c r="D19" s="60" t="s">
        <v>2112</v>
      </c>
      <c r="E19" s="60" t="s">
        <v>2161</v>
      </c>
      <c r="F19" s="60" t="s">
        <v>2114</v>
      </c>
      <c r="G19" s="64"/>
      <c r="H19" s="60" t="s">
        <v>2115</v>
      </c>
      <c r="I19" s="60" t="s">
        <v>2116</v>
      </c>
      <c r="J19" s="83" t="s">
        <v>2117</v>
      </c>
      <c r="K19" s="84"/>
      <c r="L19" s="84"/>
      <c r="M19" s="84"/>
      <c r="N19" s="84"/>
      <c r="O19" s="84"/>
      <c r="P19" s="84"/>
      <c r="Q19" s="84"/>
      <c r="R19" s="84"/>
      <c r="S19" s="84"/>
      <c r="T19" s="84"/>
      <c r="U19" s="84"/>
      <c r="V19" s="84"/>
      <c r="W19" s="84"/>
      <c r="X19" s="84"/>
      <c r="Y19" s="84"/>
      <c r="Z19" s="84"/>
      <c r="AA19" s="84"/>
      <c r="AB19" s="84"/>
      <c r="AC19" s="84"/>
      <c r="AD19" s="84"/>
      <c r="AE19" s="84"/>
      <c r="AF19" s="84"/>
      <c r="AG19" s="84"/>
      <c r="AH19" s="84"/>
      <c r="AI19" s="84"/>
      <c r="AJ19" s="84"/>
      <c r="AK19" s="84"/>
      <c r="AL19" s="84"/>
      <c r="AM19" s="106"/>
    </row>
    <row r="20" ht="17.25" spans="1:39">
      <c r="A20" s="65" t="s">
        <v>2162</v>
      </c>
      <c r="B20" s="65" t="s">
        <v>2163</v>
      </c>
      <c r="C20" s="65" t="s">
        <v>2120</v>
      </c>
      <c r="D20" s="65" t="s">
        <v>2121</v>
      </c>
      <c r="E20" s="65" t="s">
        <v>2122</v>
      </c>
      <c r="F20" s="65" t="s">
        <v>2123</v>
      </c>
      <c r="G20" s="66"/>
      <c r="H20" s="65" t="s">
        <v>2124</v>
      </c>
      <c r="I20" s="65" t="s">
        <v>2125</v>
      </c>
      <c r="J20" s="91"/>
      <c r="K20" s="91"/>
      <c r="L20" s="91"/>
      <c r="M20" s="91"/>
      <c r="N20" s="91"/>
      <c r="O20" s="91"/>
      <c r="P20" s="91"/>
      <c r="Q20" s="100"/>
      <c r="R20" s="100"/>
      <c r="S20" s="100"/>
      <c r="T20" s="100"/>
      <c r="U20" s="100"/>
      <c r="V20" s="100"/>
      <c r="W20" s="100"/>
      <c r="X20" s="91"/>
      <c r="Y20" s="91"/>
      <c r="Z20" s="91"/>
      <c r="AA20" s="91"/>
      <c r="AB20" s="91"/>
      <c r="AC20" s="91"/>
      <c r="AD20" s="91"/>
      <c r="AE20" s="91"/>
      <c r="AF20" s="91"/>
      <c r="AG20" s="91"/>
      <c r="AH20" s="91"/>
      <c r="AI20" s="91"/>
      <c r="AJ20" s="91"/>
      <c r="AK20" s="91"/>
      <c r="AL20" s="91"/>
      <c r="AM20" s="91"/>
    </row>
    <row r="21" ht="17.25" spans="1:39">
      <c r="A21" s="65" t="s">
        <v>2164</v>
      </c>
      <c r="B21" s="65" t="s">
        <v>2163</v>
      </c>
      <c r="C21" s="65" t="s">
        <v>2120</v>
      </c>
      <c r="D21" s="65" t="s">
        <v>2121</v>
      </c>
      <c r="E21" s="65" t="s">
        <v>2127</v>
      </c>
      <c r="F21" s="65" t="s">
        <v>2128</v>
      </c>
      <c r="G21" s="66"/>
      <c r="H21" s="65" t="s">
        <v>2129</v>
      </c>
      <c r="I21" s="65" t="s">
        <v>2130</v>
      </c>
      <c r="J21" s="91"/>
      <c r="K21" s="91"/>
      <c r="L21" s="91"/>
      <c r="M21" s="91"/>
      <c r="N21" s="91"/>
      <c r="O21" s="91"/>
      <c r="P21" s="91"/>
      <c r="Q21" s="91"/>
      <c r="R21" s="91"/>
      <c r="S21" s="91"/>
      <c r="T21" s="91"/>
      <c r="U21" s="91"/>
      <c r="V21" s="91"/>
      <c r="W21" s="92"/>
      <c r="X21" s="92"/>
      <c r="Y21" s="92"/>
      <c r="Z21" s="92"/>
      <c r="AA21" s="92"/>
      <c r="AB21" s="92"/>
      <c r="AC21" s="91"/>
      <c r="AD21" s="91"/>
      <c r="AE21" s="91"/>
      <c r="AF21" s="91"/>
      <c r="AG21" s="91"/>
      <c r="AH21" s="91"/>
      <c r="AI21" s="91"/>
      <c r="AJ21" s="91"/>
      <c r="AK21" s="91"/>
      <c r="AL21" s="91"/>
      <c r="AM21" s="91"/>
    </row>
    <row r="22" ht="17.25" spans="1:39">
      <c r="A22" s="65" t="s">
        <v>2165</v>
      </c>
      <c r="B22" s="65" t="s">
        <v>2149</v>
      </c>
      <c r="C22" s="65" t="s">
        <v>2120</v>
      </c>
      <c r="D22" s="65" t="s">
        <v>2121</v>
      </c>
      <c r="E22" s="65" t="s">
        <v>2133</v>
      </c>
      <c r="F22" s="65" t="s">
        <v>2134</v>
      </c>
      <c r="G22" s="66"/>
      <c r="H22" s="65" t="s">
        <v>2135</v>
      </c>
      <c r="I22" s="65" t="s">
        <v>2136</v>
      </c>
      <c r="J22" s="91"/>
      <c r="K22" s="91"/>
      <c r="L22" s="91"/>
      <c r="M22" s="91"/>
      <c r="N22" s="91"/>
      <c r="O22" s="91"/>
      <c r="P22" s="91"/>
      <c r="Q22" s="91"/>
      <c r="R22" s="91"/>
      <c r="S22" s="100"/>
      <c r="T22" s="100"/>
      <c r="U22" s="100"/>
      <c r="V22" s="100"/>
      <c r="W22" s="91"/>
      <c r="X22" s="91"/>
      <c r="Y22" s="91"/>
      <c r="Z22" s="91"/>
      <c r="AA22" s="91"/>
      <c r="AB22" s="91"/>
      <c r="AC22" s="91"/>
      <c r="AD22" s="91"/>
      <c r="AE22" s="91"/>
      <c r="AF22" s="91"/>
      <c r="AG22" s="91"/>
      <c r="AH22" s="91"/>
      <c r="AI22" s="91"/>
      <c r="AJ22" s="91"/>
      <c r="AK22" s="91"/>
      <c r="AL22" s="91"/>
      <c r="AM22" s="91"/>
    </row>
    <row r="23" ht="17.25" spans="1:39">
      <c r="A23" s="65" t="s">
        <v>2166</v>
      </c>
      <c r="B23" s="65" t="s">
        <v>2167</v>
      </c>
      <c r="C23" s="65" t="s">
        <v>2120</v>
      </c>
      <c r="D23" s="65" t="s">
        <v>2121</v>
      </c>
      <c r="E23" s="65" t="s">
        <v>2122</v>
      </c>
      <c r="F23" s="65" t="s">
        <v>2128</v>
      </c>
      <c r="G23" s="66"/>
      <c r="H23" s="65" t="s">
        <v>2139</v>
      </c>
      <c r="I23" s="90" t="s">
        <v>2140</v>
      </c>
      <c r="J23" s="91"/>
      <c r="K23" s="91"/>
      <c r="L23" s="91"/>
      <c r="M23" s="91"/>
      <c r="N23" s="91"/>
      <c r="O23" s="91"/>
      <c r="P23" s="91"/>
      <c r="Q23" s="91"/>
      <c r="R23" s="91"/>
      <c r="S23" s="91"/>
      <c r="T23" s="92"/>
      <c r="U23" s="92"/>
      <c r="V23" s="92"/>
      <c r="W23" s="92"/>
      <c r="X23" s="92"/>
      <c r="Y23" s="92"/>
      <c r="Z23" s="92"/>
      <c r="AA23" s="91"/>
      <c r="AB23" s="91"/>
      <c r="AC23" s="91"/>
      <c r="AD23" s="91"/>
      <c r="AE23" s="91"/>
      <c r="AF23" s="91"/>
      <c r="AG23" s="91"/>
      <c r="AH23" s="91"/>
      <c r="AI23" s="91"/>
      <c r="AJ23" s="91"/>
      <c r="AK23" s="91"/>
      <c r="AL23" s="91"/>
      <c r="AM23" s="91"/>
    </row>
    <row r="24" ht="17.25" spans="1:39">
      <c r="A24" s="65" t="s">
        <v>2168</v>
      </c>
      <c r="B24" s="65" t="s">
        <v>2169</v>
      </c>
      <c r="C24" s="65" t="s">
        <v>2120</v>
      </c>
      <c r="D24" s="65" t="s">
        <v>2121</v>
      </c>
      <c r="E24" s="65" t="s">
        <v>2127</v>
      </c>
      <c r="F24" s="65" t="s">
        <v>2143</v>
      </c>
      <c r="G24" s="66"/>
      <c r="H24" s="65" t="s">
        <v>2144</v>
      </c>
      <c r="I24" s="65" t="s">
        <v>2125</v>
      </c>
      <c r="J24" s="91"/>
      <c r="K24" s="91"/>
      <c r="L24" s="91"/>
      <c r="M24" s="91"/>
      <c r="N24" s="91"/>
      <c r="O24" s="91"/>
      <c r="P24" s="91"/>
      <c r="Q24" s="91"/>
      <c r="R24" s="91"/>
      <c r="S24" s="91"/>
      <c r="T24" s="91"/>
      <c r="U24" s="91"/>
      <c r="V24" s="91"/>
      <c r="W24" s="91"/>
      <c r="X24" s="91"/>
      <c r="Y24" s="91"/>
      <c r="Z24" s="91"/>
      <c r="AA24" s="91"/>
      <c r="AB24" s="91"/>
      <c r="AC24" s="91"/>
      <c r="AD24" s="91"/>
      <c r="AE24" s="91"/>
      <c r="AF24" s="91"/>
      <c r="AG24" s="91"/>
      <c r="AH24" s="91"/>
      <c r="AI24" s="91"/>
      <c r="AJ24" s="91"/>
      <c r="AK24" s="91"/>
      <c r="AL24" s="91"/>
      <c r="AM24" s="91"/>
    </row>
    <row r="25" ht="17.25" spans="1:39">
      <c r="A25" s="65" t="s">
        <v>2170</v>
      </c>
      <c r="B25" s="65" t="s">
        <v>2167</v>
      </c>
      <c r="C25" s="65" t="s">
        <v>2120</v>
      </c>
      <c r="D25" s="65" t="s">
        <v>2121</v>
      </c>
      <c r="E25" s="65" t="s">
        <v>2146</v>
      </c>
      <c r="F25" s="65" t="s">
        <v>2128</v>
      </c>
      <c r="G25" s="66"/>
      <c r="H25" s="65" t="s">
        <v>2147</v>
      </c>
      <c r="I25" s="65" t="s">
        <v>2130</v>
      </c>
      <c r="J25" s="91"/>
      <c r="K25" s="91"/>
      <c r="L25" s="91"/>
      <c r="M25" s="91"/>
      <c r="N25" s="91"/>
      <c r="O25" s="91"/>
      <c r="P25" s="91"/>
      <c r="Q25" s="91"/>
      <c r="R25" s="91"/>
      <c r="S25" s="91"/>
      <c r="T25" s="91"/>
      <c r="U25" s="91"/>
      <c r="V25" s="91"/>
      <c r="W25" s="100"/>
      <c r="X25" s="100"/>
      <c r="Y25" s="100"/>
      <c r="Z25" s="100"/>
      <c r="AA25" s="100"/>
      <c r="AB25" s="100"/>
      <c r="AC25" s="100"/>
      <c r="AD25" s="100"/>
      <c r="AE25" s="100"/>
      <c r="AF25" s="100"/>
      <c r="AG25" s="91"/>
      <c r="AH25" s="91"/>
      <c r="AI25" s="91"/>
      <c r="AJ25" s="91"/>
      <c r="AK25" s="91"/>
      <c r="AL25" s="91"/>
      <c r="AM25" s="91"/>
    </row>
    <row r="26" ht="17.25" spans="1:39">
      <c r="A26" s="65" t="s">
        <v>2171</v>
      </c>
      <c r="B26" s="65" t="s">
        <v>2172</v>
      </c>
      <c r="C26" s="65" t="s">
        <v>2120</v>
      </c>
      <c r="D26" s="65" t="s">
        <v>2121</v>
      </c>
      <c r="E26" s="65" t="s">
        <v>2122</v>
      </c>
      <c r="F26" s="65" t="s">
        <v>2128</v>
      </c>
      <c r="G26" s="66"/>
      <c r="H26" s="65" t="s">
        <v>2154</v>
      </c>
      <c r="I26" s="65" t="s">
        <v>2136</v>
      </c>
      <c r="J26" s="91"/>
      <c r="K26" s="91"/>
      <c r="L26" s="91"/>
      <c r="M26" s="91"/>
      <c r="N26" s="91"/>
      <c r="O26" s="91"/>
      <c r="P26" s="92"/>
      <c r="Q26" s="92"/>
      <c r="R26" s="92"/>
      <c r="S26" s="92"/>
      <c r="T26" s="92"/>
      <c r="U26" s="91"/>
      <c r="V26" s="91"/>
      <c r="W26" s="91"/>
      <c r="X26" s="91"/>
      <c r="Y26" s="91"/>
      <c r="Z26" s="91"/>
      <c r="AA26" s="91"/>
      <c r="AB26" s="91"/>
      <c r="AC26" s="91"/>
      <c r="AD26" s="91"/>
      <c r="AE26" s="91"/>
      <c r="AF26" s="91"/>
      <c r="AG26" s="91"/>
      <c r="AH26" s="91"/>
      <c r="AI26" s="91"/>
      <c r="AJ26" s="91"/>
      <c r="AK26" s="91"/>
      <c r="AL26" s="91"/>
      <c r="AM26" s="91"/>
    </row>
    <row r="27" ht="17.25" spans="1:39">
      <c r="A27" s="65" t="s">
        <v>2173</v>
      </c>
      <c r="B27" s="65" t="s">
        <v>2174</v>
      </c>
      <c r="C27" s="65" t="s">
        <v>2120</v>
      </c>
      <c r="D27" s="65" t="s">
        <v>2121</v>
      </c>
      <c r="E27" s="65" t="s">
        <v>2127</v>
      </c>
      <c r="F27" s="65" t="s">
        <v>2128</v>
      </c>
      <c r="G27" s="66"/>
      <c r="H27" s="65" t="s">
        <v>2156</v>
      </c>
      <c r="I27" s="90" t="s">
        <v>2140</v>
      </c>
      <c r="J27" s="91"/>
      <c r="K27" s="91"/>
      <c r="L27" s="91"/>
      <c r="M27" s="91"/>
      <c r="N27" s="91"/>
      <c r="O27" s="91"/>
      <c r="P27" s="91"/>
      <c r="Q27" s="91"/>
      <c r="R27" s="100"/>
      <c r="S27" s="100"/>
      <c r="T27" s="100"/>
      <c r="U27" s="100"/>
      <c r="V27" s="100"/>
      <c r="W27" s="91"/>
      <c r="X27" s="91"/>
      <c r="Y27" s="91"/>
      <c r="Z27" s="91"/>
      <c r="AA27" s="91"/>
      <c r="AB27" s="91"/>
      <c r="AC27" s="91"/>
      <c r="AD27" s="91"/>
      <c r="AE27" s="91"/>
      <c r="AF27" s="91"/>
      <c r="AG27" s="91"/>
      <c r="AH27" s="91"/>
      <c r="AI27" s="91"/>
      <c r="AJ27" s="91"/>
      <c r="AK27" s="91"/>
      <c r="AL27" s="91"/>
      <c r="AM27" s="91"/>
    </row>
    <row r="28" ht="17.25" spans="1:39">
      <c r="A28" s="65" t="s">
        <v>2175</v>
      </c>
      <c r="B28" s="65" t="s">
        <v>2167</v>
      </c>
      <c r="C28" s="65" t="s">
        <v>2120</v>
      </c>
      <c r="D28" s="65" t="s">
        <v>2121</v>
      </c>
      <c r="E28" s="65" t="s">
        <v>2158</v>
      </c>
      <c r="F28" s="65" t="s">
        <v>2128</v>
      </c>
      <c r="G28" s="66"/>
      <c r="H28" s="65" t="s">
        <v>2144</v>
      </c>
      <c r="I28" s="65" t="s">
        <v>2125</v>
      </c>
      <c r="J28" s="91"/>
      <c r="K28" s="91"/>
      <c r="L28" s="91"/>
      <c r="M28" s="91"/>
      <c r="N28" s="91"/>
      <c r="O28" s="91"/>
      <c r="P28" s="91"/>
      <c r="Q28" s="91"/>
      <c r="R28" s="91"/>
      <c r="S28" s="92"/>
      <c r="T28" s="92"/>
      <c r="U28" s="92"/>
      <c r="V28" s="92"/>
      <c r="W28" s="92"/>
      <c r="X28" s="92"/>
      <c r="Y28" s="92"/>
      <c r="Z28" s="92"/>
      <c r="AA28" s="92"/>
      <c r="AB28" s="92"/>
      <c r="AC28" s="92"/>
      <c r="AD28" s="92"/>
      <c r="AE28" s="92"/>
      <c r="AF28" s="92"/>
      <c r="AG28" s="92"/>
      <c r="AH28" s="92"/>
      <c r="AI28" s="92"/>
      <c r="AJ28" s="92"/>
      <c r="AK28" s="92"/>
      <c r="AL28" s="92"/>
      <c r="AM28" s="92"/>
    </row>
    <row r="29" ht="17.25" spans="1:39">
      <c r="A29" s="66"/>
      <c r="B29" s="66"/>
      <c r="C29" s="66"/>
      <c r="D29" s="66"/>
      <c r="E29" s="65" t="s">
        <v>66</v>
      </c>
      <c r="F29" s="65" t="s">
        <v>66</v>
      </c>
      <c r="G29" s="66"/>
      <c r="H29" s="65" t="s">
        <v>66</v>
      </c>
      <c r="I29" s="65" t="s">
        <v>2159</v>
      </c>
      <c r="J29" s="91"/>
      <c r="K29" s="91"/>
      <c r="L29" s="91"/>
      <c r="M29" s="91"/>
      <c r="N29" s="91"/>
      <c r="O29" s="91"/>
      <c r="P29" s="91"/>
      <c r="Q29" s="91"/>
      <c r="R29" s="91"/>
      <c r="S29" s="91"/>
      <c r="T29" s="91"/>
      <c r="U29" s="91"/>
      <c r="V29" s="91"/>
      <c r="W29" s="91"/>
      <c r="X29" s="91"/>
      <c r="Y29" s="91"/>
      <c r="Z29" s="91"/>
      <c r="AA29" s="91"/>
      <c r="AB29" s="91"/>
      <c r="AC29" s="91"/>
      <c r="AD29" s="91"/>
      <c r="AE29" s="91"/>
      <c r="AF29" s="91"/>
      <c r="AG29" s="91"/>
      <c r="AH29" s="91"/>
      <c r="AI29" s="91"/>
      <c r="AJ29" s="91"/>
      <c r="AK29" s="91"/>
      <c r="AL29" s="91"/>
      <c r="AM29" s="91"/>
    </row>
    <row r="30" s="56" customFormat="1" ht="18" spans="1:39">
      <c r="A30" s="60" t="s">
        <v>2176</v>
      </c>
      <c r="B30" s="60" t="s">
        <v>2110</v>
      </c>
      <c r="C30" s="60" t="s">
        <v>2111</v>
      </c>
      <c r="D30" s="60" t="s">
        <v>2112</v>
      </c>
      <c r="E30" s="60" t="s">
        <v>2161</v>
      </c>
      <c r="F30" s="60" t="s">
        <v>2114</v>
      </c>
      <c r="G30" s="64"/>
      <c r="H30" s="60" t="s">
        <v>2115</v>
      </c>
      <c r="I30" s="60" t="s">
        <v>2116</v>
      </c>
      <c r="J30" s="83" t="s">
        <v>2117</v>
      </c>
      <c r="K30" s="84"/>
      <c r="L30" s="84"/>
      <c r="M30" s="84"/>
      <c r="N30" s="84"/>
      <c r="O30" s="84"/>
      <c r="P30" s="84"/>
      <c r="Q30" s="84"/>
      <c r="R30" s="84"/>
      <c r="S30" s="84"/>
      <c r="T30" s="84"/>
      <c r="U30" s="84"/>
      <c r="V30" s="84"/>
      <c r="W30" s="84"/>
      <c r="X30" s="84"/>
      <c r="Y30" s="84"/>
      <c r="Z30" s="84"/>
      <c r="AA30" s="84"/>
      <c r="AB30" s="84"/>
      <c r="AC30" s="84"/>
      <c r="AD30" s="84"/>
      <c r="AE30" s="84"/>
      <c r="AF30" s="84"/>
      <c r="AG30" s="84"/>
      <c r="AH30" s="84"/>
      <c r="AI30" s="84"/>
      <c r="AJ30" s="84"/>
      <c r="AK30" s="84"/>
      <c r="AL30" s="84"/>
      <c r="AM30" s="106"/>
    </row>
    <row r="31" ht="17.25" spans="1:39">
      <c r="A31" s="67" t="s">
        <v>2177</v>
      </c>
      <c r="B31" s="67" t="s">
        <v>2149</v>
      </c>
      <c r="C31" s="67" t="s">
        <v>2120</v>
      </c>
      <c r="D31" s="67" t="s">
        <v>2121</v>
      </c>
      <c r="E31" s="67" t="s">
        <v>2122</v>
      </c>
      <c r="F31" s="67" t="s">
        <v>2128</v>
      </c>
      <c r="G31" s="68"/>
      <c r="H31" s="67" t="s">
        <v>2147</v>
      </c>
      <c r="I31" s="67" t="s">
        <v>2125</v>
      </c>
      <c r="J31" s="93"/>
      <c r="K31" s="93"/>
      <c r="L31" s="93"/>
      <c r="M31" s="93"/>
      <c r="N31" s="94"/>
      <c r="O31" s="94"/>
      <c r="P31" s="94"/>
      <c r="Q31" s="94"/>
      <c r="R31" s="94"/>
      <c r="S31" s="93"/>
      <c r="T31" s="101"/>
      <c r="U31" s="101"/>
      <c r="V31" s="101"/>
      <c r="W31" s="101"/>
      <c r="X31" s="101"/>
      <c r="Y31" s="101"/>
      <c r="Z31" s="93"/>
      <c r="AA31" s="93"/>
      <c r="AB31" s="93"/>
      <c r="AC31" s="93"/>
      <c r="AD31" s="93"/>
      <c r="AE31" s="93"/>
      <c r="AF31" s="93"/>
      <c r="AG31" s="93"/>
      <c r="AH31" s="93"/>
      <c r="AI31" s="93"/>
      <c r="AJ31" s="93"/>
      <c r="AK31" s="93"/>
      <c r="AL31" s="110"/>
      <c r="AM31" s="110"/>
    </row>
    <row r="32" ht="17.25" spans="1:39">
      <c r="A32" s="67" t="s">
        <v>2178</v>
      </c>
      <c r="B32" s="67" t="s">
        <v>2149</v>
      </c>
      <c r="C32" s="67" t="s">
        <v>2120</v>
      </c>
      <c r="D32" s="67" t="s">
        <v>2121</v>
      </c>
      <c r="E32" s="67" t="s">
        <v>2127</v>
      </c>
      <c r="F32" s="67" t="s">
        <v>2128</v>
      </c>
      <c r="G32" s="68"/>
      <c r="H32" s="67" t="s">
        <v>2154</v>
      </c>
      <c r="I32" s="67" t="s">
        <v>2130</v>
      </c>
      <c r="J32" s="93"/>
      <c r="K32" s="93"/>
      <c r="L32" s="93"/>
      <c r="M32" s="93"/>
      <c r="N32" s="93"/>
      <c r="O32" s="93"/>
      <c r="P32" s="93"/>
      <c r="Q32" s="94"/>
      <c r="R32" s="94"/>
      <c r="S32" s="94"/>
      <c r="T32" s="94"/>
      <c r="U32" s="94"/>
      <c r="V32" s="94"/>
      <c r="W32" s="92"/>
      <c r="X32" s="102"/>
      <c r="Y32" s="102"/>
      <c r="Z32" s="102"/>
      <c r="AA32" s="102"/>
      <c r="AB32" s="102"/>
      <c r="AC32" s="102"/>
      <c r="AD32" s="102"/>
      <c r="AE32" s="93"/>
      <c r="AF32" s="93"/>
      <c r="AG32" s="93"/>
      <c r="AH32" s="93"/>
      <c r="AI32" s="93"/>
      <c r="AJ32" s="93"/>
      <c r="AK32" s="93"/>
      <c r="AL32" s="110"/>
      <c r="AM32" s="110"/>
    </row>
    <row r="33" ht="17.25" spans="1:39">
      <c r="A33" s="67" t="s">
        <v>2179</v>
      </c>
      <c r="B33" s="67" t="s">
        <v>2149</v>
      </c>
      <c r="C33" s="67" t="s">
        <v>2120</v>
      </c>
      <c r="D33" s="67" t="s">
        <v>2121</v>
      </c>
      <c r="E33" s="67" t="s">
        <v>2133</v>
      </c>
      <c r="F33" s="67" t="s">
        <v>2128</v>
      </c>
      <c r="G33" s="68"/>
      <c r="H33" s="67" t="s">
        <v>2156</v>
      </c>
      <c r="I33" s="67" t="s">
        <v>2136</v>
      </c>
      <c r="J33" s="93"/>
      <c r="K33" s="93"/>
      <c r="L33" s="93"/>
      <c r="M33" s="93"/>
      <c r="N33" s="93"/>
      <c r="O33" s="93"/>
      <c r="P33" s="93"/>
      <c r="Q33" s="93"/>
      <c r="R33" s="93"/>
      <c r="S33" s="93"/>
      <c r="T33" s="93"/>
      <c r="U33" s="94"/>
      <c r="V33" s="100"/>
      <c r="W33" s="100"/>
      <c r="X33" s="100"/>
      <c r="Y33" s="100"/>
      <c r="Z33" s="101"/>
      <c r="AA33" s="101"/>
      <c r="AB33" s="101"/>
      <c r="AC33" s="101"/>
      <c r="AD33" s="93"/>
      <c r="AE33" s="93"/>
      <c r="AF33" s="93"/>
      <c r="AG33" s="93"/>
      <c r="AH33" s="93"/>
      <c r="AI33" s="93"/>
      <c r="AJ33" s="93"/>
      <c r="AK33" s="93"/>
      <c r="AL33" s="110"/>
      <c r="AM33" s="110"/>
    </row>
    <row r="34" ht="17.25" spans="1:39">
      <c r="A34" s="67" t="s">
        <v>2180</v>
      </c>
      <c r="B34" s="67" t="s">
        <v>2181</v>
      </c>
      <c r="C34" s="67" t="s">
        <v>2120</v>
      </c>
      <c r="D34" s="67" t="s">
        <v>2121</v>
      </c>
      <c r="E34" s="67" t="s">
        <v>2122</v>
      </c>
      <c r="F34" s="67" t="s">
        <v>2128</v>
      </c>
      <c r="G34" s="68"/>
      <c r="H34" s="67" t="s">
        <v>2144</v>
      </c>
      <c r="I34" s="90" t="s">
        <v>2140</v>
      </c>
      <c r="J34" s="93"/>
      <c r="K34" s="93"/>
      <c r="L34" s="93"/>
      <c r="M34" s="93"/>
      <c r="N34" s="93"/>
      <c r="O34" s="94"/>
      <c r="P34" s="94"/>
      <c r="Q34" s="94"/>
      <c r="R34" s="94"/>
      <c r="S34" s="94"/>
      <c r="T34" s="94"/>
      <c r="U34" s="94"/>
      <c r="V34" s="93"/>
      <c r="W34" s="93"/>
      <c r="X34" s="93"/>
      <c r="Y34" s="93"/>
      <c r="Z34" s="102"/>
      <c r="AA34" s="102"/>
      <c r="AB34" s="102"/>
      <c r="AC34" s="102"/>
      <c r="AD34" s="102"/>
      <c r="AE34" s="102"/>
      <c r="AF34" s="93"/>
      <c r="AG34" s="93"/>
      <c r="AH34" s="93"/>
      <c r="AI34" s="93"/>
      <c r="AJ34" s="93"/>
      <c r="AK34" s="93"/>
      <c r="AL34" s="110"/>
      <c r="AM34" s="110"/>
    </row>
    <row r="35" ht="17.25" spans="1:39">
      <c r="A35" s="69"/>
      <c r="B35" s="70"/>
      <c r="C35" s="70"/>
      <c r="D35" s="71"/>
      <c r="E35" s="67" t="s">
        <v>66</v>
      </c>
      <c r="F35" s="67" t="s">
        <v>66</v>
      </c>
      <c r="G35" s="72"/>
      <c r="H35" s="67" t="s">
        <v>66</v>
      </c>
      <c r="I35" s="67" t="s">
        <v>2159</v>
      </c>
      <c r="J35" s="93"/>
      <c r="K35" s="93"/>
      <c r="L35" s="93"/>
      <c r="M35" s="93"/>
      <c r="N35" s="93"/>
      <c r="O35" s="93"/>
      <c r="P35" s="93"/>
      <c r="Q35" s="93"/>
      <c r="R35" s="93"/>
      <c r="S35" s="93"/>
      <c r="T35" s="101"/>
      <c r="U35" s="100"/>
      <c r="V35" s="100"/>
      <c r="W35" s="100"/>
      <c r="X35" s="100"/>
      <c r="Y35" s="100"/>
      <c r="Z35" s="101"/>
      <c r="AA35" s="93"/>
      <c r="AB35" s="93"/>
      <c r="AC35" s="93"/>
      <c r="AD35" s="93"/>
      <c r="AE35" s="93"/>
      <c r="AF35" s="93"/>
      <c r="AG35" s="93"/>
      <c r="AH35" s="93"/>
      <c r="AI35" s="93"/>
      <c r="AJ35" s="93"/>
      <c r="AK35" s="93"/>
      <c r="AL35" s="110"/>
      <c r="AM35" s="110"/>
    </row>
    <row r="36" s="56" customFormat="1" ht="18" spans="1:39">
      <c r="A36" s="60" t="s">
        <v>2182</v>
      </c>
      <c r="B36" s="60" t="s">
        <v>2110</v>
      </c>
      <c r="C36" s="60" t="s">
        <v>2111</v>
      </c>
      <c r="D36" s="60" t="s">
        <v>2112</v>
      </c>
      <c r="E36" s="60" t="s">
        <v>2161</v>
      </c>
      <c r="F36" s="60" t="s">
        <v>2114</v>
      </c>
      <c r="H36" s="60" t="s">
        <v>2115</v>
      </c>
      <c r="I36" s="60" t="s">
        <v>2116</v>
      </c>
      <c r="J36" s="83" t="s">
        <v>2117</v>
      </c>
      <c r="K36" s="84"/>
      <c r="L36" s="84"/>
      <c r="M36" s="84"/>
      <c r="N36" s="84"/>
      <c r="O36" s="84"/>
      <c r="P36" s="84"/>
      <c r="Q36" s="84"/>
      <c r="R36" s="84"/>
      <c r="S36" s="84"/>
      <c r="T36" s="84"/>
      <c r="U36" s="84"/>
      <c r="V36" s="84"/>
      <c r="W36" s="84"/>
      <c r="X36" s="84"/>
      <c r="Y36" s="84"/>
      <c r="Z36" s="84"/>
      <c r="AA36" s="84"/>
      <c r="AB36" s="84"/>
      <c r="AC36" s="84"/>
      <c r="AD36" s="84"/>
      <c r="AE36" s="84"/>
      <c r="AF36" s="84"/>
      <c r="AG36" s="84"/>
      <c r="AH36" s="84"/>
      <c r="AI36" s="84"/>
      <c r="AJ36" s="84"/>
      <c r="AK36" s="84"/>
      <c r="AL36" s="84"/>
      <c r="AM36" s="106"/>
    </row>
    <row r="37" ht="17.25" spans="1:39">
      <c r="A37" s="65" t="s">
        <v>2183</v>
      </c>
      <c r="B37" s="65" t="s">
        <v>2149</v>
      </c>
      <c r="C37" s="65" t="s">
        <v>2120</v>
      </c>
      <c r="D37" s="65" t="s">
        <v>2121</v>
      </c>
      <c r="E37" s="65" t="s">
        <v>2133</v>
      </c>
      <c r="F37" s="65" t="s">
        <v>2128</v>
      </c>
      <c r="G37" s="73"/>
      <c r="H37" s="65" t="s">
        <v>2156</v>
      </c>
      <c r="I37" s="65" t="s">
        <v>2125</v>
      </c>
      <c r="J37" s="95"/>
      <c r="K37" s="95"/>
      <c r="L37" s="95"/>
      <c r="M37" s="95"/>
      <c r="N37" s="95"/>
      <c r="O37" s="95"/>
      <c r="P37" s="95"/>
      <c r="Q37" s="95"/>
      <c r="R37" s="95"/>
      <c r="S37" s="100"/>
      <c r="T37" s="100"/>
      <c r="U37" s="100"/>
      <c r="V37" s="100"/>
      <c r="W37" s="100"/>
      <c r="X37" s="100"/>
      <c r="Y37" s="100"/>
      <c r="Z37" s="103"/>
      <c r="AA37" s="103"/>
      <c r="AB37" s="103"/>
      <c r="AC37" s="105"/>
      <c r="AD37" s="95"/>
      <c r="AE37" s="95"/>
      <c r="AF37" s="95"/>
      <c r="AG37" s="95"/>
      <c r="AH37" s="95"/>
      <c r="AI37" s="95"/>
      <c r="AJ37" s="95"/>
      <c r="AK37" s="95"/>
      <c r="AL37" s="111"/>
      <c r="AM37" s="111"/>
    </row>
    <row r="38" ht="17.25" spans="1:39">
      <c r="A38" s="65" t="s">
        <v>2184</v>
      </c>
      <c r="B38" s="65" t="s">
        <v>2181</v>
      </c>
      <c r="C38" s="65" t="s">
        <v>2120</v>
      </c>
      <c r="D38" s="65" t="s">
        <v>2121</v>
      </c>
      <c r="E38" s="65" t="s">
        <v>2122</v>
      </c>
      <c r="F38" s="65" t="s">
        <v>2128</v>
      </c>
      <c r="G38" s="73"/>
      <c r="H38" s="65" t="s">
        <v>2144</v>
      </c>
      <c r="I38" s="65" t="s">
        <v>2130</v>
      </c>
      <c r="J38" s="95"/>
      <c r="K38" s="95"/>
      <c r="L38" s="95"/>
      <c r="M38" s="95"/>
      <c r="N38" s="95"/>
      <c r="O38" s="95"/>
      <c r="P38" s="91"/>
      <c r="Q38" s="91"/>
      <c r="R38" s="91"/>
      <c r="S38" s="92"/>
      <c r="T38" s="92"/>
      <c r="U38" s="103"/>
      <c r="V38" s="103"/>
      <c r="W38" s="103"/>
      <c r="X38" s="103"/>
      <c r="Y38" s="103"/>
      <c r="Z38" s="103"/>
      <c r="AA38" s="103"/>
      <c r="AB38" s="103"/>
      <c r="AC38" s="105"/>
      <c r="AD38" s="95"/>
      <c r="AE38" s="95"/>
      <c r="AF38" s="95"/>
      <c r="AG38" s="95"/>
      <c r="AH38" s="95"/>
      <c r="AI38" s="95"/>
      <c r="AJ38" s="95"/>
      <c r="AK38" s="95"/>
      <c r="AL38" s="111"/>
      <c r="AM38" s="111"/>
    </row>
    <row r="39" ht="17.25" spans="1:39">
      <c r="A39" s="74"/>
      <c r="B39" s="75"/>
      <c r="C39" s="75"/>
      <c r="D39" s="76"/>
      <c r="E39" s="77" t="s">
        <v>66</v>
      </c>
      <c r="F39" s="77" t="s">
        <v>66</v>
      </c>
      <c r="G39" s="73"/>
      <c r="H39" s="77" t="s">
        <v>66</v>
      </c>
      <c r="I39" s="77" t="s">
        <v>2159</v>
      </c>
      <c r="J39" s="96"/>
      <c r="K39" s="96"/>
      <c r="L39" s="96"/>
      <c r="M39" s="96"/>
      <c r="N39" s="96"/>
      <c r="O39" s="96"/>
      <c r="P39" s="96"/>
      <c r="Q39" s="96"/>
      <c r="R39" s="96"/>
      <c r="S39" s="96"/>
      <c r="T39" s="96"/>
      <c r="U39" s="96"/>
      <c r="V39" s="96"/>
      <c r="W39" s="104"/>
      <c r="X39" s="104"/>
      <c r="Y39" s="104"/>
      <c r="Z39" s="104"/>
      <c r="AA39" s="104"/>
      <c r="AB39" s="104"/>
      <c r="AC39" s="104"/>
      <c r="AD39" s="104"/>
      <c r="AE39" s="104"/>
      <c r="AF39" s="104"/>
      <c r="AG39" s="104"/>
      <c r="AH39" s="104"/>
      <c r="AI39" s="104"/>
      <c r="AJ39" s="104"/>
      <c r="AK39" s="104"/>
      <c r="AL39" s="104"/>
      <c r="AM39" s="104"/>
    </row>
    <row r="40" s="57" customFormat="1" ht="21" customHeight="1" spans="1:39">
      <c r="A40" s="78" t="s">
        <v>2185</v>
      </c>
      <c r="B40" s="79" t="s">
        <v>2186</v>
      </c>
      <c r="C40" s="79"/>
      <c r="D40" s="79"/>
      <c r="E40" s="79" t="s">
        <v>2187</v>
      </c>
      <c r="F40" s="78"/>
      <c r="G40" s="78"/>
      <c r="H40" s="78"/>
      <c r="I40" s="78"/>
      <c r="J40" s="97"/>
      <c r="K40" s="97"/>
      <c r="L40" s="97"/>
      <c r="M40" s="97"/>
      <c r="N40" s="97"/>
      <c r="O40" s="97"/>
      <c r="P40" s="97"/>
      <c r="Q40" s="97"/>
      <c r="R40" s="97"/>
      <c r="S40" s="97"/>
      <c r="T40" s="97"/>
      <c r="U40" s="97"/>
      <c r="V40" s="97"/>
      <c r="W40" s="97"/>
      <c r="X40" s="97"/>
      <c r="Y40" s="97"/>
      <c r="Z40" s="97"/>
      <c r="AA40" s="97"/>
      <c r="AB40" s="97"/>
      <c r="AC40" s="97"/>
      <c r="AD40" s="97"/>
      <c r="AE40" s="97"/>
      <c r="AF40" s="97"/>
      <c r="AG40" s="97"/>
      <c r="AH40" s="97"/>
      <c r="AI40" s="97"/>
      <c r="AJ40" s="97"/>
      <c r="AK40" s="97"/>
      <c r="AL40" s="97"/>
      <c r="AM40" s="97"/>
    </row>
    <row r="41" s="57" customFormat="1" ht="21" customHeight="1" spans="1:39">
      <c r="A41" s="78"/>
      <c r="B41" s="79" t="s">
        <v>2188</v>
      </c>
      <c r="C41" s="79"/>
      <c r="D41" s="79"/>
      <c r="E41" s="79" t="s">
        <v>2189</v>
      </c>
      <c r="F41" s="78"/>
      <c r="G41" s="78"/>
      <c r="H41" s="78"/>
      <c r="I41" s="78"/>
      <c r="J41" s="97"/>
      <c r="K41" s="97"/>
      <c r="L41" s="97"/>
      <c r="M41" s="97"/>
      <c r="N41" s="97"/>
      <c r="O41" s="97"/>
      <c r="P41" s="97"/>
      <c r="Q41" s="97"/>
      <c r="R41" s="97"/>
      <c r="S41" s="97"/>
      <c r="T41" s="97"/>
      <c r="U41" s="97"/>
      <c r="V41" s="97"/>
      <c r="W41" s="97"/>
      <c r="X41" s="97"/>
      <c r="Y41" s="97"/>
      <c r="Z41" s="97"/>
      <c r="AA41" s="97"/>
      <c r="AB41" s="97"/>
      <c r="AC41" s="97"/>
      <c r="AD41" s="97"/>
      <c r="AE41" s="97"/>
      <c r="AF41" s="97"/>
      <c r="AG41" s="97"/>
      <c r="AH41" s="97"/>
      <c r="AI41" s="97"/>
      <c r="AJ41" s="97"/>
      <c r="AK41" s="97"/>
      <c r="AL41" s="97"/>
      <c r="AM41" s="97"/>
    </row>
    <row r="42" s="57" customFormat="1" ht="19.05" customHeight="1" spans="1:39">
      <c r="A42" s="78"/>
      <c r="B42" s="79" t="s">
        <v>2190</v>
      </c>
      <c r="C42" s="79"/>
      <c r="D42" s="79"/>
      <c r="E42" s="79" t="s">
        <v>2191</v>
      </c>
      <c r="F42" s="78"/>
      <c r="G42" s="78"/>
      <c r="H42" s="78"/>
      <c r="I42" s="78"/>
      <c r="J42" s="97"/>
      <c r="K42" s="97"/>
      <c r="L42" s="97"/>
      <c r="M42" s="97"/>
      <c r="N42" s="97"/>
      <c r="O42" s="97"/>
      <c r="P42" s="97"/>
      <c r="Q42" s="97"/>
      <c r="R42" s="97"/>
      <c r="S42" s="97"/>
      <c r="T42" s="97"/>
      <c r="U42" s="97"/>
      <c r="V42" s="97"/>
      <c r="W42" s="97"/>
      <c r="X42" s="97"/>
      <c r="Y42" s="97"/>
      <c r="Z42" s="97"/>
      <c r="AA42" s="97"/>
      <c r="AB42" s="97"/>
      <c r="AC42" s="97"/>
      <c r="AD42" s="97"/>
      <c r="AE42" s="97"/>
      <c r="AF42" s="97"/>
      <c r="AG42" s="97"/>
      <c r="AH42" s="97"/>
      <c r="AI42" s="97"/>
      <c r="AJ42" s="97"/>
      <c r="AK42" s="97"/>
      <c r="AL42" s="97"/>
      <c r="AM42" s="97"/>
    </row>
  </sheetData>
  <mergeCells count="45">
    <mergeCell ref="A1:I1"/>
    <mergeCell ref="J1:AM1"/>
    <mergeCell ref="A2:I2"/>
    <mergeCell ref="A3:I3"/>
    <mergeCell ref="A4:I4"/>
    <mergeCell ref="J5:AM5"/>
    <mergeCell ref="J19:AM19"/>
    <mergeCell ref="J30:AM30"/>
    <mergeCell ref="A35:D35"/>
    <mergeCell ref="J36:AM36"/>
    <mergeCell ref="A39:D39"/>
    <mergeCell ref="F40:I40"/>
    <mergeCell ref="F41:I41"/>
    <mergeCell ref="F42:I42"/>
    <mergeCell ref="A40:A42"/>
    <mergeCell ref="J2:J3"/>
    <mergeCell ref="K2:K3"/>
    <mergeCell ref="L2:L3"/>
    <mergeCell ref="M2:M3"/>
    <mergeCell ref="N2:N3"/>
    <mergeCell ref="O2:O3"/>
    <mergeCell ref="P2:P3"/>
    <mergeCell ref="Q2:Q3"/>
    <mergeCell ref="R2:R3"/>
    <mergeCell ref="S2:S3"/>
    <mergeCell ref="T2:T3"/>
    <mergeCell ref="U2:U3"/>
    <mergeCell ref="V2:V3"/>
    <mergeCell ref="W2:W3"/>
    <mergeCell ref="X2:X3"/>
    <mergeCell ref="Y2:Y3"/>
    <mergeCell ref="Z2:Z3"/>
    <mergeCell ref="AA2:AA3"/>
    <mergeCell ref="AB2:AB3"/>
    <mergeCell ref="AC2:AC3"/>
    <mergeCell ref="AD2:AD3"/>
    <mergeCell ref="AE2:AE3"/>
    <mergeCell ref="AF2:AF3"/>
    <mergeCell ref="AG2:AG3"/>
    <mergeCell ref="AH2:AH3"/>
    <mergeCell ref="AI2:AI3"/>
    <mergeCell ref="AJ2:AJ3"/>
    <mergeCell ref="AK2:AK3"/>
    <mergeCell ref="AL2:AL3"/>
    <mergeCell ref="AM2:AM3"/>
  </mergeCells>
  <pageMargins left="0.699305555555556" right="0.699305555555556" top="0.75" bottom="0.75" header="0.3" footer="0.3"/>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sheetPr>
  <dimension ref="A1:H33"/>
  <sheetViews>
    <sheetView zoomScale="70" zoomScaleNormal="70" zoomScalePageLayoutView="110" workbookViewId="0">
      <pane ySplit="2" topLeftCell="A3" activePane="bottomLeft" state="frozen"/>
      <selection/>
      <selection pane="bottomLeft" activeCell="A13" sqref="A13:A18"/>
    </sheetView>
  </sheetViews>
  <sheetFormatPr defaultColWidth="9" defaultRowHeight="14.25" outlineLevelCol="7"/>
  <cols>
    <col min="1" max="1" width="20.2" customWidth="1"/>
    <col min="2" max="2" width="32.5" customWidth="1"/>
    <col min="3" max="3" width="15.2" customWidth="1"/>
    <col min="4" max="4" width="16.3" customWidth="1"/>
    <col min="5" max="5" width="16" customWidth="1"/>
    <col min="6" max="6" width="15.7" customWidth="1"/>
    <col min="7" max="7" width="77.3" customWidth="1"/>
  </cols>
  <sheetData>
    <row r="1" ht="33" customHeight="1" spans="1:8">
      <c r="A1" s="18" t="s">
        <v>2192</v>
      </c>
      <c r="B1" s="18"/>
      <c r="C1" s="18"/>
      <c r="D1" s="18"/>
      <c r="E1" s="18"/>
      <c r="F1" s="18"/>
      <c r="G1" s="18"/>
      <c r="H1" s="19"/>
    </row>
    <row r="2" ht="22.05" customHeight="1" spans="1:8">
      <c r="A2" s="20" t="s">
        <v>2193</v>
      </c>
      <c r="B2" s="21"/>
      <c r="C2" s="22" t="s">
        <v>1100</v>
      </c>
      <c r="D2" s="23"/>
      <c r="E2" s="23"/>
      <c r="F2" s="21"/>
      <c r="G2" s="24" t="s">
        <v>1847</v>
      </c>
      <c r="H2" s="19"/>
    </row>
    <row r="3" ht="22.95" customHeight="1" spans="1:8">
      <c r="A3" s="25" t="s">
        <v>63</v>
      </c>
      <c r="B3" s="26" t="s">
        <v>2194</v>
      </c>
      <c r="C3" s="27" t="s">
        <v>2195</v>
      </c>
      <c r="D3" s="28" t="s">
        <v>2196</v>
      </c>
      <c r="E3" s="29" t="s">
        <v>2197</v>
      </c>
      <c r="F3" s="30" t="s">
        <v>2198</v>
      </c>
      <c r="G3" s="31" t="s">
        <v>2199</v>
      </c>
      <c r="H3" s="19"/>
    </row>
    <row r="4" ht="28.05" customHeight="1" spans="1:8">
      <c r="A4" s="32" t="s">
        <v>2200</v>
      </c>
      <c r="B4" s="33" t="s">
        <v>2201</v>
      </c>
      <c r="C4" s="33"/>
      <c r="D4" s="34" t="s">
        <v>2196</v>
      </c>
      <c r="E4" s="33"/>
      <c r="F4" s="33"/>
      <c r="G4" s="35" t="s">
        <v>2202</v>
      </c>
      <c r="H4" s="19"/>
    </row>
    <row r="5" ht="28.05" customHeight="1" spans="1:8">
      <c r="A5" s="36"/>
      <c r="B5" s="33" t="s">
        <v>2203</v>
      </c>
      <c r="C5" s="37" t="s">
        <v>2195</v>
      </c>
      <c r="D5" s="33"/>
      <c r="E5" s="33"/>
      <c r="F5" s="33"/>
      <c r="G5" s="35" t="s">
        <v>2204</v>
      </c>
      <c r="H5" s="19"/>
    </row>
    <row r="6" ht="28.05" customHeight="1" spans="1:8">
      <c r="A6" s="36"/>
      <c r="B6" s="33" t="s">
        <v>2205</v>
      </c>
      <c r="C6" s="33"/>
      <c r="D6" s="34" t="s">
        <v>2196</v>
      </c>
      <c r="E6" s="33"/>
      <c r="F6" s="33"/>
      <c r="G6" s="35" t="s">
        <v>2206</v>
      </c>
      <c r="H6" s="19"/>
    </row>
    <row r="7" ht="28.05" customHeight="1" spans="1:8">
      <c r="A7" s="36"/>
      <c r="B7" s="33" t="s">
        <v>222</v>
      </c>
      <c r="C7" s="33"/>
      <c r="D7" s="33"/>
      <c r="E7" s="33"/>
      <c r="F7" s="38" t="s">
        <v>2198</v>
      </c>
      <c r="G7" s="35" t="s">
        <v>2207</v>
      </c>
      <c r="H7" s="19"/>
    </row>
    <row r="8" ht="28.05" customHeight="1" spans="1:8">
      <c r="A8" s="36"/>
      <c r="B8" s="33" t="s">
        <v>2208</v>
      </c>
      <c r="C8" s="37" t="s">
        <v>2195</v>
      </c>
      <c r="D8" s="33"/>
      <c r="E8" s="33"/>
      <c r="F8" s="33"/>
      <c r="G8" s="35" t="s">
        <v>2209</v>
      </c>
      <c r="H8" s="19"/>
    </row>
    <row r="9" ht="28.05" customHeight="1" spans="1:8">
      <c r="A9" s="39"/>
      <c r="B9" s="33" t="s">
        <v>2210</v>
      </c>
      <c r="C9" s="33"/>
      <c r="D9" s="34" t="s">
        <v>2196</v>
      </c>
      <c r="E9" s="33"/>
      <c r="F9" s="33"/>
      <c r="G9" s="35" t="s">
        <v>2211</v>
      </c>
      <c r="H9" s="19"/>
    </row>
    <row r="10" ht="28.05" customHeight="1" spans="1:8">
      <c r="A10" s="39"/>
      <c r="B10" s="33" t="s">
        <v>2212</v>
      </c>
      <c r="C10" s="37" t="s">
        <v>2195</v>
      </c>
      <c r="D10" s="33"/>
      <c r="E10" s="33"/>
      <c r="F10" s="33"/>
      <c r="G10" s="35" t="s">
        <v>2213</v>
      </c>
      <c r="H10" s="19"/>
    </row>
    <row r="11" ht="28.05" customHeight="1" spans="1:8">
      <c r="A11" s="39"/>
      <c r="B11" s="33" t="s">
        <v>2214</v>
      </c>
      <c r="C11" s="37" t="s">
        <v>2195</v>
      </c>
      <c r="D11" s="33"/>
      <c r="E11" s="33"/>
      <c r="F11" s="33"/>
      <c r="G11" s="35" t="s">
        <v>2215</v>
      </c>
      <c r="H11" s="19"/>
    </row>
    <row r="12" ht="28.05" customHeight="1" spans="1:8">
      <c r="A12" s="39"/>
      <c r="B12" s="33" t="s">
        <v>2216</v>
      </c>
      <c r="C12" s="33"/>
      <c r="D12" s="34" t="s">
        <v>2196</v>
      </c>
      <c r="E12" s="33"/>
      <c r="F12" s="33"/>
      <c r="G12" s="35" t="s">
        <v>2217</v>
      </c>
      <c r="H12" s="19"/>
    </row>
    <row r="13" ht="28.05" customHeight="1" spans="1:8">
      <c r="A13" s="32" t="s">
        <v>601</v>
      </c>
      <c r="B13" s="33" t="s">
        <v>2218</v>
      </c>
      <c r="C13" s="37" t="s">
        <v>2195</v>
      </c>
      <c r="D13" s="33"/>
      <c r="E13" s="33"/>
      <c r="F13" s="33"/>
      <c r="G13" s="35" t="s">
        <v>2219</v>
      </c>
      <c r="H13" s="19"/>
    </row>
    <row r="14" ht="28.05" customHeight="1" spans="1:8">
      <c r="A14" s="36"/>
      <c r="B14" s="33" t="s">
        <v>2220</v>
      </c>
      <c r="C14" s="37" t="s">
        <v>2195</v>
      </c>
      <c r="D14" s="33"/>
      <c r="E14" s="33"/>
      <c r="F14" s="33"/>
      <c r="G14" s="35" t="s">
        <v>2221</v>
      </c>
      <c r="H14" s="19"/>
    </row>
    <row r="15" ht="28.05" customHeight="1" spans="1:8">
      <c r="A15" s="36"/>
      <c r="B15" s="33" t="s">
        <v>2222</v>
      </c>
      <c r="C15" s="33"/>
      <c r="D15" s="34" t="s">
        <v>2196</v>
      </c>
      <c r="E15" s="33"/>
      <c r="F15" s="33"/>
      <c r="G15" s="35" t="s">
        <v>2223</v>
      </c>
      <c r="H15" s="19"/>
    </row>
    <row r="16" ht="28.05" customHeight="1" spans="1:8">
      <c r="A16" s="36"/>
      <c r="B16" s="33" t="s">
        <v>2224</v>
      </c>
      <c r="C16" s="37" t="s">
        <v>2195</v>
      </c>
      <c r="D16" s="33"/>
      <c r="E16" s="33"/>
      <c r="F16" s="33"/>
      <c r="G16" s="35" t="s">
        <v>2225</v>
      </c>
      <c r="H16" s="19"/>
    </row>
    <row r="17" ht="28.05" customHeight="1" spans="1:8">
      <c r="A17" s="36"/>
      <c r="B17" s="33" t="s">
        <v>2226</v>
      </c>
      <c r="C17" s="33"/>
      <c r="D17" s="33"/>
      <c r="E17" s="40" t="s">
        <v>2197</v>
      </c>
      <c r="F17" s="33"/>
      <c r="G17" s="35" t="s">
        <v>2227</v>
      </c>
      <c r="H17" s="19"/>
    </row>
    <row r="18" ht="28.05" customHeight="1" spans="1:8">
      <c r="A18" s="39"/>
      <c r="B18" s="33" t="s">
        <v>2228</v>
      </c>
      <c r="C18" s="33"/>
      <c r="D18" s="34" t="s">
        <v>2196</v>
      </c>
      <c r="E18" s="33"/>
      <c r="F18" s="33"/>
      <c r="G18" s="35" t="s">
        <v>2229</v>
      </c>
      <c r="H18" s="19"/>
    </row>
    <row r="19" ht="28.05" customHeight="1" spans="1:8">
      <c r="A19" s="32" t="s">
        <v>2230</v>
      </c>
      <c r="B19" s="33" t="s">
        <v>2218</v>
      </c>
      <c r="C19" s="33"/>
      <c r="D19" s="34" t="s">
        <v>2196</v>
      </c>
      <c r="E19" s="33"/>
      <c r="F19" s="33"/>
      <c r="G19" s="35" t="s">
        <v>2231</v>
      </c>
      <c r="H19" s="19"/>
    </row>
    <row r="20" ht="28.05" customHeight="1" spans="1:8">
      <c r="A20" s="36"/>
      <c r="B20" s="33" t="s">
        <v>2232</v>
      </c>
      <c r="C20" s="37" t="s">
        <v>2195</v>
      </c>
      <c r="D20" s="33"/>
      <c r="E20" s="33"/>
      <c r="F20" s="33"/>
      <c r="G20" s="35" t="s">
        <v>2233</v>
      </c>
      <c r="H20" s="19"/>
    </row>
    <row r="21" ht="28.05" customHeight="1" spans="1:8">
      <c r="A21" s="36"/>
      <c r="B21" s="33" t="s">
        <v>2234</v>
      </c>
      <c r="C21" s="33"/>
      <c r="D21" s="34" t="s">
        <v>2196</v>
      </c>
      <c r="E21" s="33"/>
      <c r="F21" s="33"/>
      <c r="G21" s="35" t="s">
        <v>2235</v>
      </c>
      <c r="H21" s="19"/>
    </row>
    <row r="22" ht="28.05" customHeight="1" spans="1:8">
      <c r="A22" s="36"/>
      <c r="B22" s="33" t="s">
        <v>2236</v>
      </c>
      <c r="C22" s="37" t="s">
        <v>2195</v>
      </c>
      <c r="D22" s="33"/>
      <c r="E22" s="33"/>
      <c r="F22" s="33"/>
      <c r="G22" s="35" t="s">
        <v>2237</v>
      </c>
      <c r="H22" s="19"/>
    </row>
    <row r="23" ht="28.05" customHeight="1" spans="1:8">
      <c r="A23" s="36"/>
      <c r="B23" s="33" t="s">
        <v>2238</v>
      </c>
      <c r="C23" s="33"/>
      <c r="D23" s="33"/>
      <c r="E23" s="33"/>
      <c r="F23" s="33"/>
      <c r="G23" s="35" t="s">
        <v>2239</v>
      </c>
      <c r="H23" s="19"/>
    </row>
    <row r="24" ht="28.05" customHeight="1" spans="1:8">
      <c r="A24" s="36"/>
      <c r="B24" s="33" t="s">
        <v>2240</v>
      </c>
      <c r="C24" s="37" t="s">
        <v>2195</v>
      </c>
      <c r="D24" s="33"/>
      <c r="E24" s="33"/>
      <c r="F24" s="33"/>
      <c r="G24" s="35" t="s">
        <v>2241</v>
      </c>
      <c r="H24" s="19"/>
    </row>
    <row r="25" ht="28.05" customHeight="1" spans="1:8">
      <c r="A25" s="39"/>
      <c r="B25" s="33" t="s">
        <v>2242</v>
      </c>
      <c r="C25" s="33"/>
      <c r="D25" s="33"/>
      <c r="E25" s="33"/>
      <c r="F25" s="33"/>
      <c r="G25" s="35" t="s">
        <v>2243</v>
      </c>
      <c r="H25" s="19"/>
    </row>
    <row r="26" ht="21" customHeight="1" spans="1:8">
      <c r="A26" s="41" t="s">
        <v>2244</v>
      </c>
      <c r="B26" s="42" t="s">
        <v>2245</v>
      </c>
      <c r="C26" s="43"/>
      <c r="D26" s="44"/>
      <c r="E26" s="44"/>
      <c r="F26" s="44"/>
      <c r="G26" s="45"/>
      <c r="H26" s="19"/>
    </row>
    <row r="27" ht="19.05" customHeight="1" spans="1:8">
      <c r="A27" s="41"/>
      <c r="B27" s="42" t="s">
        <v>2246</v>
      </c>
      <c r="C27" s="43"/>
      <c r="D27" s="44"/>
      <c r="E27" s="44"/>
      <c r="F27" s="44"/>
      <c r="G27" s="45"/>
      <c r="H27" s="19"/>
    </row>
    <row r="28" ht="19.05" customHeight="1" spans="1:8">
      <c r="A28" s="41"/>
      <c r="B28" s="42" t="s">
        <v>2247</v>
      </c>
      <c r="C28" s="43"/>
      <c r="D28" s="44"/>
      <c r="E28" s="44"/>
      <c r="F28" s="44"/>
      <c r="G28" s="45"/>
      <c r="H28" s="19"/>
    </row>
    <row r="29" ht="16.95" customHeight="1" spans="1:8">
      <c r="A29" s="46"/>
      <c r="B29" s="47" t="s">
        <v>2248</v>
      </c>
      <c r="C29" s="48"/>
      <c r="D29" s="49"/>
      <c r="E29" s="49"/>
      <c r="F29" s="49"/>
      <c r="G29" s="50"/>
      <c r="H29" s="19"/>
    </row>
    <row r="30" ht="28.05" customHeight="1" spans="1:8">
      <c r="A30" s="51" t="s">
        <v>2249</v>
      </c>
      <c r="B30" s="33" t="s">
        <v>2250</v>
      </c>
      <c r="C30" s="52"/>
      <c r="D30" s="53"/>
      <c r="E30" s="53"/>
      <c r="F30" s="53"/>
      <c r="G30" s="54"/>
      <c r="H30" s="19"/>
    </row>
    <row r="31" ht="28.05" customHeight="1" spans="1:8">
      <c r="A31" s="51"/>
      <c r="B31" s="33" t="s">
        <v>2251</v>
      </c>
      <c r="C31" s="52"/>
      <c r="D31" s="53"/>
      <c r="E31" s="53"/>
      <c r="F31" s="53"/>
      <c r="G31" s="54"/>
      <c r="H31" s="19"/>
    </row>
    <row r="32" ht="28.05" customHeight="1" spans="1:8">
      <c r="A32" s="51"/>
      <c r="B32" s="33" t="s">
        <v>2252</v>
      </c>
      <c r="C32" s="52"/>
      <c r="D32" s="53"/>
      <c r="E32" s="53"/>
      <c r="F32" s="53"/>
      <c r="G32" s="54"/>
      <c r="H32" s="19"/>
    </row>
    <row r="33" ht="28.05" customHeight="1" spans="1:8">
      <c r="A33" s="55"/>
      <c r="B33" s="33" t="s">
        <v>2253</v>
      </c>
      <c r="C33" s="52"/>
      <c r="D33" s="53"/>
      <c r="E33" s="53"/>
      <c r="F33" s="53"/>
      <c r="G33" s="54"/>
      <c r="H33" s="19"/>
    </row>
  </sheetData>
  <mergeCells count="11">
    <mergeCell ref="A1:G1"/>
    <mergeCell ref="A2:B2"/>
    <mergeCell ref="C2:F2"/>
    <mergeCell ref="C26:G26"/>
    <mergeCell ref="C27:G27"/>
    <mergeCell ref="C29:G29"/>
    <mergeCell ref="A4:A12"/>
    <mergeCell ref="A13:A18"/>
    <mergeCell ref="A19:A25"/>
    <mergeCell ref="A26:A29"/>
    <mergeCell ref="A30:A33"/>
  </mergeCells>
  <pageMargins left="0.75" right="0.75" top="1" bottom="1" header="0.5" footer="0.5"/>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sheetPr>
  <dimension ref="A1:P12"/>
  <sheetViews>
    <sheetView zoomScale="55" zoomScaleNormal="55" zoomScalePageLayoutView="110" workbookViewId="0">
      <pane xSplit="16" ySplit="2" topLeftCell="Q6" activePane="bottomRight" state="frozen"/>
      <selection/>
      <selection pane="topRight"/>
      <selection pane="bottomLeft"/>
      <selection pane="bottomRight" activeCell="F14" sqref="F14"/>
    </sheetView>
  </sheetViews>
  <sheetFormatPr defaultColWidth="9" defaultRowHeight="13.5"/>
  <cols>
    <col min="1" max="4" width="16.2" style="3" customWidth="1"/>
    <col min="5" max="12" width="9" style="3"/>
    <col min="13" max="13" width="7.8" style="3" customWidth="1"/>
    <col min="14" max="14" width="7.7" style="3" customWidth="1"/>
    <col min="15" max="15" width="9.5" style="3" hidden="1" customWidth="1"/>
    <col min="16" max="16" width="59.8" style="3" customWidth="1"/>
    <col min="17" max="16384" width="9" style="3"/>
  </cols>
  <sheetData>
    <row r="1" ht="39" customHeight="1" spans="1:16">
      <c r="A1" s="4" t="s">
        <v>2254</v>
      </c>
      <c r="B1" s="4"/>
      <c r="C1" s="4"/>
      <c r="D1" s="4"/>
      <c r="E1" s="4"/>
      <c r="F1" s="4"/>
      <c r="G1" s="4"/>
      <c r="H1" s="4"/>
      <c r="I1" s="4"/>
      <c r="J1" s="4"/>
      <c r="K1" s="4"/>
      <c r="L1" s="4"/>
      <c r="M1" s="4"/>
      <c r="N1" s="4"/>
      <c r="O1" s="4"/>
      <c r="P1" s="4"/>
    </row>
    <row r="2" ht="34.05" customHeight="1" spans="1:16">
      <c r="A2" s="5" t="s">
        <v>2255</v>
      </c>
      <c r="B2" s="5"/>
      <c r="C2" s="5"/>
      <c r="D2" s="5"/>
      <c r="E2" s="5"/>
      <c r="F2" s="5"/>
      <c r="G2" s="5"/>
      <c r="H2" s="5"/>
      <c r="I2" s="5"/>
      <c r="J2" s="5"/>
      <c r="K2" s="5"/>
      <c r="L2" s="5"/>
      <c r="M2" s="5"/>
      <c r="N2" s="5"/>
      <c r="O2" s="5"/>
      <c r="P2" s="5"/>
    </row>
    <row r="3" ht="259.5" customHeight="1" spans="1:16">
      <c r="A3" s="6"/>
      <c r="B3" s="6"/>
      <c r="C3" s="6"/>
      <c r="D3" s="6"/>
      <c r="E3" s="6"/>
      <c r="F3" s="6"/>
      <c r="G3" s="6"/>
      <c r="H3" s="6"/>
      <c r="I3" s="6"/>
      <c r="J3" s="6"/>
      <c r="K3" s="6"/>
      <c r="L3" s="6"/>
      <c r="M3" s="6"/>
      <c r="N3" s="6"/>
      <c r="O3" s="6"/>
      <c r="P3" s="6"/>
    </row>
    <row r="4" s="1" customFormat="1" ht="45" customHeight="1" spans="1:16">
      <c r="A4" s="7" t="s">
        <v>2256</v>
      </c>
      <c r="B4" s="7" t="s">
        <v>2257</v>
      </c>
      <c r="C4" s="7" t="s">
        <v>2258</v>
      </c>
      <c r="D4" s="7" t="s">
        <v>2259</v>
      </c>
      <c r="E4" s="7" t="s">
        <v>2260</v>
      </c>
      <c r="F4" s="7" t="s">
        <v>2261</v>
      </c>
      <c r="G4" s="7" t="s">
        <v>2262</v>
      </c>
      <c r="H4" s="7" t="s">
        <v>2263</v>
      </c>
      <c r="I4" s="7" t="s">
        <v>2264</v>
      </c>
      <c r="J4" s="7" t="s">
        <v>2265</v>
      </c>
      <c r="K4" s="7" t="s">
        <v>2266</v>
      </c>
      <c r="L4" s="7" t="s">
        <v>2267</v>
      </c>
      <c r="M4" s="7" t="s">
        <v>2268</v>
      </c>
      <c r="N4" s="7" t="s">
        <v>2269</v>
      </c>
      <c r="O4" s="7" t="s">
        <v>2270</v>
      </c>
      <c r="P4" s="7" t="s">
        <v>2271</v>
      </c>
    </row>
    <row r="5" s="2" customFormat="1" ht="23.25" customHeight="1" spans="1:16">
      <c r="A5" s="8" t="s">
        <v>2272</v>
      </c>
      <c r="B5" s="8">
        <v>5000</v>
      </c>
      <c r="C5" s="9">
        <v>2000</v>
      </c>
      <c r="D5" s="9">
        <v>5000</v>
      </c>
      <c r="E5" s="9">
        <v>2000</v>
      </c>
      <c r="F5" s="9">
        <v>10000</v>
      </c>
      <c r="G5" s="9">
        <v>1000</v>
      </c>
      <c r="H5" s="9">
        <v>2000</v>
      </c>
      <c r="I5" s="9">
        <v>3000</v>
      </c>
      <c r="J5" s="9">
        <v>8000</v>
      </c>
      <c r="K5" s="9">
        <v>5000</v>
      </c>
      <c r="L5" s="9">
        <v>3000</v>
      </c>
      <c r="M5" s="9">
        <v>2000</v>
      </c>
      <c r="N5" s="9">
        <v>2000</v>
      </c>
      <c r="O5" s="9">
        <v>1</v>
      </c>
      <c r="P5" s="14">
        <f>SUM(B5:O5)</f>
        <v>50001</v>
      </c>
    </row>
    <row r="6" s="2" customFormat="1" ht="23.25" customHeight="1" spans="1:16">
      <c r="A6" s="8" t="s">
        <v>2273</v>
      </c>
      <c r="B6" s="10">
        <f t="shared" ref="B6:P6" si="0">B5/$P$5</f>
        <v>0.0999980000399992</v>
      </c>
      <c r="C6" s="10">
        <f t="shared" si="0"/>
        <v>0.0399992000159997</v>
      </c>
      <c r="D6" s="10">
        <f t="shared" si="0"/>
        <v>0.0999980000399992</v>
      </c>
      <c r="E6" s="10">
        <f t="shared" si="0"/>
        <v>0.0399992000159997</v>
      </c>
      <c r="F6" s="10">
        <f t="shared" si="0"/>
        <v>0.199996000079998</v>
      </c>
      <c r="G6" s="10">
        <f t="shared" si="0"/>
        <v>0.0199996000079998</v>
      </c>
      <c r="H6" s="10">
        <f t="shared" si="0"/>
        <v>0.0399992000159997</v>
      </c>
      <c r="I6" s="10">
        <f t="shared" si="0"/>
        <v>0.0599988000239995</v>
      </c>
      <c r="J6" s="10">
        <f t="shared" si="0"/>
        <v>0.159996800063999</v>
      </c>
      <c r="K6" s="10">
        <f t="shared" si="0"/>
        <v>0.0999980000399992</v>
      </c>
      <c r="L6" s="10">
        <f t="shared" si="0"/>
        <v>0.0599988000239995</v>
      </c>
      <c r="M6" s="10">
        <f t="shared" si="0"/>
        <v>0.0399992000159997</v>
      </c>
      <c r="N6" s="10">
        <f t="shared" si="0"/>
        <v>0.0399992000159997</v>
      </c>
      <c r="O6" s="10">
        <f t="shared" si="0"/>
        <v>1.99996000079998e-5</v>
      </c>
      <c r="P6" s="10">
        <f t="shared" si="0"/>
        <v>1</v>
      </c>
    </row>
    <row r="7" s="2" customFormat="1" ht="23.25" customHeight="1" spans="1:16">
      <c r="A7" s="8" t="s">
        <v>2274</v>
      </c>
      <c r="B7" s="8">
        <v>4500</v>
      </c>
      <c r="C7" s="9">
        <v>3000</v>
      </c>
      <c r="D7" s="9">
        <v>7000</v>
      </c>
      <c r="E7" s="9">
        <v>1500</v>
      </c>
      <c r="F7" s="9">
        <v>8000</v>
      </c>
      <c r="G7" s="9">
        <v>2000</v>
      </c>
      <c r="H7" s="9">
        <v>1500</v>
      </c>
      <c r="I7" s="9">
        <v>2000</v>
      </c>
      <c r="J7" s="9">
        <v>5000</v>
      </c>
      <c r="K7" s="9">
        <v>5000</v>
      </c>
      <c r="L7" s="9">
        <v>2000</v>
      </c>
      <c r="M7" s="9">
        <v>2000</v>
      </c>
      <c r="N7" s="9">
        <v>1000</v>
      </c>
      <c r="O7" s="9">
        <v>1.2</v>
      </c>
      <c r="P7" s="14">
        <f>SUM(B7:O7)</f>
        <v>44501.2</v>
      </c>
    </row>
    <row r="8" s="2" customFormat="1" ht="23.25" customHeight="1" spans="1:16">
      <c r="A8" s="8" t="s">
        <v>2273</v>
      </c>
      <c r="B8" s="11">
        <f t="shared" ref="B8:P8" si="1">B7/$P$7</f>
        <v>0.101120868650733</v>
      </c>
      <c r="C8" s="11">
        <f t="shared" si="1"/>
        <v>0.067413912433822</v>
      </c>
      <c r="D8" s="11">
        <f t="shared" si="1"/>
        <v>0.157299129012251</v>
      </c>
      <c r="E8" s="11">
        <f t="shared" si="1"/>
        <v>0.033706956216911</v>
      </c>
      <c r="F8" s="11">
        <f t="shared" si="1"/>
        <v>0.179770433156859</v>
      </c>
      <c r="G8" s="11">
        <f t="shared" si="1"/>
        <v>0.0449426082892147</v>
      </c>
      <c r="H8" s="11">
        <f t="shared" si="1"/>
        <v>0.033706956216911</v>
      </c>
      <c r="I8" s="11">
        <f t="shared" si="1"/>
        <v>0.0449426082892147</v>
      </c>
      <c r="J8" s="11">
        <f t="shared" si="1"/>
        <v>0.112356520723037</v>
      </c>
      <c r="K8" s="11">
        <f t="shared" si="1"/>
        <v>0.112356520723037</v>
      </c>
      <c r="L8" s="11">
        <f t="shared" si="1"/>
        <v>0.0449426082892147</v>
      </c>
      <c r="M8" s="11">
        <f t="shared" si="1"/>
        <v>0.0449426082892147</v>
      </c>
      <c r="N8" s="11">
        <f t="shared" si="1"/>
        <v>0.0224713041446073</v>
      </c>
      <c r="O8" s="11">
        <f t="shared" si="1"/>
        <v>2.69655649735288e-5</v>
      </c>
      <c r="P8" s="10">
        <f t="shared" si="1"/>
        <v>1</v>
      </c>
    </row>
    <row r="9" s="2" customFormat="1" ht="23.25" customHeight="1" spans="1:16">
      <c r="A9" s="8" t="s">
        <v>2275</v>
      </c>
      <c r="B9" s="10">
        <f t="shared" ref="B9:P9" si="2">(B7-B5)/B5</f>
        <v>-0.1</v>
      </c>
      <c r="C9" s="10">
        <f t="shared" si="2"/>
        <v>0.5</v>
      </c>
      <c r="D9" s="10">
        <f t="shared" si="2"/>
        <v>0.4</v>
      </c>
      <c r="E9" s="10">
        <f t="shared" si="2"/>
        <v>-0.25</v>
      </c>
      <c r="F9" s="10">
        <f t="shared" si="2"/>
        <v>-0.2</v>
      </c>
      <c r="G9" s="10">
        <f t="shared" si="2"/>
        <v>1</v>
      </c>
      <c r="H9" s="10">
        <f t="shared" si="2"/>
        <v>-0.25</v>
      </c>
      <c r="I9" s="10">
        <f t="shared" si="2"/>
        <v>-0.333333333333333</v>
      </c>
      <c r="J9" s="10">
        <f t="shared" si="2"/>
        <v>-0.375</v>
      </c>
      <c r="K9" s="10">
        <f t="shared" si="2"/>
        <v>0</v>
      </c>
      <c r="L9" s="10">
        <f t="shared" si="2"/>
        <v>-0.333333333333333</v>
      </c>
      <c r="M9" s="10">
        <f t="shared" si="2"/>
        <v>0</v>
      </c>
      <c r="N9" s="10">
        <f t="shared" si="2"/>
        <v>-0.5</v>
      </c>
      <c r="O9" s="10">
        <f t="shared" si="2"/>
        <v>0.2</v>
      </c>
      <c r="P9" s="10">
        <f t="shared" si="2"/>
        <v>-0.109993800123998</v>
      </c>
    </row>
    <row r="10" ht="23.25" customHeight="1" spans="1:16">
      <c r="A10" s="8" t="s">
        <v>2276</v>
      </c>
      <c r="B10" s="12">
        <f t="shared" ref="B10:O10" si="3">RANK(B9,$B$9:$O$9)</f>
        <v>7</v>
      </c>
      <c r="C10" s="12">
        <f t="shared" si="3"/>
        <v>2</v>
      </c>
      <c r="D10" s="12">
        <f t="shared" si="3"/>
        <v>3</v>
      </c>
      <c r="E10" s="12">
        <f t="shared" si="3"/>
        <v>9</v>
      </c>
      <c r="F10" s="12">
        <f t="shared" si="3"/>
        <v>8</v>
      </c>
      <c r="G10" s="12">
        <f t="shared" si="3"/>
        <v>1</v>
      </c>
      <c r="H10" s="12">
        <f t="shared" si="3"/>
        <v>9</v>
      </c>
      <c r="I10" s="12">
        <f t="shared" si="3"/>
        <v>11</v>
      </c>
      <c r="J10" s="12">
        <f t="shared" si="3"/>
        <v>13</v>
      </c>
      <c r="K10" s="12">
        <f t="shared" si="3"/>
        <v>5</v>
      </c>
      <c r="L10" s="12">
        <f t="shared" si="3"/>
        <v>11</v>
      </c>
      <c r="M10" s="12">
        <f t="shared" si="3"/>
        <v>5</v>
      </c>
      <c r="N10" s="12">
        <f t="shared" si="3"/>
        <v>14</v>
      </c>
      <c r="O10" s="12">
        <f t="shared" si="3"/>
        <v>4</v>
      </c>
      <c r="P10" s="15"/>
    </row>
    <row r="11" ht="289.5" customHeight="1" spans="1:16">
      <c r="A11" s="13"/>
      <c r="B11" s="13"/>
      <c r="C11" s="13"/>
      <c r="D11" s="13"/>
      <c r="E11" s="13"/>
      <c r="F11" s="13"/>
      <c r="G11" s="13"/>
      <c r="H11" s="13"/>
      <c r="I11" s="13"/>
      <c r="J11" s="13"/>
      <c r="K11" s="13"/>
      <c r="L11" s="13"/>
      <c r="M11" s="13"/>
      <c r="N11" s="13"/>
      <c r="O11" s="13"/>
      <c r="P11" s="13"/>
    </row>
    <row r="12" ht="55.5" customHeight="1" spans="10:13">
      <c r="J12" s="16"/>
      <c r="K12" s="16"/>
      <c r="L12" s="16"/>
      <c r="M12" s="17"/>
    </row>
  </sheetData>
  <mergeCells count="3">
    <mergeCell ref="A1:P1"/>
    <mergeCell ref="A2:P2"/>
    <mergeCell ref="J12:L12"/>
  </mergeCells>
  <conditionalFormatting sqref="B9:P9">
    <cfRule type="cellIs" dxfId="2" priority="2" stopIfTrue="1" operator="lessThan">
      <formula>0</formula>
    </cfRule>
  </conditionalFormatting>
  <conditionalFormatting sqref="B10:O10">
    <cfRule type="cellIs" dxfId="3" priority="1" stopIfTrue="1" operator="between">
      <formula>1</formula>
      <formula>5</formula>
    </cfRule>
  </conditionalFormatting>
  <pageMargins left="0.7" right="0.7" top="0.75" bottom="0.75" header="0.3" footer="0.3"/>
  <pageSetup paperSize="9" orientation="landscape" horizontalDpi="180" verticalDpi="180"/>
  <headerFooter/>
  <ignoredErrors>
    <ignoredError sqref="P6" formula="1"/>
  </ignoredErrors>
  <drawing r:id="rId1"/>
</worksheet>
</file>

<file path=docProps/app.xml><?xml version="1.0" encoding="utf-8"?>
<Properties xmlns="http://schemas.openxmlformats.org/officeDocument/2006/extended-properties" xmlns:vt="http://schemas.openxmlformats.org/officeDocument/2006/docPropsVTypes">
  <Company>ETG</Company>
  <Application>Microsoft Excel</Application>
  <HeadingPairs>
    <vt:vector size="2" baseType="variant">
      <vt:variant>
        <vt:lpstr>工作表</vt:lpstr>
      </vt:variant>
      <vt:variant>
        <vt:i4>23</vt:i4>
      </vt:variant>
    </vt:vector>
  </HeadingPairs>
  <TitlesOfParts>
    <vt:vector size="23" baseType="lpstr">
      <vt:lpstr>封面</vt:lpstr>
      <vt:lpstr>1预算表</vt:lpstr>
      <vt:lpstr>2筹备表</vt:lpstr>
      <vt:lpstr>3撰稿表</vt:lpstr>
      <vt:lpstr>4流程表</vt:lpstr>
      <vt:lpstr>5选址表</vt:lpstr>
      <vt:lpstr>6验收表</vt:lpstr>
      <vt:lpstr>7物料表</vt:lpstr>
      <vt:lpstr>8尺寸表</vt:lpstr>
      <vt:lpstr>9联系表</vt:lpstr>
      <vt:lpstr>10执行表</vt:lpstr>
      <vt:lpstr>11行程表</vt:lpstr>
      <vt:lpstr>12嘉宾表</vt:lpstr>
      <vt:lpstr>13座位表</vt:lpstr>
      <vt:lpstr>14签到表</vt:lpstr>
      <vt:lpstr>15礼仪表</vt:lpstr>
      <vt:lpstr>16摄影表</vt:lpstr>
      <vt:lpstr>17设备表</vt:lpstr>
      <vt:lpstr>18彩排表</vt:lpstr>
      <vt:lpstr>19危机表</vt:lpstr>
      <vt:lpstr>20投放表</vt:lpstr>
      <vt:lpstr>21意见表</vt:lpstr>
      <vt:lpstr>22分析表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Selina Sun</dc:creator>
  <cp:lastModifiedBy>陈东捷</cp:lastModifiedBy>
  <dcterms:created xsi:type="dcterms:W3CDTF">2006-07-23T05:44:00Z</dcterms:created>
  <cp:lastPrinted>2018-01-05T14:03:00Z</cp:lastPrinted>
  <dcterms:modified xsi:type="dcterms:W3CDTF">2021-11-22T01:15:26Z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2052-11.1.0.11045</vt:lpwstr>
  </property>
  <property fmtid="{D5CDD505-2E9C-101B-9397-08002B2CF9AE}" pid="3" name="ICV">
    <vt:lpwstr>B5264D91D1E54027917D894FE3EF9F58</vt:lpwstr>
  </property>
</Properties>
</file>