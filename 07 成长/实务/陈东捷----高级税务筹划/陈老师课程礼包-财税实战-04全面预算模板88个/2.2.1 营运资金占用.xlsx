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015" activeTab="5"/>
  </bookViews>
  <sheets>
    <sheet name="主页" sheetId="3" r:id="rId1"/>
    <sheet name="应收账款" sheetId="1" r:id="rId2"/>
    <sheet name="应付账款" sheetId="4" r:id="rId3"/>
    <sheet name="存货" sheetId="5" r:id="rId4"/>
    <sheet name="长期资产" sheetId="6" r:id="rId5"/>
    <sheet name="营运资金占用预算校准" sheetId="7" r:id="rId6"/>
  </sheets>
  <externalReferences>
    <externalReference r:id="rId22"/>
  </externalReferences>
  <definedNames>
    <definedName name="_xlcn.WorksheetConnection_营运资金占用.xlsx当年标准成本1" hidden="1">当年标准成本</definedName>
  </definedNames>
  <calcPr calcId="144525"/>
</workbook>
</file>

<file path=xl/connections.xml><?xml version="1.0" encoding="utf-8"?>
<connections xmlns="http://schemas.openxmlformats.org/spreadsheetml/2006/main">
  <connection id="1" name="Excel 1.1 销售收入及毛利预算" type="5" refreshedVersion="2" saveData="1">
    <dbPr connection="" command="" commandType="2"/>
  </connection>
  <connection id="2" name="WorksheetConnection_营运资金占用.xlsx!当年标准成本" type="5" refreshedVersion="2" saveData="1">
    <dbPr connection="" command="" commandType="2"/>
  </connection>
  <connection id="3" name="查询 - 当年实际销售" description="与工作簿中“当年实际销售”查询的连接。" type="5" background="1" refreshedVersion="2" saveData="1">
    <dbPr connection="Provider=Microsoft.Mashup.OleDb.1;Data Source=$Workbook$;Location=当年实际销售;Extended Properties=&quot;&quot;" command="SELECT * FROM [当年实际销售]" commandType="2"/>
  </connection>
  <connection id="4" name="查询 - 当年标准成本" description="与工作簿中“当年标准成本”查询的连接。" type="5" background="1" refreshedVersion="2" saveData="1">
    <dbPr connection="Provider=Microsoft.Mashup.OleDb.1;Data Source=$Workbook$;Location=当年标准成本;Extended Properties=&quot;&quot;" command="SELECT * FROM [当年标准成本]" commandType="2"/>
  </connection>
</connections>
</file>

<file path=xl/sharedStrings.xml><?xml version="1.0" encoding="utf-8"?>
<sst xmlns="http://schemas.openxmlformats.org/spreadsheetml/2006/main" count="161" uniqueCount="36">
  <si>
    <t>当年实际数据截止年月：</t>
  </si>
  <si>
    <t>资金占用利息率=</t>
  </si>
  <si>
    <t>项   目</t>
  </si>
  <si>
    <t>年初</t>
  </si>
  <si>
    <t>合计</t>
  </si>
  <si>
    <t xml:space="preserve">平均 </t>
  </si>
  <si>
    <t>资金占用利率=</t>
  </si>
  <si>
    <t>销售收入</t>
  </si>
  <si>
    <t>—</t>
  </si>
  <si>
    <t>应收账款余额</t>
  </si>
  <si>
    <t>应收账款周转天数</t>
  </si>
  <si>
    <t>应收资金占用成本</t>
  </si>
  <si>
    <t>采购额</t>
  </si>
  <si>
    <t>应付账款余额</t>
  </si>
  <si>
    <t>应付账款周转天数</t>
  </si>
  <si>
    <t>应付抵减资金占用成本</t>
  </si>
  <si>
    <t>销售成本</t>
  </si>
  <si>
    <t>存货</t>
  </si>
  <si>
    <t>其中:</t>
  </si>
  <si>
    <t>外购成品</t>
  </si>
  <si>
    <t>材料及半成品</t>
  </si>
  <si>
    <t>自制成品</t>
  </si>
  <si>
    <t>存货周转天数</t>
  </si>
  <si>
    <t>存货占用资金成本</t>
  </si>
  <si>
    <t>固定资产净值从资产明细数据中取值</t>
  </si>
  <si>
    <t>长期资产净值余额</t>
  </si>
  <si>
    <t>长期资产周转天数</t>
  </si>
  <si>
    <t>长期资产占用资金成本</t>
  </si>
  <si>
    <t>目标：资金成本/销售收入</t>
  </si>
  <si>
    <t>运营资金占用余额</t>
  </si>
  <si>
    <t>应收账款</t>
  </si>
  <si>
    <t>应付账款</t>
  </si>
  <si>
    <t>长期资产净值</t>
  </si>
  <si>
    <t>平均运营资金占用</t>
  </si>
  <si>
    <t>资金成本</t>
  </si>
  <si>
    <t>占销售收入%</t>
  </si>
</sst>
</file>

<file path=xl/styles.xml><?xml version="1.0" encoding="utf-8"?>
<styleSheet xmlns="http://schemas.openxmlformats.org/spreadsheetml/2006/main">
  <numFmts count="8">
    <numFmt numFmtId="44" formatCode="_ &quot;￥&quot;* #,##0.00_ ;_ &quot;￥&quot;* \-#,##0.00_ ;_ &quot;￥&quot;* &quot;-&quot;??_ ;_ @_ "/>
    <numFmt numFmtId="176" formatCode="_ * #,##0_ ;_ * \-#,##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177" formatCode="0.0%"/>
    <numFmt numFmtId="178" formatCode="General&quot;月&quot;"/>
    <numFmt numFmtId="179" formatCode="_ * #,##0.0_ ;_ * \-#,##0.0_ ;_ * &quot;-&quot;??_ ;_ @_ "/>
  </numFmts>
  <fonts count="26">
    <font>
      <sz val="11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0"/>
      <color theme="0"/>
      <name val="微软雅黑"/>
      <charset val="134"/>
    </font>
    <font>
      <b/>
      <sz val="14"/>
      <color theme="0"/>
      <name val="微软雅黑"/>
      <charset val="134"/>
    </font>
    <font>
      <b/>
      <sz val="11"/>
      <color theme="1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006100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3"/>
      <color theme="3"/>
      <name val="等线"/>
      <charset val="134"/>
      <scheme val="minor"/>
    </font>
    <font>
      <b/>
      <sz val="11"/>
      <color rgb="FFFA7D0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theme="1"/>
      <name val="等线"/>
      <charset val="0"/>
      <scheme val="minor"/>
    </font>
    <font>
      <b/>
      <sz val="11"/>
      <color rgb="FFFFFFFF"/>
      <name val="等线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1" tint="0.349986266670736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 style="thin">
        <color auto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auto="1"/>
      </left>
      <right/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/>
      <right/>
      <top/>
      <bottom style="medium">
        <color theme="1"/>
      </bottom>
      <diagonal/>
    </border>
    <border>
      <left style="thin">
        <color theme="1"/>
      </left>
      <right/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9" fillId="0" borderId="0" applyFont="0" applyFill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7" fillId="8" borderId="28" applyNumberFormat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27" borderId="33" applyNumberFormat="0" applyFont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32" applyNumberFormat="0" applyFill="0" applyAlignment="0" applyProtection="0">
      <alignment vertical="center"/>
    </xf>
    <xf numFmtId="0" fontId="16" fillId="0" borderId="32" applyNumberFormat="0" applyFill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0" borderId="29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5" fillId="19" borderId="31" applyNumberFormat="0" applyAlignment="0" applyProtection="0">
      <alignment vertical="center"/>
    </xf>
    <xf numFmtId="0" fontId="17" fillId="19" borderId="28" applyNumberFormat="0" applyAlignment="0" applyProtection="0">
      <alignment vertical="center"/>
    </xf>
    <xf numFmtId="0" fontId="25" fillId="31" borderId="35" applyNumberFormat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4" fillId="0" borderId="30" applyNumberFormat="0" applyFill="0" applyAlignment="0" applyProtection="0">
      <alignment vertical="center"/>
    </xf>
    <xf numFmtId="0" fontId="24" fillId="0" borderId="34" applyNumberFormat="0" applyFill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</cellStyleXfs>
  <cellXfs count="88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Border="1">
      <alignment vertical="center"/>
    </xf>
    <xf numFmtId="0" fontId="1" fillId="2" borderId="0" xfId="0" applyFont="1" applyFill="1" applyBorder="1">
      <alignment vertical="center"/>
    </xf>
    <xf numFmtId="0" fontId="0" fillId="2" borderId="0" xfId="0" applyFill="1" applyBorder="1">
      <alignment vertical="center"/>
    </xf>
    <xf numFmtId="14" fontId="2" fillId="3" borderId="0" xfId="0" applyNumberFormat="1" applyFont="1" applyFill="1" applyAlignment="1">
      <alignment horizontal="center" vertical="center" shrinkToFit="1"/>
    </xf>
    <xf numFmtId="14" fontId="3" fillId="3" borderId="0" xfId="0" applyNumberFormat="1" applyFont="1" applyFill="1" applyAlignment="1">
      <alignment horizontal="center" vertical="center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  <xf numFmtId="14" fontId="1" fillId="0" borderId="1" xfId="0" applyNumberFormat="1" applyFont="1" applyBorder="1">
      <alignment vertical="center"/>
    </xf>
    <xf numFmtId="0" fontId="1" fillId="0" borderId="2" xfId="0" applyFont="1" applyBorder="1">
      <alignment vertical="center"/>
    </xf>
    <xf numFmtId="0" fontId="0" fillId="0" borderId="3" xfId="0" applyBorder="1">
      <alignment vertical="center"/>
    </xf>
    <xf numFmtId="176" fontId="0" fillId="0" borderId="3" xfId="8" applyNumberFormat="1" applyFont="1" applyBorder="1">
      <alignment vertical="center"/>
    </xf>
    <xf numFmtId="0" fontId="1" fillId="0" borderId="4" xfId="0" applyFont="1" applyBorder="1">
      <alignment vertical="center"/>
    </xf>
    <xf numFmtId="0" fontId="0" fillId="0" borderId="4" xfId="0" applyBorder="1">
      <alignment vertical="center"/>
    </xf>
    <xf numFmtId="14" fontId="1" fillId="0" borderId="4" xfId="0" applyNumberFormat="1" applyFont="1" applyBorder="1">
      <alignment vertical="center"/>
    </xf>
    <xf numFmtId="0" fontId="1" fillId="0" borderId="0" xfId="0" applyFont="1" applyBorder="1">
      <alignment vertical="center"/>
    </xf>
    <xf numFmtId="0" fontId="0" fillId="0" borderId="5" xfId="0" applyBorder="1">
      <alignment vertical="center"/>
    </xf>
    <xf numFmtId="176" fontId="0" fillId="0" borderId="0" xfId="8" applyNumberFormat="1" applyFont="1" applyBorder="1">
      <alignment vertical="center"/>
    </xf>
    <xf numFmtId="0" fontId="4" fillId="0" borderId="6" xfId="0" applyFont="1" applyBorder="1">
      <alignment vertical="center"/>
    </xf>
    <xf numFmtId="0" fontId="4" fillId="0" borderId="0" xfId="0" applyFont="1" applyBorder="1">
      <alignment vertical="center"/>
    </xf>
    <xf numFmtId="176" fontId="4" fillId="0" borderId="1" xfId="0" applyNumberFormat="1" applyFont="1" applyBorder="1">
      <alignment vertical="center"/>
    </xf>
    <xf numFmtId="0" fontId="4" fillId="0" borderId="7" xfId="0" applyFont="1" applyBorder="1">
      <alignment vertical="center"/>
    </xf>
    <xf numFmtId="176" fontId="4" fillId="0" borderId="0" xfId="0" applyNumberFormat="1" applyFont="1" applyBorder="1">
      <alignment vertical="center"/>
    </xf>
    <xf numFmtId="0" fontId="1" fillId="0" borderId="8" xfId="0" applyFont="1" applyBorder="1">
      <alignment vertical="center"/>
    </xf>
    <xf numFmtId="0" fontId="0" fillId="0" borderId="9" xfId="0" applyBorder="1">
      <alignment vertical="center"/>
    </xf>
    <xf numFmtId="177" fontId="0" fillId="0" borderId="8" xfId="11" applyNumberFormat="1" applyFont="1" applyBorder="1">
      <alignment vertical="center"/>
    </xf>
    <xf numFmtId="177" fontId="0" fillId="0" borderId="0" xfId="0" applyNumberFormat="1" applyBorder="1">
      <alignment vertical="center"/>
    </xf>
    <xf numFmtId="177" fontId="0" fillId="0" borderId="10" xfId="0" applyNumberFormat="1" applyBorder="1">
      <alignment vertical="center"/>
    </xf>
    <xf numFmtId="14" fontId="2" fillId="3" borderId="0" xfId="0" applyNumberFormat="1" applyFont="1" applyFill="1" applyBorder="1" applyAlignment="1">
      <alignment horizontal="center" vertical="center" shrinkToFit="1"/>
    </xf>
    <xf numFmtId="14" fontId="3" fillId="3" borderId="0" xfId="0" applyNumberFormat="1" applyFont="1" applyFill="1" applyBorder="1" applyAlignment="1">
      <alignment horizontal="center" vertical="center"/>
    </xf>
    <xf numFmtId="43" fontId="0" fillId="0" borderId="0" xfId="0" applyNumberFormat="1">
      <alignment vertical="center"/>
    </xf>
    <xf numFmtId="0" fontId="5" fillId="4" borderId="11" xfId="0" applyFont="1" applyFill="1" applyBorder="1" applyAlignment="1">
      <alignment horizontal="centerContinuous" vertical="center"/>
    </xf>
    <xf numFmtId="0" fontId="5" fillId="4" borderId="12" xfId="0" applyFont="1" applyFill="1" applyBorder="1" applyAlignment="1">
      <alignment horizontal="centerContinuous" vertical="center"/>
    </xf>
    <xf numFmtId="178" fontId="5" fillId="4" borderId="13" xfId="0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left" vertical="center"/>
    </xf>
    <xf numFmtId="14" fontId="1" fillId="0" borderId="0" xfId="0" applyNumberFormat="1" applyFont="1">
      <alignment vertical="center"/>
    </xf>
    <xf numFmtId="178" fontId="0" fillId="0" borderId="0" xfId="0" applyNumberFormat="1">
      <alignment vertical="center"/>
    </xf>
    <xf numFmtId="0" fontId="0" fillId="0" borderId="14" xfId="0" applyBorder="1">
      <alignment vertical="center"/>
    </xf>
    <xf numFmtId="176" fontId="0" fillId="0" borderId="15" xfId="8" applyNumberFormat="1" applyFont="1" applyFill="1" applyBorder="1" applyProtection="1">
      <alignment vertical="center"/>
      <protection locked="0"/>
    </xf>
    <xf numFmtId="176" fontId="0" fillId="0" borderId="16" xfId="8" applyNumberFormat="1" applyFont="1" applyFill="1" applyBorder="1" applyProtection="1">
      <alignment vertical="center"/>
      <protection locked="0"/>
    </xf>
    <xf numFmtId="0" fontId="0" fillId="0" borderId="17" xfId="0" applyBorder="1">
      <alignment vertical="center"/>
    </xf>
    <xf numFmtId="176" fontId="0" fillId="0" borderId="0" xfId="8" applyNumberFormat="1" applyFont="1">
      <alignment vertical="center"/>
    </xf>
    <xf numFmtId="176" fontId="0" fillId="0" borderId="5" xfId="8" applyNumberFormat="1" applyFont="1" applyFill="1" applyBorder="1" applyProtection="1">
      <alignment vertical="center"/>
      <protection locked="0"/>
    </xf>
    <xf numFmtId="176" fontId="0" fillId="0" borderId="0" xfId="8" applyNumberFormat="1" applyFont="1" applyFill="1" applyBorder="1" applyProtection="1">
      <alignment vertical="center"/>
      <protection locked="0"/>
    </xf>
    <xf numFmtId="179" fontId="0" fillId="5" borderId="5" xfId="8" applyNumberFormat="1" applyFont="1" applyFill="1" applyBorder="1">
      <alignment vertical="center"/>
    </xf>
    <xf numFmtId="179" fontId="0" fillId="5" borderId="0" xfId="8" applyNumberFormat="1" applyFont="1" applyFill="1" applyBorder="1">
      <alignment vertical="center"/>
    </xf>
    <xf numFmtId="0" fontId="0" fillId="0" borderId="18" xfId="0" applyBorder="1">
      <alignment vertical="center"/>
    </xf>
    <xf numFmtId="176" fontId="0" fillId="5" borderId="19" xfId="8" applyNumberFormat="1" applyFont="1" applyFill="1" applyBorder="1">
      <alignment vertical="center"/>
    </xf>
    <xf numFmtId="176" fontId="0" fillId="5" borderId="20" xfId="8" applyNumberFormat="1" applyFont="1" applyFill="1" applyBorder="1">
      <alignment vertical="center"/>
    </xf>
    <xf numFmtId="176" fontId="0" fillId="0" borderId="0" xfId="8" applyNumberFormat="1" applyFont="1" applyFill="1">
      <alignment vertical="center"/>
    </xf>
    <xf numFmtId="176" fontId="0" fillId="6" borderId="0" xfId="0" applyNumberFormat="1" applyFill="1">
      <alignment vertical="center"/>
    </xf>
    <xf numFmtId="0" fontId="0" fillId="0" borderId="0" xfId="0" applyFill="1">
      <alignment vertical="center"/>
    </xf>
    <xf numFmtId="0" fontId="5" fillId="4" borderId="13" xfId="0" applyFont="1" applyFill="1" applyBorder="1" applyAlignment="1">
      <alignment horizontal="center" vertical="center"/>
    </xf>
    <xf numFmtId="176" fontId="0" fillId="0" borderId="21" xfId="8" applyNumberFormat="1" applyFont="1" applyFill="1" applyBorder="1" applyProtection="1">
      <alignment vertical="center"/>
      <protection locked="0"/>
    </xf>
    <xf numFmtId="176" fontId="0" fillId="5" borderId="14" xfId="8" applyNumberFormat="1" applyFont="1" applyFill="1" applyBorder="1">
      <alignment vertical="center"/>
    </xf>
    <xf numFmtId="176" fontId="0" fillId="0" borderId="22" xfId="8" applyNumberFormat="1" applyFont="1" applyFill="1" applyBorder="1" applyProtection="1">
      <alignment vertical="center"/>
      <protection locked="0"/>
    </xf>
    <xf numFmtId="176" fontId="0" fillId="5" borderId="17" xfId="8" applyNumberFormat="1" applyFont="1" applyFill="1" applyBorder="1">
      <alignment vertical="center"/>
    </xf>
    <xf numFmtId="179" fontId="0" fillId="5" borderId="22" xfId="8" applyNumberFormat="1" applyFont="1" applyFill="1" applyBorder="1">
      <alignment vertical="center"/>
    </xf>
    <xf numFmtId="179" fontId="0" fillId="5" borderId="17" xfId="8" applyNumberFormat="1" applyFont="1" applyFill="1" applyBorder="1">
      <alignment vertical="center"/>
    </xf>
    <xf numFmtId="176" fontId="0" fillId="5" borderId="23" xfId="8" applyNumberFormat="1" applyFont="1" applyFill="1" applyBorder="1">
      <alignment vertical="center"/>
    </xf>
    <xf numFmtId="176" fontId="0" fillId="5" borderId="18" xfId="8" applyNumberFormat="1" applyFont="1" applyFill="1" applyBorder="1">
      <alignment vertical="center"/>
    </xf>
    <xf numFmtId="0" fontId="5" fillId="4" borderId="0" xfId="0" applyFont="1" applyFill="1" applyBorder="1" applyAlignment="1">
      <alignment horizontal="centerContinuous" vertical="center"/>
    </xf>
    <xf numFmtId="0" fontId="0" fillId="0" borderId="0" xfId="0" applyAlignment="1">
      <alignment horizontal="center" vertical="center"/>
    </xf>
    <xf numFmtId="0" fontId="0" fillId="0" borderId="15" xfId="0" applyBorder="1">
      <alignment vertical="center"/>
    </xf>
    <xf numFmtId="0" fontId="0" fillId="0" borderId="21" xfId="0" applyBorder="1">
      <alignment vertical="center"/>
    </xf>
    <xf numFmtId="176" fontId="0" fillId="0" borderId="24" xfId="8" applyNumberFormat="1" applyFont="1" applyFill="1" applyBorder="1" applyProtection="1">
      <alignment vertical="center"/>
      <protection locked="0"/>
    </xf>
    <xf numFmtId="176" fontId="0" fillId="0" borderId="4" xfId="8" applyNumberFormat="1" applyFont="1" applyFill="1" applyBorder="1" applyProtection="1">
      <alignment vertical="center"/>
      <protection locked="0"/>
    </xf>
    <xf numFmtId="0" fontId="0" fillId="0" borderId="22" xfId="0" applyBorder="1">
      <alignment vertical="center"/>
    </xf>
    <xf numFmtId="176" fontId="0" fillId="0" borderId="7" xfId="8" applyNumberFormat="1" applyFont="1" applyFill="1" applyBorder="1" applyProtection="1">
      <alignment vertical="center"/>
      <protection locked="0"/>
    </xf>
    <xf numFmtId="0" fontId="0" fillId="0" borderId="5" xfId="0" applyFill="1" applyBorder="1">
      <alignment vertical="center"/>
    </xf>
    <xf numFmtId="176" fontId="0" fillId="0" borderId="0" xfId="0" applyNumberFormat="1" applyFill="1">
      <alignment vertical="center"/>
    </xf>
    <xf numFmtId="176" fontId="0" fillId="0" borderId="7" xfId="8" applyNumberFormat="1" applyFont="1" applyFill="1" applyBorder="1">
      <alignment vertical="center"/>
    </xf>
    <xf numFmtId="176" fontId="0" fillId="0" borderId="0" xfId="8" applyNumberFormat="1" applyFont="1" applyFill="1" applyBorder="1">
      <alignment vertical="center"/>
    </xf>
    <xf numFmtId="179" fontId="0" fillId="5" borderId="7" xfId="8" applyNumberFormat="1" applyFont="1" applyFill="1" applyBorder="1">
      <alignment vertical="center"/>
    </xf>
    <xf numFmtId="0" fontId="0" fillId="0" borderId="19" xfId="0" applyBorder="1">
      <alignment vertical="center"/>
    </xf>
    <xf numFmtId="0" fontId="0" fillId="0" borderId="23" xfId="0" applyBorder="1">
      <alignment vertical="center"/>
    </xf>
    <xf numFmtId="176" fontId="0" fillId="5" borderId="6" xfId="8" applyNumberFormat="1" applyFont="1" applyFill="1" applyBorder="1">
      <alignment vertical="center"/>
    </xf>
    <xf numFmtId="176" fontId="0" fillId="5" borderId="1" xfId="8" applyNumberFormat="1" applyFont="1" applyFill="1" applyBorder="1">
      <alignment vertical="center"/>
    </xf>
    <xf numFmtId="176" fontId="0" fillId="0" borderId="25" xfId="8" applyNumberFormat="1" applyFont="1" applyFill="1" applyBorder="1" applyProtection="1">
      <alignment vertical="center"/>
      <protection locked="0"/>
    </xf>
    <xf numFmtId="176" fontId="0" fillId="5" borderId="21" xfId="8" applyNumberFormat="1" applyFont="1" applyFill="1" applyBorder="1">
      <alignment vertical="center"/>
    </xf>
    <xf numFmtId="176" fontId="0" fillId="0" borderId="26" xfId="8" applyNumberFormat="1" applyFont="1" applyFill="1" applyBorder="1" applyProtection="1">
      <alignment vertical="center"/>
      <protection locked="0"/>
    </xf>
    <xf numFmtId="176" fontId="0" fillId="5" borderId="22" xfId="8" applyNumberFormat="1" applyFont="1" applyFill="1" applyBorder="1">
      <alignment vertical="center"/>
    </xf>
    <xf numFmtId="176" fontId="0" fillId="0" borderId="26" xfId="8" applyNumberFormat="1" applyFont="1" applyFill="1" applyBorder="1">
      <alignment vertical="center"/>
    </xf>
    <xf numFmtId="179" fontId="0" fillId="5" borderId="26" xfId="8" applyNumberFormat="1" applyFont="1" applyFill="1" applyBorder="1">
      <alignment vertical="center"/>
    </xf>
    <xf numFmtId="176" fontId="0" fillId="5" borderId="27" xfId="8" applyNumberFormat="1" applyFont="1" applyFill="1" applyBorder="1">
      <alignment vertical="center"/>
    </xf>
    <xf numFmtId="14" fontId="0" fillId="0" borderId="0" xfId="0" applyNumberFormat="1">
      <alignment vertical="center"/>
    </xf>
    <xf numFmtId="9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2">
    <dxf>
      <font>
        <color theme="0"/>
      </font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2.xml"/><Relationship Id="rId8" Type="http://schemas.openxmlformats.org/officeDocument/2006/relationships/customXml" Target="../customXml/item1.xml"/><Relationship Id="rId7" Type="http://schemas.openxmlformats.org/officeDocument/2006/relationships/connections" Target="connections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5" Type="http://schemas.openxmlformats.org/officeDocument/2006/relationships/sharedStrings" Target="sharedStrings.xml"/><Relationship Id="rId24" Type="http://schemas.openxmlformats.org/officeDocument/2006/relationships/styles" Target="styles.xml"/><Relationship Id="rId23" Type="http://schemas.openxmlformats.org/officeDocument/2006/relationships/theme" Target="theme/theme1.xml"/><Relationship Id="rId22" Type="http://schemas.openxmlformats.org/officeDocument/2006/relationships/externalLink" Target="externalLinks/externalLink1.xml"/><Relationship Id="rId21" Type="http://schemas.openxmlformats.org/officeDocument/2006/relationships/customXml" Target="../customXml/item14.xml"/><Relationship Id="rId20" Type="http://schemas.openxmlformats.org/officeDocument/2006/relationships/customXml" Target="../customXml/item13.xml"/><Relationship Id="rId2" Type="http://schemas.openxmlformats.org/officeDocument/2006/relationships/worksheet" Target="worksheets/sheet2.xml"/><Relationship Id="rId19" Type="http://schemas.openxmlformats.org/officeDocument/2006/relationships/customXml" Target="../customXml/item12.xml"/><Relationship Id="rId18" Type="http://schemas.openxmlformats.org/officeDocument/2006/relationships/customXml" Target="../customXml/item11.xml"/><Relationship Id="rId17" Type="http://schemas.openxmlformats.org/officeDocument/2006/relationships/customXml" Target="../customXml/item10.xml"/><Relationship Id="rId16" Type="http://schemas.openxmlformats.org/officeDocument/2006/relationships/customXml" Target="../customXml/item9.xml"/><Relationship Id="rId15" Type="http://schemas.openxmlformats.org/officeDocument/2006/relationships/customXml" Target="../customXml/item8.xml"/><Relationship Id="rId14" Type="http://schemas.openxmlformats.org/officeDocument/2006/relationships/customXml" Target="../customXml/item7.xml"/><Relationship Id="rId13" Type="http://schemas.openxmlformats.org/officeDocument/2006/relationships/customXml" Target="../customXml/item6.xml"/><Relationship Id="rId12" Type="http://schemas.openxmlformats.org/officeDocument/2006/relationships/customXml" Target="../customXml/item5.xml"/><Relationship Id="rId11" Type="http://schemas.openxmlformats.org/officeDocument/2006/relationships/customXml" Target="../customXml/item4.xml"/><Relationship Id="rId10" Type="http://schemas.openxmlformats.org/officeDocument/2006/relationships/customXml" Target="../customXml/item3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BaiduNetdiskWorkspace\OTR-BE&#39044;&#31639;&#24037;&#20855;&#28165;&#21333;\&#39044;&#31639;&#34920;&#26684;&#20307;&#31995;\&#39044;&#31639;&#36130;&#21153;&#19977;&#22823;&#34920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主页"/>
      <sheetName val=" 利润表"/>
      <sheetName val="销售收入及收现"/>
      <sheetName val="销售成本"/>
      <sheetName val="销售差异分析底稿"/>
      <sheetName val="生产、采购成本及付现"/>
      <sheetName val="税金"/>
      <sheetName val="资产"/>
      <sheetName val="现金流"/>
    </sheetNames>
    <sheetDataSet>
      <sheetData sheetId="0">
        <row r="5">
          <cell r="D5">
            <v>44469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4:D6"/>
  <sheetViews>
    <sheetView workbookViewId="0">
      <selection activeCell="C16" sqref="C16"/>
    </sheetView>
  </sheetViews>
  <sheetFormatPr defaultColWidth="9" defaultRowHeight="14.25" outlineLevelRow="5" outlineLevelCol="3"/>
  <cols>
    <col min="3" max="3" width="24.8833333333333" customWidth="1"/>
    <col min="4" max="4" width="11.6666666666667" customWidth="1"/>
  </cols>
  <sheetData>
    <row r="4" ht="16.2" customHeight="1"/>
    <row r="5" ht="24.6" customHeight="1" spans="3:4">
      <c r="C5" t="s">
        <v>0</v>
      </c>
      <c r="D5" s="86">
        <v>44500</v>
      </c>
    </row>
    <row r="6" ht="24.6" customHeight="1" spans="3:4">
      <c r="C6" t="s">
        <v>1</v>
      </c>
      <c r="D6" s="87">
        <v>0.12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S20"/>
  <sheetViews>
    <sheetView showGridLines="0" topLeftCell="C1" workbookViewId="0">
      <pane xSplit="3" ySplit="3" topLeftCell="F4" activePane="bottomRight" state="frozen"/>
      <selection/>
      <selection pane="topRight"/>
      <selection pane="bottomLeft"/>
      <selection pane="bottomRight" activeCell="L23" sqref="L23"/>
    </sheetView>
  </sheetViews>
  <sheetFormatPr defaultColWidth="9" defaultRowHeight="14.25"/>
  <cols>
    <col min="2" max="2" width="3" customWidth="1"/>
    <col min="3" max="3" width="18.3333333333333" customWidth="1"/>
    <col min="4" max="4" width="4.55833333333333" customWidth="1"/>
    <col min="5" max="5" width="7.10833333333333" customWidth="1"/>
    <col min="6" max="17" width="8.10833333333333" customWidth="1"/>
    <col min="18" max="18" width="9.10833333333333" customWidth="1"/>
    <col min="19" max="19" width="7.10833333333333" customWidth="1"/>
  </cols>
  <sheetData>
    <row r="3" spans="2:19">
      <c r="B3" s="32" t="s">
        <v>2</v>
      </c>
      <c r="C3" s="33"/>
      <c r="E3" t="s">
        <v>3</v>
      </c>
      <c r="F3" s="34">
        <v>1</v>
      </c>
      <c r="G3" s="34">
        <v>2</v>
      </c>
      <c r="H3" s="34">
        <v>3</v>
      </c>
      <c r="I3" s="34">
        <v>4</v>
      </c>
      <c r="J3" s="34">
        <v>5</v>
      </c>
      <c r="K3" s="34">
        <v>6</v>
      </c>
      <c r="L3" s="34">
        <v>7</v>
      </c>
      <c r="M3" s="34">
        <v>8</v>
      </c>
      <c r="N3" s="34">
        <v>9</v>
      </c>
      <c r="O3" s="34">
        <v>10</v>
      </c>
      <c r="P3" s="34">
        <v>11</v>
      </c>
      <c r="Q3" s="34">
        <v>12</v>
      </c>
      <c r="R3" s="53" t="s">
        <v>4</v>
      </c>
      <c r="S3" s="53" t="s">
        <v>5</v>
      </c>
    </row>
    <row r="4" spans="2:5">
      <c r="B4" t="s">
        <v>6</v>
      </c>
      <c r="D4" s="35">
        <f>主页!D6</f>
        <v>0.12</v>
      </c>
      <c r="E4" s="35"/>
    </row>
    <row r="5" ht="15.75" spans="2:17">
      <c r="B5" s="36" t="str">
        <f>"实际"&amp;YEAR(主页!$D$5)-1</f>
        <v>实际2020</v>
      </c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</row>
    <row r="6" ht="15.75" spans="2:19">
      <c r="B6" s="1"/>
      <c r="C6" s="38" t="s">
        <v>7</v>
      </c>
      <c r="F6" s="39">
        <v>10500</v>
      </c>
      <c r="G6" s="40">
        <v>9951</v>
      </c>
      <c r="H6" s="40">
        <v>10992</v>
      </c>
      <c r="I6" s="40">
        <v>9258</v>
      </c>
      <c r="J6" s="40">
        <v>11543</v>
      </c>
      <c r="K6" s="40">
        <v>9596</v>
      </c>
      <c r="L6" s="40">
        <v>10915</v>
      </c>
      <c r="M6" s="40">
        <v>9398</v>
      </c>
      <c r="N6" s="40">
        <v>10897</v>
      </c>
      <c r="O6" s="40">
        <v>10852</v>
      </c>
      <c r="P6" s="40">
        <v>9949</v>
      </c>
      <c r="Q6" s="54">
        <v>11467</v>
      </c>
      <c r="R6" s="55">
        <f>SUM(F6:Q6)</f>
        <v>125318</v>
      </c>
      <c r="S6" s="55" t="s">
        <v>8</v>
      </c>
    </row>
    <row r="7" ht="15.75" spans="2:19">
      <c r="B7" s="1"/>
      <c r="C7" s="41" t="s">
        <v>9</v>
      </c>
      <c r="E7" s="42">
        <v>3245</v>
      </c>
      <c r="F7" s="43">
        <v>3555</v>
      </c>
      <c r="G7" s="44">
        <v>3316</v>
      </c>
      <c r="H7" s="44">
        <v>4731</v>
      </c>
      <c r="I7" s="44">
        <v>4879</v>
      </c>
      <c r="J7" s="44">
        <v>3812</v>
      </c>
      <c r="K7" s="44">
        <v>4692</v>
      </c>
      <c r="L7" s="44">
        <v>3457</v>
      </c>
      <c r="M7" s="44">
        <v>3826</v>
      </c>
      <c r="N7" s="44">
        <v>3162</v>
      </c>
      <c r="O7" s="44">
        <v>3840</v>
      </c>
      <c r="P7" s="44">
        <v>4434</v>
      </c>
      <c r="Q7" s="56">
        <v>3593</v>
      </c>
      <c r="R7" s="57" t="s">
        <v>8</v>
      </c>
      <c r="S7" s="57">
        <f>SUM(E7/2,F7:P7,Q7/2)/12</f>
        <v>3926.91666666667</v>
      </c>
    </row>
    <row r="8" ht="15.75" spans="2:19">
      <c r="B8" s="1"/>
      <c r="C8" s="41" t="s">
        <v>10</v>
      </c>
      <c r="F8" s="45">
        <f>30/(F6/((E7+F7)/2))</f>
        <v>9.71428571428571</v>
      </c>
      <c r="G8" s="46">
        <f t="shared" ref="G8:Q8" si="0">30/(G6/((F7+G7)/2))</f>
        <v>10.3572505275852</v>
      </c>
      <c r="H8" s="46">
        <f t="shared" si="0"/>
        <v>10.9811681222707</v>
      </c>
      <c r="I8" s="46">
        <f t="shared" si="0"/>
        <v>15.5703175631886</v>
      </c>
      <c r="J8" s="46">
        <f t="shared" si="0"/>
        <v>11.2938577492853</v>
      </c>
      <c r="K8" s="46">
        <f t="shared" si="0"/>
        <v>13.2930387661526</v>
      </c>
      <c r="L8" s="46">
        <f t="shared" si="0"/>
        <v>11.19880897847</v>
      </c>
      <c r="M8" s="46">
        <f t="shared" si="0"/>
        <v>11.624281762077</v>
      </c>
      <c r="N8" s="46">
        <f t="shared" si="0"/>
        <v>9.61916123703772</v>
      </c>
      <c r="O8" s="46">
        <f t="shared" si="0"/>
        <v>9.67840029487652</v>
      </c>
      <c r="P8" s="46">
        <f t="shared" si="0"/>
        <v>12.4746205648809</v>
      </c>
      <c r="Q8" s="58">
        <f t="shared" si="0"/>
        <v>10.5001308101509</v>
      </c>
      <c r="R8" s="57" t="s">
        <v>8</v>
      </c>
      <c r="S8" s="59">
        <f>360/(R6/S7)</f>
        <v>11.2808215898754</v>
      </c>
    </row>
    <row r="9" ht="15.75" spans="2:19">
      <c r="B9" s="1"/>
      <c r="C9" s="47" t="s">
        <v>11</v>
      </c>
      <c r="F9" s="48">
        <f t="shared" ref="F9:Q9" si="1">F7*$D$4/12</f>
        <v>35.55</v>
      </c>
      <c r="G9" s="49">
        <f t="shared" si="1"/>
        <v>33.16</v>
      </c>
      <c r="H9" s="49">
        <f t="shared" si="1"/>
        <v>47.31</v>
      </c>
      <c r="I9" s="49">
        <f t="shared" si="1"/>
        <v>48.79</v>
      </c>
      <c r="J9" s="49">
        <f t="shared" si="1"/>
        <v>38.12</v>
      </c>
      <c r="K9" s="49">
        <f t="shared" si="1"/>
        <v>46.92</v>
      </c>
      <c r="L9" s="49">
        <f t="shared" si="1"/>
        <v>34.57</v>
      </c>
      <c r="M9" s="49">
        <f t="shared" si="1"/>
        <v>38.26</v>
      </c>
      <c r="N9" s="49">
        <f t="shared" si="1"/>
        <v>31.62</v>
      </c>
      <c r="O9" s="49">
        <f t="shared" si="1"/>
        <v>38.4</v>
      </c>
      <c r="P9" s="49">
        <f t="shared" si="1"/>
        <v>44.34</v>
      </c>
      <c r="Q9" s="60">
        <f t="shared" si="1"/>
        <v>35.93</v>
      </c>
      <c r="R9" s="61">
        <f>SUM(F9:Q9)</f>
        <v>472.97</v>
      </c>
      <c r="S9" s="61" t="s">
        <v>8</v>
      </c>
    </row>
    <row r="10" ht="15.75" spans="2:18">
      <c r="B10" s="36" t="str">
        <f>"实际/估计"&amp;YEAR(主页!$D$5)</f>
        <v>实际/估计2021</v>
      </c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42"/>
    </row>
    <row r="11" ht="15.75" spans="2:19">
      <c r="B11" s="1"/>
      <c r="C11" s="38" t="s">
        <v>7</v>
      </c>
      <c r="F11" s="39">
        <v>11431</v>
      </c>
      <c r="G11" s="40">
        <v>11189</v>
      </c>
      <c r="H11" s="40">
        <v>9600</v>
      </c>
      <c r="I11" s="40">
        <v>9170</v>
      </c>
      <c r="J11" s="40">
        <v>9511</v>
      </c>
      <c r="K11" s="40">
        <v>9859</v>
      </c>
      <c r="L11" s="40">
        <v>10711</v>
      </c>
      <c r="M11" s="40">
        <v>10947</v>
      </c>
      <c r="N11" s="40">
        <v>11380</v>
      </c>
      <c r="O11" s="40">
        <v>10767</v>
      </c>
      <c r="P11" s="40">
        <v>10626</v>
      </c>
      <c r="Q11" s="54">
        <v>10659</v>
      </c>
      <c r="R11" s="55">
        <f>SUM(F11:Q11)</f>
        <v>125850</v>
      </c>
      <c r="S11" s="55" t="s">
        <v>8</v>
      </c>
    </row>
    <row r="12" ht="15.75" spans="2:19">
      <c r="B12" s="1"/>
      <c r="C12" s="41" t="s">
        <v>9</v>
      </c>
      <c r="E12" s="51">
        <f>Q7</f>
        <v>3593</v>
      </c>
      <c r="F12" s="43">
        <v>4468</v>
      </c>
      <c r="G12" s="44">
        <v>4705</v>
      </c>
      <c r="H12" s="44">
        <v>3458</v>
      </c>
      <c r="I12" s="44">
        <v>4517</v>
      </c>
      <c r="J12" s="44">
        <v>4420</v>
      </c>
      <c r="K12" s="44">
        <v>4495</v>
      </c>
      <c r="L12" s="44">
        <v>3256</v>
      </c>
      <c r="M12" s="44">
        <v>3173</v>
      </c>
      <c r="N12" s="44">
        <v>3195</v>
      </c>
      <c r="O12" s="44">
        <v>3850</v>
      </c>
      <c r="P12" s="44">
        <v>3664</v>
      </c>
      <c r="Q12" s="56">
        <v>3064</v>
      </c>
      <c r="R12" s="57" t="s">
        <v>8</v>
      </c>
      <c r="S12" s="57">
        <f>SUM(E12/2,F12:P12,Q12/2)/12</f>
        <v>3877.45833333333</v>
      </c>
    </row>
    <row r="13" ht="15.75" spans="2:19">
      <c r="B13" s="1"/>
      <c r="C13" s="41" t="s">
        <v>10</v>
      </c>
      <c r="F13" s="45">
        <f>30/(F11/((E12+F12)/2))</f>
        <v>10.5778147143732</v>
      </c>
      <c r="G13" s="46">
        <f t="shared" ref="G13" si="2">30/(G11/((F12+G12)/2))</f>
        <v>12.2973456072929</v>
      </c>
      <c r="H13" s="46">
        <f t="shared" ref="H13" si="3">30/(H11/((G12+H12)/2))</f>
        <v>12.7546875</v>
      </c>
      <c r="I13" s="46">
        <f t="shared" ref="I13" si="4">30/(I11/((H12+I12)/2))</f>
        <v>13.0452562704471</v>
      </c>
      <c r="J13" s="46">
        <f t="shared" ref="J13" si="5">30/(J11/((I12+J12)/2))</f>
        <v>14.0947324150983</v>
      </c>
      <c r="K13" s="46">
        <f t="shared" ref="K13" si="6">30/(K11/((J12+K12)/2))</f>
        <v>13.5637488589106</v>
      </c>
      <c r="L13" s="46">
        <f t="shared" ref="L13" si="7">30/(L11/((K12+L12)/2))</f>
        <v>10.8547287834936</v>
      </c>
      <c r="M13" s="46">
        <f t="shared" ref="M13" si="8">30/(M11/((L12+M12)/2))</f>
        <v>8.80926281172924</v>
      </c>
      <c r="N13" s="46">
        <f t="shared" ref="N13" si="9">30/(N11/((M12+N12)/2))</f>
        <v>8.39367311072056</v>
      </c>
      <c r="O13" s="46">
        <f t="shared" ref="O13" si="10">30/(O11/((N12+O12)/2))</f>
        <v>9.81471161883533</v>
      </c>
      <c r="P13" s="46">
        <f t="shared" ref="P13" si="11">30/(P11/((O12+P12)/2))</f>
        <v>10.6070016939582</v>
      </c>
      <c r="Q13" s="58">
        <f t="shared" ref="Q13" si="12">30/(Q11/((P12+Q12)/2))</f>
        <v>9.46805516464959</v>
      </c>
      <c r="R13" s="57" t="s">
        <v>8</v>
      </c>
      <c r="S13" s="59">
        <f>360/(R11/S12)</f>
        <v>11.0916567342074</v>
      </c>
    </row>
    <row r="14" ht="15.75" spans="2:19">
      <c r="B14" s="1"/>
      <c r="C14" s="47" t="s">
        <v>11</v>
      </c>
      <c r="F14" s="48">
        <f t="shared" ref="F14:Q14" si="13">F12*$D$4/12</f>
        <v>44.68</v>
      </c>
      <c r="G14" s="49">
        <f t="shared" si="13"/>
        <v>47.05</v>
      </c>
      <c r="H14" s="49">
        <f t="shared" si="13"/>
        <v>34.58</v>
      </c>
      <c r="I14" s="49">
        <f t="shared" si="13"/>
        <v>45.17</v>
      </c>
      <c r="J14" s="49">
        <f t="shared" si="13"/>
        <v>44.2</v>
      </c>
      <c r="K14" s="49">
        <f t="shared" si="13"/>
        <v>44.95</v>
      </c>
      <c r="L14" s="49">
        <f t="shared" si="13"/>
        <v>32.56</v>
      </c>
      <c r="M14" s="49">
        <f t="shared" si="13"/>
        <v>31.73</v>
      </c>
      <c r="N14" s="49">
        <f t="shared" si="13"/>
        <v>31.95</v>
      </c>
      <c r="O14" s="49">
        <f t="shared" si="13"/>
        <v>38.5</v>
      </c>
      <c r="P14" s="49">
        <f t="shared" si="13"/>
        <v>36.64</v>
      </c>
      <c r="Q14" s="60">
        <f t="shared" si="13"/>
        <v>30.64</v>
      </c>
      <c r="R14" s="61">
        <f>SUM(F14:Q14)</f>
        <v>462.65</v>
      </c>
      <c r="S14" s="61" t="s">
        <v>8</v>
      </c>
    </row>
    <row r="15" ht="15.75" spans="2:17">
      <c r="B15" s="36" t="str">
        <f>"预算"&amp;YEAR(主页!$D$5)+1</f>
        <v>预算2022</v>
      </c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</row>
    <row r="16" ht="15.75" spans="2:19">
      <c r="B16" s="1"/>
      <c r="C16" s="38" t="s">
        <v>7</v>
      </c>
      <c r="F16" s="39">
        <v>9587</v>
      </c>
      <c r="G16" s="40">
        <v>9159</v>
      </c>
      <c r="H16" s="40">
        <v>11151</v>
      </c>
      <c r="I16" s="40">
        <v>10011</v>
      </c>
      <c r="J16" s="40">
        <v>9173</v>
      </c>
      <c r="K16" s="40">
        <v>11043</v>
      </c>
      <c r="L16" s="40">
        <v>10383</v>
      </c>
      <c r="M16" s="40">
        <v>10690</v>
      </c>
      <c r="N16" s="40">
        <v>10971</v>
      </c>
      <c r="O16" s="40">
        <v>9647</v>
      </c>
      <c r="P16" s="40">
        <v>9719</v>
      </c>
      <c r="Q16" s="54">
        <v>11466</v>
      </c>
      <c r="R16" s="55">
        <f>SUM(F16:Q16)</f>
        <v>123000</v>
      </c>
      <c r="S16" s="55" t="s">
        <v>8</v>
      </c>
    </row>
    <row r="17" ht="15.75" spans="2:19">
      <c r="B17" s="1"/>
      <c r="C17" s="41" t="s">
        <v>9</v>
      </c>
      <c r="E17" s="51">
        <f>Q12</f>
        <v>3064</v>
      </c>
      <c r="F17" s="43">
        <v>4920</v>
      </c>
      <c r="G17" s="44">
        <v>4490</v>
      </c>
      <c r="H17" s="44">
        <v>3134</v>
      </c>
      <c r="I17" s="44">
        <v>3071</v>
      </c>
      <c r="J17" s="44">
        <v>3481</v>
      </c>
      <c r="K17" s="44">
        <v>3157</v>
      </c>
      <c r="L17" s="44">
        <v>4155</v>
      </c>
      <c r="M17" s="44">
        <v>3067</v>
      </c>
      <c r="N17" s="44">
        <v>3756</v>
      </c>
      <c r="O17" s="44">
        <v>4804</v>
      </c>
      <c r="P17" s="44">
        <v>4221</v>
      </c>
      <c r="Q17" s="56">
        <v>4599</v>
      </c>
      <c r="R17" s="57" t="s">
        <v>8</v>
      </c>
      <c r="S17" s="57">
        <f>SUM(E17/2,F17:P17,Q17/2)/12</f>
        <v>3840.625</v>
      </c>
    </row>
    <row r="18" spans="3:19">
      <c r="C18" s="41" t="s">
        <v>10</v>
      </c>
      <c r="F18" s="45">
        <f>30/(F16/((E17+F17)/2))</f>
        <v>12.4919161364348</v>
      </c>
      <c r="G18" s="46">
        <f t="shared" ref="G18" si="14">30/(G16/((F17+G17)/2))</f>
        <v>15.4110710776286</v>
      </c>
      <c r="H18" s="46">
        <f t="shared" ref="H18" si="15">30/(H16/((G17+H17)/2))</f>
        <v>10.2555824589723</v>
      </c>
      <c r="I18" s="46">
        <f t="shared" ref="I18" si="16">30/(I16/((H17+I17)/2))</f>
        <v>9.29727299970033</v>
      </c>
      <c r="J18" s="46">
        <f t="shared" ref="J18" si="17">30/(J16/((I17+J17)/2))</f>
        <v>10.7140521094517</v>
      </c>
      <c r="K18" s="46">
        <f t="shared" ref="K18" si="18">30/(K16/((J17+K17)/2))</f>
        <v>9.01657158380875</v>
      </c>
      <c r="L18" s="46">
        <f t="shared" ref="L18" si="19">30/(L16/((K17+L17)/2))</f>
        <v>10.5634209765964</v>
      </c>
      <c r="M18" s="46">
        <f t="shared" ref="M18" si="20">30/(M16/((L17+M17)/2))</f>
        <v>10.133769878391</v>
      </c>
      <c r="N18" s="46">
        <f t="shared" ref="N18" si="21">30/(N16/((M17+N17)/2))</f>
        <v>9.32868471424665</v>
      </c>
      <c r="O18" s="46">
        <f t="shared" ref="O18" si="22">30/(O16/((N17+O17)/2))</f>
        <v>13.3098372551052</v>
      </c>
      <c r="P18" s="46">
        <f t="shared" ref="P18" si="23">30/(P16/((O17+P17)/2))</f>
        <v>13.928902150427</v>
      </c>
      <c r="Q18" s="58">
        <f t="shared" ref="Q18" si="24">30/(Q16/((P17+Q17)/2))</f>
        <v>11.5384615384615</v>
      </c>
      <c r="R18" s="57" t="s">
        <v>8</v>
      </c>
      <c r="S18" s="59">
        <f>360/(R16/S17)</f>
        <v>11.2408536585366</v>
      </c>
    </row>
    <row r="19" spans="3:19">
      <c r="C19" s="47" t="s">
        <v>11</v>
      </c>
      <c r="F19" s="48">
        <f t="shared" ref="F19:Q19" si="25">F17*$D$4/12</f>
        <v>49.2</v>
      </c>
      <c r="G19" s="49">
        <f t="shared" si="25"/>
        <v>44.9</v>
      </c>
      <c r="H19" s="49">
        <f t="shared" si="25"/>
        <v>31.34</v>
      </c>
      <c r="I19" s="49">
        <f t="shared" si="25"/>
        <v>30.71</v>
      </c>
      <c r="J19" s="49">
        <f t="shared" si="25"/>
        <v>34.81</v>
      </c>
      <c r="K19" s="49">
        <f t="shared" si="25"/>
        <v>31.57</v>
      </c>
      <c r="L19" s="49">
        <f t="shared" si="25"/>
        <v>41.55</v>
      </c>
      <c r="M19" s="49">
        <f t="shared" si="25"/>
        <v>30.67</v>
      </c>
      <c r="N19" s="49">
        <f t="shared" si="25"/>
        <v>37.56</v>
      </c>
      <c r="O19" s="49">
        <f t="shared" si="25"/>
        <v>48.04</v>
      </c>
      <c r="P19" s="49">
        <f t="shared" si="25"/>
        <v>42.21</v>
      </c>
      <c r="Q19" s="60">
        <f t="shared" si="25"/>
        <v>45.99</v>
      </c>
      <c r="R19" s="61">
        <f>SUM(F19:Q19)</f>
        <v>468.55</v>
      </c>
      <c r="S19" s="61" t="s">
        <v>8</v>
      </c>
    </row>
    <row r="20" spans="6:17"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S20"/>
  <sheetViews>
    <sheetView showGridLines="0" workbookViewId="0">
      <pane xSplit="5" ySplit="3" topLeftCell="F4" activePane="bottomRight" state="frozen"/>
      <selection/>
      <selection pane="topRight"/>
      <selection pane="bottomLeft"/>
      <selection pane="bottomRight" activeCell="H22" sqref="H22"/>
    </sheetView>
  </sheetViews>
  <sheetFormatPr defaultColWidth="9" defaultRowHeight="14.25"/>
  <cols>
    <col min="2" max="2" width="3" customWidth="1"/>
    <col min="3" max="3" width="22.6666666666667" customWidth="1"/>
    <col min="4" max="4" width="4.55833333333333" customWidth="1"/>
    <col min="5" max="5" width="9.55833333333333" customWidth="1"/>
    <col min="6" max="17" width="8.10833333333333" customWidth="1"/>
    <col min="18" max="18" width="9.10833333333333" customWidth="1"/>
    <col min="19" max="19" width="7.10833333333333" customWidth="1"/>
  </cols>
  <sheetData>
    <row r="3" spans="2:19">
      <c r="B3" s="32" t="s">
        <v>2</v>
      </c>
      <c r="C3" s="33"/>
      <c r="E3" t="s">
        <v>3</v>
      </c>
      <c r="F3" s="34">
        <v>1</v>
      </c>
      <c r="G3" s="34">
        <v>2</v>
      </c>
      <c r="H3" s="34">
        <v>3</v>
      </c>
      <c r="I3" s="34">
        <v>4</v>
      </c>
      <c r="J3" s="34">
        <v>5</v>
      </c>
      <c r="K3" s="34">
        <v>6</v>
      </c>
      <c r="L3" s="34">
        <v>7</v>
      </c>
      <c r="M3" s="34">
        <v>8</v>
      </c>
      <c r="N3" s="34">
        <v>9</v>
      </c>
      <c r="O3" s="34">
        <v>10</v>
      </c>
      <c r="P3" s="34">
        <v>11</v>
      </c>
      <c r="Q3" s="34">
        <v>12</v>
      </c>
      <c r="R3" s="53" t="s">
        <v>4</v>
      </c>
      <c r="S3" s="53" t="s">
        <v>5</v>
      </c>
    </row>
    <row r="4" spans="2:5">
      <c r="B4" t="s">
        <v>6</v>
      </c>
      <c r="D4" s="35">
        <f>主页!D6</f>
        <v>0.12</v>
      </c>
      <c r="E4" s="35"/>
    </row>
    <row r="5" ht="15.75" spans="2:17">
      <c r="B5" s="36" t="str">
        <f>"实际"&amp;YEAR(主页!$D$5)-1</f>
        <v>实际2020</v>
      </c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</row>
    <row r="6" ht="15.75" spans="2:19">
      <c r="B6" s="1"/>
      <c r="C6" s="38" t="s">
        <v>12</v>
      </c>
      <c r="F6" s="39">
        <v>6300</v>
      </c>
      <c r="G6" s="40">
        <v>5970.6</v>
      </c>
      <c r="H6" s="40">
        <v>6595.2</v>
      </c>
      <c r="I6" s="40">
        <v>5554.8</v>
      </c>
      <c r="J6" s="40">
        <v>6925.8</v>
      </c>
      <c r="K6" s="40">
        <v>5757.6</v>
      </c>
      <c r="L6" s="40">
        <v>6549</v>
      </c>
      <c r="M6" s="40">
        <v>5638.8</v>
      </c>
      <c r="N6" s="40">
        <v>6538.2</v>
      </c>
      <c r="O6" s="40">
        <v>6511.2</v>
      </c>
      <c r="P6" s="40">
        <v>5969.4</v>
      </c>
      <c r="Q6" s="54">
        <v>6880.2</v>
      </c>
      <c r="R6" s="55">
        <f>SUM(F6:Q6)</f>
        <v>75190.8</v>
      </c>
      <c r="S6" s="55" t="s">
        <v>8</v>
      </c>
    </row>
    <row r="7" ht="15.75" spans="2:19">
      <c r="B7" s="1"/>
      <c r="C7" s="41" t="s">
        <v>13</v>
      </c>
      <c r="E7" s="42">
        <v>2044</v>
      </c>
      <c r="F7" s="43">
        <v>2133</v>
      </c>
      <c r="G7" s="44">
        <v>1989.6</v>
      </c>
      <c r="H7" s="44">
        <v>2838.6</v>
      </c>
      <c r="I7" s="44">
        <v>2927.4</v>
      </c>
      <c r="J7" s="44">
        <v>2287.2</v>
      </c>
      <c r="K7" s="44">
        <v>2815.2</v>
      </c>
      <c r="L7" s="44">
        <v>2074.2</v>
      </c>
      <c r="M7" s="44">
        <v>2295.6</v>
      </c>
      <c r="N7" s="44">
        <v>1897.2</v>
      </c>
      <c r="O7" s="44">
        <v>2304</v>
      </c>
      <c r="P7" s="44">
        <v>2660.4</v>
      </c>
      <c r="Q7" s="56">
        <v>2155.8</v>
      </c>
      <c r="R7" s="57" t="s">
        <v>8</v>
      </c>
      <c r="S7" s="57">
        <f>SUM(E7/2,F7:P7,Q7/2)/12</f>
        <v>2360.19166666667</v>
      </c>
    </row>
    <row r="8" ht="15.75" spans="2:19">
      <c r="B8" s="1"/>
      <c r="C8" s="41" t="s">
        <v>14</v>
      </c>
      <c r="F8" s="45">
        <f>30/(F6/((E7+F7)/2))</f>
        <v>9.94523809523809</v>
      </c>
      <c r="G8" s="46">
        <f t="shared" ref="G8:Q8" si="0">30/(G6/((F7+G7)/2))</f>
        <v>10.3572505275852</v>
      </c>
      <c r="H8" s="46">
        <f t="shared" si="0"/>
        <v>10.9811681222707</v>
      </c>
      <c r="I8" s="46">
        <f t="shared" si="0"/>
        <v>15.5703175631886</v>
      </c>
      <c r="J8" s="46">
        <f t="shared" si="0"/>
        <v>11.2938577492853</v>
      </c>
      <c r="K8" s="46">
        <f t="shared" si="0"/>
        <v>13.2930387661526</v>
      </c>
      <c r="L8" s="46">
        <f t="shared" si="0"/>
        <v>11.19880897847</v>
      </c>
      <c r="M8" s="46">
        <f t="shared" si="0"/>
        <v>11.624281762077</v>
      </c>
      <c r="N8" s="46">
        <f t="shared" si="0"/>
        <v>9.61916123703772</v>
      </c>
      <c r="O8" s="46">
        <f t="shared" si="0"/>
        <v>9.67840029487652</v>
      </c>
      <c r="P8" s="46">
        <f t="shared" si="0"/>
        <v>12.4746205648809</v>
      </c>
      <c r="Q8" s="58">
        <f t="shared" si="0"/>
        <v>10.5001308101509</v>
      </c>
      <c r="R8" s="57" t="s">
        <v>8</v>
      </c>
      <c r="S8" s="59">
        <f>360/(R6/S7)</f>
        <v>11.3001723615123</v>
      </c>
    </row>
    <row r="9" ht="15.75" spans="2:19">
      <c r="B9" s="1"/>
      <c r="C9" s="47" t="s">
        <v>15</v>
      </c>
      <c r="F9" s="48">
        <f t="shared" ref="F9:Q9" si="1">F7*$D$4/12</f>
        <v>21.33</v>
      </c>
      <c r="G9" s="49">
        <f t="shared" si="1"/>
        <v>19.896</v>
      </c>
      <c r="H9" s="49">
        <f t="shared" si="1"/>
        <v>28.386</v>
      </c>
      <c r="I9" s="49">
        <f t="shared" si="1"/>
        <v>29.274</v>
      </c>
      <c r="J9" s="49">
        <f t="shared" si="1"/>
        <v>22.872</v>
      </c>
      <c r="K9" s="49">
        <f t="shared" si="1"/>
        <v>28.152</v>
      </c>
      <c r="L9" s="49">
        <f t="shared" si="1"/>
        <v>20.742</v>
      </c>
      <c r="M9" s="49">
        <f t="shared" si="1"/>
        <v>22.956</v>
      </c>
      <c r="N9" s="49">
        <f t="shared" si="1"/>
        <v>18.972</v>
      </c>
      <c r="O9" s="49">
        <f t="shared" si="1"/>
        <v>23.04</v>
      </c>
      <c r="P9" s="49">
        <f t="shared" si="1"/>
        <v>26.604</v>
      </c>
      <c r="Q9" s="60">
        <f t="shared" si="1"/>
        <v>21.558</v>
      </c>
      <c r="R9" s="61">
        <f>SUM(F9:Q9)</f>
        <v>283.782</v>
      </c>
      <c r="S9" s="61" t="s">
        <v>8</v>
      </c>
    </row>
    <row r="10" ht="15.75" spans="2:18">
      <c r="B10" s="36" t="str">
        <f>"实际/估计"&amp;YEAR(主页!$D$5)</f>
        <v>实际/估计2021</v>
      </c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42"/>
    </row>
    <row r="11" ht="15.75" spans="2:19">
      <c r="B11" s="1"/>
      <c r="C11" s="38" t="s">
        <v>12</v>
      </c>
      <c r="F11" s="39">
        <v>6858.6</v>
      </c>
      <c r="G11" s="40">
        <v>6713.4</v>
      </c>
      <c r="H11" s="40">
        <v>5760</v>
      </c>
      <c r="I11" s="40">
        <v>5502</v>
      </c>
      <c r="J11" s="40">
        <v>5706.6</v>
      </c>
      <c r="K11" s="40">
        <v>5915.4</v>
      </c>
      <c r="L11" s="40">
        <v>6426.6</v>
      </c>
      <c r="M11" s="40">
        <v>6568.2</v>
      </c>
      <c r="N11" s="40">
        <v>6828</v>
      </c>
      <c r="O11" s="40">
        <v>6460.2</v>
      </c>
      <c r="P11" s="40">
        <v>6375.6</v>
      </c>
      <c r="Q11" s="54">
        <v>6395.4</v>
      </c>
      <c r="R11" s="55">
        <f>SUM(F11:Q11)</f>
        <v>75510</v>
      </c>
      <c r="S11" s="55" t="s">
        <v>8</v>
      </c>
    </row>
    <row r="12" ht="15.75" spans="2:19">
      <c r="B12" s="1"/>
      <c r="C12" s="41" t="s">
        <v>13</v>
      </c>
      <c r="E12" s="51">
        <f>Q7</f>
        <v>2155.8</v>
      </c>
      <c r="F12" s="43">
        <v>2680.8</v>
      </c>
      <c r="G12" s="44">
        <v>2823</v>
      </c>
      <c r="H12" s="44">
        <v>2074.8</v>
      </c>
      <c r="I12" s="44">
        <v>2710.2</v>
      </c>
      <c r="J12" s="44">
        <v>2652</v>
      </c>
      <c r="K12" s="44">
        <v>2697</v>
      </c>
      <c r="L12" s="44">
        <v>1953.6</v>
      </c>
      <c r="M12" s="44">
        <v>1903.8</v>
      </c>
      <c r="N12" s="44">
        <v>1917</v>
      </c>
      <c r="O12" s="44">
        <v>2310</v>
      </c>
      <c r="P12" s="44">
        <v>2198.4</v>
      </c>
      <c r="Q12" s="56">
        <v>1838.4</v>
      </c>
      <c r="R12" s="57" t="s">
        <v>8</v>
      </c>
      <c r="S12" s="57">
        <f>SUM(E12/2,F12:P12,Q12/2)/12</f>
        <v>2326.475</v>
      </c>
    </row>
    <row r="13" ht="15.75" spans="2:19">
      <c r="B13" s="1"/>
      <c r="C13" s="41" t="s">
        <v>14</v>
      </c>
      <c r="F13" s="45">
        <f>30/(F11/((E12+F12)/2))</f>
        <v>10.5778147143732</v>
      </c>
      <c r="G13" s="46">
        <f t="shared" ref="G13" si="2">30/(G11/((F12+G12)/2))</f>
        <v>12.2973456072929</v>
      </c>
      <c r="H13" s="46">
        <f t="shared" ref="H13" si="3">30/(H11/((G12+H12)/2))</f>
        <v>12.7546875</v>
      </c>
      <c r="I13" s="46">
        <f t="shared" ref="I13" si="4">30/(I11/((H12+I12)/2))</f>
        <v>13.0452562704471</v>
      </c>
      <c r="J13" s="46">
        <f t="shared" ref="J13" si="5">30/(J11/((I12+J12)/2))</f>
        <v>14.0947324150983</v>
      </c>
      <c r="K13" s="46">
        <f t="shared" ref="K13" si="6">30/(K11/((J12+K12)/2))</f>
        <v>13.5637488589106</v>
      </c>
      <c r="L13" s="46">
        <f t="shared" ref="L13" si="7">30/(L11/((K12+L12)/2))</f>
        <v>10.8547287834936</v>
      </c>
      <c r="M13" s="46">
        <f t="shared" ref="M13" si="8">30/(M11/((L12+M12)/2))</f>
        <v>8.80926281172924</v>
      </c>
      <c r="N13" s="46">
        <f t="shared" ref="N13" si="9">30/(N11/((M12+N12)/2))</f>
        <v>8.39367311072056</v>
      </c>
      <c r="O13" s="46">
        <f t="shared" ref="O13" si="10">30/(O11/((N12+O12)/2))</f>
        <v>9.81471161883533</v>
      </c>
      <c r="P13" s="46">
        <f t="shared" ref="P13" si="11">30/(P11/((O12+P12)/2))</f>
        <v>10.6070016939582</v>
      </c>
      <c r="Q13" s="58">
        <f t="shared" ref="Q13" si="12">30/(Q11/((P12+Q12)/2))</f>
        <v>9.46805516464959</v>
      </c>
      <c r="R13" s="57" t="s">
        <v>8</v>
      </c>
      <c r="S13" s="59">
        <f>360/(R11/S12)</f>
        <v>11.0916567342074</v>
      </c>
    </row>
    <row r="14" ht="15.75" spans="2:19">
      <c r="B14" s="1"/>
      <c r="C14" s="47" t="s">
        <v>15</v>
      </c>
      <c r="F14" s="48">
        <f t="shared" ref="F14:Q14" si="13">F12*$D$4/12</f>
        <v>26.808</v>
      </c>
      <c r="G14" s="49">
        <f t="shared" si="13"/>
        <v>28.23</v>
      </c>
      <c r="H14" s="49">
        <f t="shared" si="13"/>
        <v>20.748</v>
      </c>
      <c r="I14" s="49">
        <f t="shared" si="13"/>
        <v>27.102</v>
      </c>
      <c r="J14" s="49">
        <f t="shared" si="13"/>
        <v>26.52</v>
      </c>
      <c r="K14" s="49">
        <f t="shared" si="13"/>
        <v>26.97</v>
      </c>
      <c r="L14" s="49">
        <f t="shared" si="13"/>
        <v>19.536</v>
      </c>
      <c r="M14" s="49">
        <f t="shared" si="13"/>
        <v>19.038</v>
      </c>
      <c r="N14" s="49">
        <f t="shared" si="13"/>
        <v>19.17</v>
      </c>
      <c r="O14" s="49">
        <f t="shared" si="13"/>
        <v>23.1</v>
      </c>
      <c r="P14" s="49">
        <f t="shared" si="13"/>
        <v>21.984</v>
      </c>
      <c r="Q14" s="60">
        <f t="shared" si="13"/>
        <v>18.384</v>
      </c>
      <c r="R14" s="61">
        <f>SUM(F14:Q14)</f>
        <v>277.59</v>
      </c>
      <c r="S14" s="61" t="s">
        <v>8</v>
      </c>
    </row>
    <row r="15" ht="15.75" spans="2:17">
      <c r="B15" s="36" t="str">
        <f>"预算"&amp;YEAR(主页!$D$5)+1</f>
        <v>预算2022</v>
      </c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</row>
    <row r="16" ht="15.75" spans="2:19">
      <c r="B16" s="1"/>
      <c r="C16" s="38" t="s">
        <v>12</v>
      </c>
      <c r="F16" s="39">
        <v>5752.2</v>
      </c>
      <c r="G16" s="40">
        <v>5495.4</v>
      </c>
      <c r="H16" s="40">
        <v>6690.6</v>
      </c>
      <c r="I16" s="40">
        <v>6006.6</v>
      </c>
      <c r="J16" s="40">
        <v>5503.8</v>
      </c>
      <c r="K16" s="40">
        <v>6625.8</v>
      </c>
      <c r="L16" s="40">
        <v>6229.8</v>
      </c>
      <c r="M16" s="40">
        <v>6414</v>
      </c>
      <c r="N16" s="40">
        <v>6582.6</v>
      </c>
      <c r="O16" s="40">
        <v>5788.2</v>
      </c>
      <c r="P16" s="40">
        <v>5831.4</v>
      </c>
      <c r="Q16" s="54">
        <v>6879.6</v>
      </c>
      <c r="R16" s="55">
        <f>SUM(F16:Q16)</f>
        <v>73800</v>
      </c>
      <c r="S16" s="55" t="s">
        <v>8</v>
      </c>
    </row>
    <row r="17" ht="15.75" spans="2:19">
      <c r="B17" s="1"/>
      <c r="C17" s="41" t="s">
        <v>13</v>
      </c>
      <c r="E17" s="51">
        <f>Q12</f>
        <v>1838.4</v>
      </c>
      <c r="F17" s="43">
        <v>2952</v>
      </c>
      <c r="G17" s="44">
        <v>2694</v>
      </c>
      <c r="H17" s="44">
        <v>1880.4</v>
      </c>
      <c r="I17" s="44">
        <v>1842.6</v>
      </c>
      <c r="J17" s="44">
        <v>2088.6</v>
      </c>
      <c r="K17" s="44">
        <v>1894.2</v>
      </c>
      <c r="L17" s="44">
        <v>2493</v>
      </c>
      <c r="M17" s="44">
        <v>1840.2</v>
      </c>
      <c r="N17" s="44">
        <v>2253.6</v>
      </c>
      <c r="O17" s="44">
        <v>2882.4</v>
      </c>
      <c r="P17" s="44">
        <v>2532.6</v>
      </c>
      <c r="Q17" s="56">
        <v>2759.4</v>
      </c>
      <c r="R17" s="57" t="s">
        <v>8</v>
      </c>
      <c r="S17" s="57">
        <f>SUM(E17/2,F17:P17,Q17/2)/12</f>
        <v>2304.375</v>
      </c>
    </row>
    <row r="18" spans="3:19">
      <c r="C18" s="41" t="s">
        <v>14</v>
      </c>
      <c r="F18" s="45">
        <f>30/(F16/((E17+F17)/2))</f>
        <v>12.4919161364348</v>
      </c>
      <c r="G18" s="46">
        <f t="shared" ref="G18" si="14">30/(G16/((F17+G17)/2))</f>
        <v>15.4110710776286</v>
      </c>
      <c r="H18" s="46">
        <f t="shared" ref="H18" si="15">30/(H16/((G17+H17)/2))</f>
        <v>10.2555824589723</v>
      </c>
      <c r="I18" s="46">
        <f t="shared" ref="I18" si="16">30/(I16/((H17+I17)/2))</f>
        <v>9.29727299970033</v>
      </c>
      <c r="J18" s="46">
        <f t="shared" ref="J18" si="17">30/(J16/((I17+J17)/2))</f>
        <v>10.7140521094517</v>
      </c>
      <c r="K18" s="46">
        <f t="shared" ref="K18" si="18">30/(K16/((J17+K17)/2))</f>
        <v>9.01657158380875</v>
      </c>
      <c r="L18" s="46">
        <f t="shared" ref="L18" si="19">30/(L16/((K17+L17)/2))</f>
        <v>10.5634209765964</v>
      </c>
      <c r="M18" s="46">
        <f t="shared" ref="M18" si="20">30/(M16/((L17+M17)/2))</f>
        <v>10.133769878391</v>
      </c>
      <c r="N18" s="46">
        <f t="shared" ref="N18" si="21">30/(N16/((M17+N17)/2))</f>
        <v>9.32868471424665</v>
      </c>
      <c r="O18" s="46">
        <f t="shared" ref="O18" si="22">30/(O16/((N17+O17)/2))</f>
        <v>13.3098372551052</v>
      </c>
      <c r="P18" s="46">
        <f t="shared" ref="P18" si="23">30/(P16/((O17+P17)/2))</f>
        <v>13.928902150427</v>
      </c>
      <c r="Q18" s="58">
        <f t="shared" ref="Q18" si="24">30/(Q16/((P17+Q17)/2))</f>
        <v>11.5384615384615</v>
      </c>
      <c r="R18" s="57" t="s">
        <v>8</v>
      </c>
      <c r="S18" s="59">
        <f>360/(R16/S17)</f>
        <v>11.2408536585366</v>
      </c>
    </row>
    <row r="19" spans="3:19">
      <c r="C19" s="47" t="s">
        <v>15</v>
      </c>
      <c r="F19" s="48">
        <f t="shared" ref="F19:Q19" si="25">F17*$D$4/12</f>
        <v>29.52</v>
      </c>
      <c r="G19" s="49">
        <f t="shared" si="25"/>
        <v>26.94</v>
      </c>
      <c r="H19" s="49">
        <f t="shared" si="25"/>
        <v>18.804</v>
      </c>
      <c r="I19" s="49">
        <f t="shared" si="25"/>
        <v>18.426</v>
      </c>
      <c r="J19" s="49">
        <f t="shared" si="25"/>
        <v>20.886</v>
      </c>
      <c r="K19" s="49">
        <f t="shared" si="25"/>
        <v>18.942</v>
      </c>
      <c r="L19" s="49">
        <f t="shared" si="25"/>
        <v>24.93</v>
      </c>
      <c r="M19" s="49">
        <f t="shared" si="25"/>
        <v>18.402</v>
      </c>
      <c r="N19" s="49">
        <f t="shared" si="25"/>
        <v>22.536</v>
      </c>
      <c r="O19" s="49">
        <f t="shared" si="25"/>
        <v>28.824</v>
      </c>
      <c r="P19" s="49">
        <f t="shared" si="25"/>
        <v>25.326</v>
      </c>
      <c r="Q19" s="60">
        <f t="shared" si="25"/>
        <v>27.594</v>
      </c>
      <c r="R19" s="61">
        <f>SUM(F19:Q19)</f>
        <v>281.13</v>
      </c>
      <c r="S19" s="61" t="s">
        <v>8</v>
      </c>
    </row>
    <row r="20" spans="6:17"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T29"/>
  <sheetViews>
    <sheetView showGridLines="0" workbookViewId="0">
      <pane xSplit="6" ySplit="3" topLeftCell="G4" activePane="bottomRight" state="frozen"/>
      <selection/>
      <selection pane="topRight"/>
      <selection pane="bottomLeft"/>
      <selection pane="bottomRight" activeCell="I28" sqref="I28"/>
    </sheetView>
  </sheetViews>
  <sheetFormatPr defaultColWidth="9" defaultRowHeight="14.25"/>
  <cols>
    <col min="2" max="2" width="3" customWidth="1"/>
    <col min="3" max="3" width="5" customWidth="1"/>
    <col min="4" max="4" width="22.6666666666667" customWidth="1"/>
    <col min="5" max="5" width="4.55833333333333" customWidth="1"/>
    <col min="6" max="6" width="9.55833333333333" customWidth="1"/>
    <col min="7" max="18" width="8.10833333333333" customWidth="1"/>
    <col min="19" max="19" width="9.10833333333333" customWidth="1"/>
    <col min="20" max="20" width="7.10833333333333" customWidth="1"/>
  </cols>
  <sheetData>
    <row r="3" spans="2:20">
      <c r="B3" s="32" t="s">
        <v>2</v>
      </c>
      <c r="C3" s="33"/>
      <c r="D3" s="62"/>
      <c r="F3" s="63" t="s">
        <v>3</v>
      </c>
      <c r="G3" s="34">
        <v>1</v>
      </c>
      <c r="H3" s="34">
        <v>2</v>
      </c>
      <c r="I3" s="34">
        <v>3</v>
      </c>
      <c r="J3" s="34">
        <v>4</v>
      </c>
      <c r="K3" s="34">
        <v>5</v>
      </c>
      <c r="L3" s="34">
        <v>6</v>
      </c>
      <c r="M3" s="34">
        <v>7</v>
      </c>
      <c r="N3" s="34">
        <v>8</v>
      </c>
      <c r="O3" s="34">
        <v>9</v>
      </c>
      <c r="P3" s="34">
        <v>10</v>
      </c>
      <c r="Q3" s="34">
        <v>11</v>
      </c>
      <c r="R3" s="34">
        <v>12</v>
      </c>
      <c r="S3" s="53" t="s">
        <v>4</v>
      </c>
      <c r="T3" s="53" t="s">
        <v>5</v>
      </c>
    </row>
    <row r="4" spans="2:6">
      <c r="B4" t="s">
        <v>6</v>
      </c>
      <c r="E4" s="35">
        <f>主页!D6</f>
        <v>0.12</v>
      </c>
      <c r="F4" s="35"/>
    </row>
    <row r="5" ht="15.75" spans="2:18">
      <c r="B5" s="36" t="str">
        <f>"实际"&amp;YEAR(主页!$D$5)-1</f>
        <v>实际2020</v>
      </c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</row>
    <row r="6" ht="15.75" spans="2:20">
      <c r="B6" s="1"/>
      <c r="C6" s="64" t="s">
        <v>16</v>
      </c>
      <c r="D6" s="65"/>
      <c r="G6" s="66">
        <v>8400</v>
      </c>
      <c r="H6" s="67">
        <v>7960.8</v>
      </c>
      <c r="I6" s="67">
        <v>8793.6</v>
      </c>
      <c r="J6" s="67">
        <v>7406.4</v>
      </c>
      <c r="K6" s="67">
        <v>9234.4</v>
      </c>
      <c r="L6" s="67">
        <v>7676.8</v>
      </c>
      <c r="M6" s="67">
        <v>8732</v>
      </c>
      <c r="N6" s="67">
        <v>7518.4</v>
      </c>
      <c r="O6" s="67">
        <v>8717.6</v>
      </c>
      <c r="P6" s="67">
        <v>8681.6</v>
      </c>
      <c r="Q6" s="67">
        <v>7959.2</v>
      </c>
      <c r="R6" s="79">
        <v>9173.6</v>
      </c>
      <c r="S6" s="80">
        <f>SUM(G6:R6)</f>
        <v>100254.4</v>
      </c>
      <c r="T6" s="55" t="s">
        <v>8</v>
      </c>
    </row>
    <row r="7" ht="15.75" spans="2:20">
      <c r="B7" s="1"/>
      <c r="C7" s="17" t="s">
        <v>17</v>
      </c>
      <c r="D7" s="68"/>
      <c r="F7" s="42">
        <v>2978.01</v>
      </c>
      <c r="G7" s="69">
        <v>3092.85</v>
      </c>
      <c r="H7" s="44">
        <v>2884.92</v>
      </c>
      <c r="I7" s="44">
        <v>4115.97</v>
      </c>
      <c r="J7" s="44">
        <v>4244.73</v>
      </c>
      <c r="K7" s="44">
        <v>3316.44</v>
      </c>
      <c r="L7" s="44">
        <v>4082.04</v>
      </c>
      <c r="M7" s="44">
        <v>3007.59</v>
      </c>
      <c r="N7" s="44">
        <v>3328.62</v>
      </c>
      <c r="O7" s="44">
        <v>2750.94</v>
      </c>
      <c r="P7" s="44">
        <v>3340.8</v>
      </c>
      <c r="Q7" s="44">
        <v>3857.58</v>
      </c>
      <c r="R7" s="81">
        <v>3125.91</v>
      </c>
      <c r="S7" s="82" t="s">
        <v>8</v>
      </c>
      <c r="T7" s="57">
        <f>SUM(F7/2,G7:Q7,R7/2)/12</f>
        <v>3422.87</v>
      </c>
    </row>
    <row r="8" ht="15.75" spans="2:20">
      <c r="B8" s="1"/>
      <c r="C8" s="70" t="s">
        <v>18</v>
      </c>
      <c r="D8" s="68" t="s">
        <v>19</v>
      </c>
      <c r="F8" s="71">
        <v>1026.9</v>
      </c>
      <c r="G8" s="72">
        <v>1066.5</v>
      </c>
      <c r="H8" s="73">
        <v>994.8</v>
      </c>
      <c r="I8" s="73">
        <v>1419.3</v>
      </c>
      <c r="J8" s="73">
        <v>1463.7</v>
      </c>
      <c r="K8" s="73">
        <v>1143.6</v>
      </c>
      <c r="L8" s="73">
        <v>1407.6</v>
      </c>
      <c r="M8" s="73">
        <v>1037.1</v>
      </c>
      <c r="N8" s="73">
        <v>1147.8</v>
      </c>
      <c r="O8" s="73">
        <v>948.6</v>
      </c>
      <c r="P8" s="73">
        <v>1152</v>
      </c>
      <c r="Q8" s="73">
        <v>1330.2</v>
      </c>
      <c r="R8" s="83">
        <v>1077.9</v>
      </c>
      <c r="S8" s="82" t="s">
        <v>8</v>
      </c>
      <c r="T8" s="57">
        <f t="shared" ref="T8:T10" si="0">SUM(F8/2,G8:Q8,R8/2)/12</f>
        <v>1180.3</v>
      </c>
    </row>
    <row r="9" ht="15.75" spans="2:20">
      <c r="B9" s="1"/>
      <c r="C9" s="17"/>
      <c r="D9" s="68" t="s">
        <v>20</v>
      </c>
      <c r="F9" s="71">
        <v>1711.5</v>
      </c>
      <c r="G9" s="72">
        <f>G7-G8-G10</f>
        <v>1315.35</v>
      </c>
      <c r="H9" s="73">
        <f t="shared" ref="H9:R9" si="1">H7-H8-H10</f>
        <v>1226.92</v>
      </c>
      <c r="I9" s="73">
        <f t="shared" si="1"/>
        <v>1750.47</v>
      </c>
      <c r="J9" s="73">
        <f t="shared" si="1"/>
        <v>1805.23</v>
      </c>
      <c r="K9" s="73">
        <f t="shared" si="1"/>
        <v>1410.44</v>
      </c>
      <c r="L9" s="73">
        <f t="shared" si="1"/>
        <v>1736.04</v>
      </c>
      <c r="M9" s="73">
        <f t="shared" si="1"/>
        <v>1279.09</v>
      </c>
      <c r="N9" s="73">
        <f t="shared" si="1"/>
        <v>1415.62</v>
      </c>
      <c r="O9" s="73">
        <f t="shared" si="1"/>
        <v>1169.94</v>
      </c>
      <c r="P9" s="73">
        <f t="shared" si="1"/>
        <v>1420.8</v>
      </c>
      <c r="Q9" s="73">
        <f t="shared" si="1"/>
        <v>1640.58</v>
      </c>
      <c r="R9" s="83">
        <f t="shared" si="1"/>
        <v>1329.41</v>
      </c>
      <c r="S9" s="82" t="s">
        <v>8</v>
      </c>
      <c r="T9" s="57">
        <f t="shared" si="0"/>
        <v>1474.24458333333</v>
      </c>
    </row>
    <row r="10" ht="15.75" spans="2:20">
      <c r="B10" s="1"/>
      <c r="C10" s="17"/>
      <c r="D10" s="68" t="s">
        <v>21</v>
      </c>
      <c r="F10" s="71">
        <v>684.6</v>
      </c>
      <c r="G10" s="72">
        <v>711</v>
      </c>
      <c r="H10" s="73">
        <v>663.2</v>
      </c>
      <c r="I10" s="73">
        <v>946.2</v>
      </c>
      <c r="J10" s="73">
        <v>975.8</v>
      </c>
      <c r="K10" s="73">
        <v>762.4</v>
      </c>
      <c r="L10" s="73">
        <v>938.4</v>
      </c>
      <c r="M10" s="73">
        <v>691.4</v>
      </c>
      <c r="N10" s="73">
        <v>765.2</v>
      </c>
      <c r="O10" s="73">
        <v>632.4</v>
      </c>
      <c r="P10" s="73">
        <v>768</v>
      </c>
      <c r="Q10" s="73">
        <v>886.8</v>
      </c>
      <c r="R10" s="83">
        <v>718.6</v>
      </c>
      <c r="S10" s="82" t="s">
        <v>8</v>
      </c>
      <c r="T10" s="57">
        <f t="shared" si="0"/>
        <v>786.866666666666</v>
      </c>
    </row>
    <row r="11" ht="15.75" spans="2:20">
      <c r="B11" s="1"/>
      <c r="C11" s="17" t="s">
        <v>22</v>
      </c>
      <c r="D11" s="68"/>
      <c r="G11" s="74">
        <f>30/(G6/((F7+G7)/2))</f>
        <v>10.8408214285714</v>
      </c>
      <c r="H11" s="46">
        <f>30/(H6/((G7+H7)/2))</f>
        <v>11.2635099487489</v>
      </c>
      <c r="I11" s="46">
        <f t="shared" ref="I11:R11" si="2">30/(I6/((H7+I7)/2))</f>
        <v>11.9420203329694</v>
      </c>
      <c r="J11" s="46">
        <f t="shared" si="2"/>
        <v>16.9327203499676</v>
      </c>
      <c r="K11" s="46">
        <f t="shared" si="2"/>
        <v>12.2820703023477</v>
      </c>
      <c r="L11" s="46">
        <f t="shared" si="2"/>
        <v>14.4561796581909</v>
      </c>
      <c r="M11" s="46">
        <f t="shared" si="2"/>
        <v>12.1787047640861</v>
      </c>
      <c r="N11" s="46">
        <f t="shared" si="2"/>
        <v>12.6414064162588</v>
      </c>
      <c r="O11" s="46">
        <f t="shared" si="2"/>
        <v>10.4608378452785</v>
      </c>
      <c r="P11" s="46">
        <f t="shared" si="2"/>
        <v>10.5252603206782</v>
      </c>
      <c r="Q11" s="46">
        <f t="shared" si="2"/>
        <v>13.566149864308</v>
      </c>
      <c r="R11" s="84">
        <f t="shared" si="2"/>
        <v>11.4188922560391</v>
      </c>
      <c r="S11" s="82" t="s">
        <v>8</v>
      </c>
      <c r="T11" s="59">
        <f>360/(S6/T7)</f>
        <v>12.2910635343686</v>
      </c>
    </row>
    <row r="12" ht="15.75" spans="2:20">
      <c r="B12" s="1"/>
      <c r="C12" s="75" t="s">
        <v>23</v>
      </c>
      <c r="D12" s="76"/>
      <c r="G12" s="77">
        <f t="shared" ref="G12:R12" si="3">G7*$E$4/12</f>
        <v>30.9285</v>
      </c>
      <c r="H12" s="78">
        <f t="shared" si="3"/>
        <v>28.8492</v>
      </c>
      <c r="I12" s="78">
        <f t="shared" si="3"/>
        <v>41.1597</v>
      </c>
      <c r="J12" s="78">
        <f t="shared" si="3"/>
        <v>42.4473</v>
      </c>
      <c r="K12" s="78">
        <f t="shared" si="3"/>
        <v>33.1644</v>
      </c>
      <c r="L12" s="78">
        <f t="shared" si="3"/>
        <v>40.8204</v>
      </c>
      <c r="M12" s="78">
        <f t="shared" si="3"/>
        <v>30.0759</v>
      </c>
      <c r="N12" s="78">
        <f t="shared" si="3"/>
        <v>33.2862</v>
      </c>
      <c r="O12" s="78">
        <f t="shared" si="3"/>
        <v>27.5094</v>
      </c>
      <c r="P12" s="78">
        <f t="shared" si="3"/>
        <v>33.408</v>
      </c>
      <c r="Q12" s="78">
        <f t="shared" si="3"/>
        <v>38.5758</v>
      </c>
      <c r="R12" s="85">
        <f t="shared" si="3"/>
        <v>31.2591</v>
      </c>
      <c r="S12" s="60">
        <f>SUM(G12:R12)</f>
        <v>411.4839</v>
      </c>
      <c r="T12" s="61" t="s">
        <v>8</v>
      </c>
    </row>
    <row r="13" ht="15.75" spans="2:19">
      <c r="B13" s="36" t="str">
        <f>"实际/估计"&amp;YEAR(主页!$D$5)</f>
        <v>实际/估计2021</v>
      </c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42"/>
    </row>
    <row r="14" ht="15.75" spans="2:20">
      <c r="B14" s="1"/>
      <c r="C14" s="64" t="s">
        <v>16</v>
      </c>
      <c r="D14" s="65"/>
      <c r="G14" s="39">
        <v>9144.8</v>
      </c>
      <c r="H14" s="40">
        <v>8951.2</v>
      </c>
      <c r="I14" s="40">
        <v>7680</v>
      </c>
      <c r="J14" s="40">
        <v>7336</v>
      </c>
      <c r="K14" s="40">
        <v>7608.8</v>
      </c>
      <c r="L14" s="40">
        <v>7887.2</v>
      </c>
      <c r="M14" s="40">
        <v>8568.8</v>
      </c>
      <c r="N14" s="40">
        <v>8757.6</v>
      </c>
      <c r="O14" s="40">
        <v>9104</v>
      </c>
      <c r="P14" s="40">
        <v>8613.6</v>
      </c>
      <c r="Q14" s="40">
        <v>8500.8</v>
      </c>
      <c r="R14" s="54">
        <v>8527.2</v>
      </c>
      <c r="S14" s="55">
        <f>SUM(G14:R14)</f>
        <v>100680</v>
      </c>
      <c r="T14" s="55" t="s">
        <v>8</v>
      </c>
    </row>
    <row r="15" ht="15.75" spans="2:20">
      <c r="B15" s="1"/>
      <c r="C15" s="17" t="s">
        <v>17</v>
      </c>
      <c r="D15" s="68"/>
      <c r="F15" s="51">
        <f>R7</f>
        <v>3125.91</v>
      </c>
      <c r="G15" s="43">
        <v>4468</v>
      </c>
      <c r="H15" s="44">
        <v>4705</v>
      </c>
      <c r="I15" s="44">
        <v>3458</v>
      </c>
      <c r="J15" s="44">
        <v>4517</v>
      </c>
      <c r="K15" s="44">
        <v>4420</v>
      </c>
      <c r="L15" s="44">
        <v>4495</v>
      </c>
      <c r="M15" s="44">
        <v>3256</v>
      </c>
      <c r="N15" s="44">
        <v>3173</v>
      </c>
      <c r="O15" s="44">
        <v>3195</v>
      </c>
      <c r="P15" s="44">
        <v>3850</v>
      </c>
      <c r="Q15" s="44">
        <v>3664</v>
      </c>
      <c r="R15" s="56">
        <v>3064</v>
      </c>
      <c r="S15" s="57" t="s">
        <v>8</v>
      </c>
      <c r="T15" s="57">
        <f>SUM(F15/2,G15:Q15,R15/2)/12</f>
        <v>3857.99625</v>
      </c>
    </row>
    <row r="16" ht="15.75" spans="2:20">
      <c r="B16" s="1"/>
      <c r="C16" s="70" t="s">
        <v>18</v>
      </c>
      <c r="D16" s="68" t="s">
        <v>19</v>
      </c>
      <c r="F16" s="51">
        <f t="shared" ref="F16:F18" si="4">R8</f>
        <v>1077.9</v>
      </c>
      <c r="G16" s="73">
        <f>G15*0.3</f>
        <v>1340.4</v>
      </c>
      <c r="H16" s="73">
        <f t="shared" ref="H16:R16" si="5">H15*0.3</f>
        <v>1411.5</v>
      </c>
      <c r="I16" s="73">
        <f t="shared" si="5"/>
        <v>1037.4</v>
      </c>
      <c r="J16" s="73">
        <f t="shared" si="5"/>
        <v>1355.1</v>
      </c>
      <c r="K16" s="73">
        <f t="shared" si="5"/>
        <v>1326</v>
      </c>
      <c r="L16" s="73">
        <f t="shared" si="5"/>
        <v>1348.5</v>
      </c>
      <c r="M16" s="73">
        <f t="shared" si="5"/>
        <v>976.8</v>
      </c>
      <c r="N16" s="73">
        <f t="shared" si="5"/>
        <v>951.9</v>
      </c>
      <c r="O16" s="73">
        <f t="shared" si="5"/>
        <v>958.5</v>
      </c>
      <c r="P16" s="73">
        <f t="shared" si="5"/>
        <v>1155</v>
      </c>
      <c r="Q16" s="73">
        <f t="shared" si="5"/>
        <v>1099.2</v>
      </c>
      <c r="R16" s="73">
        <f t="shared" si="5"/>
        <v>919.2</v>
      </c>
      <c r="S16" s="57" t="s">
        <v>8</v>
      </c>
      <c r="T16" s="57">
        <f t="shared" ref="T16:T18" si="6">SUM(F16/2,G16:Q16,R16/2)/12</f>
        <v>1163.2375</v>
      </c>
    </row>
    <row r="17" ht="15.75" spans="2:20">
      <c r="B17" s="1"/>
      <c r="C17" s="17"/>
      <c r="D17" s="68" t="s">
        <v>20</v>
      </c>
      <c r="F17" s="51">
        <f t="shared" si="4"/>
        <v>1329.41</v>
      </c>
      <c r="G17" s="73">
        <f>G15-G16-G18</f>
        <v>2234</v>
      </c>
      <c r="H17" s="73">
        <f t="shared" ref="H17" si="7">H15-H16-H18</f>
        <v>2352.5</v>
      </c>
      <c r="I17" s="73">
        <f t="shared" ref="I17" si="8">I15-I16-I18</f>
        <v>1729</v>
      </c>
      <c r="J17" s="73">
        <f t="shared" ref="J17" si="9">J15-J16-J18</f>
        <v>2258.5</v>
      </c>
      <c r="K17" s="73">
        <f t="shared" ref="K17" si="10">K15-K16-K18</f>
        <v>2210</v>
      </c>
      <c r="L17" s="73">
        <f t="shared" ref="L17" si="11">L15-L16-L18</f>
        <v>2247.5</v>
      </c>
      <c r="M17" s="73">
        <f t="shared" ref="M17" si="12">M15-M16-M18</f>
        <v>1628</v>
      </c>
      <c r="N17" s="73">
        <f t="shared" ref="N17" si="13">N15-N16-N18</f>
        <v>1586.5</v>
      </c>
      <c r="O17" s="73">
        <f t="shared" ref="O17" si="14">O15-O16-O18</f>
        <v>1597.5</v>
      </c>
      <c r="P17" s="73">
        <f t="shared" ref="P17" si="15">P15-P16-P18</f>
        <v>1925</v>
      </c>
      <c r="Q17" s="73">
        <f t="shared" ref="Q17" si="16">Q15-Q16-Q18</f>
        <v>1832</v>
      </c>
      <c r="R17" s="73">
        <f t="shared" ref="R17" si="17">R15-R16-R18</f>
        <v>1532</v>
      </c>
      <c r="S17" s="57" t="s">
        <v>8</v>
      </c>
      <c r="T17" s="57">
        <f t="shared" si="6"/>
        <v>1919.26708333333</v>
      </c>
    </row>
    <row r="18" ht="15.75" spans="2:20">
      <c r="B18" s="1"/>
      <c r="C18" s="17"/>
      <c r="D18" s="68" t="s">
        <v>21</v>
      </c>
      <c r="F18" s="51">
        <f t="shared" si="4"/>
        <v>718.6</v>
      </c>
      <c r="G18" s="73">
        <f>G$15*0.2</f>
        <v>893.6</v>
      </c>
      <c r="H18" s="73">
        <f t="shared" ref="H18:R18" si="18">H$15*0.2</f>
        <v>941</v>
      </c>
      <c r="I18" s="73">
        <f t="shared" si="18"/>
        <v>691.6</v>
      </c>
      <c r="J18" s="73">
        <f t="shared" si="18"/>
        <v>903.4</v>
      </c>
      <c r="K18" s="73">
        <f t="shared" si="18"/>
        <v>884</v>
      </c>
      <c r="L18" s="73">
        <f t="shared" si="18"/>
        <v>899</v>
      </c>
      <c r="M18" s="73">
        <f t="shared" si="18"/>
        <v>651.2</v>
      </c>
      <c r="N18" s="73">
        <f t="shared" si="18"/>
        <v>634.6</v>
      </c>
      <c r="O18" s="73">
        <f t="shared" si="18"/>
        <v>639</v>
      </c>
      <c r="P18" s="73">
        <f t="shared" si="18"/>
        <v>770</v>
      </c>
      <c r="Q18" s="73">
        <f t="shared" si="18"/>
        <v>732.8</v>
      </c>
      <c r="R18" s="73">
        <f t="shared" si="18"/>
        <v>612.8</v>
      </c>
      <c r="S18" s="57" t="s">
        <v>8</v>
      </c>
      <c r="T18" s="57">
        <f t="shared" si="6"/>
        <v>775.491666666667</v>
      </c>
    </row>
    <row r="19" ht="15.75" spans="2:20">
      <c r="B19" s="1"/>
      <c r="C19" s="17" t="s">
        <v>22</v>
      </c>
      <c r="D19" s="68"/>
      <c r="G19" s="45">
        <f>30/(G14/((F15+G15)/2))</f>
        <v>12.4561116700201</v>
      </c>
      <c r="H19" s="46">
        <f t="shared" ref="H19:R19" si="19">30/(H14/((G15+H15)/2))</f>
        <v>15.3716820091161</v>
      </c>
      <c r="I19" s="46">
        <f t="shared" si="19"/>
        <v>15.943359375</v>
      </c>
      <c r="J19" s="46">
        <f t="shared" si="19"/>
        <v>16.3065703380589</v>
      </c>
      <c r="K19" s="46">
        <f t="shared" si="19"/>
        <v>17.6184155188729</v>
      </c>
      <c r="L19" s="46">
        <f t="shared" si="19"/>
        <v>16.9546860736383</v>
      </c>
      <c r="M19" s="46">
        <f t="shared" si="19"/>
        <v>13.568410979367</v>
      </c>
      <c r="N19" s="46">
        <f t="shared" si="19"/>
        <v>11.0115785146615</v>
      </c>
      <c r="O19" s="46">
        <f t="shared" si="19"/>
        <v>10.4920913884007</v>
      </c>
      <c r="P19" s="46">
        <f t="shared" si="19"/>
        <v>12.2683895235442</v>
      </c>
      <c r="Q19" s="46">
        <f t="shared" si="19"/>
        <v>13.2587521174478</v>
      </c>
      <c r="R19" s="58">
        <f t="shared" si="19"/>
        <v>11.835068955812</v>
      </c>
      <c r="S19" s="57" t="s">
        <v>8</v>
      </c>
      <c r="T19" s="59">
        <f>360/(S14/T15)</f>
        <v>13.7949806317044</v>
      </c>
    </row>
    <row r="20" ht="15.75" spans="2:20">
      <c r="B20" s="1"/>
      <c r="C20" s="75" t="s">
        <v>23</v>
      </c>
      <c r="D20" s="76"/>
      <c r="G20" s="48">
        <f t="shared" ref="G20:R20" si="20">G15*$E$4/12</f>
        <v>44.68</v>
      </c>
      <c r="H20" s="49">
        <f t="shared" si="20"/>
        <v>47.05</v>
      </c>
      <c r="I20" s="49">
        <f t="shared" si="20"/>
        <v>34.58</v>
      </c>
      <c r="J20" s="49">
        <f t="shared" si="20"/>
        <v>45.17</v>
      </c>
      <c r="K20" s="49">
        <f t="shared" si="20"/>
        <v>44.2</v>
      </c>
      <c r="L20" s="49">
        <f t="shared" si="20"/>
        <v>44.95</v>
      </c>
      <c r="M20" s="49">
        <f t="shared" si="20"/>
        <v>32.56</v>
      </c>
      <c r="N20" s="49">
        <f t="shared" si="20"/>
        <v>31.73</v>
      </c>
      <c r="O20" s="49">
        <f t="shared" si="20"/>
        <v>31.95</v>
      </c>
      <c r="P20" s="49">
        <f t="shared" si="20"/>
        <v>38.5</v>
      </c>
      <c r="Q20" s="49">
        <f t="shared" si="20"/>
        <v>36.64</v>
      </c>
      <c r="R20" s="60">
        <f t="shared" si="20"/>
        <v>30.64</v>
      </c>
      <c r="S20" s="61">
        <f>SUM(G20:R20)</f>
        <v>462.65</v>
      </c>
      <c r="T20" s="61" t="s">
        <v>8</v>
      </c>
    </row>
    <row r="21" ht="15.75" spans="2:18">
      <c r="B21" s="36" t="str">
        <f>"预算"&amp;YEAR(主页!$D$5)+1</f>
        <v>预算2022</v>
      </c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</row>
    <row r="22" ht="15.75" spans="2:20">
      <c r="B22" s="1"/>
      <c r="C22" s="64" t="s">
        <v>16</v>
      </c>
      <c r="D22" s="65"/>
      <c r="G22" s="66">
        <v>7669.6</v>
      </c>
      <c r="H22" s="67">
        <v>7327.2</v>
      </c>
      <c r="I22" s="67">
        <v>8920.8</v>
      </c>
      <c r="J22" s="67">
        <v>8008.8</v>
      </c>
      <c r="K22" s="67">
        <v>7338.4</v>
      </c>
      <c r="L22" s="67">
        <v>8834.4</v>
      </c>
      <c r="M22" s="67">
        <v>8306.4</v>
      </c>
      <c r="N22" s="67">
        <v>8552</v>
      </c>
      <c r="O22" s="67">
        <v>8776.8</v>
      </c>
      <c r="P22" s="67">
        <v>7717.6</v>
      </c>
      <c r="Q22" s="67">
        <v>7775.2</v>
      </c>
      <c r="R22" s="79">
        <v>9172.8</v>
      </c>
      <c r="S22" s="80">
        <f>SUM(G22:R22)</f>
        <v>98400</v>
      </c>
      <c r="T22" s="55" t="s">
        <v>8</v>
      </c>
    </row>
    <row r="23" ht="15.75" spans="2:20">
      <c r="B23" s="1"/>
      <c r="C23" s="17" t="s">
        <v>17</v>
      </c>
      <c r="D23" s="68"/>
      <c r="F23" s="51">
        <f>R15</f>
        <v>3064</v>
      </c>
      <c r="G23" s="72">
        <f>(G22*0.3)*0.76</f>
        <v>1748.6688</v>
      </c>
      <c r="H23" s="44">
        <v>3412.4</v>
      </c>
      <c r="I23" s="44">
        <v>2381.84</v>
      </c>
      <c r="J23" s="44">
        <v>2333.96</v>
      </c>
      <c r="K23" s="44">
        <v>2645.56</v>
      </c>
      <c r="L23" s="44">
        <v>2399.32</v>
      </c>
      <c r="M23" s="44">
        <v>3157.8</v>
      </c>
      <c r="N23" s="44">
        <v>2330.92</v>
      </c>
      <c r="O23" s="44">
        <v>2854.56</v>
      </c>
      <c r="P23" s="44">
        <v>3651.04</v>
      </c>
      <c r="Q23" s="44">
        <v>3207.96</v>
      </c>
      <c r="R23" s="81">
        <v>3495.24</v>
      </c>
      <c r="S23" s="82" t="s">
        <v>8</v>
      </c>
      <c r="T23" s="57">
        <f>SUM(F23/2,G23:Q23,R23/2)/12</f>
        <v>2783.6374</v>
      </c>
    </row>
    <row r="24" ht="15.75" spans="2:20">
      <c r="B24" s="1"/>
      <c r="C24" s="70" t="s">
        <v>18</v>
      </c>
      <c r="D24" s="68" t="s">
        <v>19</v>
      </c>
      <c r="F24" s="51">
        <f t="shared" ref="F24:F26" si="21">R16</f>
        <v>919.2</v>
      </c>
      <c r="G24" s="72">
        <f>G$23*0.3</f>
        <v>524.60064</v>
      </c>
      <c r="H24" s="73">
        <f t="shared" ref="H24:R24" si="22">H$23*0.3</f>
        <v>1023.72</v>
      </c>
      <c r="I24" s="73">
        <f t="shared" si="22"/>
        <v>714.552</v>
      </c>
      <c r="J24" s="73">
        <f t="shared" si="22"/>
        <v>700.188</v>
      </c>
      <c r="K24" s="73">
        <f t="shared" si="22"/>
        <v>793.668</v>
      </c>
      <c r="L24" s="73">
        <f t="shared" si="22"/>
        <v>719.796</v>
      </c>
      <c r="M24" s="73">
        <f t="shared" si="22"/>
        <v>947.34</v>
      </c>
      <c r="N24" s="73">
        <f t="shared" si="22"/>
        <v>699.276</v>
      </c>
      <c r="O24" s="73">
        <f t="shared" si="22"/>
        <v>856.368</v>
      </c>
      <c r="P24" s="73">
        <f t="shared" si="22"/>
        <v>1095.312</v>
      </c>
      <c r="Q24" s="73">
        <f t="shared" si="22"/>
        <v>962.388</v>
      </c>
      <c r="R24" s="83">
        <f t="shared" si="22"/>
        <v>1048.572</v>
      </c>
      <c r="S24" s="82" t="s">
        <v>8</v>
      </c>
      <c r="T24" s="57">
        <f t="shared" ref="T24:T26" si="23">SUM(F24/2,G24:Q24,R24/2)/12</f>
        <v>835.09122</v>
      </c>
    </row>
    <row r="25" ht="15.75" spans="2:20">
      <c r="B25" s="1"/>
      <c r="C25" s="17"/>
      <c r="D25" s="68" t="s">
        <v>20</v>
      </c>
      <c r="F25" s="51">
        <f t="shared" si="21"/>
        <v>1532</v>
      </c>
      <c r="G25" s="72">
        <f>G23-G24-G26</f>
        <v>874.3344</v>
      </c>
      <c r="H25" s="73">
        <f t="shared" ref="H25" si="24">H23-H24-H26</f>
        <v>1706.2</v>
      </c>
      <c r="I25" s="73">
        <f t="shared" ref="I25" si="25">I23-I24-I26</f>
        <v>1190.92</v>
      </c>
      <c r="J25" s="73">
        <f t="shared" ref="J25" si="26">J23-J24-J26</f>
        <v>1166.98</v>
      </c>
      <c r="K25" s="73">
        <f t="shared" ref="K25" si="27">K23-K24-K26</f>
        <v>1322.78</v>
      </c>
      <c r="L25" s="73">
        <f t="shared" ref="L25" si="28">L23-L24-L26</f>
        <v>1199.66</v>
      </c>
      <c r="M25" s="73">
        <f t="shared" ref="M25" si="29">M23-M24-M26</f>
        <v>1578.9</v>
      </c>
      <c r="N25" s="73">
        <f t="shared" ref="N25" si="30">N23-N24-N26</f>
        <v>1165.46</v>
      </c>
      <c r="O25" s="73">
        <f t="shared" ref="O25" si="31">O23-O24-O26</f>
        <v>1427.28</v>
      </c>
      <c r="P25" s="73">
        <f t="shared" ref="P25" si="32">P23-P24-P26</f>
        <v>1825.52</v>
      </c>
      <c r="Q25" s="73">
        <f t="shared" ref="Q25" si="33">Q23-Q24-Q26</f>
        <v>1603.98</v>
      </c>
      <c r="R25" s="83">
        <f t="shared" ref="R25" si="34">R23-R24-R26</f>
        <v>1747.62</v>
      </c>
      <c r="S25" s="82" t="s">
        <v>8</v>
      </c>
      <c r="T25" s="57">
        <f t="shared" si="23"/>
        <v>1391.8187</v>
      </c>
    </row>
    <row r="26" ht="15.75" spans="2:20">
      <c r="B26" s="1"/>
      <c r="C26" s="17"/>
      <c r="D26" s="68" t="s">
        <v>21</v>
      </c>
      <c r="F26" s="51">
        <f t="shared" si="21"/>
        <v>612.8</v>
      </c>
      <c r="G26" s="72">
        <f>G$23*0.2</f>
        <v>349.73376</v>
      </c>
      <c r="H26" s="73">
        <f t="shared" ref="H26:R26" si="35">H$23*0.2</f>
        <v>682.48</v>
      </c>
      <c r="I26" s="73">
        <f t="shared" si="35"/>
        <v>476.368</v>
      </c>
      <c r="J26" s="73">
        <f t="shared" si="35"/>
        <v>466.792</v>
      </c>
      <c r="K26" s="73">
        <f t="shared" si="35"/>
        <v>529.112</v>
      </c>
      <c r="L26" s="73">
        <f t="shared" si="35"/>
        <v>479.864</v>
      </c>
      <c r="M26" s="73">
        <f t="shared" si="35"/>
        <v>631.56</v>
      </c>
      <c r="N26" s="73">
        <f t="shared" si="35"/>
        <v>466.184</v>
      </c>
      <c r="O26" s="73">
        <f t="shared" si="35"/>
        <v>570.912</v>
      </c>
      <c r="P26" s="73">
        <f t="shared" si="35"/>
        <v>730.208</v>
      </c>
      <c r="Q26" s="73">
        <f t="shared" si="35"/>
        <v>641.592</v>
      </c>
      <c r="R26" s="83">
        <f t="shared" si="35"/>
        <v>699.048</v>
      </c>
      <c r="S26" s="82" t="s">
        <v>8</v>
      </c>
      <c r="T26" s="57">
        <f t="shared" si="23"/>
        <v>556.72748</v>
      </c>
    </row>
    <row r="27" spans="3:20">
      <c r="C27" s="17" t="s">
        <v>22</v>
      </c>
      <c r="D27" s="68"/>
      <c r="G27" s="74">
        <f>30/(G22/((F23+G23)/2))</f>
        <v>9.4124898299781</v>
      </c>
      <c r="H27" s="46">
        <f t="shared" ref="H27:R27" si="36">30/(H22/((G23+H23)/2))</f>
        <v>10.5655682934818</v>
      </c>
      <c r="I27" s="46">
        <f t="shared" si="36"/>
        <v>9.74280333602367</v>
      </c>
      <c r="J27" s="46">
        <f t="shared" si="36"/>
        <v>8.83240934971531</v>
      </c>
      <c r="K27" s="46">
        <f t="shared" si="36"/>
        <v>10.1783495039791</v>
      </c>
      <c r="L27" s="46">
        <f t="shared" si="36"/>
        <v>8.56574300461831</v>
      </c>
      <c r="M27" s="46">
        <f t="shared" si="36"/>
        <v>10.0352499277665</v>
      </c>
      <c r="N27" s="46">
        <f t="shared" si="36"/>
        <v>9.62708138447147</v>
      </c>
      <c r="O27" s="46">
        <f t="shared" si="36"/>
        <v>8.86225047853432</v>
      </c>
      <c r="P27" s="46">
        <f t="shared" si="36"/>
        <v>12.64434539235</v>
      </c>
      <c r="Q27" s="46">
        <f t="shared" si="36"/>
        <v>13.2324570429056</v>
      </c>
      <c r="R27" s="84">
        <f t="shared" si="36"/>
        <v>10.9615384615385</v>
      </c>
      <c r="S27" s="82" t="s">
        <v>8</v>
      </c>
      <c r="T27" s="59">
        <f>360/(S22/T23)</f>
        <v>10.1840392682927</v>
      </c>
    </row>
    <row r="28" spans="3:20">
      <c r="C28" s="75" t="s">
        <v>23</v>
      </c>
      <c r="D28" s="76"/>
      <c r="G28" s="77">
        <f t="shared" ref="G28:R28" si="37">G23*$E$4/12</f>
        <v>17.486688</v>
      </c>
      <c r="H28" s="78">
        <f t="shared" si="37"/>
        <v>34.124</v>
      </c>
      <c r="I28" s="78">
        <f t="shared" si="37"/>
        <v>23.8184</v>
      </c>
      <c r="J28" s="78">
        <f t="shared" si="37"/>
        <v>23.3396</v>
      </c>
      <c r="K28" s="78">
        <f t="shared" si="37"/>
        <v>26.4556</v>
      </c>
      <c r="L28" s="78">
        <f t="shared" si="37"/>
        <v>23.9932</v>
      </c>
      <c r="M28" s="78">
        <f t="shared" si="37"/>
        <v>31.578</v>
      </c>
      <c r="N28" s="78">
        <f t="shared" si="37"/>
        <v>23.3092</v>
      </c>
      <c r="O28" s="78">
        <f t="shared" si="37"/>
        <v>28.5456</v>
      </c>
      <c r="P28" s="78">
        <f t="shared" si="37"/>
        <v>36.5104</v>
      </c>
      <c r="Q28" s="78">
        <f t="shared" si="37"/>
        <v>32.0796</v>
      </c>
      <c r="R28" s="85">
        <f t="shared" si="37"/>
        <v>34.9524</v>
      </c>
      <c r="S28" s="60">
        <f>SUM(G28:R28)</f>
        <v>336.192688</v>
      </c>
      <c r="T28" s="61" t="s">
        <v>8</v>
      </c>
    </row>
    <row r="29" spans="7:18"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S20"/>
  <sheetViews>
    <sheetView workbookViewId="0">
      <pane xSplit="5" ySplit="3" topLeftCell="F4" activePane="bottomRight" state="frozen"/>
      <selection/>
      <selection pane="topRight"/>
      <selection pane="bottomLeft"/>
      <selection pane="bottomRight" activeCell="I25" sqref="I25"/>
    </sheetView>
  </sheetViews>
  <sheetFormatPr defaultColWidth="9" defaultRowHeight="14.25"/>
  <cols>
    <col min="2" max="2" width="3" customWidth="1"/>
    <col min="3" max="3" width="22.6666666666667" customWidth="1"/>
    <col min="4" max="4" width="4.55833333333333" customWidth="1"/>
    <col min="5" max="5" width="9.55833333333333" customWidth="1"/>
    <col min="6" max="17" width="8.10833333333333" customWidth="1"/>
    <col min="18" max="18" width="9.10833333333333" customWidth="1"/>
    <col min="19" max="19" width="7.10833333333333" customWidth="1"/>
  </cols>
  <sheetData>
    <row r="1" spans="2:2">
      <c r="B1" t="s">
        <v>24</v>
      </c>
    </row>
    <row r="3" spans="2:19">
      <c r="B3" s="32" t="s">
        <v>2</v>
      </c>
      <c r="C3" s="33"/>
      <c r="E3" t="s">
        <v>3</v>
      </c>
      <c r="F3" s="34">
        <v>1</v>
      </c>
      <c r="G3" s="34">
        <v>2</v>
      </c>
      <c r="H3" s="34">
        <v>3</v>
      </c>
      <c r="I3" s="34">
        <v>4</v>
      </c>
      <c r="J3" s="34">
        <v>5</v>
      </c>
      <c r="K3" s="34">
        <v>6</v>
      </c>
      <c r="L3" s="34">
        <v>7</v>
      </c>
      <c r="M3" s="34">
        <v>8</v>
      </c>
      <c r="N3" s="34">
        <v>9</v>
      </c>
      <c r="O3" s="34">
        <v>10</v>
      </c>
      <c r="P3" s="34">
        <v>11</v>
      </c>
      <c r="Q3" s="34">
        <v>12</v>
      </c>
      <c r="R3" s="53" t="s">
        <v>4</v>
      </c>
      <c r="S3" s="53" t="s">
        <v>5</v>
      </c>
    </row>
    <row r="4" ht="24.6" customHeight="1" spans="2:5">
      <c r="B4" t="s">
        <v>6</v>
      </c>
      <c r="D4" s="35">
        <f>主页!D6</f>
        <v>0.12</v>
      </c>
      <c r="E4" s="35"/>
    </row>
    <row r="5" ht="15.75" spans="2:17">
      <c r="B5" s="36" t="str">
        <f>"实际"&amp;YEAR(主页!$D$5)-1</f>
        <v>实际2020</v>
      </c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</row>
    <row r="6" ht="15.75" spans="2:19">
      <c r="B6" s="1"/>
      <c r="C6" s="38" t="s">
        <v>16</v>
      </c>
      <c r="F6" s="39">
        <v>8400</v>
      </c>
      <c r="G6" s="40">
        <v>7960.8</v>
      </c>
      <c r="H6" s="40">
        <v>8793.6</v>
      </c>
      <c r="I6" s="40">
        <v>7406.4</v>
      </c>
      <c r="J6" s="40">
        <v>9234.4</v>
      </c>
      <c r="K6" s="40">
        <v>7676.8</v>
      </c>
      <c r="L6" s="40">
        <v>8732</v>
      </c>
      <c r="M6" s="40">
        <v>7518.4</v>
      </c>
      <c r="N6" s="40">
        <v>8717.6</v>
      </c>
      <c r="O6" s="40">
        <v>8681.6</v>
      </c>
      <c r="P6" s="40">
        <v>7959.2</v>
      </c>
      <c r="Q6" s="54">
        <v>9173.6</v>
      </c>
      <c r="R6" s="55">
        <f>SUM(F6:Q6)</f>
        <v>100254.4</v>
      </c>
      <c r="S6" s="55" t="s">
        <v>8</v>
      </c>
    </row>
    <row r="7" ht="15.75" spans="2:19">
      <c r="B7" s="1"/>
      <c r="C7" s="41" t="s">
        <v>25</v>
      </c>
      <c r="E7" s="42">
        <v>1812</v>
      </c>
      <c r="F7" s="43">
        <v>1777.5</v>
      </c>
      <c r="G7" s="44">
        <v>1658</v>
      </c>
      <c r="H7" s="44">
        <v>2365.5</v>
      </c>
      <c r="I7" s="44">
        <v>2439.5</v>
      </c>
      <c r="J7" s="44">
        <v>1906</v>
      </c>
      <c r="K7" s="44">
        <v>2346</v>
      </c>
      <c r="L7" s="44">
        <v>1728.5</v>
      </c>
      <c r="M7" s="44">
        <v>1913</v>
      </c>
      <c r="N7" s="44">
        <v>1581</v>
      </c>
      <c r="O7" s="44">
        <v>1920</v>
      </c>
      <c r="P7" s="44">
        <v>2217</v>
      </c>
      <c r="Q7" s="56">
        <v>1796.5</v>
      </c>
      <c r="R7" s="57" t="s">
        <v>8</v>
      </c>
      <c r="S7" s="57">
        <f>SUM(E7/2,F7:P7,Q7/2)/12</f>
        <v>1971.35416666667</v>
      </c>
    </row>
    <row r="8" ht="15.75" spans="2:19">
      <c r="B8" s="1"/>
      <c r="C8" s="41" t="s">
        <v>26</v>
      </c>
      <c r="F8" s="45">
        <f>30/(F6/((E7+F7)/2))</f>
        <v>6.40982142857143</v>
      </c>
      <c r="G8" s="46">
        <f>30/(G6/((F7+G7)/2))</f>
        <v>6.47328157974073</v>
      </c>
      <c r="H8" s="46">
        <f t="shared" ref="H8:Q8" si="0">30/(H6/((G7+H7)/2))</f>
        <v>6.86323007641921</v>
      </c>
      <c r="I8" s="46">
        <f t="shared" si="0"/>
        <v>9.73144847699287</v>
      </c>
      <c r="J8" s="46">
        <f t="shared" si="0"/>
        <v>7.0586610933033</v>
      </c>
      <c r="K8" s="46">
        <f t="shared" si="0"/>
        <v>8.30814922884535</v>
      </c>
      <c r="L8" s="46">
        <f t="shared" si="0"/>
        <v>6.99925561154375</v>
      </c>
      <c r="M8" s="46">
        <f t="shared" si="0"/>
        <v>7.26517610129815</v>
      </c>
      <c r="N8" s="46">
        <f t="shared" si="0"/>
        <v>6.01197577314857</v>
      </c>
      <c r="O8" s="46">
        <f t="shared" si="0"/>
        <v>6.04900018429782</v>
      </c>
      <c r="P8" s="46">
        <f t="shared" si="0"/>
        <v>7.79663785305056</v>
      </c>
      <c r="Q8" s="58">
        <f t="shared" si="0"/>
        <v>6.56258175634429</v>
      </c>
      <c r="R8" s="57" t="s">
        <v>8</v>
      </c>
      <c r="S8" s="59">
        <f>360/(R6/S7)</f>
        <v>7.07886636397006</v>
      </c>
    </row>
    <row r="9" ht="15.75" spans="2:19">
      <c r="B9" s="1"/>
      <c r="C9" s="47" t="s">
        <v>27</v>
      </c>
      <c r="F9" s="48">
        <f t="shared" ref="F9:Q9" si="1">F7*$D$4/12</f>
        <v>17.775</v>
      </c>
      <c r="G9" s="49">
        <f t="shared" si="1"/>
        <v>16.58</v>
      </c>
      <c r="H9" s="49">
        <f t="shared" si="1"/>
        <v>23.655</v>
      </c>
      <c r="I9" s="49">
        <f t="shared" si="1"/>
        <v>24.395</v>
      </c>
      <c r="J9" s="49">
        <f t="shared" si="1"/>
        <v>19.06</v>
      </c>
      <c r="K9" s="49">
        <f t="shared" si="1"/>
        <v>23.46</v>
      </c>
      <c r="L9" s="49">
        <f t="shared" si="1"/>
        <v>17.285</v>
      </c>
      <c r="M9" s="49">
        <f t="shared" si="1"/>
        <v>19.13</v>
      </c>
      <c r="N9" s="49">
        <f t="shared" si="1"/>
        <v>15.81</v>
      </c>
      <c r="O9" s="49">
        <f t="shared" si="1"/>
        <v>19.2</v>
      </c>
      <c r="P9" s="49">
        <f t="shared" si="1"/>
        <v>22.17</v>
      </c>
      <c r="Q9" s="60">
        <f t="shared" si="1"/>
        <v>17.965</v>
      </c>
      <c r="R9" s="61">
        <f>SUM(F9:Q9)</f>
        <v>236.485</v>
      </c>
      <c r="S9" s="61" t="s">
        <v>8</v>
      </c>
    </row>
    <row r="10" ht="15.75" spans="2:18">
      <c r="B10" s="36" t="str">
        <f>"实际/估计"&amp;YEAR(主页!$D$5)</f>
        <v>实际/估计2021</v>
      </c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42"/>
    </row>
    <row r="11" ht="15.75" spans="2:19">
      <c r="B11" s="1"/>
      <c r="C11" s="38" t="s">
        <v>16</v>
      </c>
      <c r="F11" s="39">
        <v>9144.8</v>
      </c>
      <c r="G11" s="40">
        <v>8951.2</v>
      </c>
      <c r="H11" s="40">
        <v>7680</v>
      </c>
      <c r="I11" s="40">
        <v>7336</v>
      </c>
      <c r="J11" s="40">
        <v>7608.8</v>
      </c>
      <c r="K11" s="40">
        <v>7887.2</v>
      </c>
      <c r="L11" s="40">
        <v>8568.8</v>
      </c>
      <c r="M11" s="40">
        <v>8757.6</v>
      </c>
      <c r="N11" s="40">
        <v>9104</v>
      </c>
      <c r="O11" s="40">
        <v>8613.6</v>
      </c>
      <c r="P11" s="40">
        <v>8500.8</v>
      </c>
      <c r="Q11" s="54">
        <v>8527.2</v>
      </c>
      <c r="R11" s="55">
        <f>SUM(F11:Q11)</f>
        <v>100680</v>
      </c>
      <c r="S11" s="55" t="s">
        <v>8</v>
      </c>
    </row>
    <row r="12" ht="15.75" spans="2:19">
      <c r="B12" s="1"/>
      <c r="C12" s="41" t="s">
        <v>25</v>
      </c>
      <c r="E12" s="51">
        <f>Q7</f>
        <v>1796.5</v>
      </c>
      <c r="F12" s="43">
        <v>2234</v>
      </c>
      <c r="G12" s="44">
        <v>2352.5</v>
      </c>
      <c r="H12" s="44">
        <v>1729</v>
      </c>
      <c r="I12" s="44">
        <v>2258.5</v>
      </c>
      <c r="J12" s="44">
        <v>2210</v>
      </c>
      <c r="K12" s="44">
        <v>2247.5</v>
      </c>
      <c r="L12" s="44">
        <v>1628</v>
      </c>
      <c r="M12" s="44">
        <v>1586.5</v>
      </c>
      <c r="N12" s="44">
        <v>1597.5</v>
      </c>
      <c r="O12" s="44">
        <v>1925</v>
      </c>
      <c r="P12" s="44">
        <v>1832</v>
      </c>
      <c r="Q12" s="56">
        <v>1532</v>
      </c>
      <c r="R12" s="57" t="s">
        <v>8</v>
      </c>
      <c r="S12" s="57">
        <f>SUM(E12/2,F12:P12,Q12/2)/12</f>
        <v>1938.72916666667</v>
      </c>
    </row>
    <row r="13" ht="15.75" spans="2:19">
      <c r="B13" s="1"/>
      <c r="C13" s="41" t="s">
        <v>26</v>
      </c>
      <c r="F13" s="45">
        <f>30/(F11/((E12+F12)/2))</f>
        <v>6.61113419648325</v>
      </c>
      <c r="G13" s="46">
        <f>30/(G11/((F12+G12)/2))</f>
        <v>7.68584100455805</v>
      </c>
      <c r="H13" s="46">
        <f t="shared" ref="H13" si="2">30/(H11/((G12+H12)/2))</f>
        <v>7.9716796875</v>
      </c>
      <c r="I13" s="46">
        <f t="shared" ref="I13" si="3">30/(I11/((H12+I12)/2))</f>
        <v>8.15328516902944</v>
      </c>
      <c r="J13" s="46">
        <f t="shared" ref="J13" si="4">30/(J11/((I12+J12)/2))</f>
        <v>8.80920775943644</v>
      </c>
      <c r="K13" s="46">
        <f t="shared" ref="K13" si="5">30/(K11/((J12+K12)/2))</f>
        <v>8.47734303681915</v>
      </c>
      <c r="L13" s="46">
        <f t="shared" ref="L13" si="6">30/(L11/((K12+L12)/2))</f>
        <v>6.7842054896835</v>
      </c>
      <c r="M13" s="46">
        <f t="shared" ref="M13" si="7">30/(M11/((L12+M12)/2))</f>
        <v>5.50578925733077</v>
      </c>
      <c r="N13" s="46">
        <f t="shared" ref="N13" si="8">30/(N11/((M12+N12)/2))</f>
        <v>5.24604569420035</v>
      </c>
      <c r="O13" s="46">
        <f t="shared" ref="O13" si="9">30/(O11/((N12+O12)/2))</f>
        <v>6.13419476177208</v>
      </c>
      <c r="P13" s="46">
        <f t="shared" ref="P13" si="10">30/(P11/((O12+P12)/2))</f>
        <v>6.62937605872388</v>
      </c>
      <c r="Q13" s="58">
        <f t="shared" ref="Q13" si="11">30/(Q11/((P12+Q12)/2))</f>
        <v>5.91753447790599</v>
      </c>
      <c r="R13" s="57" t="s">
        <v>8</v>
      </c>
      <c r="S13" s="59">
        <f>360/(R11/S12)</f>
        <v>6.93228545887962</v>
      </c>
    </row>
    <row r="14" ht="15.75" spans="2:19">
      <c r="B14" s="1"/>
      <c r="C14" s="47" t="s">
        <v>27</v>
      </c>
      <c r="F14" s="48">
        <f t="shared" ref="F14:Q14" si="12">F12*$D$4/12</f>
        <v>22.34</v>
      </c>
      <c r="G14" s="49">
        <f t="shared" si="12"/>
        <v>23.525</v>
      </c>
      <c r="H14" s="49">
        <f t="shared" si="12"/>
        <v>17.29</v>
      </c>
      <c r="I14" s="49">
        <f t="shared" si="12"/>
        <v>22.585</v>
      </c>
      <c r="J14" s="49">
        <f t="shared" si="12"/>
        <v>22.1</v>
      </c>
      <c r="K14" s="49">
        <f t="shared" si="12"/>
        <v>22.475</v>
      </c>
      <c r="L14" s="49">
        <f t="shared" si="12"/>
        <v>16.28</v>
      </c>
      <c r="M14" s="49">
        <f t="shared" si="12"/>
        <v>15.865</v>
      </c>
      <c r="N14" s="49">
        <f t="shared" si="12"/>
        <v>15.975</v>
      </c>
      <c r="O14" s="49">
        <f t="shared" si="12"/>
        <v>19.25</v>
      </c>
      <c r="P14" s="49">
        <f t="shared" si="12"/>
        <v>18.32</v>
      </c>
      <c r="Q14" s="60">
        <f t="shared" si="12"/>
        <v>15.32</v>
      </c>
      <c r="R14" s="61">
        <f>SUM(F14:Q14)</f>
        <v>231.325</v>
      </c>
      <c r="S14" s="61" t="s">
        <v>8</v>
      </c>
    </row>
    <row r="15" ht="15.75" spans="2:17">
      <c r="B15" s="36" t="str">
        <f>"预算"&amp;YEAR(主页!$D$5)+1</f>
        <v>预算2022</v>
      </c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</row>
    <row r="16" ht="15.75" spans="2:19">
      <c r="B16" s="1"/>
      <c r="C16" s="38" t="s">
        <v>16</v>
      </c>
      <c r="F16" s="39">
        <v>7669.6</v>
      </c>
      <c r="G16" s="40">
        <v>7327.2</v>
      </c>
      <c r="H16" s="40">
        <v>8920.8</v>
      </c>
      <c r="I16" s="40">
        <v>8008.8</v>
      </c>
      <c r="J16" s="40">
        <v>7338.4</v>
      </c>
      <c r="K16" s="40">
        <v>8834.4</v>
      </c>
      <c r="L16" s="40">
        <v>8306.4</v>
      </c>
      <c r="M16" s="40">
        <v>8552</v>
      </c>
      <c r="N16" s="40">
        <v>8776.8</v>
      </c>
      <c r="O16" s="40">
        <v>7717.6</v>
      </c>
      <c r="P16" s="40">
        <v>7775.2</v>
      </c>
      <c r="Q16" s="54">
        <v>9172.8</v>
      </c>
      <c r="R16" s="55">
        <f>SUM(F16:Q16)</f>
        <v>98400</v>
      </c>
      <c r="S16" s="55" t="s">
        <v>8</v>
      </c>
    </row>
    <row r="17" ht="15.75" spans="2:19">
      <c r="B17" s="1"/>
      <c r="C17" s="41" t="s">
        <v>25</v>
      </c>
      <c r="E17" s="51">
        <f>Q12</f>
        <v>1532</v>
      </c>
      <c r="F17" s="43">
        <v>1968</v>
      </c>
      <c r="G17" s="44">
        <v>1796</v>
      </c>
      <c r="H17" s="44">
        <v>1253.6</v>
      </c>
      <c r="I17" s="44">
        <v>1228.4</v>
      </c>
      <c r="J17" s="44">
        <v>1392.4</v>
      </c>
      <c r="K17" s="44">
        <v>1262.8</v>
      </c>
      <c r="L17" s="44">
        <v>1662</v>
      </c>
      <c r="M17" s="44">
        <v>1226.8</v>
      </c>
      <c r="N17" s="44">
        <v>1502.4</v>
      </c>
      <c r="O17" s="44">
        <v>1921.6</v>
      </c>
      <c r="P17" s="44">
        <v>1688.4</v>
      </c>
      <c r="Q17" s="56">
        <v>1839.6</v>
      </c>
      <c r="R17" s="57" t="s">
        <v>8</v>
      </c>
      <c r="S17" s="57">
        <f>SUM(E17/2,F17:P17,Q17/2)/12</f>
        <v>1549.01666666667</v>
      </c>
    </row>
    <row r="18" ht="15.75" spans="2:19">
      <c r="B18" s="1"/>
      <c r="C18" s="41" t="s">
        <v>26</v>
      </c>
      <c r="F18" s="45">
        <f>30/(F16/((E17+F17)/2))</f>
        <v>6.84520705121519</v>
      </c>
      <c r="G18" s="46">
        <f>30/(G16/((F17+G17)/2))</f>
        <v>7.70553553881428</v>
      </c>
      <c r="H18" s="46">
        <f t="shared" ref="H18" si="13">30/(H16/((G17+H17)/2))</f>
        <v>5.12779122948614</v>
      </c>
      <c r="I18" s="46">
        <f t="shared" ref="I18" si="14">30/(I16/((H17+I17)/2))</f>
        <v>4.64863649985016</v>
      </c>
      <c r="J18" s="46">
        <f t="shared" ref="J18" si="15">30/(J16/((I17+J17)/2))</f>
        <v>5.35702605472583</v>
      </c>
      <c r="K18" s="46">
        <f t="shared" ref="K18" si="16">30/(K16/((J17+K17)/2))</f>
        <v>4.50828579190437</v>
      </c>
      <c r="L18" s="46">
        <f t="shared" ref="L18" si="17">30/(L16/((K17+L17)/2))</f>
        <v>5.28171048829818</v>
      </c>
      <c r="M18" s="46">
        <f t="shared" ref="M18" si="18">30/(M16/((L17+M17)/2))</f>
        <v>5.06688493919551</v>
      </c>
      <c r="N18" s="46">
        <f t="shared" ref="N18" si="19">30/(N16/((M17+N17)/2))</f>
        <v>4.66434235712332</v>
      </c>
      <c r="O18" s="46">
        <f t="shared" ref="O18" si="20">30/(O16/((N17+O17)/2))</f>
        <v>6.65491862755261</v>
      </c>
      <c r="P18" s="46">
        <f t="shared" ref="P18" si="21">30/(P16/((O17+P17)/2))</f>
        <v>6.9644510752135</v>
      </c>
      <c r="Q18" s="58">
        <f t="shared" ref="Q18" si="22">30/(Q16/((P17+Q17)/2))</f>
        <v>5.76923076923077</v>
      </c>
      <c r="R18" s="57" t="s">
        <v>8</v>
      </c>
      <c r="S18" s="59">
        <f>360/(R16/S17)</f>
        <v>5.66713414634146</v>
      </c>
    </row>
    <row r="19" spans="3:19">
      <c r="C19" s="47" t="s">
        <v>27</v>
      </c>
      <c r="F19" s="48">
        <f t="shared" ref="F19:Q19" si="23">F17*$D$4/12</f>
        <v>19.68</v>
      </c>
      <c r="G19" s="49">
        <f t="shared" si="23"/>
        <v>17.96</v>
      </c>
      <c r="H19" s="49">
        <f t="shared" si="23"/>
        <v>12.536</v>
      </c>
      <c r="I19" s="49">
        <f t="shared" si="23"/>
        <v>12.284</v>
      </c>
      <c r="J19" s="49">
        <f t="shared" si="23"/>
        <v>13.924</v>
      </c>
      <c r="K19" s="49">
        <f t="shared" si="23"/>
        <v>12.628</v>
      </c>
      <c r="L19" s="49">
        <f t="shared" si="23"/>
        <v>16.62</v>
      </c>
      <c r="M19" s="49">
        <f t="shared" si="23"/>
        <v>12.268</v>
      </c>
      <c r="N19" s="49">
        <f t="shared" si="23"/>
        <v>15.024</v>
      </c>
      <c r="O19" s="49">
        <f t="shared" si="23"/>
        <v>19.216</v>
      </c>
      <c r="P19" s="49">
        <f t="shared" si="23"/>
        <v>16.884</v>
      </c>
      <c r="Q19" s="60">
        <f t="shared" si="23"/>
        <v>18.396</v>
      </c>
      <c r="R19" s="61">
        <f>SUM(F19:Q19)</f>
        <v>187.42</v>
      </c>
      <c r="S19" s="61" t="s">
        <v>8</v>
      </c>
    </row>
    <row r="20" spans="6:17"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P28"/>
  <sheetViews>
    <sheetView tabSelected="1" workbookViewId="0">
      <pane xSplit="4" ySplit="7" topLeftCell="E8" activePane="bottomRight" state="frozen"/>
      <selection/>
      <selection pane="topRight"/>
      <selection pane="bottomLeft"/>
      <selection pane="bottomRight" activeCell="N18" sqref="N18"/>
    </sheetView>
  </sheetViews>
  <sheetFormatPr defaultColWidth="9" defaultRowHeight="15.75"/>
  <cols>
    <col min="2" max="2" width="3.775" style="1" customWidth="1"/>
    <col min="3" max="3" width="26.2166666666667" customWidth="1"/>
    <col min="4" max="4" width="2.88333333333333" style="2" customWidth="1"/>
    <col min="5" max="5" width="13.8833333333333" customWidth="1"/>
    <col min="6" max="6" width="2.88333333333333" style="2" customWidth="1"/>
    <col min="7" max="7" width="19.2166666666667" customWidth="1"/>
    <col min="8" max="8" width="2.88333333333333" style="2" customWidth="1"/>
    <col min="9" max="9" width="24.6666666666667" customWidth="1"/>
    <col min="10" max="10" width="2.88333333333333" style="2" customWidth="1"/>
    <col min="11" max="11" width="13.8833333333333" customWidth="1"/>
    <col min="12" max="12" width="2.88333333333333" style="2" customWidth="1"/>
    <col min="13" max="13" width="13.8833333333333" customWidth="1"/>
    <col min="15" max="15" width="10.5583333333333" customWidth="1"/>
    <col min="16" max="16" width="9.55833333333333" customWidth="1"/>
  </cols>
  <sheetData>
    <row r="3" ht="16.5" spans="2:13">
      <c r="B3" s="1" t="s">
        <v>28</v>
      </c>
      <c r="K3" s="27"/>
      <c r="M3" s="28">
        <v>0.008</v>
      </c>
    </row>
    <row r="4" spans="13:13">
      <c r="M4" t="str">
        <f>IF(M28&lt;=M3,"已校准","未校准")</f>
        <v>已校准</v>
      </c>
    </row>
    <row r="6" ht="16.5" spans="2:13">
      <c r="B6" s="3"/>
      <c r="C6" s="4"/>
      <c r="E6" s="5" t="str">
        <f>"实际"&amp;YEAR(主页!$D$5)-1&amp;"全年"</f>
        <v>实际2020全年</v>
      </c>
      <c r="G6" s="5" t="str">
        <f>"实际"&amp;"截止"&amp;YEAR(主页!$D$5)-1&amp;"年"&amp;MONTH(主页!$D$5)&amp;"月"</f>
        <v>实际截止2020年10月</v>
      </c>
      <c r="I6" s="5" t="str">
        <f>"估计"&amp;"从"&amp;YEAR(主页!$D$5)-1&amp;"年"&amp;MONTH(主页!$D$5)+1&amp;"月到年底"</f>
        <v>估计从2020年11月到年底</v>
      </c>
      <c r="K6" s="5" t="str">
        <f>"估计"&amp;YEAR(主页!$D$5)&amp;"全年"</f>
        <v>估计2021全年</v>
      </c>
      <c r="M6" s="29" t="str">
        <f>"预算"&amp;YEAR(主页!$D$5)+1&amp;"全年"</f>
        <v>预算2022全年</v>
      </c>
    </row>
    <row r="7" ht="21" spans="2:13">
      <c r="B7" s="3"/>
      <c r="C7" s="4"/>
      <c r="E7" s="6" t="str">
        <f>"A"&amp;YEAR(主页!$D$5)-1&amp;"FY"</f>
        <v>A2020FY</v>
      </c>
      <c r="G7" s="6" t="str">
        <f>"A"&amp;YEAR([1]主页!$D$5)&amp;TEXT(MONTH([1]主页!$D$5),"00")&amp;"YTD"</f>
        <v>A202109YTD</v>
      </c>
      <c r="I7" s="6" t="str">
        <f>"E"&amp;YEAR([1]主页!$D$5)&amp;TEXT(MONTH([1]主页!$D$5),"00")&amp;"YTG"</f>
        <v>E202109YTG</v>
      </c>
      <c r="K7" s="6" t="str">
        <f>"E"&amp;YEAR([1]主页!$D$5)&amp;"FY"</f>
        <v>E2021FY</v>
      </c>
      <c r="M7" s="30" t="str">
        <f>"B"&amp;YEAR([1]主页!$D$5)+1&amp;"FY"</f>
        <v>B2022FY</v>
      </c>
    </row>
    <row r="8" spans="1:13">
      <c r="A8" s="2"/>
      <c r="B8" s="7"/>
      <c r="C8" s="8"/>
      <c r="E8" s="9"/>
      <c r="G8" s="9"/>
      <c r="I8" s="9"/>
      <c r="K8" s="9"/>
      <c r="M8" s="9"/>
    </row>
    <row r="9" spans="1:13">
      <c r="A9" s="2"/>
      <c r="B9" s="10" t="s">
        <v>7</v>
      </c>
      <c r="C9" s="11"/>
      <c r="E9" s="12">
        <f>应收账款!R6</f>
        <v>125318</v>
      </c>
      <c r="G9" s="12">
        <f>SUMIFS(应收账款!$F$11:$Q$11,应收账款!$F$3:$Q$3,"&lt;="&amp;MONTH(主页!$D$5))</f>
        <v>104565</v>
      </c>
      <c r="I9" s="12">
        <f>SUMIFS(应收账款!$F$11:$Q$11,应收账款!$F$3:$Q$3,"&gt;"&amp;MONTH(主页!$D$5))</f>
        <v>21285</v>
      </c>
      <c r="K9" s="12">
        <f>应收账款!R11</f>
        <v>125850</v>
      </c>
      <c r="M9" s="12">
        <f>应收账款!R16</f>
        <v>123000</v>
      </c>
    </row>
    <row r="10" spans="1:13">
      <c r="A10" s="2"/>
      <c r="B10" s="13" t="s">
        <v>29</v>
      </c>
      <c r="C10" s="14"/>
      <c r="E10" s="15"/>
      <c r="G10" s="15"/>
      <c r="I10" s="15"/>
      <c r="K10" s="15"/>
      <c r="M10" s="15"/>
    </row>
    <row r="11" spans="1:13">
      <c r="A11" s="2"/>
      <c r="B11" s="16"/>
      <c r="C11" s="17" t="s">
        <v>30</v>
      </c>
      <c r="E11" s="18">
        <f>应收账款!Q7</f>
        <v>3593</v>
      </c>
      <c r="G11" s="18">
        <f>INDEX(应收账款!$12:$12,1,MATCH(MONTH(主页!$D$5),应收账款!$3:$3,0))</f>
        <v>3850</v>
      </c>
      <c r="I11" s="18">
        <f>INDEX(应收账款!$12:$12,1,MATCH(12,应收账款!$3:$3,0))</f>
        <v>3064</v>
      </c>
      <c r="K11" s="18">
        <f>应收账款!Q12</f>
        <v>3064</v>
      </c>
      <c r="M11" s="18">
        <f>应收账款!Q17</f>
        <v>4599</v>
      </c>
    </row>
    <row r="12" spans="1:13">
      <c r="A12" s="2"/>
      <c r="B12" s="16"/>
      <c r="C12" s="17" t="s">
        <v>31</v>
      </c>
      <c r="E12" s="18">
        <f>应付账款!Q7</f>
        <v>2155.8</v>
      </c>
      <c r="G12" s="18">
        <f>INDEX(应付账款!$12:$12,1,MATCH(MONTH(主页!$D$5),应收账款!$3:$3,0))</f>
        <v>2310</v>
      </c>
      <c r="I12" s="18">
        <f>INDEX(应付账款!$12:$12,1,MATCH(12,应收账款!$3:$3,0))</f>
        <v>1838.4</v>
      </c>
      <c r="K12" s="18">
        <f>应付账款!Q12</f>
        <v>1838.4</v>
      </c>
      <c r="M12" s="18">
        <f>应付账款!Q17</f>
        <v>2759.4</v>
      </c>
    </row>
    <row r="13" spans="1:13">
      <c r="A13" s="2"/>
      <c r="B13" s="16"/>
      <c r="C13" s="17" t="s">
        <v>17</v>
      </c>
      <c r="E13" s="18">
        <f>存货!R7</f>
        <v>3125.91</v>
      </c>
      <c r="G13" s="18">
        <f>INDEX(存货!$15:$15,1,MATCH(MONTH(主页!$D$5),存货!$3:$3,0))</f>
        <v>3850</v>
      </c>
      <c r="I13" s="18">
        <f>INDEX(存货!$15:$15,1,MATCH(12,存货!$3:$3,0))</f>
        <v>3064</v>
      </c>
      <c r="K13" s="18">
        <f>存货!R15</f>
        <v>3064</v>
      </c>
      <c r="M13" s="18">
        <f>存货!R23</f>
        <v>3495.24</v>
      </c>
    </row>
    <row r="14" spans="1:13">
      <c r="A14" s="2"/>
      <c r="B14" s="16"/>
      <c r="C14" s="17" t="s">
        <v>32</v>
      </c>
      <c r="E14" s="18">
        <f>长期资产!Q7</f>
        <v>1796.5</v>
      </c>
      <c r="G14" s="18">
        <f>INDEX(长期资产!$12:$12,1,MATCH(MONTH(主页!$D$5),应收账款!$3:$3,0))</f>
        <v>1925</v>
      </c>
      <c r="I14" s="18">
        <f>INDEX(长期资产!$12:$12,1,MATCH(12,应收账款!$3:$3,0))</f>
        <v>1532</v>
      </c>
      <c r="K14" s="18">
        <f>长期资产!Q12</f>
        <v>1532</v>
      </c>
      <c r="M14" s="18">
        <f>长期资产!Q17</f>
        <v>1839.6</v>
      </c>
    </row>
    <row r="15" spans="1:13">
      <c r="A15" s="2"/>
      <c r="B15" s="7"/>
      <c r="C15" s="19" t="s">
        <v>4</v>
      </c>
      <c r="D15" s="20"/>
      <c r="E15" s="21">
        <f>E11-E12+E13+E14</f>
        <v>6359.61</v>
      </c>
      <c r="F15" s="20"/>
      <c r="G15" s="21">
        <f>G11-G12+G13+G14</f>
        <v>7315</v>
      </c>
      <c r="H15" s="20"/>
      <c r="I15" s="21">
        <f>I11-I12+I13+I14</f>
        <v>5821.6</v>
      </c>
      <c r="J15" s="20"/>
      <c r="K15" s="21">
        <f>K11-K12+K13+K14</f>
        <v>5821.6</v>
      </c>
      <c r="L15" s="20"/>
      <c r="M15" s="21">
        <f>M11-M12+M13+M14</f>
        <v>7174.44</v>
      </c>
    </row>
    <row r="16" spans="1:13">
      <c r="A16" s="2"/>
      <c r="B16" s="13" t="s">
        <v>33</v>
      </c>
      <c r="C16" s="14"/>
      <c r="E16" s="15"/>
      <c r="G16" s="15"/>
      <c r="I16" s="15"/>
      <c r="K16" s="15"/>
      <c r="M16" s="15"/>
    </row>
    <row r="17" spans="1:16">
      <c r="A17" s="2"/>
      <c r="B17" s="16"/>
      <c r="C17" s="17" t="s">
        <v>30</v>
      </c>
      <c r="E17" s="18">
        <f>AVERAGE(应收账款!F7:Q7)</f>
        <v>3941.41666666667</v>
      </c>
      <c r="G17" s="18">
        <f>(应收账款!$E$12/2+SUMIFS(应收账款!$F$12:$Q$12,应收账款!$F$3:$Q$3,"&lt;"&amp;MONTH(主页!$D$5))+INDEX(应收账款!$F$12:$P$12,1,MATCH(MONTH(主页!$D$5),应收账款!$F$3:$P$3,0))/2)/MONTH(主页!$D$5)</f>
        <v>3940.85</v>
      </c>
      <c r="I17" s="18">
        <f>(INDEX(应收账款!$F$12:$P$12,1,MATCH(MONTH(主页!$D$5),应收账款!$F$3:$P$3,0))/2+SUMIFS(应收账款!$F$12:$P$12,应收账款!$F$3:$P$3,"&gt;"&amp;MONTH(主页!$D$5))+I11/2)/(12-MONTH(主页!$D$5))</f>
        <v>3560.5</v>
      </c>
      <c r="K17" s="18">
        <f>(应收账款!$E$12/2+SUM(应收账款!$F$12:$P$12)+应收账款!$Q$12/2)/12</f>
        <v>3877.45833333333</v>
      </c>
      <c r="M17" s="18">
        <f>AVERAGE(应收账款!F17:Q17)</f>
        <v>3904.58333333333</v>
      </c>
      <c r="O17" s="31">
        <f>(G17*10+I17*2)/12-K17</f>
        <v>0</v>
      </c>
      <c r="P17" s="31"/>
    </row>
    <row r="18" spans="1:16">
      <c r="A18" s="2"/>
      <c r="B18" s="16"/>
      <c r="C18" s="17" t="s">
        <v>31</v>
      </c>
      <c r="E18" s="18">
        <f>AVERAGE(应付账款!F7:Q7)</f>
        <v>2364.85</v>
      </c>
      <c r="G18" s="18">
        <f>(应付账款!$E$12/2+SUMIFS(应付账款!$F$12:$Q$12,应付账款!$F$3:$Q$3,"&lt;"&amp;MONTH(主页!$D$5))+INDEX(应付账款!$F$12:$P$12,1,MATCH(MONTH(主页!$D$5),应付账款!$F$3:$P$3,0))/2)/MONTH(主页!$D$5)</f>
        <v>2364.51</v>
      </c>
      <c r="I18" s="18">
        <f>(INDEX(应付账款!$F$12:$P$12,1,MATCH(MONTH(主页!$D$5),应付账款!$F$3:$P$3,0))/2+SUMIFS(应付账款!$F$12:$P$12,应付账款!$F$3:$P$3,"&gt;"&amp;MONTH(主页!$D$5))+I12/2)/(12-MONTH(主页!$D$5))</f>
        <v>2136.3</v>
      </c>
      <c r="K18" s="18">
        <f>(应付账款!$E$12/2+SUM(应付账款!$F$12:$P$12)+应付账款!$Q$12/2)/12</f>
        <v>2326.475</v>
      </c>
      <c r="M18" s="18">
        <f>AVERAGE(应付账款!F17:Q17)</f>
        <v>2342.75</v>
      </c>
      <c r="O18" s="31">
        <f t="shared" ref="O18:O21" si="0">(G18*10+I18*2)/12-K18</f>
        <v>0</v>
      </c>
      <c r="P18" s="31"/>
    </row>
    <row r="19" spans="1:16">
      <c r="A19" s="2"/>
      <c r="B19" s="16"/>
      <c r="C19" s="17" t="s">
        <v>17</v>
      </c>
      <c r="E19" s="18">
        <f>AVERAGE(存货!G7:R7)</f>
        <v>3429.0325</v>
      </c>
      <c r="G19" s="18">
        <f>(存货!$F$15/2+SUMIFS(存货!$G$15:$R$15,存货!$G$3:$R$3,"&lt;"&amp;MONTH(主页!$D$5))+INDEX(存货!$G$15:Q$15,1,MATCH(MONTH(主页!$D$5),存货!$G$3:$Q$3,0))/2)/MONTH(主页!$D$5)</f>
        <v>3917.4955</v>
      </c>
      <c r="I19" s="18">
        <f>(INDEX(存货!$G$15:Q$15,1,MATCH(MONTH(主页!$D$5),存货!$G$3:$Q$3,0))/2+SUMIFS(存货!$G$15:Q$15,存货!$G$3:$Q$3,"&gt;"&amp;MONTH(主页!$D$5))+I13/2)/(12-MONTH(主页!$D$5))</f>
        <v>3560.5</v>
      </c>
      <c r="K19" s="18">
        <f>(存货!$F$15/2+SUM(存货!$G$15:Q$15)+存货!$R$15/2)/12</f>
        <v>3857.99625</v>
      </c>
      <c r="M19" s="18">
        <f>AVERAGE(存货!G23:R23)</f>
        <v>2801.60573333333</v>
      </c>
      <c r="O19" s="31">
        <f t="shared" si="0"/>
        <v>0</v>
      </c>
      <c r="P19" s="31"/>
    </row>
    <row r="20" spans="1:16">
      <c r="A20" s="2"/>
      <c r="B20" s="16"/>
      <c r="C20" s="17" t="s">
        <v>32</v>
      </c>
      <c r="E20" s="18">
        <f>AVERAGE(长期资产!F7:Q7)</f>
        <v>1970.70833333333</v>
      </c>
      <c r="G20" s="18">
        <f>(长期资产!$E$12/2+SUMIFS(长期资产!$F$12:$Q$12,长期资产!$F$3:$Q$3,"&lt;"&amp;MONTH(主页!$D$5))+INDEX(长期资产!$F$12:$P$12,1,MATCH(MONTH(主页!$D$5),长期资产!$F$3:$P$3,0))/2)/MONTH(主页!$D$5)</f>
        <v>1970.425</v>
      </c>
      <c r="I20" s="18">
        <f>(INDEX(长期资产!$F$12:$P$12,1,MATCH(MONTH(主页!$D$5),长期资产!$F$3:$P$3,0))/2+SUMIFS(长期资产!$F$12:$P$12,长期资产!$F$3:$P$3,"&gt;"&amp;MONTH(主页!$D$5))+I14/2)/(12-MONTH(主页!$D$5))</f>
        <v>1780.25</v>
      </c>
      <c r="K20" s="18">
        <f>(长期资产!$E$12/2+SUM(长期资产!$F$12:$P$12)+长期资产!$Q$12/2)/12</f>
        <v>1938.72916666667</v>
      </c>
      <c r="M20" s="18">
        <f>AVERAGE(长期资产!F17:Q17)</f>
        <v>1561.83333333333</v>
      </c>
      <c r="O20" s="31">
        <f t="shared" si="0"/>
        <v>0</v>
      </c>
      <c r="P20" s="31"/>
    </row>
    <row r="21" spans="1:15">
      <c r="A21" s="2"/>
      <c r="B21" s="7"/>
      <c r="C21" s="19" t="s">
        <v>4</v>
      </c>
      <c r="D21" s="20"/>
      <c r="E21" s="21">
        <f t="shared" ref="E21:M21" si="1">E17-E18+E19+E20</f>
        <v>6976.3075</v>
      </c>
      <c r="F21" s="20"/>
      <c r="G21" s="21">
        <f t="shared" si="1"/>
        <v>7464.2605</v>
      </c>
      <c r="H21" s="20"/>
      <c r="I21" s="21">
        <f t="shared" si="1"/>
        <v>6764.95</v>
      </c>
      <c r="J21" s="20"/>
      <c r="K21" s="21">
        <f>K17-K18+K19+K20</f>
        <v>7347.70875</v>
      </c>
      <c r="L21" s="20"/>
      <c r="M21" s="21">
        <f t="shared" si="1"/>
        <v>5925.2724</v>
      </c>
      <c r="O21" s="31">
        <f t="shared" si="0"/>
        <v>0</v>
      </c>
    </row>
    <row r="22" spans="1:13">
      <c r="A22" s="2"/>
      <c r="B22" s="13" t="s">
        <v>34</v>
      </c>
      <c r="C22" s="14"/>
      <c r="E22" s="14"/>
      <c r="G22" s="14"/>
      <c r="I22" s="14"/>
      <c r="K22" s="14"/>
      <c r="M22" s="14"/>
    </row>
    <row r="23" spans="1:13">
      <c r="A23" s="2"/>
      <c r="B23" s="16"/>
      <c r="C23" s="17" t="s">
        <v>30</v>
      </c>
      <c r="E23" s="18">
        <f>应收账款!R9</f>
        <v>472.97</v>
      </c>
      <c r="G23" s="18">
        <f>SUMIFS(应收账款!$F$14:$Q$14,应收账款!$F$3:$Q$3,"&lt;="&amp;MONTH(主页!$D$5))</f>
        <v>395.37</v>
      </c>
      <c r="I23" s="18">
        <f>SUMIFS(应收账款!$F$14:$Q$14,应收账款!$F$3:$Q$3,"&gt;"&amp;MONTH(主页!$D$5))</f>
        <v>67.28</v>
      </c>
      <c r="K23" s="18">
        <f>应收账款!R14</f>
        <v>462.65</v>
      </c>
      <c r="M23" s="18">
        <f>应收账款!R19</f>
        <v>468.55</v>
      </c>
    </row>
    <row r="24" spans="1:13">
      <c r="A24" s="2"/>
      <c r="B24" s="16"/>
      <c r="C24" s="17" t="s">
        <v>31</v>
      </c>
      <c r="E24" s="18">
        <f>应付账款!R9</f>
        <v>283.782</v>
      </c>
      <c r="G24" s="18">
        <f>SUMIFS(应付账款!$F$14:$Q$14,应付账款!$F$3:$Q$3,"&lt;="&amp;MONTH(主页!$D$5))</f>
        <v>237.222</v>
      </c>
      <c r="I24" s="18">
        <f>SUMIFS(应付账款!$F$14:$Q$14,应付账款!$F$3:$Q$3,"&gt;"&amp;MONTH(主页!$D$5))</f>
        <v>40.368</v>
      </c>
      <c r="K24" s="18">
        <f>应付账款!R14</f>
        <v>277.59</v>
      </c>
      <c r="M24" s="18">
        <f>应付账款!R19</f>
        <v>281.13</v>
      </c>
    </row>
    <row r="25" spans="1:13">
      <c r="A25" s="2"/>
      <c r="B25" s="16"/>
      <c r="C25" s="17" t="s">
        <v>17</v>
      </c>
      <c r="E25" s="18">
        <f>存货!S12</f>
        <v>411.4839</v>
      </c>
      <c r="G25" s="18">
        <f>SUMIFS(存货!$G$20:$R$20,存货!$G$3:$R$3,"&lt;="&amp;MONTH(主页!$D$5))</f>
        <v>395.37</v>
      </c>
      <c r="I25" s="18">
        <f>SUMIFS(存货!$G$20:$R$20,存货!$G$3:$R$3,"&gt;"&amp;MONTH(主页!$D$5))</f>
        <v>67.28</v>
      </c>
      <c r="K25" s="18">
        <f>存货!S20</f>
        <v>462.65</v>
      </c>
      <c r="M25" s="18">
        <f>存货!S28</f>
        <v>336.192688</v>
      </c>
    </row>
    <row r="26" spans="1:13">
      <c r="A26" s="2"/>
      <c r="B26" s="16"/>
      <c r="C26" s="17" t="s">
        <v>32</v>
      </c>
      <c r="E26" s="18">
        <f>长期资产!R9</f>
        <v>236.485</v>
      </c>
      <c r="G26" s="18">
        <f>SUMIFS(长期资产!$F$14:$Q$14,长期资产!$F$3:$Q$3,"&lt;="&amp;MONTH(主页!$D$5))</f>
        <v>197.685</v>
      </c>
      <c r="I26" s="18">
        <f>SUMIFS(长期资产!$F$14:$Q$14,长期资产!$F$3:$Q$3,"&gt;"&amp;MONTH(主页!$D$5))</f>
        <v>33.64</v>
      </c>
      <c r="K26" s="18">
        <f>长期资产!R14</f>
        <v>231.325</v>
      </c>
      <c r="M26" s="18">
        <f>长期资产!R19</f>
        <v>187.42</v>
      </c>
    </row>
    <row r="27" spans="1:13">
      <c r="A27" s="2"/>
      <c r="B27" s="16"/>
      <c r="C27" s="22" t="s">
        <v>4</v>
      </c>
      <c r="D27" s="20"/>
      <c r="E27" s="23">
        <f t="shared" ref="E27:M27" si="2">E23-E24+E25+E26</f>
        <v>837.1569</v>
      </c>
      <c r="F27" s="20"/>
      <c r="G27" s="23">
        <f t="shared" si="2"/>
        <v>751.203</v>
      </c>
      <c r="H27" s="20"/>
      <c r="I27" s="23">
        <f t="shared" si="2"/>
        <v>127.832</v>
      </c>
      <c r="J27" s="20"/>
      <c r="K27" s="23">
        <f t="shared" si="2"/>
        <v>879.035</v>
      </c>
      <c r="L27" s="20"/>
      <c r="M27" s="23">
        <f t="shared" si="2"/>
        <v>711.032688</v>
      </c>
    </row>
    <row r="28" ht="16.5" spans="1:13">
      <c r="A28" s="2"/>
      <c r="B28" s="24"/>
      <c r="C28" s="25" t="s">
        <v>35</v>
      </c>
      <c r="E28" s="26">
        <f>E27/E9</f>
        <v>0.00668026061699038</v>
      </c>
      <c r="G28" s="26">
        <f>G27/G9</f>
        <v>0.00718407688997274</v>
      </c>
      <c r="I28" s="26">
        <f>I27/I9</f>
        <v>0.00600573173596429</v>
      </c>
      <c r="K28" s="26">
        <f t="shared" ref="K28:M28" si="3">K27/K9</f>
        <v>0.00698478347238776</v>
      </c>
      <c r="M28" s="26">
        <f t="shared" si="3"/>
        <v>0.00578075356097561</v>
      </c>
    </row>
  </sheetData>
  <conditionalFormatting sqref="M4:M5">
    <cfRule type="cellIs" dxfId="0" priority="1" operator="equal">
      <formula>"未校准"</formula>
    </cfRule>
    <cfRule type="cellIs" dxfId="1" priority="2" operator="equal">
      <formula>"已校准"</formula>
    </cfRule>
  </conditionalFormatting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item1.xml>��
</file>

<file path=customXml/item2.xml>��
</file>

<file path=customXml/item3.xml>��S_t^h�Qb,g�N�T'Y{|�N�TP[{|�N�TT�y�N�Teg�nY-��N<hPg�eb,gYOS�R�]9��N�]�S6R �9�(uUSMOb,g�N�T'Y{|�N�TP[{|�N�TT�y�N�Teg�nY-��N<hPg�eb,gYOS�R�]9��N�]�S6R �9�(uUSMOb,g
</file>

<file path=customXml/item4.xml>��
</file>

<file path=customXml/item5.xml>��S_t^�[E��.US_t^�[E��.U��US�eg��US�S�N�N�eg�[7b'Y{|�[7bP[{|�[7bT�y nS�R{| nS�T�y�.U��N�RXT�N�TT�y�N�T'Y{|�N�TP[{|�N�Teg�n�.UpeϑN+Tz�.U6eeQ�X<Pz�sN+Tz�.UUS�N+TzUS�NUSMOh�Qb,g�.Ub,g�.U�k)R�k)R�s�k)R`S�kԏ�V;Nu�S_t^h�Qb,gS_t^h�Qb,g�N�T'Y{|�N�TP[{|�N�TT�y�N�Teg�nY-��N<hPg�eb,gYOS�R�]9��N�]�S6R �9�(uUSMOb,g
</file>

<file path=customXml/item6.xml>��S_t^h�Qb,g
</file>

<file path=customXml/item7.xml>��S_t^�[E���US�eg��US�S�N�N�eg�[7b'Y{|�[7bP[{|�[7bT�y nS�R{| nS�T�y�.U��N�RXT�N�TT�y�N�T'Y{|�N�TP[{|�N�Teg�n�.UpeϑN+Tz�.U6eeQ�X<Pz�sN+Tz�.UUS�N+TzUS�NUSMOh�Qb,g�.Ub,g�.U�k)R�k)R�s�k)R`S�k��US�eg��US�S�N�N�eg�[7b'Y{|�[7bP[{|�[7bT�y nS�R{| nS�T�y�.U��N�RXT�N�TT�y�N�T'Y{|�N�TP[{|�N�Teg�n�.UpeϑN+Tz�.U6eeQ�X<Pz�sN+Tz�.UUS�N+TzUS�NUSMOh�Qb,g�.Ub,g�.U�k)R�k)R�s�k)R`S�k
</file>

<file path=customXml/item8.xml>��S_t^�[E��.US_t^h�Qb,g
</file>

<file path=customXml/item9.xml>��S_t^�[E��.U,S_t^h�Qb,g
</file>

<file path=customXml/item10.xml>��S_t^�[E��.US_t^�[E��.U��US�eg��US�S�N�N�eg�[7b'Y{|�[7bP[{|�[7bT�y nS�R{| nS�T�y�.U��N�RXT�N�TT�y�N�T'Y{|�N�TP[{|�N�Teg�n�.UpeϑN+Tz�.U6eeQ�X<Pz�sN+Tz�.UUS�N+TzUS�NUSMOh�Qb,g�.Ub,g�.U�k)R�k)R�s�k)R`S�kԏ�V;Nu���US�eg��US�S�N�N�eg�[7b'Y{|�[7bP[{|�[7bT�y nS�R{| nS�T�y�.U��N�RXT�N�TT�y�N�T'Y{|�N�TP[{|�N�Teg�n�.UpeϑN+Tz�.U6eeQ�X<Pz�sN+Tz�.UUS�N+TzUS�NUSMOh�Qb,g�.Ub,g�.U�k)R�k)R�s�k)R`S�kԏ�V;Nu�S_t^h�Qb,gS_t^h�Qb,g�N�T'Y{|�N�TP[{|�N�TT�y�N�Teg�nY-��N<hPg�eb,gYOS�R�]9��N�]�S6R �9�(uUSMOb,g�N�T'Y{|�N�TP[{|�N�TT�y�N�Teg�nY-��N<hPg�eb,gYOS�R�]9��N�]�S6R �9�(uUSMOb,gS_t^�[E��.US_t^h�Qb,gS_t^�[E��.US_t^�[E��.U��US�egS_t^�[E��.U��US�SS_t^�[E��.U�N�N�egS_t^�[E��.U�[7b'Y{|S_t^�[E��.U�[7bP[{|S_t^�[E��.U�[7bT�yS_t^�[E��.U nS�R{|S_t^�[E��.U nS�T�yS_t^�[E��.U�.U��S_t^�[E��.UN�RXTS_t^�[E��.U�N�TT�yS_t^�[E��.U�N�T'Y{|S_t^�[E��.U�N�TP[{|S_t^�[E��.U�N�Teg�nS_t^�[E��.U�.UpeϑS_t^�[E��.UN+Tz�.U6eeQS_t^�[E��.U�X<Pz�sS_t^�[E��.UN+Tz�.UUS�NS_t^�[E��.U+TzUS�NS_t^�[E��.UUSMOh�Qb,gS_t^�[E��.U�.Ub,gS_t^�[E��.U�.U�k)RS_t^�[E��.U�k)R�sS_t^�[E��.U�k)R`S�kS_t^�[E��.US_t^�[E��.Uԏ�V;Nu�S_t^h�Qb,gS_t^h�Qb,g�N�T'Y{|S_t^h�Qb,g�N�TP[{|S_t^h�Qb,g�N�TT�yS_t^h�Qb,g�N�Teg�nS_t^h�Qb,gY-��N<hS_t^h�Qb,gPg�eb,gS_t^h�Qb,gYOS�R�]9�S_t^h�Qb,g�N�]�S6R �9�(uS_t^h�Qb,gUSMOb,gS_t^h�Qb,g�N�TT�yS_t^�[E��.US_t^h�Qb,gS_t^�[E��.US_t^�[E��.U��US�egS_t^�[E��.U��US�SS_t^�[E��.U�N�N�egS_t^�[E��.U�[7b'Y{|S_t^�[E��.U�[7bP[{|S_t^�[E��.U�[7bT�yS_t^�[E��.U nS�R{|S_t^�[E��.U nS�T�yS_t^�[E��.U�.U��S_t^�[E��.UN�RXTS_t^�[E��.U�N�TT�yS_t^�[E��.U�N�T'Y{|S_t^�[E��.U�N�TP[{|S_t^�[E��.U�N�Teg�nS_t^�[E��.U�.UpeϑS_t^�[E��.UN+Tz�.U6eeQS_t^�[E��.U�X<Pz�sS_t^�[E��.UN+Tz�.UUS�NS_t^�[E��.U+TzUS�NS_t^�[E��.UUSMOh�Qb,gS_t^�[E��.U�.Ub,gS_t^�[E��.U�.U�k)RS_t^�[E��.U�k)R�sS_t^�[E��.U�k)R`S�kS_t^�[E��.US_t^�[E��.Uԏ�V;Nu�S_t^h�Qb,gS_t^h�Qb,g�N�T'Y{|S_t^h�Qb,g�N�TP[{|S_t^h�Qb,g�N�TT�yS_t^h�Qb,g�N�Teg�nS_t^h�Qb,gY-��N<hS_t^h�Qb,gPg�eb,gS_t^h�Qb,gYOS�R�]9�S_t^h�Qb,g�N�]�S6R �9�(uS_t^h�Qb,gUSMOb,g
</file>

<file path=customXml/item11.xml>��
</file>

<file path=customXml/item12.xml>��S_t^�[E��.U��US�eg��US�S�N�N�eg�[7b'Y{|�[7bP[{|�[7bT�y nS�R{| nS�T�y�.U��N�RXT�N�TT�y�N�T'Y{|�N�TP[{|�N�Teg�n�.UpeϑN+Tz�.U6eeQ�X<Pz�sN+Tz�.UUS�N+TzUS�NUSMOh�Qb,g�.Ub,g�.U�k)R�k)R�s�k)R`S�kԏ�V;Nu���US�eg��US�S�N�N�eg�[7b'Y{|�[7bP[{|�[7bT�y nS�R{| nS�T�y�.U��N�RXT�N�TT�y�N�T'Y{|�N�TP[{|�N�Teg�n�.UpeϑN+Tz�.U6eeQ�X<Pz�sN+Tz�.UUS�N+TzUS�NUSMOh�Qb,g�.Ub,g�.U�k)R�k)R�s�k)R`S�kԏ�V;Nu�
</file>

<file path=customXml/item13.xml>��
</file>

<file path=customXml/item14.xml>��
</file>

<file path=customXml/itemProps1.xml><?xml version="1.0" encoding="utf-8"?>
<ds:datastoreItem xmlns:ds="http://schemas.openxmlformats.org/officeDocument/2006/customXml" ds:itemID="{4864EFF0-7EA7-4A73-814D-3A046CD503BA}">
  <ds:schemaRefs/>
</ds:datastoreItem>
</file>

<file path=customXml/itemProps2.xml><?xml version="1.0" encoding="utf-8"?>
<ds:datastoreItem xmlns:ds="http://schemas.openxmlformats.org/officeDocument/2006/customXml" ds:itemID="{085145CA-F2B1-422F-853F-6C7778174022}">
  <ds:schemaRefs/>
</ds:datastoreItem>
</file>

<file path=customXml/itemProps3.xml><?xml version="1.0" encoding="utf-8"?>
<ds:datastoreItem xmlns:ds="http://schemas.openxmlformats.org/officeDocument/2006/customXml" ds:itemID="{1182812D-E948-4F43-B353-123AE6C4710E}">
  <ds:schemaRefs/>
</ds:datastoreItem>
</file>

<file path=customXml/itemProps4.xml><?xml version="1.0" encoding="utf-8"?>
<ds:datastoreItem xmlns:ds="http://schemas.openxmlformats.org/officeDocument/2006/customXml" ds:itemID="{C694412B-7234-407F-8D68-A65DA748A6E0}">
  <ds:schemaRefs/>
</ds:datastoreItem>
</file>

<file path=customXml/itemProps5.xml><?xml version="1.0" encoding="utf-8"?>
<ds:datastoreItem xmlns:ds="http://schemas.openxmlformats.org/officeDocument/2006/customXml" ds:itemID="{AF83FF85-F508-4EAA-95C0-BF18369E318E}">
  <ds:schemaRefs/>
</ds:datastoreItem>
</file>

<file path=customXml/itemProps6.xml><?xml version="1.0" encoding="utf-8"?>
<ds:datastoreItem xmlns:ds="http://schemas.openxmlformats.org/officeDocument/2006/customXml" ds:itemID="{F164DC68-C1B9-4BB6-8CAA-E67E2E11DF16}">
  <ds:schemaRefs/>
</ds:datastoreItem>
</file>

<file path=customXml/itemProps7.xml><?xml version="1.0" encoding="utf-8"?>
<ds:datastoreItem xmlns:ds="http://schemas.openxmlformats.org/officeDocument/2006/customXml" ds:itemID="{B6773D19-8307-4A45-9B7E-31F1DD3F23D9}">
  <ds:schemaRefs/>
</ds:datastoreItem>
</file>

<file path=customXml/itemProps8.xml><?xml version="1.0" encoding="utf-8"?>
<ds:datastoreItem xmlns:ds="http://schemas.openxmlformats.org/officeDocument/2006/customXml" ds:itemID="{048EF7A1-A48B-45D5-B056-F6052C6AE4A5}">
  <ds:schemaRefs/>
</ds:datastoreItem>
</file>

<file path=customXml/itemProps9.xml><?xml version="1.0" encoding="utf-8"?>
<ds:datastoreItem xmlns:ds="http://schemas.openxmlformats.org/officeDocument/2006/customXml" ds:itemID="{B99F7E88-A151-4625-BC72-E82A34850701}">
  <ds:schemaRefs/>
</ds:datastoreItem>
</file>

<file path=customXml/itemProps10.xml><?xml version="1.0" encoding="utf-8"?>
<ds:datastoreItem xmlns:ds="http://schemas.openxmlformats.org/officeDocument/2006/customXml" ds:itemID="{117D8692-5AA1-4CBD-A8A1-EC6F4BF74D1C}">
  <ds:schemaRefs/>
</ds:datastoreItem>
</file>

<file path=customXml/itemProps11.xml><?xml version="1.0" encoding="utf-8"?>
<ds:datastoreItem xmlns:ds="http://schemas.openxmlformats.org/officeDocument/2006/customXml" ds:itemID="{EF23CB52-DC31-46F6-AF2B-19227033A87E}">
  <ds:schemaRefs/>
</ds:datastoreItem>
</file>

<file path=customXml/itemProps12.xml><?xml version="1.0" encoding="utf-8"?>
<ds:datastoreItem xmlns:ds="http://schemas.openxmlformats.org/officeDocument/2006/customXml" ds:itemID="{2772637D-36A0-4A0E-BBBE-4F18BB13B710}">
  <ds:schemaRefs/>
</ds:datastoreItem>
</file>

<file path=customXml/itemProps13.xml><?xml version="1.0" encoding="utf-8"?>
<ds:datastoreItem xmlns:ds="http://schemas.openxmlformats.org/officeDocument/2006/customXml" ds:itemID="{D2D53078-8B6D-46CB-98D0-3287613A9C7A}">
  <ds:schemaRefs/>
</ds:datastoreItem>
</file>

<file path=customXml/itemProps14.xml><?xml version="1.0" encoding="utf-8"?>
<ds:datastoreItem xmlns:ds="http://schemas.openxmlformats.org/officeDocument/2006/customXml" ds:itemID="{1D7AB4E4-E90E-468D-A8E7-99A41D97C25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主页</vt:lpstr>
      <vt:lpstr>应收账款</vt:lpstr>
      <vt:lpstr>应付账款</vt:lpstr>
      <vt:lpstr>存货</vt:lpstr>
      <vt:lpstr>长期资产</vt:lpstr>
      <vt:lpstr>营运资金占用预算校准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</dc:creator>
  <cp:lastModifiedBy>陈东捷</cp:lastModifiedBy>
  <dcterms:created xsi:type="dcterms:W3CDTF">2021-10-17T11:09:00Z</dcterms:created>
  <dcterms:modified xsi:type="dcterms:W3CDTF">2021-11-22T01:11:08Z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E620F5D024B5447EB508B02EA00A0BD8</vt:lpwstr>
  </property>
  <property fmtid="{D5CDD505-2E9C-101B-9397-08002B2CF9AE}" pid="3" name="KSOProductBuildVer">
    <vt:lpwstr>2052-11.1.0.11045</vt:lpwstr>
  </property>
</Properties>
</file>