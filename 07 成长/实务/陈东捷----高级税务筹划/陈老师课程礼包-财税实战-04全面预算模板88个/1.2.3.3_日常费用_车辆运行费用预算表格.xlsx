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/>
  </bookViews>
  <sheets>
    <sheet name="车辆运行费预算" sheetId="1" r:id="rId1"/>
  </sheets>
  <calcPr calcId="144525"/>
</workbook>
</file>

<file path=xl/sharedStrings.xml><?xml version="1.0" encoding="utf-8"?>
<sst xmlns="http://schemas.openxmlformats.org/spreadsheetml/2006/main" count="33" uniqueCount="28">
  <si>
    <t>某公司20XX年车辆运行费预算</t>
  </si>
  <si>
    <t>车辆名称</t>
  </si>
  <si>
    <t>使用部门</t>
  </si>
  <si>
    <t>已运行公里</t>
  </si>
  <si>
    <t xml:space="preserve">  汽油费</t>
  </si>
  <si>
    <t>保养费</t>
  </si>
  <si>
    <t>保险费</t>
  </si>
  <si>
    <t xml:space="preserve">  维修费</t>
  </si>
  <si>
    <t xml:space="preserve">  停车费</t>
  </si>
  <si>
    <t xml:space="preserve">  其他</t>
  </si>
  <si>
    <t>预算金额</t>
  </si>
  <si>
    <t>预算运行公里</t>
  </si>
  <si>
    <t>百公里
耗油</t>
  </si>
  <si>
    <t>合计</t>
  </si>
  <si>
    <t>标准</t>
  </si>
  <si>
    <t>金额</t>
  </si>
  <si>
    <t>保时捷卡宴</t>
  </si>
  <si>
    <t>总裁办</t>
  </si>
  <si>
    <t xml:space="preserve">宝马X6 </t>
  </si>
  <si>
    <t>研发中心</t>
  </si>
  <si>
    <t>编制说明：</t>
  </si>
  <si>
    <t>1.车辆是要人开的。所以车辆运行费的预算尽可能地编到岗位。</t>
  </si>
  <si>
    <t>2.车辆运行费有些是变动费用，如汽油、保养费等；有些是固定费用，如保险、养路费等。不同性质的费用，应该使用不同的管理方法。</t>
  </si>
  <si>
    <t>其中，编制车辆变动费用预算时，需要首先确定的是变动率，即百公里油耗。通常在油价没有大幅起跌时，油价是相对固定的。</t>
  </si>
  <si>
    <t>其次要确定某辆车的可能年运行公里数。运行公里越多，汽油费也越高。每个岗位的工作性质，决定每个人的活动规律，所以通常是可以找到每个岗位车辆运行的合理基数的。</t>
  </si>
  <si>
    <t>（百公里油耗8个油×3万公里/100×7.8元/升=0.24×7.8=1.872万）</t>
  </si>
  <si>
    <t>3.车辆固定费用中保险费是需要重点控制的内容。因为保险费是很容易被“灌水”的项目。</t>
  </si>
  <si>
    <t>4.车辆运行费用预算的控制作用很大，能避免很多寻租行为，如倒卖油票、利用车辆修理洗钱。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</si>
</sst>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</numFmts>
  <fonts count="27">
    <font>
      <sz val="11"/>
      <color theme="1"/>
      <name val="等线"/>
      <charset val="134"/>
      <scheme val="minor"/>
    </font>
    <font>
      <b/>
      <sz val="11"/>
      <color theme="1"/>
      <name val="Microsoft YaHei Light"/>
      <charset val="134"/>
    </font>
    <font>
      <sz val="11"/>
      <color theme="1"/>
      <name val="Microsoft YaHei Light"/>
      <charset val="134"/>
    </font>
    <font>
      <b/>
      <sz val="20"/>
      <color theme="1"/>
      <name val="Microsoft YaHei Light"/>
      <charset val="134"/>
    </font>
    <font>
      <sz val="20"/>
      <color theme="1"/>
      <name val="Microsoft YaHei Light"/>
      <charset val="134"/>
    </font>
    <font>
      <b/>
      <sz val="12"/>
      <color rgb="FF000000"/>
      <name val="Microsoft YaHei Light"/>
      <charset val="134"/>
    </font>
    <font>
      <sz val="12"/>
      <color rgb="FF000000"/>
      <name val="Microsoft YaHei Light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7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9" borderId="8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0" fillId="13" borderId="11" applyNumberFormat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22" fillId="14" borderId="12" applyNumberForma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176" fontId="6" fillId="0" borderId="2" xfId="8" applyNumberFormat="1" applyFont="1" applyBorder="1" applyAlignment="1">
      <alignment vertical="center" wrapText="1"/>
    </xf>
    <xf numFmtId="0" fontId="6" fillId="3" borderId="3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176" fontId="6" fillId="3" borderId="4" xfId="0" applyNumberFormat="1" applyFont="1" applyFill="1" applyBorder="1" applyAlignment="1">
      <alignment vertical="center" wrapText="1"/>
    </xf>
    <xf numFmtId="176" fontId="6" fillId="3" borderId="4" xfId="8" applyNumberFormat="1" applyFont="1" applyFill="1" applyBorder="1" applyAlignment="1">
      <alignment vertical="center" wrapText="1"/>
    </xf>
    <xf numFmtId="0" fontId="5" fillId="2" borderId="5" xfId="0" applyFont="1" applyFill="1" applyBorder="1" applyAlignment="1">
      <alignment horizontal="center" vertical="center" wrapText="1"/>
    </xf>
    <xf numFmtId="176" fontId="6" fillId="0" borderId="5" xfId="0" applyNumberFormat="1" applyFont="1" applyBorder="1" applyAlignment="1">
      <alignment vertical="center" wrapText="1"/>
    </xf>
    <xf numFmtId="176" fontId="6" fillId="3" borderId="6" xfId="8" applyNumberFormat="1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19"/>
  <sheetViews>
    <sheetView showGridLines="0" tabSelected="1" workbookViewId="0">
      <selection activeCell="G20" sqref="G20"/>
    </sheetView>
  </sheetViews>
  <sheetFormatPr defaultColWidth="9" defaultRowHeight="15.6"/>
  <cols>
    <col min="1" max="1" width="8.66666666666667" style="2"/>
    <col min="2" max="2" width="13.6666666666667" style="2" customWidth="1"/>
    <col min="3" max="3" width="9.5" style="2" customWidth="1"/>
    <col min="4" max="4" width="13" style="2" customWidth="1"/>
    <col min="5" max="5" width="8.91666666666667" style="2" customWidth="1"/>
    <col min="6" max="6" width="8.16666666666667" style="2" customWidth="1"/>
    <col min="7" max="7" width="13.6666666666667" style="2" customWidth="1"/>
    <col min="8" max="8" width="10.0833333333333" style="2" customWidth="1"/>
    <col min="9" max="9" width="10.9166666666667" style="2" customWidth="1"/>
    <col min="10" max="10" width="8.75" style="2" customWidth="1"/>
    <col min="11" max="11" width="10.0833333333333" style="2" customWidth="1"/>
    <col min="12" max="12" width="8.75" style="2" customWidth="1"/>
    <col min="13" max="13" width="10.0833333333333" style="2" customWidth="1"/>
    <col min="14" max="14" width="8.75" style="2" customWidth="1"/>
    <col min="15" max="15" width="9.75" style="2" customWidth="1"/>
    <col min="16" max="16" width="11.1666666666667" style="2" customWidth="1"/>
    <col min="17" max="16384" width="8.66666666666667" style="2"/>
  </cols>
  <sheetData>
    <row r="2" s="1" customFormat="1" ht="28.8" spans="2:16"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ht="28.8" spans="2:16"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ht="15.75" customHeight="1" spans="2:16">
      <c r="B4" s="7" t="s">
        <v>1</v>
      </c>
      <c r="C4" s="8" t="s">
        <v>2</v>
      </c>
      <c r="D4" s="8" t="s">
        <v>3</v>
      </c>
      <c r="E4" s="8" t="s">
        <v>4</v>
      </c>
      <c r="F4" s="8"/>
      <c r="G4" s="8"/>
      <c r="H4" s="8" t="s">
        <v>5</v>
      </c>
      <c r="I4" s="8" t="s">
        <v>6</v>
      </c>
      <c r="J4" s="8" t="s">
        <v>7</v>
      </c>
      <c r="K4" s="8"/>
      <c r="L4" s="8" t="s">
        <v>8</v>
      </c>
      <c r="M4" s="8"/>
      <c r="N4" s="8" t="s">
        <v>9</v>
      </c>
      <c r="O4" s="8"/>
      <c r="P4" s="16" t="s">
        <v>10</v>
      </c>
    </row>
    <row r="5" ht="22.5" customHeight="1" spans="2:16">
      <c r="B5" s="7"/>
      <c r="C5" s="8"/>
      <c r="D5" s="8"/>
      <c r="E5" s="8" t="s">
        <v>11</v>
      </c>
      <c r="F5" s="8" t="s">
        <v>12</v>
      </c>
      <c r="G5" s="8" t="s">
        <v>13</v>
      </c>
      <c r="H5" s="8"/>
      <c r="I5" s="8"/>
      <c r="J5" s="8" t="s">
        <v>14</v>
      </c>
      <c r="K5" s="8" t="s">
        <v>15</v>
      </c>
      <c r="L5" s="8" t="s">
        <v>14</v>
      </c>
      <c r="M5" s="8" t="s">
        <v>15</v>
      </c>
      <c r="N5" s="8" t="s">
        <v>14</v>
      </c>
      <c r="O5" s="8" t="s">
        <v>15</v>
      </c>
      <c r="P5" s="16"/>
    </row>
    <row r="6" ht="6.4" customHeight="1" spans="2:16"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16"/>
    </row>
    <row r="7" ht="15.4" customHeight="1" spans="2:16"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16"/>
    </row>
    <row r="8" ht="17.4" spans="2:16">
      <c r="B8" s="9" t="s">
        <v>16</v>
      </c>
      <c r="C8" s="10" t="s">
        <v>17</v>
      </c>
      <c r="D8" s="10">
        <v>60000</v>
      </c>
      <c r="E8" s="10">
        <v>30000</v>
      </c>
      <c r="F8" s="10">
        <v>8</v>
      </c>
      <c r="G8" s="11">
        <f>E8/100*F8*7.8</f>
        <v>18720</v>
      </c>
      <c r="H8" s="11">
        <v>3000</v>
      </c>
      <c r="I8" s="11">
        <v>8000</v>
      </c>
      <c r="J8" s="11"/>
      <c r="K8" s="11">
        <v>3000</v>
      </c>
      <c r="L8" s="11"/>
      <c r="M8" s="11">
        <v>6000</v>
      </c>
      <c r="N8" s="11"/>
      <c r="O8" s="11">
        <v>1000</v>
      </c>
      <c r="P8" s="17">
        <f>G8+H8+I8+K8+M8+O8</f>
        <v>39720</v>
      </c>
    </row>
    <row r="9" ht="34.8" spans="2:16">
      <c r="B9" s="9" t="s">
        <v>18</v>
      </c>
      <c r="C9" s="10" t="s">
        <v>19</v>
      </c>
      <c r="D9" s="10">
        <v>20000</v>
      </c>
      <c r="E9" s="10">
        <v>5000</v>
      </c>
      <c r="F9" s="10">
        <v>10</v>
      </c>
      <c r="G9" s="11">
        <f>E9/100*F9*7.8</f>
        <v>3900</v>
      </c>
      <c r="H9" s="11">
        <v>3500</v>
      </c>
      <c r="I9" s="11">
        <v>6000</v>
      </c>
      <c r="J9" s="11"/>
      <c r="K9" s="11">
        <v>1000</v>
      </c>
      <c r="L9" s="11"/>
      <c r="M9" s="11">
        <v>2000</v>
      </c>
      <c r="N9" s="11"/>
      <c r="O9" s="11">
        <v>800</v>
      </c>
      <c r="P9" s="17">
        <f>G9+H9+I9+K9+M9+O9</f>
        <v>17200</v>
      </c>
    </row>
    <row r="10" ht="18.15" spans="2:16">
      <c r="B10" s="12" t="s">
        <v>13</v>
      </c>
      <c r="C10" s="13"/>
      <c r="D10" s="13"/>
      <c r="E10" s="13"/>
      <c r="F10" s="13"/>
      <c r="G10" s="14">
        <f>SUM(G8:G9)</f>
        <v>22620</v>
      </c>
      <c r="H10" s="15">
        <f t="shared" ref="H10:P10" si="0">SUM(H8:H9)</f>
        <v>6500</v>
      </c>
      <c r="I10" s="15">
        <f t="shared" si="0"/>
        <v>14000</v>
      </c>
      <c r="J10" s="15">
        <f t="shared" si="0"/>
        <v>0</v>
      </c>
      <c r="K10" s="15">
        <f t="shared" si="0"/>
        <v>4000</v>
      </c>
      <c r="L10" s="15">
        <f t="shared" si="0"/>
        <v>0</v>
      </c>
      <c r="M10" s="15">
        <f t="shared" si="0"/>
        <v>8000</v>
      </c>
      <c r="N10" s="15">
        <f t="shared" si="0"/>
        <v>0</v>
      </c>
      <c r="O10" s="15">
        <f t="shared" si="0"/>
        <v>1800</v>
      </c>
      <c r="P10" s="18">
        <f t="shared" si="0"/>
        <v>56920</v>
      </c>
    </row>
    <row r="12" spans="2:2">
      <c r="B12" s="2" t="s">
        <v>20</v>
      </c>
    </row>
    <row r="13" spans="2:2">
      <c r="B13" s="2" t="s">
        <v>21</v>
      </c>
    </row>
    <row r="14" spans="2:2">
      <c r="B14" s="2" t="s">
        <v>22</v>
      </c>
    </row>
    <row r="15" spans="2:2">
      <c r="B15" s="2" t="s">
        <v>23</v>
      </c>
    </row>
    <row r="16" spans="2:2">
      <c r="B16" s="2" t="s">
        <v>24</v>
      </c>
    </row>
    <row r="17" spans="2:2">
      <c r="B17" s="2" t="s">
        <v>25</v>
      </c>
    </row>
    <row r="18" spans="2:2">
      <c r="B18" s="2" t="s">
        <v>26</v>
      </c>
    </row>
    <row r="19" spans="2:2">
      <c r="B19" s="2" t="s">
        <v>27</v>
      </c>
    </row>
  </sheetData>
  <mergeCells count="19">
    <mergeCell ref="E4:G4"/>
    <mergeCell ref="J4:K4"/>
    <mergeCell ref="L4:M4"/>
    <mergeCell ref="N4:O4"/>
    <mergeCell ref="B4:B7"/>
    <mergeCell ref="C4:C7"/>
    <mergeCell ref="D4:D7"/>
    <mergeCell ref="E5:E7"/>
    <mergeCell ref="F5:F7"/>
    <mergeCell ref="G5:G7"/>
    <mergeCell ref="H4:H7"/>
    <mergeCell ref="I4:I7"/>
    <mergeCell ref="J5:J7"/>
    <mergeCell ref="K5:K7"/>
    <mergeCell ref="L5:L7"/>
    <mergeCell ref="M5:M7"/>
    <mergeCell ref="N5:N7"/>
    <mergeCell ref="O5:O7"/>
    <mergeCell ref="P4:P7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车辆运行费预算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</dc:creator>
  <cp:lastModifiedBy>陈东捷</cp:lastModifiedBy>
  <dcterms:created xsi:type="dcterms:W3CDTF">2021-09-22T12:05:00Z</dcterms:created>
  <dcterms:modified xsi:type="dcterms:W3CDTF">2022-10-12T12:10:35Z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A0410DCBA2B9406BB28D26AD2624926A</vt:lpwstr>
  </property>
  <property fmtid="{D5CDD505-2E9C-101B-9397-08002B2CF9AE}" pid="3" name="KSOProductBuildVer">
    <vt:lpwstr>2052-11.1.0.12358</vt:lpwstr>
  </property>
</Properties>
</file>