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65" activeTab="6"/>
  </bookViews>
  <sheets>
    <sheet name="主页" sheetId="2" r:id="rId1"/>
    <sheet name="上年" sheetId="5" r:id="rId2"/>
    <sheet name="当年" sheetId="1" r:id="rId3"/>
    <sheet name="下年" sheetId="4" r:id="rId4"/>
    <sheet name="预算校准" sheetId="6" r:id="rId5"/>
    <sheet name="财务折旧" sheetId="7" r:id="rId6"/>
    <sheet name="财务折旧年限" sheetId="3" r:id="rId7"/>
  </sheets>
  <calcPr calcId="144525"/>
</workbook>
</file>

<file path=xl/comments1.xml><?xml version="1.0" encoding="utf-8"?>
<comments xmlns="http://schemas.openxmlformats.org/spreadsheetml/2006/main">
  <authors>
    <author>bill</author>
  </authors>
  <commentList>
    <comment ref="I1" authorId="0">
      <text>
        <r>
          <rPr>
            <b/>
            <sz val="9"/>
            <rFont val="宋体"/>
            <charset val="134"/>
          </rPr>
          <t>处置日期为空，表示资产仍旧在册</t>
        </r>
      </text>
    </comment>
    <comment ref="L1" authorId="0">
      <text>
        <r>
          <rPr>
            <b/>
            <sz val="9"/>
            <rFont val="宋体"/>
            <charset val="134"/>
          </rPr>
          <t xml:space="preserve">一次性折旧资产的折旧年限输入2/12
</t>
        </r>
        <r>
          <rPr>
            <sz val="9"/>
            <rFont val="宋体"/>
            <charset val="134"/>
          </rPr>
          <t xml:space="preserve">
</t>
        </r>
      </text>
    </comment>
    <comment ref="AB1" authorId="0">
      <text>
        <r>
          <rPr>
            <b/>
            <sz val="9"/>
            <rFont val="宋体"/>
            <charset val="134"/>
          </rPr>
          <t>技术折旧：从技术角度考虑，设备在使用过程中应该会产生的耗费。为了计算简便，也采用直线法每年分摊的方式计算。不过，技术折旧不存在折旧期满不再计提的概念。资产超过预计年限使用，技术折旧仍旧计提，累计折旧超过原值的差额，被视为”赚到的价值“。</t>
        </r>
        <r>
          <rPr>
            <sz val="9"/>
            <rFont val="宋体"/>
            <charset val="134"/>
          </rPr>
          <t xml:space="preserve">
</t>
        </r>
      </text>
    </comment>
  </commentList>
</comments>
</file>

<file path=xl/comments2.xml><?xml version="1.0" encoding="utf-8"?>
<comments xmlns="http://schemas.openxmlformats.org/spreadsheetml/2006/main">
  <authors>
    <author>bill</author>
  </authors>
  <commentList>
    <comment ref="I1" authorId="0">
      <text>
        <r>
          <rPr>
            <b/>
            <sz val="9"/>
            <rFont val="宋体"/>
            <charset val="134"/>
          </rPr>
          <t>处置日期为空，表示资产仍旧在册</t>
        </r>
      </text>
    </comment>
    <comment ref="L1" authorId="0">
      <text>
        <r>
          <rPr>
            <b/>
            <sz val="9"/>
            <rFont val="宋体"/>
            <charset val="134"/>
          </rPr>
          <t xml:space="preserve">一次性折旧资产的折旧年限输入2/12
</t>
        </r>
        <r>
          <rPr>
            <sz val="9"/>
            <rFont val="宋体"/>
            <charset val="134"/>
          </rPr>
          <t xml:space="preserve">
</t>
        </r>
      </text>
    </comment>
    <comment ref="AB1" authorId="0">
      <text>
        <r>
          <rPr>
            <b/>
            <sz val="9"/>
            <rFont val="宋体"/>
            <charset val="134"/>
          </rPr>
          <t>技术折旧：从技术角度考虑，设备在使用过程中应该会产生的耗费。为了计算简便，也采用直线法每年分摊的方式计算。不过，技术折旧不存在折旧期满不再计提的概念。资产超过预计年限使用，技术折旧仍旧计提，累计折旧超过原值的差额，被视为”赚到的价值“。</t>
        </r>
        <r>
          <rPr>
            <sz val="9"/>
            <rFont val="宋体"/>
            <charset val="134"/>
          </rPr>
          <t xml:space="preserve">
</t>
        </r>
      </text>
    </comment>
  </commentList>
</comments>
</file>

<file path=xl/comments3.xml><?xml version="1.0" encoding="utf-8"?>
<comments xmlns="http://schemas.openxmlformats.org/spreadsheetml/2006/main">
  <authors>
    <author>bill</author>
  </authors>
  <commentList>
    <comment ref="I1" authorId="0">
      <text>
        <r>
          <rPr>
            <b/>
            <sz val="9"/>
            <rFont val="宋体"/>
            <charset val="134"/>
          </rPr>
          <t>处置日期为空，表示资产仍旧在册</t>
        </r>
      </text>
    </comment>
    <comment ref="L1" authorId="0">
      <text>
        <r>
          <rPr>
            <b/>
            <sz val="9"/>
            <rFont val="宋体"/>
            <charset val="134"/>
          </rPr>
          <t xml:space="preserve">一次性折旧资产的折旧年限输入2/12
</t>
        </r>
        <r>
          <rPr>
            <sz val="9"/>
            <rFont val="宋体"/>
            <charset val="134"/>
          </rPr>
          <t xml:space="preserve">
</t>
        </r>
      </text>
    </comment>
    <comment ref="AB1" authorId="0">
      <text>
        <r>
          <rPr>
            <b/>
            <sz val="9"/>
            <rFont val="宋体"/>
            <charset val="134"/>
          </rPr>
          <t>技术折旧：从技术角度考虑，设备在使用过程中应该会产生的耗费。为了计算简便，也采用直线法每年分摊的方式计算。不过，技术折旧不存在折旧期满不再计提的概念。资产超过预计年限使用，技术折旧仍旧计提，累计折旧超过原值的差额，被视为”赚到的价值“。</t>
        </r>
        <r>
          <rPr>
            <sz val="9"/>
            <rFont val="宋体"/>
            <charset val="134"/>
          </rPr>
          <t xml:space="preserve">
</t>
        </r>
      </text>
    </comment>
  </commentList>
</comments>
</file>

<file path=xl/sharedStrings.xml><?xml version="1.0" encoding="utf-8"?>
<sst xmlns="http://schemas.openxmlformats.org/spreadsheetml/2006/main" count="376" uniqueCount="99">
  <si>
    <t>当年实际数据截止月份</t>
  </si>
  <si>
    <t>编制说明：</t>
  </si>
  <si>
    <t>表格中黄色单元格中有公式，除非特别必要，尽量不要修改。白色单元格为可编辑单元格</t>
  </si>
  <si>
    <t>上年、当年、下年三张表为清单式表格，可根据需要增加行、删除行。可增加列，不要删除列</t>
  </si>
  <si>
    <t>注意增加行时，注意将黄色单元格中的公式往下复制</t>
  </si>
  <si>
    <t>资产编号</t>
  </si>
  <si>
    <t>资产名称</t>
  </si>
  <si>
    <t>资产类别</t>
  </si>
  <si>
    <t>责任中心1</t>
  </si>
  <si>
    <t>责任中心2</t>
  </si>
  <si>
    <t>归口管理部门</t>
  </si>
  <si>
    <t>使用部门</t>
  </si>
  <si>
    <t>购建日期</t>
  </si>
  <si>
    <t>处置日期</t>
  </si>
  <si>
    <t>资产异动原因</t>
  </si>
  <si>
    <t>原值</t>
  </si>
  <si>
    <t>财务折旧年限</t>
  </si>
  <si>
    <t>预计残值率</t>
  </si>
  <si>
    <t>折旧期满日</t>
  </si>
  <si>
    <t>年初原值</t>
  </si>
  <si>
    <t>原值增加</t>
  </si>
  <si>
    <t>原值减少</t>
  </si>
  <si>
    <t>年末原值</t>
  </si>
  <si>
    <t>chk</t>
  </si>
  <si>
    <t>年初累计折旧</t>
  </si>
  <si>
    <t>本年增加折旧</t>
  </si>
  <si>
    <t>折旧减少</t>
  </si>
  <si>
    <t>期末累计折旧</t>
  </si>
  <si>
    <t>技术折旧年限</t>
  </si>
  <si>
    <t>使用状态</t>
  </si>
  <si>
    <t>当年技术折旧</t>
  </si>
  <si>
    <t>FA001</t>
  </si>
  <si>
    <t>生产线</t>
  </si>
  <si>
    <t>机器设备</t>
  </si>
  <si>
    <t>流程中心</t>
  </si>
  <si>
    <t>制造中心</t>
  </si>
  <si>
    <t>工程部</t>
  </si>
  <si>
    <t>生产车间</t>
  </si>
  <si>
    <t>在用</t>
  </si>
  <si>
    <t>FA002</t>
  </si>
  <si>
    <t>厂房</t>
  </si>
  <si>
    <t>建筑物</t>
  </si>
  <si>
    <t>行政部</t>
  </si>
  <si>
    <t>FA003</t>
  </si>
  <si>
    <t>检测仪</t>
  </si>
  <si>
    <t>技术部</t>
  </si>
  <si>
    <t>FA004</t>
  </si>
  <si>
    <t>自动装配线</t>
  </si>
  <si>
    <t>FA005</t>
  </si>
  <si>
    <t>车床</t>
  </si>
  <si>
    <t>FA006</t>
  </si>
  <si>
    <t>笔记本电脑</t>
  </si>
  <si>
    <t>电子设备</t>
  </si>
  <si>
    <t>支持中心</t>
  </si>
  <si>
    <t>财务部</t>
  </si>
  <si>
    <t>IT部</t>
  </si>
  <si>
    <t>FA007</t>
  </si>
  <si>
    <t>FA008</t>
  </si>
  <si>
    <t>FA009</t>
  </si>
  <si>
    <t>当年已提折旧</t>
  </si>
  <si>
    <t>当年待提折旧</t>
  </si>
  <si>
    <t>FA010</t>
  </si>
  <si>
    <t>复印机</t>
  </si>
  <si>
    <t>金额单位：万元</t>
  </si>
  <si>
    <t>固定资产原值</t>
  </si>
  <si>
    <t>年初</t>
  </si>
  <si>
    <t>增加</t>
  </si>
  <si>
    <t>减少</t>
  </si>
  <si>
    <t>年末</t>
  </si>
  <si>
    <t>校验</t>
  </si>
  <si>
    <t>累计折旧</t>
  </si>
  <si>
    <t>技术折旧</t>
  </si>
  <si>
    <t>其中：</t>
  </si>
  <si>
    <t>金额</t>
  </si>
  <si>
    <t>合计</t>
  </si>
  <si>
    <t>*</t>
  </si>
  <si>
    <t>销售中心</t>
  </si>
  <si>
    <t>改善中心</t>
  </si>
  <si>
    <t>流程优化项目小组</t>
  </si>
  <si>
    <t>战略预算项目小组</t>
  </si>
  <si>
    <t>创新中心</t>
  </si>
  <si>
    <t>产品研发部</t>
  </si>
  <si>
    <t>XX试验室</t>
  </si>
  <si>
    <t>XX孵化业务</t>
  </si>
  <si>
    <t>人力资源部</t>
  </si>
  <si>
    <t>房屋、建筑物</t>
  </si>
  <si>
    <t>20年</t>
  </si>
  <si>
    <t>飞机、火车、轮船、机器、机械和其他生产设备，</t>
  </si>
  <si>
    <t>10年</t>
  </si>
  <si>
    <t>与生产经营活动有关的器具、工具、家具等</t>
  </si>
  <si>
    <t>5年</t>
  </si>
  <si>
    <t>飞机、火车、轮船以外的运输工具</t>
  </si>
  <si>
    <t>4年</t>
  </si>
  <si>
    <t>3年</t>
  </si>
  <si>
    <r>
      <rPr>
        <sz val="11"/>
        <color theme="1"/>
        <rFont val="等线"/>
        <charset val="134"/>
        <scheme val="minor"/>
      </rPr>
      <t>不得计算折旧扣除的固定资产
（1）房屋、建筑物以外未投入使用的固定资产；
（2）以经营租赁方式租入的固定资产；
（3）以融资租赁方式租出的固定资产；
（4）已足额提取折旧仍继续使用的固定资产；
（5）与经营活动无关的固定资产；
（6）</t>
    </r>
    <r>
      <rPr>
        <sz val="11"/>
        <color rgb="FFFF0000"/>
        <rFont val="等线"/>
        <charset val="134"/>
        <scheme val="minor"/>
      </rPr>
      <t>单独估价作为固定资产入账的土地；</t>
    </r>
    <r>
      <rPr>
        <sz val="11"/>
        <color theme="1"/>
        <rFont val="等线"/>
        <charset val="134"/>
        <scheme val="minor"/>
      </rPr>
      <t xml:space="preserve">
（7）其他不得计算折旧扣除的固定资产。</t>
    </r>
  </si>
  <si>
    <t>固定资产折旧的计提方法
1. 企业应当自固定资产投入使用月份的次月起计算折旧；停止使用的固定资产，应当自停止使用月份的次月起停止计算折旧。
2. 企业应当根据固定资产的性质和使用情况，合理确定固定资产的预计净残值。固定资产的预计净残值一经确定，不得变更。
3. 固定资产按照 直线法 计算的折旧，准予扣除。年折旧率 = （1- 预计净残值率）÷预计使用年限</t>
  </si>
  <si>
    <r>
      <rPr>
        <sz val="11"/>
        <color theme="1"/>
        <rFont val="等线"/>
        <charset val="134"/>
        <scheme val="minor"/>
      </rPr>
      <t xml:space="preserve">加速折旧政策
</t>
    </r>
    <r>
      <rPr>
        <sz val="11"/>
        <color theme="1"/>
        <rFont val="Segoe UI Symbol"/>
        <charset val="134"/>
      </rPr>
      <t>➤</t>
    </r>
    <r>
      <rPr>
        <sz val="11"/>
        <color theme="1"/>
        <rFont val="等线"/>
        <charset val="134"/>
        <scheme val="minor"/>
      </rPr>
      <t xml:space="preserve">适用于全体行业
1. 根据《中华人民共和国企业所得税法》第三十二条规定，企业的固定资产由于技术进步等原因，确需加速折旧的，可以缩短折旧年限或者采取加速折旧的方法。
2.《中华人民共和国企业所得税法实施条例》 第九十八条规定，企业所得税法第三十二条所称可以采取缩短折旧年限或者采取加速折旧的方法的固定资产，包括：
（一） 由于技术进步，产品更新换代较快的固定资产；
（二） 常年处于强震动、高腐蚀状态的固定资产。
采取缩短折旧年限方法的，最低折旧年限不得低于本条例第六十条规定折旧年限的60%；采取加速折旧方法的，可以采取双倍余额递减法或者年数总和法。
</t>
    </r>
    <r>
      <rPr>
        <sz val="11"/>
        <color theme="1"/>
        <rFont val="Segoe UI Symbol"/>
        <charset val="134"/>
      </rPr>
      <t>➤</t>
    </r>
    <r>
      <rPr>
        <sz val="11"/>
        <color theme="1"/>
        <rFont val="等线"/>
        <charset val="134"/>
        <scheme val="minor"/>
      </rPr>
      <t>适用于特定行业
1.《财政部 国家税务总局关于进一步鼓励软件产业和集成电路产业发展企业所得税政策的通知》（财税〔2012〕27号），企业外购的软件，凡符合固定资产或无形资产进行核实，其折旧或摊销年限可以适当缩短，最短可为2年（含）；集成电路生产企业的生产设备，其折旧年限可以适当缩短，最短可为3年（含）。
2.《财政部 国家税务总局关于完善固定资产加速折旧企业所得税政策的通知》(财税〔2014〕75号)、《国家税务总局关于固定资产加速折旧税收政策有关问题的公告》（国家税务总局公告〔2014〕64号），对生物药品制造业，专用设备制造业，铁路、船舶、航空航天和其他运输设备制造业，计算机、通信和其他电子设备制造业，仪器仪表制造业，信息传输、软件和信息技术服务业等行业企业，2014年1月1日后购进的固定资产（包括自行建造），允许按不低于企业所得税法规定折旧年限的60%缩短折旧年限，或选择采取双倍余额递减法或年数总和法进行加速折旧。
3.《财政部 国家税务总局关于进一步完善固定资产加速折旧企业所得税政策的通知》（财税〔2015〕106号）、《国家税务总局关于进一步完善固定资产加速折旧企业所得税政策有关问题的公告》（国家税务总局公告〔2015〕68号），对轻工、纺织、机械、汽车等四个领域重点行业的企业2015年1月1日后新购进的固定资产（包括自行建造），可由企业选择缩短折旧年限或采取加速折旧的方法，对上述行业的小型微利企业2015年1月1日后新购进的研发和生产经营共用的仪器、设备，单位价值不超过100万元的，允许一次性计入当期成本费用在计算应纳税所得额时扣除，不再分年度计算折旧；单位价值超过100万元的，可由企业选择缩短折旧年限或采取加速折旧的方法。
这里需要注意的是，《财政部 税务总局关于扩大固定资产加速折旧优惠政策适用范围的公告》（财政部 税务总局公告2019年第66号）规定，2019年1月1日起，上述两项规定固定资产加速折旧优惠的行业范围，扩大至全部制造业领域。</t>
    </r>
  </si>
  <si>
    <r>
      <rPr>
        <sz val="11"/>
        <color theme="1"/>
        <rFont val="等线"/>
        <charset val="134"/>
        <scheme val="minor"/>
      </rPr>
      <t xml:space="preserve">一次性扣除政策
</t>
    </r>
    <r>
      <rPr>
        <sz val="11"/>
        <color theme="1"/>
        <rFont val="Segoe UI Symbol"/>
        <charset val="134"/>
      </rPr>
      <t>➤</t>
    </r>
    <r>
      <rPr>
        <sz val="11"/>
        <color theme="1"/>
        <rFont val="等线"/>
        <charset val="134"/>
        <scheme val="minor"/>
      </rPr>
      <t xml:space="preserve">不超过5000元的固定资产
根据《国家税务总局关于固定资产加速折旧税收政策有关问题的公告》（国家税务总局公告〕2014〕64号）规定，2014年1月1日起，对所有行业企业持有的单位价值不超过5000元的固定资产，允许一次性计入当期成本费用在计算应纳税所得额时扣除，不再分年度计算折旧。
</t>
    </r>
    <r>
      <rPr>
        <sz val="11"/>
        <color theme="1"/>
        <rFont val="Segoe UI Symbol"/>
        <charset val="134"/>
      </rPr>
      <t>➤</t>
    </r>
    <r>
      <rPr>
        <sz val="11"/>
        <color theme="1"/>
        <rFont val="等线"/>
        <charset val="134"/>
        <scheme val="minor"/>
      </rPr>
      <t xml:space="preserve">单位价值不超过100万元的研发仪器、设备
根据《国家税务总局关于固定资产加速折旧税收政策有关问题的公告》（国家税务总局公告〔2014〕64号）规定，对所有行业企业2014年1月1日后新购进的专门用于研发的仪器、设备，单位价值不超过100万元的，允许一次性计入当期成本费用在计算应纳税所得额时扣除，不再分年度计算折旧；单位价值超过100万元的，可缩短折旧年限或采取加速折旧的方法。
</t>
    </r>
    <r>
      <rPr>
        <sz val="11"/>
        <color theme="1"/>
        <rFont val="Segoe UI Symbol"/>
        <charset val="134"/>
      </rPr>
      <t>➤</t>
    </r>
    <r>
      <rPr>
        <sz val="11"/>
        <color theme="1"/>
        <rFont val="等线"/>
        <charset val="134"/>
        <scheme val="minor"/>
      </rPr>
      <t>单位价值不超过500万元的固定资产（房屋、建筑物除外）
根据《财政部 税务总局关于设备 器具扣除有关企业所得税政策的通知》（财税〔2018〕54号）、《国家税务总局关于设备 器具扣除有关企业所得税政策执行问题的公告》（国家税务总局公告2018年第46号）规定，企业在2018年1月1日至2020年12月31日期间新购进的设备、器具（所称设备、器具，是指除房屋、建筑物以外的固定资产），单位价值不超过500万元的，允许一次性计入当期成本费用在计算应纳税所得额时扣除，不再分年度计算折旧；单位价值超过500万元的，仍按企业所得税法实施条例、《财政部 国家税务总局关于完善固定资产加速折旧企业所得税政策的通知》（财税〔2014〕75号）、《财政部 国家税务总局关于进一步完善固定资产加速折旧企业所得税政策的通知》（财税〔2015〕106号）等相关规定执行。
注意：根据《财政部 税务总局关于支持新型冠状病毒感染的肺炎疫情防控有关税收政策的公告》（财政部 税务总局公告2020年第8号）规定，对疫情防控重点保障物资生产企业为扩大产能新购置的相关设备，允许一次性计入当期成本费用在企业所得税税前扣除，该政策根据《财政部 税务总局关于支持疫情防控保供等税费政策实施期限的公告》（财政部 税务总局公告2020年第28号）执行至2020年12月31日。</t>
    </r>
  </si>
  <si>
    <t>固定资产折旧差异的处理
1. 计税基础差异
企业按会计规定提取的固定资产减值准备，不得税前扣除，其折旧仍按税法规定的固定资产计税基础计算扣除。
2.折旧年限差异
企业固定资产会计折旧年限如果短于税法规定的最低折旧年限，其按会计折旧年限计提的折旧高于按税法规定的最低折旧年限计提的折旧部分，应调增当期应纳税所得额。
企业固定资产会计折旧年限如果长于税法规定的最低年限，其折旧应按会计折旧年限扣除，税法另有规定的除外。
3. 加速折旧差异
企业按税法规定实行加速折旧的，其按加速折旧办法计算的折旧额可全额在税前扣除。企业实施加速折旧但不符合税法规定条件的，按照税法规定的折旧方法计算扣除。
固定资产改扩建的税务处理
1. 未提足折旧推倒重置的——净值并入重置后固定资产的计税成本。
举例：原固定资产净值 20 万元，推倒重置支出 80 万元，重置后该资产计税成本为 100 万元。
2. 未提足折旧提升功能增加面积的——改扩建支出并入固定资产的计税基础，折旧年限按照税法规定的折旧年限与尚可使用年限 孰短 的标准重新确定。
3.已提足折旧的，按照长期待摊费用，在规定的年限内摊销。</t>
  </si>
</sst>
</file>

<file path=xl/styles.xml><?xml version="1.0" encoding="utf-8"?>
<styleSheet xmlns="http://schemas.openxmlformats.org/spreadsheetml/2006/main">
  <numFmts count="7">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_ * #,##0.0_ ;_ * \-#,##0.0_ ;_ * &quot;-&quot;??_ ;_ @_ "/>
    <numFmt numFmtId="177" formatCode="_ * #,##0_ ;_ * \-#,##0_ ;_ * &quot;-&quot;??_ ;_ @_ "/>
    <numFmt numFmtId="178" formatCode="_ * #,##0.0_ ;_ * \-#,##0.0_ ;_ * &quot;-&quot;?_ ;_ @_ "/>
  </numFmts>
  <fonts count="40">
    <font>
      <sz val="11"/>
      <color theme="1"/>
      <name val="等线"/>
      <charset val="134"/>
      <scheme val="minor"/>
    </font>
    <font>
      <sz val="10"/>
      <color theme="0"/>
      <name val="微软雅黑"/>
      <charset val="134"/>
    </font>
    <font>
      <b/>
      <sz val="16"/>
      <color theme="0"/>
      <name val="微软雅黑"/>
      <charset val="134"/>
    </font>
    <font>
      <sz val="12"/>
      <color theme="0"/>
      <name val="微软雅黑"/>
      <charset val="134"/>
    </font>
    <font>
      <b/>
      <sz val="11"/>
      <color theme="1"/>
      <name val="微软雅黑"/>
      <charset val="134"/>
    </font>
    <font>
      <b/>
      <sz val="8"/>
      <color theme="0" tint="-0.149998474074526"/>
      <name val="微软雅黑"/>
      <charset val="134"/>
    </font>
    <font>
      <sz val="12"/>
      <color theme="1"/>
      <name val="等线"/>
      <charset val="134"/>
      <scheme val="minor"/>
    </font>
    <font>
      <sz val="12"/>
      <color theme="1"/>
      <name val="等线"/>
      <charset val="134"/>
      <scheme val="minor"/>
    </font>
    <font>
      <sz val="8"/>
      <color theme="0" tint="-0.149998474074526"/>
      <name val="微软雅黑"/>
      <charset val="134"/>
    </font>
    <font>
      <sz val="12"/>
      <color theme="0"/>
      <name val="等线"/>
      <charset val="134"/>
      <scheme val="minor"/>
    </font>
    <font>
      <sz val="12"/>
      <color theme="1"/>
      <name val="微软雅黑"/>
      <charset val="134"/>
    </font>
    <font>
      <b/>
      <sz val="12"/>
      <color theme="1"/>
      <name val="微软雅黑"/>
      <charset val="134"/>
    </font>
    <font>
      <sz val="12"/>
      <color rgb="FFFF0000"/>
      <name val="微软雅黑"/>
      <charset val="134"/>
    </font>
    <font>
      <sz val="10"/>
      <color theme="1"/>
      <name val="微软雅黑"/>
      <charset val="134"/>
    </font>
    <font>
      <sz val="11"/>
      <color theme="1"/>
      <name val="微软雅黑"/>
      <charset val="134"/>
    </font>
    <font>
      <sz val="11"/>
      <color theme="0"/>
      <name val="等线"/>
      <charset val="134"/>
      <scheme val="minor"/>
    </font>
    <font>
      <sz val="11"/>
      <color theme="1"/>
      <name val="等线"/>
      <charset val="134"/>
      <scheme val="minor"/>
    </font>
    <font>
      <b/>
      <sz val="13"/>
      <color theme="3"/>
      <name val="等线"/>
      <charset val="134"/>
      <scheme val="minor"/>
    </font>
    <font>
      <sz val="11"/>
      <color theme="0"/>
      <name val="等线"/>
      <charset val="0"/>
      <scheme val="minor"/>
    </font>
    <font>
      <sz val="11"/>
      <color theme="1"/>
      <name val="等线"/>
      <charset val="0"/>
      <scheme val="minor"/>
    </font>
    <font>
      <sz val="11"/>
      <color rgb="FF3F3F76"/>
      <name val="等线"/>
      <charset val="0"/>
      <scheme val="minor"/>
    </font>
    <font>
      <sz val="11"/>
      <color rgb="FF9C0006"/>
      <name val="等线"/>
      <charset val="0"/>
      <scheme val="minor"/>
    </font>
    <font>
      <u/>
      <sz val="11"/>
      <color rgb="FF0000FF"/>
      <name val="等线"/>
      <charset val="0"/>
      <scheme val="minor"/>
    </font>
    <font>
      <u/>
      <sz val="11"/>
      <color rgb="FF800080"/>
      <name val="等线"/>
      <charset val="0"/>
      <scheme val="minor"/>
    </font>
    <font>
      <i/>
      <sz val="11"/>
      <color rgb="FF7F7F7F"/>
      <name val="等线"/>
      <charset val="0"/>
      <scheme val="minor"/>
    </font>
    <font>
      <b/>
      <sz val="11"/>
      <color theme="3"/>
      <name val="等线"/>
      <charset val="134"/>
      <scheme val="minor"/>
    </font>
    <font>
      <sz val="11"/>
      <color rgb="FF9C6500"/>
      <name val="等线"/>
      <charset val="0"/>
      <scheme val="minor"/>
    </font>
    <font>
      <sz val="11"/>
      <color rgb="FFFF0000"/>
      <name val="等线"/>
      <charset val="0"/>
      <scheme val="minor"/>
    </font>
    <font>
      <b/>
      <sz val="18"/>
      <color theme="3"/>
      <name val="等线"/>
      <charset val="134"/>
      <scheme val="minor"/>
    </font>
    <font>
      <b/>
      <sz val="15"/>
      <color theme="3"/>
      <name val="等线"/>
      <charset val="134"/>
      <scheme val="minor"/>
    </font>
    <font>
      <b/>
      <sz val="11"/>
      <color rgb="FF3F3F3F"/>
      <name val="等线"/>
      <charset val="0"/>
      <scheme val="minor"/>
    </font>
    <font>
      <b/>
      <sz val="11"/>
      <color rgb="FFFA7D00"/>
      <name val="等线"/>
      <charset val="0"/>
      <scheme val="minor"/>
    </font>
    <font>
      <sz val="11"/>
      <color rgb="FFFA7D00"/>
      <name val="等线"/>
      <charset val="0"/>
      <scheme val="minor"/>
    </font>
    <font>
      <b/>
      <sz val="11"/>
      <color rgb="FFFFFFFF"/>
      <name val="等线"/>
      <charset val="0"/>
      <scheme val="minor"/>
    </font>
    <font>
      <sz val="11"/>
      <color rgb="FF006100"/>
      <name val="等线"/>
      <charset val="0"/>
      <scheme val="minor"/>
    </font>
    <font>
      <b/>
      <sz val="11"/>
      <color theme="1"/>
      <name val="等线"/>
      <charset val="0"/>
      <scheme val="minor"/>
    </font>
    <font>
      <sz val="11"/>
      <color rgb="FFFF0000"/>
      <name val="等线"/>
      <charset val="134"/>
      <scheme val="minor"/>
    </font>
    <font>
      <sz val="11"/>
      <color theme="1"/>
      <name val="Segoe UI Symbol"/>
      <charset val="134"/>
    </font>
    <font>
      <b/>
      <sz val="9"/>
      <name val="宋体"/>
      <charset val="134"/>
    </font>
    <font>
      <sz val="9"/>
      <name val="宋体"/>
      <charset val="134"/>
    </font>
  </fonts>
  <fills count="36">
    <fill>
      <patternFill patternType="none"/>
    </fill>
    <fill>
      <patternFill patternType="gray125"/>
    </fill>
    <fill>
      <patternFill patternType="solid">
        <fgColor theme="1" tint="0.349986266670736"/>
        <bgColor indexed="64"/>
      </patternFill>
    </fill>
    <fill>
      <patternFill patternType="solid">
        <fgColor theme="1"/>
        <bgColor indexed="64"/>
      </patternFill>
    </fill>
    <fill>
      <patternFill patternType="solid">
        <fgColor rgb="FFFFC000"/>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rgb="FFFFC7CE"/>
        <bgColor indexed="64"/>
      </patternFill>
    </fill>
    <fill>
      <patternFill patternType="solid">
        <fgColor theme="8"/>
        <bgColor indexed="64"/>
      </patternFill>
    </fill>
    <fill>
      <patternFill patternType="solid">
        <fgColor theme="5"/>
        <bgColor indexed="64"/>
      </patternFill>
    </fill>
    <fill>
      <patternFill patternType="solid">
        <fgColor theme="6" tint="0.399975585192419"/>
        <bgColor indexed="64"/>
      </patternFill>
    </fill>
    <fill>
      <patternFill patternType="solid">
        <fgColor rgb="FFFFFFCC"/>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rgb="FFF2F2F2"/>
        <bgColor indexed="64"/>
      </patternFill>
    </fill>
    <fill>
      <patternFill patternType="solid">
        <fgColor theme="4"/>
        <bgColor indexed="64"/>
      </patternFill>
    </fill>
    <fill>
      <patternFill patternType="solid">
        <fgColor rgb="FFA5A5A5"/>
        <bgColor indexed="64"/>
      </patternFill>
    </fill>
    <fill>
      <patternFill patternType="solid">
        <fgColor rgb="FFC6EFCE"/>
        <bgColor indexed="64"/>
      </patternFill>
    </fill>
    <fill>
      <patternFill patternType="solid">
        <fgColor theme="7"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6"/>
        <bgColor indexed="64"/>
      </patternFill>
    </fill>
    <fill>
      <patternFill patternType="solid">
        <fgColor theme="5" tint="0.799981688894314"/>
        <bgColor indexed="64"/>
      </patternFill>
    </fill>
    <fill>
      <patternFill patternType="solid">
        <fgColor theme="9"/>
        <bgColor indexed="64"/>
      </patternFill>
    </fill>
    <fill>
      <patternFill patternType="solid">
        <fgColor theme="8" tint="0.599993896298105"/>
        <bgColor indexed="64"/>
      </patternFill>
    </fill>
  </fills>
  <borders count="16">
    <border>
      <left/>
      <right/>
      <top/>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right/>
      <top/>
      <bottom style="thin">
        <color theme="1"/>
      </bottom>
      <diagonal/>
    </border>
    <border>
      <left/>
      <right style="thin">
        <color theme="1"/>
      </right>
      <top/>
      <bottom style="thin">
        <color theme="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0">
    <xf numFmtId="0" fontId="0" fillId="0" borderId="0">
      <alignment vertical="center"/>
    </xf>
    <xf numFmtId="42" fontId="16" fillId="0" borderId="0" applyFont="0" applyFill="0" applyBorder="0" applyAlignment="0" applyProtection="0">
      <alignment vertical="center"/>
    </xf>
    <xf numFmtId="0" fontId="19" fillId="8" borderId="0" applyNumberFormat="0" applyBorder="0" applyAlignment="0" applyProtection="0">
      <alignment vertical="center"/>
    </xf>
    <xf numFmtId="0" fontId="20" fillId="9" borderId="9" applyNumberFormat="0" applyAlignment="0" applyProtection="0">
      <alignment vertical="center"/>
    </xf>
    <xf numFmtId="44" fontId="16" fillId="0" borderId="0" applyFont="0" applyFill="0" applyBorder="0" applyAlignment="0" applyProtection="0">
      <alignment vertical="center"/>
    </xf>
    <xf numFmtId="41" fontId="16" fillId="0" borderId="0" applyFont="0" applyFill="0" applyBorder="0" applyAlignment="0" applyProtection="0">
      <alignment vertical="center"/>
    </xf>
    <xf numFmtId="0" fontId="19" fillId="11" borderId="0" applyNumberFormat="0" applyBorder="0" applyAlignment="0" applyProtection="0">
      <alignment vertical="center"/>
    </xf>
    <xf numFmtId="0" fontId="21" fillId="13" borderId="0" applyNumberFormat="0" applyBorder="0" applyAlignment="0" applyProtection="0">
      <alignment vertical="center"/>
    </xf>
    <xf numFmtId="43" fontId="0" fillId="0" borderId="0" applyFont="0" applyFill="0" applyBorder="0" applyAlignment="0" applyProtection="0">
      <alignment vertical="center"/>
    </xf>
    <xf numFmtId="0" fontId="18" fillId="16"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16" fillId="17" borderId="10" applyNumberFormat="0" applyFont="0" applyAlignment="0" applyProtection="0">
      <alignment vertical="center"/>
    </xf>
    <xf numFmtId="0" fontId="18" fillId="21" borderId="0" applyNumberFormat="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9" fillId="0" borderId="8"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25" fillId="0" borderId="11" applyNumberFormat="0" applyFill="0" applyAlignment="0" applyProtection="0">
      <alignment vertical="center"/>
    </xf>
    <xf numFmtId="0" fontId="18" fillId="23" borderId="0" applyNumberFormat="0" applyBorder="0" applyAlignment="0" applyProtection="0">
      <alignment vertical="center"/>
    </xf>
    <xf numFmtId="0" fontId="30" fillId="24" borderId="12" applyNumberFormat="0" applyAlignment="0" applyProtection="0">
      <alignment vertical="center"/>
    </xf>
    <xf numFmtId="0" fontId="31" fillId="24" borderId="9" applyNumberFormat="0" applyAlignment="0" applyProtection="0">
      <alignment vertical="center"/>
    </xf>
    <xf numFmtId="0" fontId="33" fillId="26" borderId="14" applyNumberFormat="0" applyAlignment="0" applyProtection="0">
      <alignment vertical="center"/>
    </xf>
    <xf numFmtId="0" fontId="19" fillId="20" borderId="0" applyNumberFormat="0" applyBorder="0" applyAlignment="0" applyProtection="0">
      <alignment vertical="center"/>
    </xf>
    <xf numFmtId="0" fontId="18" fillId="15" borderId="0" applyNumberFormat="0" applyBorder="0" applyAlignment="0" applyProtection="0">
      <alignment vertical="center"/>
    </xf>
    <xf numFmtId="0" fontId="32" fillId="0" borderId="13" applyNumberFormat="0" applyFill="0" applyAlignment="0" applyProtection="0">
      <alignment vertical="center"/>
    </xf>
    <xf numFmtId="0" fontId="35" fillId="0" borderId="15" applyNumberFormat="0" applyFill="0" applyAlignment="0" applyProtection="0">
      <alignment vertical="center"/>
    </xf>
    <xf numFmtId="0" fontId="34" fillId="27" borderId="0" applyNumberFormat="0" applyBorder="0" applyAlignment="0" applyProtection="0">
      <alignment vertical="center"/>
    </xf>
    <xf numFmtId="0" fontId="26" fillId="22" borderId="0" applyNumberFormat="0" applyBorder="0" applyAlignment="0" applyProtection="0">
      <alignment vertical="center"/>
    </xf>
    <xf numFmtId="0" fontId="19" fillId="30" borderId="0" applyNumberFormat="0" applyBorder="0" applyAlignment="0" applyProtection="0">
      <alignment vertical="center"/>
    </xf>
    <xf numFmtId="0" fontId="18" fillId="25"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7" borderId="0" applyNumberFormat="0" applyBorder="0" applyAlignment="0" applyProtection="0">
      <alignment vertical="center"/>
    </xf>
    <xf numFmtId="0" fontId="18" fillId="32" borderId="0" applyNumberFormat="0" applyBorder="0" applyAlignment="0" applyProtection="0">
      <alignment vertical="center"/>
    </xf>
    <xf numFmtId="0" fontId="18" fillId="29" borderId="0" applyNumberFormat="0" applyBorder="0" applyAlignment="0" applyProtection="0">
      <alignment vertical="center"/>
    </xf>
    <xf numFmtId="0" fontId="19" fillId="19" borderId="0" applyNumberFormat="0" applyBorder="0" applyAlignment="0" applyProtection="0">
      <alignment vertical="center"/>
    </xf>
    <xf numFmtId="0" fontId="19" fillId="28" borderId="0" applyNumberFormat="0" applyBorder="0" applyAlignment="0" applyProtection="0">
      <alignment vertical="center"/>
    </xf>
    <xf numFmtId="0" fontId="18" fillId="14" borderId="0" applyNumberFormat="0" applyBorder="0" applyAlignment="0" applyProtection="0">
      <alignment vertical="center"/>
    </xf>
    <xf numFmtId="0" fontId="19" fillId="35" borderId="0" applyNumberFormat="0" applyBorder="0" applyAlignment="0" applyProtection="0">
      <alignment vertical="center"/>
    </xf>
    <xf numFmtId="0" fontId="18" fillId="18" borderId="0" applyNumberFormat="0" applyBorder="0" applyAlignment="0" applyProtection="0">
      <alignment vertical="center"/>
    </xf>
    <xf numFmtId="0" fontId="18" fillId="34" borderId="0" applyNumberFormat="0" applyBorder="0" applyAlignment="0" applyProtection="0">
      <alignment vertical="center"/>
    </xf>
    <xf numFmtId="0" fontId="19" fillId="6" borderId="0" applyNumberFormat="0" applyBorder="0" applyAlignment="0" applyProtection="0">
      <alignment vertical="center"/>
    </xf>
    <xf numFmtId="0" fontId="18" fillId="5" borderId="0" applyNumberFormat="0" applyBorder="0" applyAlignment="0" applyProtection="0">
      <alignment vertical="center"/>
    </xf>
    <xf numFmtId="0" fontId="0" fillId="0" borderId="0">
      <alignment vertical="center"/>
    </xf>
  </cellStyleXfs>
  <cellXfs count="62">
    <xf numFmtId="0" fontId="0" fillId="0" borderId="0" xfId="0">
      <alignment vertical="center"/>
    </xf>
    <xf numFmtId="0" fontId="0" fillId="0" borderId="0" xfId="0" applyAlignment="1">
      <alignment vertical="center" wrapText="1"/>
    </xf>
    <xf numFmtId="0" fontId="0" fillId="0" borderId="0" xfId="0" applyBorder="1">
      <alignment vertical="center"/>
    </xf>
    <xf numFmtId="14" fontId="1" fillId="2" borderId="0" xfId="0" applyNumberFormat="1" applyFont="1" applyFill="1" applyBorder="1" applyAlignment="1">
      <alignment horizontal="center" vertical="center" shrinkToFit="1"/>
    </xf>
    <xf numFmtId="14" fontId="2" fillId="2" borderId="0"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0" fontId="4" fillId="0" borderId="0" xfId="0" applyFont="1">
      <alignment vertical="center"/>
    </xf>
    <xf numFmtId="0" fontId="5" fillId="0" borderId="0" xfId="0" applyFont="1">
      <alignment vertical="center"/>
    </xf>
    <xf numFmtId="176" fontId="6" fillId="0" borderId="0" xfId="8" applyNumberFormat="1" applyFont="1" applyBorder="1">
      <alignment vertical="center"/>
    </xf>
    <xf numFmtId="176" fontId="7" fillId="0" borderId="0" xfId="8" applyNumberFormat="1" applyFont="1" applyBorder="1">
      <alignment vertical="center"/>
    </xf>
    <xf numFmtId="0" fontId="7" fillId="0" borderId="0" xfId="49" applyFont="1" applyBorder="1">
      <alignment vertical="center"/>
    </xf>
    <xf numFmtId="0" fontId="8" fillId="0" borderId="0" xfId="0" applyFont="1">
      <alignment vertical="center"/>
    </xf>
    <xf numFmtId="0" fontId="9" fillId="0" borderId="0" xfId="49" applyFont="1" applyBorder="1">
      <alignment vertical="center"/>
    </xf>
    <xf numFmtId="0" fontId="0" fillId="0" borderId="0" xfId="0" applyProtection="1">
      <alignment vertical="center"/>
      <protection locked="0"/>
    </xf>
    <xf numFmtId="177" fontId="6" fillId="0" borderId="0" xfId="8" applyNumberFormat="1" applyFont="1" applyBorder="1">
      <alignment vertical="center"/>
    </xf>
    <xf numFmtId="0" fontId="10" fillId="0" borderId="0" xfId="0" applyFont="1">
      <alignment vertical="center"/>
    </xf>
    <xf numFmtId="0" fontId="10" fillId="0" borderId="0" xfId="0" applyFont="1" applyFill="1">
      <alignment vertical="center"/>
    </xf>
    <xf numFmtId="0" fontId="10" fillId="0" borderId="1" xfId="0" applyFont="1" applyBorder="1">
      <alignment vertical="center"/>
    </xf>
    <xf numFmtId="0" fontId="10" fillId="0" borderId="2" xfId="0" applyFont="1" applyBorder="1">
      <alignment vertical="center"/>
    </xf>
    <xf numFmtId="0" fontId="10" fillId="0" borderId="1" xfId="0" applyFont="1" applyFill="1" applyBorder="1">
      <alignment vertical="center"/>
    </xf>
    <xf numFmtId="0" fontId="3" fillId="3" borderId="1" xfId="0" applyFont="1" applyFill="1" applyBorder="1">
      <alignment vertical="center"/>
    </xf>
    <xf numFmtId="0" fontId="11" fillId="0" borderId="3" xfId="0" applyFont="1" applyBorder="1">
      <alignment vertical="center"/>
    </xf>
    <xf numFmtId="0" fontId="10" fillId="0" borderId="4" xfId="0" applyFont="1" applyBorder="1">
      <alignment vertical="center"/>
    </xf>
    <xf numFmtId="0" fontId="10" fillId="0" borderId="3" xfId="0" applyFont="1" applyFill="1" applyBorder="1">
      <alignment vertical="center"/>
    </xf>
    <xf numFmtId="0" fontId="10" fillId="0" borderId="3" xfId="0" applyFont="1" applyBorder="1">
      <alignment vertical="center"/>
    </xf>
    <xf numFmtId="0" fontId="11" fillId="0" borderId="0" xfId="0" applyFont="1" applyBorder="1">
      <alignment vertical="center"/>
    </xf>
    <xf numFmtId="0" fontId="10" fillId="0" borderId="5" xfId="0" applyFont="1" applyBorder="1">
      <alignment vertical="center"/>
    </xf>
    <xf numFmtId="176" fontId="10" fillId="0" borderId="0" xfId="8" applyNumberFormat="1" applyFont="1" applyFill="1" applyBorder="1">
      <alignment vertical="center"/>
    </xf>
    <xf numFmtId="176" fontId="10" fillId="4" borderId="0" xfId="8" applyNumberFormat="1" applyFont="1" applyFill="1" applyBorder="1">
      <alignment vertical="center"/>
    </xf>
    <xf numFmtId="0" fontId="11" fillId="0" borderId="6" xfId="0" applyFont="1" applyBorder="1">
      <alignment vertical="center"/>
    </xf>
    <xf numFmtId="0" fontId="12" fillId="0" borderId="7" xfId="0" applyFont="1" applyBorder="1">
      <alignment vertical="center"/>
    </xf>
    <xf numFmtId="176" fontId="12" fillId="0" borderId="6" xfId="8" applyNumberFormat="1" applyFont="1" applyFill="1" applyBorder="1">
      <alignment vertical="center"/>
    </xf>
    <xf numFmtId="176" fontId="12" fillId="4" borderId="6" xfId="8" applyNumberFormat="1" applyFont="1" applyFill="1" applyBorder="1">
      <alignment vertical="center"/>
    </xf>
    <xf numFmtId="176" fontId="10" fillId="0" borderId="3" xfId="8" applyNumberFormat="1" applyFont="1" applyFill="1" applyBorder="1">
      <alignment vertical="center"/>
    </xf>
    <xf numFmtId="176" fontId="10" fillId="0" borderId="3" xfId="8" applyNumberFormat="1" applyFont="1" applyBorder="1">
      <alignment vertical="center"/>
    </xf>
    <xf numFmtId="176" fontId="10" fillId="0" borderId="6" xfId="8" applyNumberFormat="1" applyFont="1" applyFill="1" applyBorder="1">
      <alignment vertical="center"/>
    </xf>
    <xf numFmtId="176" fontId="10" fillId="4" borderId="3" xfId="8" applyNumberFormat="1" applyFont="1" applyFill="1" applyBorder="1">
      <alignment vertical="center"/>
    </xf>
    <xf numFmtId="0" fontId="13" fillId="0" borderId="0" xfId="0" applyFont="1" applyBorder="1">
      <alignment vertical="center"/>
    </xf>
    <xf numFmtId="0" fontId="0" fillId="0" borderId="5" xfId="0" applyBorder="1" applyProtection="1">
      <alignment vertical="center"/>
      <protection locked="0"/>
    </xf>
    <xf numFmtId="176" fontId="14" fillId="0" borderId="0" xfId="8" applyNumberFormat="1" applyFont="1" applyFill="1" applyBorder="1">
      <alignment vertical="center"/>
    </xf>
    <xf numFmtId="176" fontId="14" fillId="4" borderId="0" xfId="8" applyNumberFormat="1" applyFont="1" applyFill="1" applyBorder="1">
      <alignment vertical="center"/>
    </xf>
    <xf numFmtId="0" fontId="0" fillId="0" borderId="7" xfId="0" applyBorder="1" applyProtection="1">
      <alignment vertical="center"/>
      <protection locked="0"/>
    </xf>
    <xf numFmtId="176" fontId="14" fillId="4" borderId="6" xfId="8" applyNumberFormat="1" applyFont="1" applyFill="1" applyBorder="1">
      <alignment vertical="center"/>
    </xf>
    <xf numFmtId="176" fontId="14" fillId="0" borderId="6" xfId="8" applyNumberFormat="1" applyFont="1" applyFill="1" applyBorder="1">
      <alignment vertical="center"/>
    </xf>
    <xf numFmtId="176" fontId="10" fillId="0" borderId="0" xfId="8" applyNumberFormat="1" applyFont="1" applyFill="1">
      <alignment vertical="center"/>
    </xf>
    <xf numFmtId="176" fontId="10" fillId="0" borderId="0" xfId="8" applyNumberFormat="1" applyFont="1">
      <alignment vertical="center"/>
    </xf>
    <xf numFmtId="178" fontId="12" fillId="0" borderId="0" xfId="0" applyNumberFormat="1" applyFont="1">
      <alignment vertical="center"/>
    </xf>
    <xf numFmtId="176" fontId="10" fillId="4" borderId="6" xfId="8" applyNumberFormat="1" applyFont="1" applyFill="1" applyBorder="1">
      <alignment vertical="center"/>
    </xf>
    <xf numFmtId="43" fontId="0" fillId="0" borderId="0" xfId="8" applyFont="1">
      <alignment vertical="center"/>
    </xf>
    <xf numFmtId="0" fontId="15" fillId="3" borderId="0" xfId="0" applyFont="1" applyFill="1" applyProtection="1">
      <alignment vertical="center"/>
      <protection locked="0"/>
    </xf>
    <xf numFmtId="14" fontId="0" fillId="0" borderId="0" xfId="0" applyNumberFormat="1" applyProtection="1">
      <alignment vertical="center"/>
      <protection locked="0"/>
    </xf>
    <xf numFmtId="0" fontId="0" fillId="0" borderId="0" xfId="49" applyBorder="1">
      <alignment vertical="center"/>
    </xf>
    <xf numFmtId="43" fontId="0" fillId="0" borderId="0" xfId="8" applyFont="1" applyProtection="1">
      <alignment vertical="center"/>
      <protection locked="0"/>
    </xf>
    <xf numFmtId="9" fontId="0" fillId="0" borderId="0" xfId="11" applyFont="1" applyProtection="1">
      <alignment vertical="center"/>
      <protection locked="0"/>
    </xf>
    <xf numFmtId="14" fontId="0" fillId="4" borderId="0" xfId="8" applyNumberFormat="1" applyFont="1" applyFill="1">
      <alignment vertical="center"/>
    </xf>
    <xf numFmtId="43" fontId="0" fillId="4" borderId="0" xfId="0" applyNumberFormat="1" applyFill="1">
      <alignment vertical="center"/>
    </xf>
    <xf numFmtId="0" fontId="0" fillId="4" borderId="0" xfId="0" applyFill="1">
      <alignment vertical="center"/>
    </xf>
    <xf numFmtId="43" fontId="15" fillId="3" borderId="0" xfId="8" applyFont="1" applyFill="1" applyProtection="1">
      <alignment vertical="center"/>
      <protection locked="0"/>
    </xf>
    <xf numFmtId="43" fontId="0" fillId="0" borderId="0" xfId="0" applyNumberFormat="1">
      <alignment vertical="center"/>
    </xf>
    <xf numFmtId="43" fontId="0" fillId="4" borderId="0" xfId="8" applyFont="1" applyFill="1">
      <alignment vertical="center"/>
    </xf>
    <xf numFmtId="9" fontId="0" fillId="0" borderId="0" xfId="0" applyNumberFormat="1" applyProtection="1">
      <alignment vertical="center"/>
      <protection locked="0"/>
    </xf>
    <xf numFmtId="14" fontId="0" fillId="0" borderId="0" xfId="0" applyNumberFormat="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9:D14"/>
  <sheetViews>
    <sheetView workbookViewId="0">
      <selection activeCell="D9" sqref="D9"/>
    </sheetView>
  </sheetViews>
  <sheetFormatPr defaultColWidth="9" defaultRowHeight="14.25" outlineLevelCol="3"/>
  <cols>
    <col min="3" max="3" width="22.6666666666667" customWidth="1"/>
    <col min="4" max="4" width="11.6666666666667" customWidth="1"/>
  </cols>
  <sheetData>
    <row r="9" spans="3:4">
      <c r="C9" t="s">
        <v>0</v>
      </c>
      <c r="D9" s="61">
        <v>44500</v>
      </c>
    </row>
    <row r="11" spans="3:3">
      <c r="C11" t="s">
        <v>1</v>
      </c>
    </row>
    <row r="12" spans="3:3">
      <c r="C12" t="s">
        <v>2</v>
      </c>
    </row>
    <row r="13" spans="3:3">
      <c r="C13" t="s">
        <v>3</v>
      </c>
    </row>
    <row r="14" spans="3:3">
      <c r="C14" t="s">
        <v>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
  <sheetViews>
    <sheetView workbookViewId="0">
      <selection activeCell="D1" sqref="D$1:E$1048576"/>
    </sheetView>
  </sheetViews>
  <sheetFormatPr defaultColWidth="9" defaultRowHeight="14.25"/>
  <cols>
    <col min="1" max="1" width="8.88333333333333" style="13"/>
    <col min="2" max="2" width="11.6666666666667" style="13" customWidth="1"/>
    <col min="3" max="3" width="8.88333333333333" style="13"/>
    <col min="4" max="5" width="10.5583333333333" style="13" customWidth="1"/>
    <col min="6" max="6" width="13.8833333333333" style="13" customWidth="1"/>
    <col min="7" max="7" width="8.88333333333333" style="13"/>
    <col min="8" max="9" width="11.6666666666667" style="13" customWidth="1"/>
    <col min="10" max="10" width="13.8833333333333" style="13" customWidth="1"/>
    <col min="11" max="11" width="14.3333333333333" style="13" customWidth="1"/>
    <col min="12" max="12" width="13.8833333333333" style="13" customWidth="1"/>
    <col min="13" max="13" width="11.6666666666667" style="13" customWidth="1"/>
    <col min="14" max="14" width="11.6666666666667" customWidth="1"/>
    <col min="15" max="15" width="14.3333333333333" customWidth="1"/>
    <col min="16" max="18" width="9.55833333333333" customWidth="1"/>
    <col min="19" max="19" width="4.44166666666667" customWidth="1"/>
    <col min="20" max="21" width="13.8833333333333" customWidth="1"/>
    <col min="23" max="23" width="13.8833333333333" customWidth="1"/>
    <col min="24" max="24" width="4.44166666666667" customWidth="1"/>
    <col min="25" max="25" width="3.775" customWidth="1"/>
    <col min="26" max="27" width="13.8833333333333" style="13" customWidth="1"/>
    <col min="28" max="28" width="13.8833333333333" style="48" customWidth="1"/>
  </cols>
  <sheetData>
    <row r="1" s="13" customFormat="1" spans="1:28">
      <c r="A1" s="49" t="s">
        <v>5</v>
      </c>
      <c r="B1" s="49" t="s">
        <v>6</v>
      </c>
      <c r="C1" s="49" t="s">
        <v>7</v>
      </c>
      <c r="D1" s="49" t="s">
        <v>8</v>
      </c>
      <c r="E1" s="49" t="s">
        <v>9</v>
      </c>
      <c r="F1" s="49" t="s">
        <v>10</v>
      </c>
      <c r="G1" s="49" t="s">
        <v>11</v>
      </c>
      <c r="H1" s="49" t="s">
        <v>12</v>
      </c>
      <c r="I1" s="49" t="s">
        <v>13</v>
      </c>
      <c r="J1" s="49" t="s">
        <v>14</v>
      </c>
      <c r="K1" s="49" t="s">
        <v>15</v>
      </c>
      <c r="L1" s="49" t="s">
        <v>16</v>
      </c>
      <c r="M1" s="49" t="s">
        <v>17</v>
      </c>
      <c r="N1" s="49" t="s">
        <v>18</v>
      </c>
      <c r="O1" s="49" t="s">
        <v>19</v>
      </c>
      <c r="P1" s="49" t="s">
        <v>20</v>
      </c>
      <c r="Q1" s="49" t="s">
        <v>21</v>
      </c>
      <c r="R1" s="49" t="s">
        <v>22</v>
      </c>
      <c r="S1" s="49" t="s">
        <v>23</v>
      </c>
      <c r="T1" s="49" t="s">
        <v>24</v>
      </c>
      <c r="U1" s="49" t="s">
        <v>25</v>
      </c>
      <c r="V1" s="49" t="s">
        <v>26</v>
      </c>
      <c r="W1" s="49" t="s">
        <v>27</v>
      </c>
      <c r="X1" s="49" t="s">
        <v>23</v>
      </c>
      <c r="Z1" s="49" t="s">
        <v>28</v>
      </c>
      <c r="AA1" s="49" t="s">
        <v>29</v>
      </c>
      <c r="AB1" s="57" t="s">
        <v>30</v>
      </c>
    </row>
    <row r="2" spans="1:28">
      <c r="A2" s="13" t="s">
        <v>31</v>
      </c>
      <c r="B2" s="13" t="s">
        <v>32</v>
      </c>
      <c r="C2" s="13" t="s">
        <v>33</v>
      </c>
      <c r="D2" s="13" t="s">
        <v>34</v>
      </c>
      <c r="E2" s="13" t="s">
        <v>35</v>
      </c>
      <c r="F2" s="13" t="s">
        <v>36</v>
      </c>
      <c r="G2" s="13" t="s">
        <v>37</v>
      </c>
      <c r="H2" s="50">
        <v>43388</v>
      </c>
      <c r="I2" s="50"/>
      <c r="K2" s="52">
        <v>12000000</v>
      </c>
      <c r="L2" s="13">
        <v>10</v>
      </c>
      <c r="M2" s="60">
        <v>0.05</v>
      </c>
      <c r="N2" s="54">
        <f>IF(H2=0,"-",EOMONTH(H2,L2*12))</f>
        <v>47057</v>
      </c>
      <c r="O2" s="55">
        <f>IF(AND(H2&lt;DATE(YEAR(主页!$D$9)-1,1,1),OR(上年!I2=0,I2&gt;=DATE(YEAR(主页!$D$9)-1,1,1))),上年!K2,0)</f>
        <v>12000000</v>
      </c>
      <c r="P2" s="56">
        <f>IF(AND(H2&gt;=DATE(YEAR(主页!$D$9)-2,12,31),H2&lt;=DATE(YEAR(主页!$D$9)-1,12,31)),K2,0)</f>
        <v>0</v>
      </c>
      <c r="Q2" s="56">
        <f>IF(AND(I2&gt;=DATE(YEAR(主页!$D$9)-2,12,31),I2&lt;=DATE(YEAR(主页!$D$9)-1,12,31)),K2,0)</f>
        <v>0</v>
      </c>
      <c r="R2" s="56">
        <f>IF(AND(H2&lt;DATE(YEAR(主页!$D$9),1,1),OR(上年!I2=0,I2&gt;=DATE(YEAR(主页!$D$9),1,1))),上年!K2,0)</f>
        <v>12000000</v>
      </c>
      <c r="S2" s="56">
        <f>O2+P2-Q2-R2</f>
        <v>0</v>
      </c>
      <c r="T2" s="56">
        <f>IFERROR(IF(AND(H2&lt;DATE(YEAR(主页!$D$9)-1,1,1),OR(当年!I2=0,I2&gt;=DATE(YEAR(主页!$D$9)-1,1,1))),MIN(K2*(1-M2),K2*(1-M2)/L2/12*DATEDIF(H2,DATE(YEAR(主页!$D$9)-2,12,31),"M")),0),0)</f>
        <v>1330000</v>
      </c>
      <c r="U2" s="56">
        <f>IFERROR(K2*(1-M2)/L2/12*DATEDIF(MAX(H2,DATE(YEAR(主页!$D$9)-2,12,31)),MIN(N2,IF(OR(当年!I2=0,I2&gt;=DATE(YEAR(主页!$D$9)-1,1,1)),DATE(YEAR(主页!$D$9)-1,12,31),I2)),"M"),0)</f>
        <v>1140000</v>
      </c>
      <c r="V2" s="56">
        <f>IF(AND(I2&gt;=DATE(YEAR(主页!$D$9)-2,12,31),I2&lt;=DATE(YEAR(主页!$D$9)-1,12,31)),T2+U2,0)</f>
        <v>0</v>
      </c>
      <c r="W2" s="56">
        <f>IF(AND(H2&lt;DATE(YEAR(主页!$D$9),1,1),OR(当年!I2=0,I2&gt;=DATE(YEAR(主页!$D$9),1,1))),IFERROR(K2*(1-M2)/L2/12*DATEDIF(H2,MIN(N2,IF(OR(当年!I2=0,I2&gt;=DATE(YEAR(主页!$D$9)-1,1,1)),DATE(YEAR(主页!$D$9)-1,12,31),I2)),"M"),0),0)</f>
        <v>2470000</v>
      </c>
      <c r="X2" s="56">
        <f>T2+U2-V2-W2</f>
        <v>0</v>
      </c>
      <c r="Y2" s="58"/>
      <c r="Z2" s="13">
        <v>10</v>
      </c>
      <c r="AA2" s="13" t="s">
        <v>38</v>
      </c>
      <c r="AB2" s="59">
        <f>IFERROR(IF(AA2="在用",K2/Z2,0),0)</f>
        <v>1200000</v>
      </c>
    </row>
    <row r="3" spans="1:28">
      <c r="A3" s="13" t="s">
        <v>39</v>
      </c>
      <c r="B3" s="13" t="s">
        <v>40</v>
      </c>
      <c r="C3" s="13" t="s">
        <v>41</v>
      </c>
      <c r="D3" s="13" t="s">
        <v>34</v>
      </c>
      <c r="E3" s="13" t="s">
        <v>35</v>
      </c>
      <c r="F3" s="13" t="s">
        <v>42</v>
      </c>
      <c r="G3" s="13" t="s">
        <v>37</v>
      </c>
      <c r="H3" s="50">
        <v>44359</v>
      </c>
      <c r="I3" s="50"/>
      <c r="K3" s="52">
        <v>35000000</v>
      </c>
      <c r="L3" s="13">
        <v>20</v>
      </c>
      <c r="M3" s="60">
        <v>0.05</v>
      </c>
      <c r="N3" s="54">
        <f t="shared" ref="N3:N11" si="0">IF(H3=0,"-",EOMONTH(H3,L3*12))</f>
        <v>51682</v>
      </c>
      <c r="O3" s="55">
        <f>IF(AND(H3&lt;DATE(YEAR(主页!$D$9)-1,1,1),OR(上年!I3=0,I3&gt;=DATE(YEAR(主页!$D$9)-1,1,1))),上年!K3,0)</f>
        <v>0</v>
      </c>
      <c r="P3" s="56">
        <f>IF(AND(H3&gt;=DATE(YEAR(主页!$D$9)-2,12,31),H3&lt;=DATE(YEAR(主页!$D$9)-1,12,31)),K3,0)</f>
        <v>0</v>
      </c>
      <c r="Q3" s="56">
        <f>IF(AND(I3&gt;=DATE(YEAR(主页!$D$9)-2,12,31),I3&lt;=DATE(YEAR(主页!$D$9)-1,12,31)),K3,0)</f>
        <v>0</v>
      </c>
      <c r="R3" s="56">
        <f>IF(AND(H3&lt;DATE(YEAR(主页!$D$9),1,1),OR(上年!I3=0,I3&gt;=DATE(YEAR(主页!$D$9),1,1))),上年!K3,0)</f>
        <v>0</v>
      </c>
      <c r="S3" s="56">
        <f t="shared" ref="S3:S11" si="1">O3+P3-Q3-R3</f>
        <v>0</v>
      </c>
      <c r="T3" s="56">
        <f>IFERROR(IF(AND(H3&lt;DATE(YEAR(主页!$D$9)-1,1,1),OR(当年!I3=0,I3&gt;=DATE(YEAR(主页!$D$9)-1,1,1))),MIN(K3*(1-M3),K3*(1-M3)/L3/12*DATEDIF(H3,DATE(YEAR(主页!$D$9)-2,12,31),"M")),0),0)</f>
        <v>0</v>
      </c>
      <c r="U3" s="56">
        <f>IFERROR(K3*(1-M3)/L3/12*DATEDIF(MAX(H3,DATE(YEAR(主页!$D$9)-2,12,31)),MIN(N3,IF(OR(当年!I3=0,I3&gt;=DATE(YEAR(主页!$D$9)-1,1,1)),DATE(YEAR(主页!$D$9)-1,12,31),I3)),"M"),0)</f>
        <v>0</v>
      </c>
      <c r="V3" s="56">
        <f>IF(AND(I3&gt;=DATE(YEAR(主页!$D$9)-2,12,31),I3&lt;=DATE(YEAR(主页!$D$9)-1,12,31)),T3+U3,0)</f>
        <v>0</v>
      </c>
      <c r="W3" s="56">
        <f>IF(AND(H3&lt;DATE(YEAR(主页!$D$9),1,1),OR(当年!I3=0,I3&gt;=DATE(YEAR(主页!$D$9),1,1))),IFERROR(K3*(1-M3)/L3/12*DATEDIF(H3,MIN(N3,IF(OR(当年!I3=0,I3&gt;=DATE(YEAR(主页!$D$9)-1,1,1)),DATE(YEAR(主页!$D$9)-1,12,31),I3)),"M"),0),0)</f>
        <v>0</v>
      </c>
      <c r="X3" s="56">
        <f t="shared" ref="X3:X11" si="2">T3+U3-V3-W3</f>
        <v>0</v>
      </c>
      <c r="Y3" s="58"/>
      <c r="Z3" s="13">
        <v>20</v>
      </c>
      <c r="AA3" s="13" t="s">
        <v>38</v>
      </c>
      <c r="AB3" s="59">
        <f t="shared" ref="AB3:AB11" si="3">IFERROR(IF(AA3="在用",K3/Z3,0),0)</f>
        <v>1750000</v>
      </c>
    </row>
    <row r="4" spans="1:28">
      <c r="A4" s="13" t="s">
        <v>43</v>
      </c>
      <c r="B4" s="13" t="s">
        <v>44</v>
      </c>
      <c r="C4" s="13" t="s">
        <v>33</v>
      </c>
      <c r="D4" s="13" t="s">
        <v>34</v>
      </c>
      <c r="E4" s="13" t="s">
        <v>35</v>
      </c>
      <c r="F4" s="13" t="s">
        <v>45</v>
      </c>
      <c r="G4" s="13" t="s">
        <v>37</v>
      </c>
      <c r="H4" s="50">
        <v>42270</v>
      </c>
      <c r="I4" s="50">
        <v>44408</v>
      </c>
      <c r="K4" s="52">
        <v>300000</v>
      </c>
      <c r="L4" s="13">
        <v>10</v>
      </c>
      <c r="M4" s="60">
        <v>0.05</v>
      </c>
      <c r="N4" s="54">
        <f t="shared" si="0"/>
        <v>45930</v>
      </c>
      <c r="O4" s="55">
        <f>IF(AND(H4&lt;DATE(YEAR(主页!$D$9)-1,1,1),OR(上年!I4=0,I4&gt;=DATE(YEAR(主页!$D$9)-1,1,1))),上年!K4,0)</f>
        <v>300000</v>
      </c>
      <c r="P4" s="56">
        <f>IF(AND(H4&gt;=DATE(YEAR(主页!$D$9)-2,12,31),H4&lt;=DATE(YEAR(主页!$D$9)-1,12,31)),K4,0)</f>
        <v>0</v>
      </c>
      <c r="Q4" s="56">
        <f>IF(AND(I4&gt;=DATE(YEAR(主页!$D$9)-2,12,31),I4&lt;=DATE(YEAR(主页!$D$9)-1,12,31)),K4,0)</f>
        <v>0</v>
      </c>
      <c r="R4" s="56">
        <f>IF(AND(H4&lt;DATE(YEAR(主页!$D$9),1,1),OR(上年!I4=0,I4&gt;=DATE(YEAR(主页!$D$9),1,1))),上年!K4,0)</f>
        <v>300000</v>
      </c>
      <c r="S4" s="56">
        <f t="shared" si="1"/>
        <v>0</v>
      </c>
      <c r="T4" s="56">
        <f>IFERROR(IF(AND(H4&lt;DATE(YEAR(主页!$D$9)-1,1,1),OR(当年!I4=0,I4&gt;=DATE(YEAR(主页!$D$9)-1,1,1))),MIN(K4*(1-M4),K4*(1-M4)/L4/12*DATEDIF(H4,DATE(YEAR(主页!$D$9)-2,12,31),"M")),0),0)</f>
        <v>121125</v>
      </c>
      <c r="U4" s="56">
        <f>IFERROR(K4*(1-M4)/L4/12*DATEDIF(MAX(H4,DATE(YEAR(主页!$D$9)-2,12,31)),MIN(N4,IF(OR(当年!I4=0,I4&gt;=DATE(YEAR(主页!$D$9)-1,1,1)),DATE(YEAR(主页!$D$9)-1,12,31),I4)),"M"),0)</f>
        <v>28500</v>
      </c>
      <c r="V4" s="56">
        <f>IF(AND(I4&gt;=DATE(YEAR(主页!$D$9)-2,12,31),I4&lt;=DATE(YEAR(主页!$D$9)-1,12,31)),T4+U4,0)</f>
        <v>0</v>
      </c>
      <c r="W4" s="56">
        <f>IF(AND(H4&lt;DATE(YEAR(主页!$D$9),1,1),OR(当年!I4=0,I4&gt;=DATE(YEAR(主页!$D$9),1,1))),IFERROR(K4*(1-M4)/L4/12*DATEDIF(H4,MIN(N4,IF(OR(当年!I4=0,I4&gt;=DATE(YEAR(主页!$D$9)-1,1,1)),DATE(YEAR(主页!$D$9)-1,12,31),I4)),"M"),0),0)</f>
        <v>149625</v>
      </c>
      <c r="X4" s="56">
        <f t="shared" si="2"/>
        <v>0</v>
      </c>
      <c r="Y4" s="58"/>
      <c r="Z4" s="13">
        <v>10</v>
      </c>
      <c r="AA4" s="13" t="s">
        <v>38</v>
      </c>
      <c r="AB4" s="59">
        <f t="shared" si="3"/>
        <v>30000</v>
      </c>
    </row>
    <row r="5" spans="1:28">
      <c r="A5" s="13" t="s">
        <v>46</v>
      </c>
      <c r="B5" s="13" t="s">
        <v>47</v>
      </c>
      <c r="C5" s="13" t="s">
        <v>33</v>
      </c>
      <c r="D5" s="13" t="s">
        <v>34</v>
      </c>
      <c r="E5" s="13" t="s">
        <v>35</v>
      </c>
      <c r="F5" s="13" t="s">
        <v>36</v>
      </c>
      <c r="G5" s="13" t="s">
        <v>37</v>
      </c>
      <c r="H5" s="50">
        <v>41518</v>
      </c>
      <c r="I5" s="50">
        <v>44135</v>
      </c>
      <c r="K5" s="52">
        <v>350000</v>
      </c>
      <c r="L5" s="13">
        <v>10</v>
      </c>
      <c r="M5" s="60">
        <v>0.05</v>
      </c>
      <c r="N5" s="54">
        <f t="shared" si="0"/>
        <v>45199</v>
      </c>
      <c r="O5" s="55">
        <f>IF(AND(H5&lt;DATE(YEAR(主页!$D$9)-1,1,1),OR(上年!I5=0,I5&gt;=DATE(YEAR(主页!$D$9)-1,1,1))),上年!K5,0)</f>
        <v>350000</v>
      </c>
      <c r="P5" s="56">
        <f>IF(AND(H5&gt;=DATE(YEAR(主页!$D$9)-2,12,31),H5&lt;=DATE(YEAR(主页!$D$9)-1,12,31)),K5,0)</f>
        <v>0</v>
      </c>
      <c r="Q5" s="56">
        <f>IF(AND(I5&gt;=DATE(YEAR(主页!$D$9)-2,12,31),I5&lt;=DATE(YEAR(主页!$D$9)-1,12,31)),K5,0)</f>
        <v>350000</v>
      </c>
      <c r="R5" s="56">
        <f>IF(AND(H5&lt;DATE(YEAR(主页!$D$9),1,1),OR(上年!I5=0,I5&gt;=DATE(YEAR(主页!$D$9),1,1))),上年!K5,0)</f>
        <v>0</v>
      </c>
      <c r="S5" s="56">
        <f t="shared" si="1"/>
        <v>0</v>
      </c>
      <c r="T5" s="56">
        <f>IFERROR(IF(AND(H5&lt;DATE(YEAR(主页!$D$9)-1,1,1),OR(当年!I5=0,I5&gt;=DATE(YEAR(主页!$D$9)-1,1,1))),MIN(K5*(1-M5),K5*(1-M5)/L5/12*DATEDIF(H5,DATE(YEAR(主页!$D$9)-2,12,31),"M")),0),0)</f>
        <v>207812.5</v>
      </c>
      <c r="U5" s="56">
        <f>IFERROR(K5*(1-M5)/L5/12*DATEDIF(MAX(H5,DATE(YEAR(主页!$D$9)-2,12,31)),MIN(N5,IF(OR(当年!I5=0,I5&gt;=DATE(YEAR(主页!$D$9)-1,1,1)),DATE(YEAR(主页!$D$9)-1,12,31),I5)),"M"),0)</f>
        <v>33250</v>
      </c>
      <c r="V5" s="56">
        <f>IF(AND(I5&gt;=DATE(YEAR(主页!$D$9)-2,12,31),I5&lt;=DATE(YEAR(主页!$D$9)-1,12,31)),T5+U5,0)</f>
        <v>241062.5</v>
      </c>
      <c r="W5" s="56">
        <f>IF(AND(H5&lt;DATE(YEAR(主页!$D$9),1,1),OR(当年!I5=0,I5&gt;=DATE(YEAR(主页!$D$9),1,1))),IFERROR(K5*(1-M5)/L5/12*DATEDIF(H5,MIN(N5,IF(OR(当年!I5=0,I5&gt;=DATE(YEAR(主页!$D$9)-1,1,1)),DATE(YEAR(主页!$D$9)-1,12,31),I5)),"M"),0),0)</f>
        <v>0</v>
      </c>
      <c r="X5" s="56">
        <f t="shared" si="2"/>
        <v>0</v>
      </c>
      <c r="Y5" s="58"/>
      <c r="Z5" s="13">
        <v>10</v>
      </c>
      <c r="AA5" s="13" t="s">
        <v>38</v>
      </c>
      <c r="AB5" s="59">
        <f t="shared" si="3"/>
        <v>35000</v>
      </c>
    </row>
    <row r="6" spans="1:28">
      <c r="A6" s="13" t="s">
        <v>48</v>
      </c>
      <c r="B6" s="13" t="s">
        <v>49</v>
      </c>
      <c r="C6" s="13" t="s">
        <v>33</v>
      </c>
      <c r="D6" s="13" t="s">
        <v>34</v>
      </c>
      <c r="E6" s="13" t="s">
        <v>35</v>
      </c>
      <c r="F6" s="13" t="s">
        <v>36</v>
      </c>
      <c r="G6" s="13" t="s">
        <v>37</v>
      </c>
      <c r="H6" s="50">
        <v>38353</v>
      </c>
      <c r="K6" s="52">
        <v>50000</v>
      </c>
      <c r="L6" s="13">
        <v>10</v>
      </c>
      <c r="M6" s="60">
        <v>0.05</v>
      </c>
      <c r="N6" s="54">
        <f t="shared" si="0"/>
        <v>42035</v>
      </c>
      <c r="O6" s="55">
        <f>IF(AND(H6&lt;DATE(YEAR(主页!$D$9)-1,1,1),OR(上年!I6=0,I6&gt;=DATE(YEAR(主页!$D$9)-1,1,1))),上年!K6,0)</f>
        <v>50000</v>
      </c>
      <c r="P6" s="56">
        <f>IF(AND(H6&gt;=DATE(YEAR(主页!$D$9)-2,12,31),H6&lt;=DATE(YEAR(主页!$D$9)-1,12,31)),K6,0)</f>
        <v>0</v>
      </c>
      <c r="Q6" s="56">
        <f>IF(AND(I6&gt;=DATE(YEAR(主页!$D$9)-2,12,31),I6&lt;=DATE(YEAR(主页!$D$9)-1,12,31)),K6,0)</f>
        <v>0</v>
      </c>
      <c r="R6" s="56">
        <f>IF(AND(H6&lt;DATE(YEAR(主页!$D$9),1,1),OR(上年!I6=0,I6&gt;=DATE(YEAR(主页!$D$9),1,1))),上年!K6,0)</f>
        <v>50000</v>
      </c>
      <c r="S6" s="56">
        <f t="shared" si="1"/>
        <v>0</v>
      </c>
      <c r="T6" s="56">
        <f>IFERROR(IF(AND(H6&lt;DATE(YEAR(主页!$D$9)-1,1,1),OR(当年!I6=0,I6&gt;=DATE(YEAR(主页!$D$9)-1,1,1))),MIN(K6*(1-M6),K6*(1-M6)/L6/12*DATEDIF(H6,DATE(YEAR(主页!$D$9)-2,12,31),"M")),0),0)</f>
        <v>47500</v>
      </c>
      <c r="U6" s="56">
        <f>IFERROR(K6*(1-M6)/L6/12*DATEDIF(MAX(H6,DATE(YEAR(主页!$D$9)-2,12,31)),MIN(N6,IF(OR(当年!I6=0,I6&gt;=DATE(YEAR(主页!$D$9)-1,1,1)),DATE(YEAR(主页!$D$9)-1,12,31),I6)),"M"),0)</f>
        <v>0</v>
      </c>
      <c r="V6" s="56">
        <f>IF(AND(I6&gt;=DATE(YEAR(主页!$D$9)-2,12,31),I6&lt;=DATE(YEAR(主页!$D$9)-1,12,31)),T6+U6,0)</f>
        <v>0</v>
      </c>
      <c r="W6" s="56">
        <f>IF(AND(H6&lt;DATE(YEAR(主页!$D$9),1,1),OR(当年!I6=0,I6&gt;=DATE(YEAR(主页!$D$9),1,1))),IFERROR(K6*(1-M6)/L6/12*DATEDIF(H6,MIN(N6,IF(OR(当年!I6=0,I6&gt;=DATE(YEAR(主页!$D$9)-1,1,1)),DATE(YEAR(主页!$D$9)-1,12,31),I6)),"M"),0),0)</f>
        <v>47500</v>
      </c>
      <c r="X6" s="56">
        <f t="shared" si="2"/>
        <v>0</v>
      </c>
      <c r="Y6" s="58"/>
      <c r="Z6" s="13">
        <v>10</v>
      </c>
      <c r="AA6" s="13" t="s">
        <v>38</v>
      </c>
      <c r="AB6" s="59">
        <f t="shared" si="3"/>
        <v>5000</v>
      </c>
    </row>
    <row r="7" spans="1:28">
      <c r="A7" s="13" t="s">
        <v>50</v>
      </c>
      <c r="B7" s="13" t="s">
        <v>51</v>
      </c>
      <c r="C7" s="13" t="s">
        <v>52</v>
      </c>
      <c r="D7" s="51" t="s">
        <v>53</v>
      </c>
      <c r="E7" s="51" t="s">
        <v>54</v>
      </c>
      <c r="F7" s="13" t="s">
        <v>55</v>
      </c>
      <c r="G7" s="13" t="s">
        <v>54</v>
      </c>
      <c r="H7" s="50">
        <v>44712</v>
      </c>
      <c r="K7" s="52">
        <v>9800</v>
      </c>
      <c r="L7" s="13">
        <f>2/12</f>
        <v>0.166666666666667</v>
      </c>
      <c r="M7" s="53">
        <v>0</v>
      </c>
      <c r="N7" s="54">
        <f t="shared" si="0"/>
        <v>44773</v>
      </c>
      <c r="O7" s="55">
        <f>IF(AND(H7&lt;DATE(YEAR(主页!$D$9)-1,1,1),OR(上年!I7=0,I7&gt;=DATE(YEAR(主页!$D$9)-1,1,1))),上年!K7,0)</f>
        <v>0</v>
      </c>
      <c r="P7" s="56">
        <f>IF(AND(H7&gt;=DATE(YEAR(主页!$D$9)-2,12,31),H7&lt;=DATE(YEAR(主页!$D$9)-1,12,31)),K7,0)</f>
        <v>0</v>
      </c>
      <c r="Q7" s="56">
        <f>IF(AND(I7&gt;=DATE(YEAR(主页!$D$9)-2,12,31),I7&lt;=DATE(YEAR(主页!$D$9)-1,12,31)),K7,0)</f>
        <v>0</v>
      </c>
      <c r="R7" s="56">
        <f>IF(AND(H7&lt;DATE(YEAR(主页!$D$9),1,1),OR(上年!I7=0,I7&gt;=DATE(YEAR(主页!$D$9),1,1))),上年!K7,0)</f>
        <v>0</v>
      </c>
      <c r="S7" s="56">
        <f t="shared" si="1"/>
        <v>0</v>
      </c>
      <c r="T7" s="56">
        <f>IFERROR(IF(AND(H7&lt;DATE(YEAR(主页!$D$9)-1,1,1),OR(当年!I7=0,I7&gt;=DATE(YEAR(主页!$D$9)-1,1,1))),MIN(K7*(1-M7),K7*(1-M7)/L7/12*DATEDIF(H7,DATE(YEAR(主页!$D$9)-2,12,31),"M")),0),0)</f>
        <v>0</v>
      </c>
      <c r="U7" s="56">
        <f>IFERROR(K7*(1-M7)/L7/12*DATEDIF(MAX(H7,DATE(YEAR(主页!$D$9)-2,12,31)),MIN(N7,IF(OR(当年!I7=0,I7&gt;=DATE(YEAR(主页!$D$9)-1,1,1)),DATE(YEAR(主页!$D$9)-1,12,31),I7)),"M"),0)</f>
        <v>0</v>
      </c>
      <c r="V7" s="56">
        <f>IF(AND(I7&gt;=DATE(YEAR(主页!$D$9)-2,12,31),I7&lt;=DATE(YEAR(主页!$D$9)-1,12,31)),T7+U7,0)</f>
        <v>0</v>
      </c>
      <c r="W7" s="56">
        <f>IF(AND(H7&lt;DATE(YEAR(主页!$D$9),1,1),OR(当年!I7=0,I7&gt;=DATE(YEAR(主页!$D$9),1,1))),IFERROR(K7*(1-M7)/L7/12*DATEDIF(H7,MIN(N7,IF(OR(当年!I7=0,I7&gt;=DATE(YEAR(主页!$D$9)-1,1,1)),DATE(YEAR(主页!$D$9)-1,12,31),I7)),"M"),0),0)</f>
        <v>0</v>
      </c>
      <c r="X7" s="56">
        <f t="shared" si="2"/>
        <v>0</v>
      </c>
      <c r="AA7" s="13" t="s">
        <v>38</v>
      </c>
      <c r="AB7" s="59">
        <f t="shared" si="3"/>
        <v>0</v>
      </c>
    </row>
    <row r="8" spans="1:28">
      <c r="A8" s="13" t="s">
        <v>56</v>
      </c>
      <c r="B8" s="13" t="s">
        <v>51</v>
      </c>
      <c r="C8" s="13" t="s">
        <v>52</v>
      </c>
      <c r="D8" s="51" t="s">
        <v>53</v>
      </c>
      <c r="E8" s="51" t="s">
        <v>54</v>
      </c>
      <c r="F8" s="13" t="s">
        <v>55</v>
      </c>
      <c r="G8" s="13" t="s">
        <v>54</v>
      </c>
      <c r="H8" s="50">
        <v>44501</v>
      </c>
      <c r="K8" s="52">
        <v>9800</v>
      </c>
      <c r="L8" s="13">
        <f t="shared" ref="L8:L10" si="4">2/12</f>
        <v>0.166666666666667</v>
      </c>
      <c r="M8" s="53">
        <v>0</v>
      </c>
      <c r="N8" s="54">
        <f t="shared" si="0"/>
        <v>44592</v>
      </c>
      <c r="O8" s="55">
        <f>IF(AND(H8&lt;DATE(YEAR(主页!$D$9)-1,1,1),OR(上年!I8=0,I8&gt;=DATE(YEAR(主页!$D$9)-1,1,1))),上年!K8,0)</f>
        <v>0</v>
      </c>
      <c r="P8" s="56">
        <f>IF(AND(H8&gt;=DATE(YEAR(主页!$D$9)-2,12,31),H8&lt;=DATE(YEAR(主页!$D$9)-1,12,31)),K8,0)</f>
        <v>0</v>
      </c>
      <c r="Q8" s="56">
        <f>IF(AND(I8&gt;=DATE(YEAR(主页!$D$9)-2,12,31),I8&lt;=DATE(YEAR(主页!$D$9)-1,12,31)),K8,0)</f>
        <v>0</v>
      </c>
      <c r="R8" s="56">
        <f>IF(AND(H8&lt;DATE(YEAR(主页!$D$9),1,1),OR(上年!I8=0,I8&gt;=DATE(YEAR(主页!$D$9),1,1))),上年!K8,0)</f>
        <v>0</v>
      </c>
      <c r="S8" s="56">
        <f t="shared" si="1"/>
        <v>0</v>
      </c>
      <c r="T8" s="56">
        <f>IFERROR(IF(AND(H8&lt;DATE(YEAR(主页!$D$9)-1,1,1),OR(当年!I8=0,I8&gt;=DATE(YEAR(主页!$D$9)-1,1,1))),MIN(K8*(1-M8),K8*(1-M8)/L8/12*DATEDIF(H8,DATE(YEAR(主页!$D$9)-2,12,31),"M")),0),0)</f>
        <v>0</v>
      </c>
      <c r="U8" s="56">
        <f>IFERROR(K8*(1-M8)/L8/12*DATEDIF(MAX(H8,DATE(YEAR(主页!$D$9)-2,12,31)),MIN(N8,IF(OR(当年!I8=0,I8&gt;=DATE(YEAR(主页!$D$9)-1,1,1)),DATE(YEAR(主页!$D$9)-1,12,31),I8)),"M"),0)</f>
        <v>0</v>
      </c>
      <c r="V8" s="56">
        <f>IF(AND(I8&gt;=DATE(YEAR(主页!$D$9)-2,12,31),I8&lt;=DATE(YEAR(主页!$D$9)-1,12,31)),T8+U8,0)</f>
        <v>0</v>
      </c>
      <c r="W8" s="56">
        <f>IF(AND(H8&lt;DATE(YEAR(主页!$D$9),1,1),OR(当年!I8=0,I8&gt;=DATE(YEAR(主页!$D$9),1,1))),IFERROR(K8*(1-M8)/L8/12*DATEDIF(H8,MIN(N8,IF(OR(当年!I8=0,I8&gt;=DATE(YEAR(主页!$D$9)-1,1,1)),DATE(YEAR(主页!$D$9)-1,12,31),I8)),"M"),0),0)</f>
        <v>0</v>
      </c>
      <c r="X8" s="56">
        <f t="shared" si="2"/>
        <v>0</v>
      </c>
      <c r="AA8" s="13" t="s">
        <v>38</v>
      </c>
      <c r="AB8" s="59">
        <f t="shared" si="3"/>
        <v>0</v>
      </c>
    </row>
    <row r="9" spans="1:28">
      <c r="A9" s="13" t="s">
        <v>57</v>
      </c>
      <c r="B9" s="13" t="s">
        <v>51</v>
      </c>
      <c r="C9" s="13" t="s">
        <v>52</v>
      </c>
      <c r="D9" s="51" t="s">
        <v>53</v>
      </c>
      <c r="E9" s="51" t="s">
        <v>54</v>
      </c>
      <c r="F9" s="13" t="s">
        <v>55</v>
      </c>
      <c r="G9" s="13" t="s">
        <v>54</v>
      </c>
      <c r="H9" s="50">
        <v>43831</v>
      </c>
      <c r="K9" s="52">
        <v>9800</v>
      </c>
      <c r="L9" s="13">
        <f t="shared" si="4"/>
        <v>0.166666666666667</v>
      </c>
      <c r="M9" s="53">
        <v>0</v>
      </c>
      <c r="N9" s="54">
        <f t="shared" si="0"/>
        <v>43921</v>
      </c>
      <c r="O9" s="55">
        <f>IF(AND(H9&lt;DATE(YEAR(主页!$D$9)-1,1,1),OR(上年!I9=0,I9&gt;=DATE(YEAR(主页!$D$9)-1,1,1))),上年!K9,0)</f>
        <v>0</v>
      </c>
      <c r="P9" s="56">
        <f>IF(AND(H9&gt;=DATE(YEAR(主页!$D$9)-2,12,31),H9&lt;=DATE(YEAR(主页!$D$9)-1,12,31)),K9,0)</f>
        <v>9800</v>
      </c>
      <c r="Q9" s="56">
        <f>IF(AND(I9&gt;=DATE(YEAR(主页!$D$9)-2,12,31),I9&lt;=DATE(YEAR(主页!$D$9)-1,12,31)),K9,0)</f>
        <v>0</v>
      </c>
      <c r="R9" s="56">
        <f>IF(AND(H9&lt;DATE(YEAR(主页!$D$9),1,1),OR(上年!I9=0,I9&gt;=DATE(YEAR(主页!$D$9),1,1))),上年!K9,0)</f>
        <v>9800</v>
      </c>
      <c r="S9" s="56">
        <f t="shared" si="1"/>
        <v>0</v>
      </c>
      <c r="T9" s="56">
        <f>IFERROR(IF(AND(H9&lt;DATE(YEAR(主页!$D$9)-1,1,1),OR(当年!I9=0,I9&gt;=DATE(YEAR(主页!$D$9)-1,1,1))),MIN(K9*(1-M9),K9*(1-M9)/L9/12*DATEDIF(H9,DATE(YEAR(主页!$D$9)-2,12,31),"M")),0),0)</f>
        <v>0</v>
      </c>
      <c r="U9" s="56">
        <f>IFERROR(K9*(1-M9)/L9/12*DATEDIF(MAX(H9,DATE(YEAR(主页!$D$9)-2,12,31)),MIN(N9,IF(OR(当年!I9=0,I9&gt;=DATE(YEAR(主页!$D$9)-1,1,1)),DATE(YEAR(主页!$D$9)-1,12,31),I9)),"M"),0)</f>
        <v>9800</v>
      </c>
      <c r="V9" s="56">
        <f>IF(AND(I9&gt;=DATE(YEAR(主页!$D$9)-2,12,31),I9&lt;=DATE(YEAR(主页!$D$9)-1,12,31)),T9+U9,0)</f>
        <v>0</v>
      </c>
      <c r="W9" s="56">
        <f>IF(AND(H9&lt;DATE(YEAR(主页!$D$9),1,1),OR(当年!I9=0,I9&gt;=DATE(YEAR(主页!$D$9),1,1))),IFERROR(K9*(1-M9)/L9/12*DATEDIF(H9,MIN(N9,IF(OR(当年!I9=0,I9&gt;=DATE(YEAR(主页!$D$9)-1,1,1)),DATE(YEAR(主页!$D$9)-1,12,31),I9)),"M"),0),0)</f>
        <v>9800</v>
      </c>
      <c r="X9" s="56">
        <f t="shared" si="2"/>
        <v>0</v>
      </c>
      <c r="AA9" s="13" t="s">
        <v>38</v>
      </c>
      <c r="AB9" s="59">
        <f t="shared" si="3"/>
        <v>0</v>
      </c>
    </row>
    <row r="10" spans="1:28">
      <c r="A10" s="13" t="s">
        <v>58</v>
      </c>
      <c r="B10" s="13" t="s">
        <v>51</v>
      </c>
      <c r="C10" s="13" t="s">
        <v>52</v>
      </c>
      <c r="D10" s="51" t="s">
        <v>53</v>
      </c>
      <c r="E10" s="51" t="s">
        <v>54</v>
      </c>
      <c r="F10" s="13" t="s">
        <v>55</v>
      </c>
      <c r="G10" s="13" t="s">
        <v>54</v>
      </c>
      <c r="H10" s="50">
        <v>43891</v>
      </c>
      <c r="K10" s="52">
        <v>9800</v>
      </c>
      <c r="L10" s="13">
        <f t="shared" si="4"/>
        <v>0.166666666666667</v>
      </c>
      <c r="M10" s="53">
        <v>0</v>
      </c>
      <c r="N10" s="54">
        <f t="shared" si="0"/>
        <v>43982</v>
      </c>
      <c r="O10" s="55">
        <f>IF(AND(H10&lt;DATE(YEAR(主页!$D$9)-1,1,1),OR(上年!I10=0,I10&gt;=DATE(YEAR(主页!$D$9)-1,1,1))),上年!K10,0)</f>
        <v>0</v>
      </c>
      <c r="P10" s="56">
        <f>IF(AND(H10&gt;=DATE(YEAR(主页!$D$9)-2,12,31),H10&lt;=DATE(YEAR(主页!$D$9)-1,12,31)),K10,0)</f>
        <v>9800</v>
      </c>
      <c r="Q10" s="56">
        <f>IF(AND(I10&gt;=DATE(YEAR(主页!$D$9)-2,12,31),I10&lt;=DATE(YEAR(主页!$D$9)-1,12,31)),K10,0)</f>
        <v>0</v>
      </c>
      <c r="R10" s="56">
        <f>IF(AND(H10&lt;DATE(YEAR(主页!$D$9),1,1),OR(上年!I10=0,I10&gt;=DATE(YEAR(主页!$D$9),1,1))),上年!K10,0)</f>
        <v>9800</v>
      </c>
      <c r="S10" s="56">
        <f t="shared" si="1"/>
        <v>0</v>
      </c>
      <c r="T10" s="56">
        <f>IFERROR(IF(AND(H10&lt;DATE(YEAR(主页!$D$9)-1,1,1),OR(当年!I10=0,I10&gt;=DATE(YEAR(主页!$D$9)-1,1,1))),MIN(K10*(1-M10),K10*(1-M10)/L10/12*DATEDIF(H10,DATE(YEAR(主页!$D$9)-2,12,31),"M")),0),0)</f>
        <v>0</v>
      </c>
      <c r="U10" s="56">
        <f>IFERROR(K10*(1-M10)/L10/12*DATEDIF(MAX(H10,DATE(YEAR(主页!$D$9)-2,12,31)),MIN(N10,IF(OR(当年!I10=0,I10&gt;=DATE(YEAR(主页!$D$9)-1,1,1)),DATE(YEAR(主页!$D$9)-1,12,31),I10)),"M"),0)</f>
        <v>9800</v>
      </c>
      <c r="V10" s="56">
        <f>IF(AND(I10&gt;=DATE(YEAR(主页!$D$9)-2,12,31),I10&lt;=DATE(YEAR(主页!$D$9)-1,12,31)),T10+U10,0)</f>
        <v>0</v>
      </c>
      <c r="W10" s="56">
        <f>IF(AND(H10&lt;DATE(YEAR(主页!$D$9),1,1),OR(当年!I10=0,I10&gt;=DATE(YEAR(主页!$D$9),1,1))),IFERROR(K10*(1-M10)/L10/12*DATEDIF(H10,MIN(N10,IF(OR(当年!I10=0,I10&gt;=DATE(YEAR(主页!$D$9)-1,1,1)),DATE(YEAR(主页!$D$9)-1,12,31),I10)),"M"),0),0)</f>
        <v>9800</v>
      </c>
      <c r="X10" s="56">
        <f t="shared" si="2"/>
        <v>0</v>
      </c>
      <c r="AA10" s="13" t="s">
        <v>38</v>
      </c>
      <c r="AB10" s="59">
        <f t="shared" si="3"/>
        <v>0</v>
      </c>
    </row>
    <row r="11" spans="14:28">
      <c r="N11" s="54" t="str">
        <f t="shared" si="0"/>
        <v>-</v>
      </c>
      <c r="O11" s="55">
        <f>IF(AND(H11&lt;DATE(YEAR(主页!$D$9)-1,1,1),OR(上年!I11=0,I11&gt;=DATE(YEAR(主页!$D$9)-1,1,1))),上年!K11,0)</f>
        <v>0</v>
      </c>
      <c r="P11" s="56">
        <f>IF(AND(H11&gt;=DATE(YEAR(主页!$D$9)-2,12,31),H11&lt;=DATE(YEAR(主页!$D$9)-1,12,31)),K11,0)</f>
        <v>0</v>
      </c>
      <c r="Q11" s="56">
        <f>IF(AND(I11&gt;=DATE(YEAR(主页!$D$9)-2,12,31),I11&lt;=DATE(YEAR(主页!$D$9)-1,12,31)),K11,0)</f>
        <v>0</v>
      </c>
      <c r="R11" s="56">
        <f>IF(AND(H11&lt;DATE(YEAR(主页!$D$9),1,1),OR(上年!I11=0,I11&gt;=DATE(YEAR(主页!$D$9),1,1))),上年!K11,0)</f>
        <v>0</v>
      </c>
      <c r="S11" s="56">
        <f t="shared" si="1"/>
        <v>0</v>
      </c>
      <c r="T11" s="56">
        <f>IFERROR(IF(AND(H11&lt;DATE(YEAR(主页!$D$9)-1,1,1),OR(当年!I11=0,I11&gt;=DATE(YEAR(主页!$D$9)-1,1,1))),MIN(K11*(1-M11),K11*(1-M11)/L11/12*DATEDIF(H11,DATE(YEAR(主页!$D$9)-2,12,31),"M")),0),0)</f>
        <v>0</v>
      </c>
      <c r="U11" s="56">
        <f>IFERROR(K11*(1-M11)/L11/12*DATEDIF(MAX(H11,DATE(YEAR(主页!$D$9)-2,12,31)),MIN(N11,IF(OR(当年!I11=0,I11&gt;=DATE(YEAR(主页!$D$9)-1,1,1)),DATE(YEAR(主页!$D$9)-1,12,31),I11)),"M"),0)</f>
        <v>0</v>
      </c>
      <c r="V11" s="56">
        <f>IF(AND(I11&gt;=DATE(YEAR(主页!$D$9)-2,12,31),I11&lt;=DATE(YEAR(主页!$D$9)-1,12,31)),T11+U11,0)</f>
        <v>0</v>
      </c>
      <c r="W11" s="56">
        <f>IF(AND(H11&lt;DATE(YEAR(主页!$D$9),1,1),OR(当年!I11=0,I11&gt;=DATE(YEAR(主页!$D$9),1,1))),IFERROR(K11*(1-M11)/L11/12*DATEDIF(H11,MIN(N11,IF(OR(当年!I11=0,I11&gt;=DATE(YEAR(主页!$D$9)-1,1,1)),DATE(YEAR(主页!$D$9)-1,12,31),I11)),"M"),0),0)</f>
        <v>0</v>
      </c>
      <c r="X11" s="56">
        <f t="shared" si="2"/>
        <v>0</v>
      </c>
      <c r="AB11" s="59">
        <f t="shared" si="3"/>
        <v>0</v>
      </c>
    </row>
  </sheetData>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
  <sheetViews>
    <sheetView workbookViewId="0">
      <selection activeCell="E11" sqref="E11"/>
    </sheetView>
  </sheetViews>
  <sheetFormatPr defaultColWidth="9" defaultRowHeight="14.25"/>
  <cols>
    <col min="1" max="1" width="8.88333333333333" style="13"/>
    <col min="2" max="2" width="11.6666666666667" style="13" customWidth="1"/>
    <col min="3" max="3" width="8.88333333333333" style="13"/>
    <col min="4" max="5" width="10.5583333333333" style="13" customWidth="1"/>
    <col min="6" max="6" width="13.8833333333333" style="13" customWidth="1"/>
    <col min="7" max="7" width="8.88333333333333" style="13"/>
    <col min="8" max="9" width="11.6666666666667" style="13" customWidth="1"/>
    <col min="10" max="10" width="13.8833333333333" style="13" customWidth="1"/>
    <col min="11" max="11" width="14.3333333333333" style="13" customWidth="1"/>
    <col min="12" max="12" width="13.8833333333333" style="13" customWidth="1"/>
    <col min="13" max="13" width="11.6666666666667" style="13" customWidth="1"/>
    <col min="14" max="14" width="11.6666666666667" customWidth="1"/>
    <col min="15" max="15" width="14.3333333333333" customWidth="1"/>
    <col min="16" max="18" width="9.55833333333333" customWidth="1"/>
    <col min="19" max="19" width="4.44166666666667" customWidth="1"/>
    <col min="20" max="21" width="13.8833333333333" customWidth="1"/>
    <col min="23" max="23" width="13.8833333333333" customWidth="1"/>
    <col min="24" max="24" width="4.44166666666667" customWidth="1"/>
    <col min="25" max="25" width="3.775" customWidth="1"/>
    <col min="26" max="27" width="13.8833333333333" style="13" customWidth="1"/>
    <col min="28" max="28" width="13.8833333333333" style="48" customWidth="1"/>
    <col min="29" max="29" width="4.33333333333333" customWidth="1"/>
    <col min="30" max="30" width="13.8833333333333" customWidth="1"/>
    <col min="31" max="31" width="11.6666666666667" customWidth="1"/>
  </cols>
  <sheetData>
    <row r="1" s="13" customFormat="1" spans="1:31">
      <c r="A1" s="49" t="s">
        <v>5</v>
      </c>
      <c r="B1" s="49" t="s">
        <v>6</v>
      </c>
      <c r="C1" s="49" t="s">
        <v>7</v>
      </c>
      <c r="D1" s="49" t="s">
        <v>8</v>
      </c>
      <c r="E1" s="49" t="s">
        <v>9</v>
      </c>
      <c r="F1" s="49" t="s">
        <v>10</v>
      </c>
      <c r="G1" s="49" t="s">
        <v>11</v>
      </c>
      <c r="H1" s="49" t="s">
        <v>12</v>
      </c>
      <c r="I1" s="49" t="s">
        <v>13</v>
      </c>
      <c r="J1" s="49" t="s">
        <v>14</v>
      </c>
      <c r="K1" s="49" t="s">
        <v>15</v>
      </c>
      <c r="L1" s="49" t="s">
        <v>16</v>
      </c>
      <c r="M1" s="49" t="s">
        <v>17</v>
      </c>
      <c r="N1" s="49" t="s">
        <v>18</v>
      </c>
      <c r="O1" s="49" t="s">
        <v>19</v>
      </c>
      <c r="P1" s="49" t="s">
        <v>20</v>
      </c>
      <c r="Q1" s="49" t="s">
        <v>21</v>
      </c>
      <c r="R1" s="49" t="s">
        <v>22</v>
      </c>
      <c r="S1" s="49" t="s">
        <v>23</v>
      </c>
      <c r="T1" s="49" t="s">
        <v>24</v>
      </c>
      <c r="U1" s="49" t="s">
        <v>25</v>
      </c>
      <c r="V1" s="49" t="s">
        <v>26</v>
      </c>
      <c r="W1" s="49" t="s">
        <v>27</v>
      </c>
      <c r="X1" s="49" t="s">
        <v>23</v>
      </c>
      <c r="Z1" s="49" t="s">
        <v>28</v>
      </c>
      <c r="AA1" s="49" t="s">
        <v>29</v>
      </c>
      <c r="AB1" s="57" t="s">
        <v>30</v>
      </c>
      <c r="AD1" s="57" t="s">
        <v>59</v>
      </c>
      <c r="AE1" s="57" t="s">
        <v>60</v>
      </c>
    </row>
    <row r="2" spans="1:31">
      <c r="A2" s="13" t="s">
        <v>31</v>
      </c>
      <c r="B2" s="13" t="s">
        <v>32</v>
      </c>
      <c r="C2" s="13" t="s">
        <v>33</v>
      </c>
      <c r="D2" s="13" t="s">
        <v>34</v>
      </c>
      <c r="E2" s="13" t="s">
        <v>35</v>
      </c>
      <c r="F2" s="13" t="s">
        <v>36</v>
      </c>
      <c r="G2" s="13" t="s">
        <v>37</v>
      </c>
      <c r="H2" s="50">
        <v>43388</v>
      </c>
      <c r="I2" s="50"/>
      <c r="K2" s="52">
        <v>12000000</v>
      </c>
      <c r="L2" s="13">
        <v>10</v>
      </c>
      <c r="M2" s="60">
        <v>0.05</v>
      </c>
      <c r="N2" s="54">
        <f>IF(H2=0,"-",EOMONTH(H2,L2*12))</f>
        <v>47057</v>
      </c>
      <c r="O2" s="55">
        <f>IF(AND(H2&lt;DATE(YEAR(主页!$D$9),1,1),OR(当年!I2=0,I2&gt;=DATE(YEAR(主页!$D$9),1,1))),当年!K2,0)</f>
        <v>12000000</v>
      </c>
      <c r="P2" s="56">
        <f>IF(AND(H2&gt;=DATE(YEAR(主页!$D$9)-1,12,31),H2&lt;=DATE(YEAR(主页!$D$9),12,31)),K2,0)</f>
        <v>0</v>
      </c>
      <c r="Q2" s="56">
        <f>IF(AND(I2&gt;=DATE(YEAR(主页!$D$9)-1,12,31),I2&lt;=DATE(YEAR(主页!$D$9),12,31)),K2,0)</f>
        <v>0</v>
      </c>
      <c r="R2" s="56">
        <f>IF(AND(H2&lt;DATE(YEAR(主页!$D$9)+1,1,1),OR(当年!I2=0,I2&gt;=DATE(YEAR(主页!$D$9)+1,1,1))),当年!K2,0)</f>
        <v>12000000</v>
      </c>
      <c r="S2" s="56">
        <f>O2+P2-Q2-R2</f>
        <v>0</v>
      </c>
      <c r="T2" s="56">
        <f>IFERROR(IF(AND(H2&lt;DATE(YEAR(主页!$D$9),1,1),OR(当年!I2=0,I2&gt;=DATE(YEAR(主页!$D$9),1,1))),MIN(K2*(1-M2),K2*(1-M2)/L2/12*DATEDIF(H2,DATE(YEAR(主页!$D$9)-1,12,31),"M")),0),0)</f>
        <v>2470000</v>
      </c>
      <c r="U2" s="56">
        <f>IFERROR(K2*(1-M2)/L2/12*DATEDIF(MAX(H2,DATE(YEAR(主页!$D$9)-1,12,31)),MIN(N2,IF(OR(当年!I2=0,I2&gt;=DATE(YEAR(主页!$D$9),1,1)),DATE(YEAR(主页!$D$9),12,31),I2)),"M"),0)</f>
        <v>1140000</v>
      </c>
      <c r="V2" s="56">
        <f>IF(AND(I2&gt;=DATE(YEAR(主页!$D$9)-1,12,31),I2&lt;=DATE(YEAR(主页!$D$9),12,31)),T2+U2,0)</f>
        <v>0</v>
      </c>
      <c r="W2" s="56">
        <f>IF(AND(H2&lt;DATE(YEAR(主页!$D$9)+1,1,1),OR(当年!I2=0,I2&gt;=DATE(YEAR(主页!$D$9)+1,1,1))),IFERROR(K2*(1-M2)/L2/12*DATEDIF(H2,MIN(N2,IF(OR(当年!I2=0,I2&gt;=DATE(YEAR(主页!$D$9),1,1)),DATE(YEAR(主页!$D$9),12,31),I2)),"M"),0),0)</f>
        <v>3610000</v>
      </c>
      <c r="X2" s="56">
        <f>T2+U2-V2-W2</f>
        <v>0</v>
      </c>
      <c r="Y2" s="58"/>
      <c r="Z2" s="13">
        <v>10</v>
      </c>
      <c r="AA2" s="13" t="s">
        <v>38</v>
      </c>
      <c r="AB2" s="59">
        <f>IFERROR(IF(AA2="在用",K2/Z2,0),0)</f>
        <v>1200000</v>
      </c>
      <c r="AD2" s="59">
        <f>IFERROR(K2*(1-M2)/L2/12*DATEDIF(MAX(H2,DATE(YEAR(主页!$D$9)-1,12,31)),MIN(N2,IF(OR(当年!I2=0,I2&gt;=DATE(YEAR(主页!$D$9),1,1)),DATE(YEAR(主页!$D$9),MONTH(主页!$D$9),31),I2)),"M"),0)</f>
        <v>950000</v>
      </c>
      <c r="AE2" s="59">
        <f>U2-AD2</f>
        <v>190000</v>
      </c>
    </row>
    <row r="3" spans="1:31">
      <c r="A3" s="13" t="s">
        <v>39</v>
      </c>
      <c r="B3" s="13" t="s">
        <v>40</v>
      </c>
      <c r="C3" s="13" t="s">
        <v>41</v>
      </c>
      <c r="D3" s="13" t="s">
        <v>34</v>
      </c>
      <c r="E3" s="13" t="s">
        <v>35</v>
      </c>
      <c r="F3" s="13" t="s">
        <v>42</v>
      </c>
      <c r="G3" s="13" t="s">
        <v>37</v>
      </c>
      <c r="H3" s="50">
        <v>44359</v>
      </c>
      <c r="I3" s="50"/>
      <c r="K3" s="52">
        <v>35000000</v>
      </c>
      <c r="L3" s="13">
        <v>20</v>
      </c>
      <c r="M3" s="60">
        <v>0.05</v>
      </c>
      <c r="N3" s="54">
        <f t="shared" ref="N3:N11" si="0">IF(H3=0,"-",EOMONTH(H3,L3*12))</f>
        <v>51682</v>
      </c>
      <c r="O3" s="55">
        <f>IF(AND(H3&lt;DATE(YEAR(主页!$D$9),1,1),OR(当年!I3=0,I3&gt;=DATE(YEAR(主页!$D$9),1,1))),当年!K3,0)</f>
        <v>0</v>
      </c>
      <c r="P3" s="56">
        <f>IF(AND(H3&gt;=DATE(YEAR(主页!$D$9)-1,12,31),H3&lt;=DATE(YEAR(主页!$D$9),12,31)),K3,0)</f>
        <v>35000000</v>
      </c>
      <c r="Q3" s="56">
        <f>IF(AND(I3&gt;=DATE(YEAR(主页!$D$9)-1,12,31),I3&lt;=DATE(YEAR(主页!$D$9),12,31)),K3,0)</f>
        <v>0</v>
      </c>
      <c r="R3" s="56">
        <f>IF(AND(H3&lt;DATE(YEAR(主页!$D$9)+1,1,1),OR(当年!I3=0,I3&gt;=DATE(YEAR(主页!$D$9)+1,1,1))),当年!K3,0)</f>
        <v>35000000</v>
      </c>
      <c r="S3" s="56">
        <f t="shared" ref="S3:S6" si="1">O3+P3-Q3-R3</f>
        <v>0</v>
      </c>
      <c r="T3" s="56">
        <f>IFERROR(IF(AND(H3&lt;DATE(YEAR(主页!$D$9),1,1),OR(当年!I3=0,I3&gt;=DATE(YEAR(主页!$D$9),1,1))),MIN(K3*(1-M3),K3*(1-M3)/L3/12*DATEDIF(H3,DATE(YEAR(主页!$D$9)-1,12,31),"M")),0),0)</f>
        <v>0</v>
      </c>
      <c r="U3" s="56">
        <f>IFERROR(K3*(1-M3)/L3/12*DATEDIF(MAX(H3,DATE(YEAR(主页!$D$9)-1,12,31)),MIN(N3,IF(OR(当年!I3=0,I3&gt;=DATE(YEAR(主页!$D$9),1,1)),DATE(YEAR(主页!$D$9),12,31),I3)),"M"),0)</f>
        <v>831250</v>
      </c>
      <c r="V3" s="56">
        <f>IF(AND(I3&gt;=DATE(YEAR(主页!$D$9)-1,12,31),I3&lt;=DATE(YEAR(主页!$D$9),12,31)),T3+U3,0)</f>
        <v>0</v>
      </c>
      <c r="W3" s="56">
        <f>IF(AND(H3&lt;DATE(YEAR(主页!$D$9)+1,1,1),OR(当年!I3=0,I3&gt;=DATE(YEAR(主页!$D$9)+1,1,1))),IFERROR(K3*(1-M3)/L3/12*DATEDIF(H3,MIN(N3,IF(OR(当年!I3=0,I3&gt;=DATE(YEAR(主页!$D$9),1,1)),DATE(YEAR(主页!$D$9),12,31),I3)),"M"),0),0)</f>
        <v>831250</v>
      </c>
      <c r="X3" s="56">
        <f t="shared" ref="X3:X6" si="2">T3+U3-V3-W3</f>
        <v>0</v>
      </c>
      <c r="Y3" s="58"/>
      <c r="Z3" s="13">
        <v>20</v>
      </c>
      <c r="AA3" s="13" t="s">
        <v>38</v>
      </c>
      <c r="AB3" s="59">
        <f t="shared" ref="AB3:AB11" si="3">IFERROR(IF(AA3="在用",K3/Z3,0),0)</f>
        <v>1750000</v>
      </c>
      <c r="AD3" s="59">
        <f>IFERROR(K3*(1-M3)/L3/12*DATEDIF(MAX(H3,DATE(YEAR(主页!$D$9)-1,12,31)),MIN(N3,IF(OR(当年!I3=0,I3&gt;=DATE(YEAR(主页!$D$9),1,1)),DATE(YEAR(主页!$D$9),MONTH(主页!$D$9),31),I3)),"M"),0)</f>
        <v>554166.666666667</v>
      </c>
      <c r="AE3" s="59">
        <f t="shared" ref="AE3:AE11" si="4">U3-AD3</f>
        <v>277083.333333333</v>
      </c>
    </row>
    <row r="4" spans="1:31">
      <c r="A4" s="13" t="s">
        <v>43</v>
      </c>
      <c r="B4" s="13" t="s">
        <v>44</v>
      </c>
      <c r="C4" s="13" t="s">
        <v>33</v>
      </c>
      <c r="D4" s="13" t="s">
        <v>34</v>
      </c>
      <c r="E4" s="13" t="s">
        <v>35</v>
      </c>
      <c r="F4" s="13" t="s">
        <v>45</v>
      </c>
      <c r="G4" s="13" t="s">
        <v>37</v>
      </c>
      <c r="H4" s="50">
        <v>42270</v>
      </c>
      <c r="I4" s="50">
        <v>44408</v>
      </c>
      <c r="K4" s="52">
        <v>300000</v>
      </c>
      <c r="L4" s="13">
        <v>10</v>
      </c>
      <c r="M4" s="60">
        <v>0.05</v>
      </c>
      <c r="N4" s="54">
        <f t="shared" si="0"/>
        <v>45930</v>
      </c>
      <c r="O4" s="55">
        <f>IF(AND(H4&lt;DATE(YEAR(主页!$D$9),1,1),OR(当年!I4=0,I4&gt;=DATE(YEAR(主页!$D$9),1,1))),当年!K4,0)</f>
        <v>300000</v>
      </c>
      <c r="P4" s="56">
        <f>IF(AND(H4&gt;=DATE(YEAR(主页!$D$9)-1,12,31),H4&lt;=DATE(YEAR(主页!$D$9),12,31)),K4,0)</f>
        <v>0</v>
      </c>
      <c r="Q4" s="56">
        <f>IF(AND(I4&gt;=DATE(YEAR(主页!$D$9)-1,12,31),I4&lt;=DATE(YEAR(主页!$D$9),12,31)),K4,0)</f>
        <v>300000</v>
      </c>
      <c r="R4" s="56">
        <f>IF(AND(H4&lt;DATE(YEAR(主页!$D$9)+1,1,1),OR(当年!I4=0,I4&gt;=DATE(YEAR(主页!$D$9)+1,1,1))),当年!K4,0)</f>
        <v>0</v>
      </c>
      <c r="S4" s="56">
        <f t="shared" si="1"/>
        <v>0</v>
      </c>
      <c r="T4" s="56">
        <f>IFERROR(IF(AND(H4&lt;DATE(YEAR(主页!$D$9),1,1),OR(当年!I4=0,I4&gt;=DATE(YEAR(主页!$D$9),1,1))),MIN(K4*(1-M4),K4*(1-M4)/L4/12*DATEDIF(H4,DATE(YEAR(主页!$D$9)-1,12,31),"M")),0),0)</f>
        <v>149625</v>
      </c>
      <c r="U4" s="56">
        <f>IFERROR(K4*(1-M4)/L4/12*DATEDIF(MAX(H4,DATE(YEAR(主页!$D$9)-1,12,31)),MIN(N4,IF(OR(当年!I4=0,I4&gt;=DATE(YEAR(主页!$D$9),1,1)),DATE(YEAR(主页!$D$9),12,31),I4)),"M"),0)</f>
        <v>28500</v>
      </c>
      <c r="V4" s="56">
        <f>IF(AND(I4&gt;=DATE(YEAR(主页!$D$9)-1,12,31),I4&lt;=DATE(YEAR(主页!$D$9),12,31)),T4+U4,0)</f>
        <v>178125</v>
      </c>
      <c r="W4" s="56">
        <f>IF(AND(H4&lt;DATE(YEAR(主页!$D$9)+1,1,1),OR(当年!I4=0,I4&gt;=DATE(YEAR(主页!$D$9)+1,1,1))),IFERROR(K4*(1-M4)/L4/12*DATEDIF(H4,MIN(N4,IF(OR(当年!I4=0,I4&gt;=DATE(YEAR(主页!$D$9),1,1)),DATE(YEAR(主页!$D$9),12,31),I4)),"M"),0),0)</f>
        <v>0</v>
      </c>
      <c r="X4" s="56">
        <f t="shared" si="2"/>
        <v>0</v>
      </c>
      <c r="Y4" s="58"/>
      <c r="Z4" s="13">
        <v>10</v>
      </c>
      <c r="AA4" s="13" t="s">
        <v>38</v>
      </c>
      <c r="AB4" s="59">
        <f t="shared" si="3"/>
        <v>30000</v>
      </c>
      <c r="AD4" s="59">
        <f>IFERROR(K4*(1-M4)/L4/12*DATEDIF(MAX(H4,DATE(YEAR(主页!$D$9)-1,12,31)),MIN(N4,IF(OR(当年!I4=0,I4&gt;=DATE(YEAR(主页!$D$9),1,1)),DATE(YEAR(主页!$D$9),MONTH(主页!$D$9),31),I4)),"M"),0)</f>
        <v>23750</v>
      </c>
      <c r="AE4" s="59">
        <f t="shared" si="4"/>
        <v>4750</v>
      </c>
    </row>
    <row r="5" spans="1:31">
      <c r="A5" s="13" t="s">
        <v>46</v>
      </c>
      <c r="B5" s="13" t="s">
        <v>47</v>
      </c>
      <c r="C5" s="13" t="s">
        <v>33</v>
      </c>
      <c r="D5" s="13" t="s">
        <v>34</v>
      </c>
      <c r="E5" s="13" t="s">
        <v>35</v>
      </c>
      <c r="F5" s="13" t="s">
        <v>36</v>
      </c>
      <c r="G5" s="13" t="s">
        <v>37</v>
      </c>
      <c r="H5" s="50">
        <v>41518</v>
      </c>
      <c r="I5" s="50">
        <v>44135</v>
      </c>
      <c r="K5" s="52">
        <v>350000</v>
      </c>
      <c r="L5" s="13">
        <v>10</v>
      </c>
      <c r="M5" s="60">
        <v>0.05</v>
      </c>
      <c r="N5" s="54">
        <f t="shared" si="0"/>
        <v>45199</v>
      </c>
      <c r="O5" s="55">
        <f>IF(AND(H5&lt;DATE(YEAR(主页!$D$9),1,1),OR(当年!I5=0,I5&gt;=DATE(YEAR(主页!$D$9),1,1))),当年!K5,0)</f>
        <v>0</v>
      </c>
      <c r="P5" s="56">
        <f>IF(AND(H5&gt;=DATE(YEAR(主页!$D$9)-1,12,31),H5&lt;=DATE(YEAR(主页!$D$9),12,31)),K5,0)</f>
        <v>0</v>
      </c>
      <c r="Q5" s="56">
        <f>IF(AND(I5&gt;=DATE(YEAR(主页!$D$9)-1,12,31),I5&lt;=DATE(YEAR(主页!$D$9),12,31)),K5,0)</f>
        <v>0</v>
      </c>
      <c r="R5" s="56">
        <f>IF(AND(H5&lt;DATE(YEAR(主页!$D$9)+1,1,1),OR(当年!I5=0,I5&gt;=DATE(YEAR(主页!$D$9)+1,1,1))),当年!K5,0)</f>
        <v>0</v>
      </c>
      <c r="S5" s="56">
        <f t="shared" si="1"/>
        <v>0</v>
      </c>
      <c r="T5" s="56">
        <f>IFERROR(IF(AND(H5&lt;DATE(YEAR(主页!$D$9),1,1),OR(当年!I5=0,I5&gt;=DATE(YEAR(主页!$D$9),1,1))),MIN(K5*(1-M5),K5*(1-M5)/L5/12*DATEDIF(H5,DATE(YEAR(主页!$D$9)-1,12,31),"M")),0),0)</f>
        <v>0</v>
      </c>
      <c r="U5" s="56">
        <f>IFERROR(K5*(1-M5)/L5/12*DATEDIF(MAX(H5,DATE(YEAR(主页!$D$9)-1,12,31)),MIN(N5,IF(OR(当年!I5=0,I5&gt;=DATE(YEAR(主页!$D$9),1,1)),DATE(YEAR(主页!$D$9),12,31),I5)),"M"),0)</f>
        <v>0</v>
      </c>
      <c r="V5" s="56">
        <f>IF(AND(I5&gt;=DATE(YEAR(主页!$D$9)-1,12,31),I5&lt;=DATE(YEAR(主页!$D$9),12,31)),T5+U5,0)</f>
        <v>0</v>
      </c>
      <c r="W5" s="56">
        <f>IF(AND(H5&lt;DATE(YEAR(主页!$D$9)+1,1,1),OR(当年!I5=0,I5&gt;=DATE(YEAR(主页!$D$9)+1,1,1))),IFERROR(K5*(1-M5)/L5/12*DATEDIF(H5,MIN(N5,IF(OR(当年!I5=0,I5&gt;=DATE(YEAR(主页!$D$9),1,1)),DATE(YEAR(主页!$D$9),12,31),I5)),"M"),0),0)</f>
        <v>0</v>
      </c>
      <c r="X5" s="56">
        <f t="shared" si="2"/>
        <v>0</v>
      </c>
      <c r="Y5" s="58"/>
      <c r="Z5" s="13">
        <v>10</v>
      </c>
      <c r="AA5" s="13" t="s">
        <v>38</v>
      </c>
      <c r="AB5" s="59">
        <f t="shared" si="3"/>
        <v>35000</v>
      </c>
      <c r="AD5" s="59">
        <f>IFERROR(K5*(1-M5)/L5/12*DATEDIF(MAX(H5,DATE(YEAR(主页!$D$9)-1,12,31)),MIN(N5,IF(OR(当年!I5=0,I5&gt;=DATE(YEAR(主页!$D$9),1,1)),DATE(YEAR(主页!$D$9),MONTH(主页!$D$9),31),I5)),"M"),0)</f>
        <v>0</v>
      </c>
      <c r="AE5" s="59">
        <f t="shared" si="4"/>
        <v>0</v>
      </c>
    </row>
    <row r="6" spans="1:31">
      <c r="A6" s="13" t="s">
        <v>48</v>
      </c>
      <c r="B6" s="13" t="s">
        <v>49</v>
      </c>
      <c r="C6" s="13" t="s">
        <v>33</v>
      </c>
      <c r="D6" s="13" t="s">
        <v>34</v>
      </c>
      <c r="E6" s="13" t="s">
        <v>35</v>
      </c>
      <c r="F6" s="13" t="s">
        <v>36</v>
      </c>
      <c r="G6" s="13" t="s">
        <v>37</v>
      </c>
      <c r="H6" s="50">
        <v>38353</v>
      </c>
      <c r="K6" s="52">
        <v>50000</v>
      </c>
      <c r="L6" s="13">
        <v>10</v>
      </c>
      <c r="M6" s="60">
        <v>0.05</v>
      </c>
      <c r="N6" s="54">
        <f t="shared" si="0"/>
        <v>42035</v>
      </c>
      <c r="O6" s="55">
        <f>IF(AND(H6&lt;DATE(YEAR(主页!$D$9),1,1),OR(当年!I6=0,I6&gt;=DATE(YEAR(主页!$D$9),1,1))),当年!K6,0)</f>
        <v>50000</v>
      </c>
      <c r="P6" s="56">
        <f>IF(AND(H6&gt;=DATE(YEAR(主页!$D$9)-1,12,31),H6&lt;=DATE(YEAR(主页!$D$9),12,31)),K6,0)</f>
        <v>0</v>
      </c>
      <c r="Q6" s="56">
        <f>IF(AND(I6&gt;=DATE(YEAR(主页!$D$9)-1,12,31),I6&lt;=DATE(YEAR(主页!$D$9),12,31)),K6,0)</f>
        <v>0</v>
      </c>
      <c r="R6" s="56">
        <f>IF(AND(H6&lt;DATE(YEAR(主页!$D$9)+1,1,1),OR(当年!I6=0,I6&gt;=DATE(YEAR(主页!$D$9)+1,1,1))),当年!K6,0)</f>
        <v>50000</v>
      </c>
      <c r="S6" s="56">
        <f t="shared" si="1"/>
        <v>0</v>
      </c>
      <c r="T6" s="56">
        <f>IFERROR(IF(AND(H6&lt;DATE(YEAR(主页!$D$9),1,1),OR(当年!I6=0,I6&gt;=DATE(YEAR(主页!$D$9),1,1))),MIN(K6*(1-M6),K6*(1-M6)/L6/12*DATEDIF(H6,DATE(YEAR(主页!$D$9)-1,12,31),"M")),0),0)</f>
        <v>47500</v>
      </c>
      <c r="U6" s="56">
        <f>IFERROR(K6*(1-M6)/L6/12*DATEDIF(MAX(H6,DATE(YEAR(主页!$D$9)-1,12,31)),MIN(N6,IF(OR(当年!I6=0,I6&gt;=DATE(YEAR(主页!$D$9),1,1)),DATE(YEAR(主页!$D$9),12,31),I6)),"M"),0)</f>
        <v>0</v>
      </c>
      <c r="V6" s="56">
        <f>IF(AND(I6&gt;=DATE(YEAR(主页!$D$9)-1,12,31),I6&lt;=DATE(YEAR(主页!$D$9),12,31)),T6+U6,0)</f>
        <v>0</v>
      </c>
      <c r="W6" s="56">
        <f>IF(AND(H6&lt;DATE(YEAR(主页!$D$9)+1,1,1),OR(当年!I6=0,I6&gt;=DATE(YEAR(主页!$D$9)+1,1,1))),IFERROR(K6*(1-M6)/L6/12*DATEDIF(H6,MIN(N6,IF(OR(当年!I6=0,I6&gt;=DATE(YEAR(主页!$D$9),1,1)),DATE(YEAR(主页!$D$9),12,31),I6)),"M"),0),0)</f>
        <v>47500</v>
      </c>
      <c r="X6" s="56">
        <f t="shared" si="2"/>
        <v>0</v>
      </c>
      <c r="Y6" s="58"/>
      <c r="Z6" s="13">
        <v>10</v>
      </c>
      <c r="AA6" s="13" t="s">
        <v>38</v>
      </c>
      <c r="AB6" s="59">
        <f t="shared" si="3"/>
        <v>5000</v>
      </c>
      <c r="AD6" s="59">
        <f>IFERROR(K6*(1-M6)/L6/12*DATEDIF(MAX(H6,DATE(YEAR(主页!$D$9)-1,12,31)),MIN(N6,IF(OR(当年!I6=0,I6&gt;=DATE(YEAR(主页!$D$9),1,1)),DATE(YEAR(主页!$D$9),MONTH(主页!$D$9),31),I6)),"M"),0)</f>
        <v>0</v>
      </c>
      <c r="AE6" s="59">
        <f t="shared" si="4"/>
        <v>0</v>
      </c>
    </row>
    <row r="7" spans="1:31">
      <c r="A7" s="13" t="s">
        <v>50</v>
      </c>
      <c r="B7" s="13" t="s">
        <v>51</v>
      </c>
      <c r="C7" s="13" t="s">
        <v>52</v>
      </c>
      <c r="D7" s="51" t="s">
        <v>53</v>
      </c>
      <c r="E7" s="51" t="s">
        <v>54</v>
      </c>
      <c r="F7" s="13" t="s">
        <v>55</v>
      </c>
      <c r="G7" s="13" t="s">
        <v>54</v>
      </c>
      <c r="H7" s="50">
        <v>44712</v>
      </c>
      <c r="K7" s="52">
        <v>9800</v>
      </c>
      <c r="L7" s="13">
        <f>2/12</f>
        <v>0.166666666666667</v>
      </c>
      <c r="M7" s="53">
        <v>0</v>
      </c>
      <c r="N7" s="54">
        <f t="shared" si="0"/>
        <v>44773</v>
      </c>
      <c r="O7" s="55">
        <f>IF(AND(H7&lt;DATE(YEAR(主页!$D$9),1,1),OR(当年!I7=0,I7&gt;=DATE(YEAR(主页!$D$9),1,1))),当年!K7,0)</f>
        <v>0</v>
      </c>
      <c r="P7" s="56">
        <f>IF(AND(H7&gt;=DATE(YEAR(主页!$D$9)-1,12,31),H7&lt;=DATE(YEAR(主页!$D$9),12,31)),K7,0)</f>
        <v>0</v>
      </c>
      <c r="Q7" s="56">
        <f>IF(AND(I7&gt;=DATE(YEAR(主页!$D$9)-1,12,31),I7&lt;=DATE(YEAR(主页!$D$9),12,31)),K7,0)</f>
        <v>0</v>
      </c>
      <c r="R7" s="56">
        <f>IF(AND(H7&lt;DATE(YEAR(主页!$D$9)+1,1,1),OR(当年!I7=0,I7&gt;=DATE(YEAR(主页!$D$9)+1,1,1))),当年!K7,0)</f>
        <v>0</v>
      </c>
      <c r="S7" s="56">
        <f t="shared" ref="S7:S11" si="5">O7+P7-Q7-R7</f>
        <v>0</v>
      </c>
      <c r="T7" s="56">
        <f>IFERROR(IF(AND(H7&lt;DATE(YEAR(主页!$D$9),1,1),OR(当年!I7=0,I7&gt;=DATE(YEAR(主页!$D$9),1,1))),MIN(K7*(1-M7),K7*(1-M7)/L7/12*DATEDIF(H7,DATE(YEAR(主页!$D$9)-1,12,31),"M")),0),0)</f>
        <v>0</v>
      </c>
      <c r="U7" s="56">
        <f>IFERROR(K7*(1-M7)/L7/12*DATEDIF(MAX(H7,DATE(YEAR(主页!$D$9)-1,12,31)),MIN(N7,IF(OR(当年!I7=0,I7&gt;=DATE(YEAR(主页!$D$9),1,1)),DATE(YEAR(主页!$D$9),12,31),I7)),"M"),0)</f>
        <v>0</v>
      </c>
      <c r="V7" s="56">
        <f>IF(AND(I7&gt;=DATE(YEAR(主页!$D$9)-1,12,31),I7&lt;=DATE(YEAR(主页!$D$9),12,31)),T7+U7,0)</f>
        <v>0</v>
      </c>
      <c r="W7" s="56">
        <f>IF(AND(H7&lt;DATE(YEAR(主页!$D$9)+1,1,1),OR(当年!I7=0,I7&gt;=DATE(YEAR(主页!$D$9)+1,1,1))),IFERROR(K7*(1-M7)/L7/12*DATEDIF(H7,MIN(N7,IF(OR(当年!I7=0,I7&gt;=DATE(YEAR(主页!$D$9),1,1)),DATE(YEAR(主页!$D$9),12,31),I7)),"M"),0),0)</f>
        <v>0</v>
      </c>
      <c r="X7" s="56">
        <f t="shared" ref="X7:X11" si="6">T7+U7-V7-W7</f>
        <v>0</v>
      </c>
      <c r="Z7" s="13">
        <v>3</v>
      </c>
      <c r="AA7" s="13" t="s">
        <v>38</v>
      </c>
      <c r="AB7" s="59">
        <f t="shared" si="3"/>
        <v>3266.66666666667</v>
      </c>
      <c r="AD7" s="59">
        <f>IFERROR(K7*(1-M7)/L7/12*DATEDIF(MAX(H7,DATE(YEAR(主页!$D$9)-1,12,31)),MIN(N7,IF(OR(当年!I7=0,I7&gt;=DATE(YEAR(主页!$D$9),1,1)),DATE(YEAR(主页!$D$9),MONTH(主页!$D$9),31),I7)),"M"),0)</f>
        <v>0</v>
      </c>
      <c r="AE7" s="59">
        <f t="shared" si="4"/>
        <v>0</v>
      </c>
    </row>
    <row r="8" spans="1:31">
      <c r="A8" s="13" t="s">
        <v>56</v>
      </c>
      <c r="B8" s="13" t="s">
        <v>51</v>
      </c>
      <c r="C8" s="13" t="s">
        <v>52</v>
      </c>
      <c r="D8" s="51" t="s">
        <v>53</v>
      </c>
      <c r="E8" s="51" t="s">
        <v>54</v>
      </c>
      <c r="F8" s="13" t="s">
        <v>55</v>
      </c>
      <c r="G8" s="13" t="s">
        <v>54</v>
      </c>
      <c r="H8" s="50">
        <v>44501</v>
      </c>
      <c r="K8" s="52">
        <v>9800</v>
      </c>
      <c r="L8" s="13">
        <f t="shared" ref="L8:L11" si="7">2/12</f>
        <v>0.166666666666667</v>
      </c>
      <c r="M8" s="53">
        <v>0</v>
      </c>
      <c r="N8" s="54">
        <f t="shared" si="0"/>
        <v>44592</v>
      </c>
      <c r="O8" s="55">
        <f>IF(AND(H8&lt;DATE(YEAR(主页!$D$9),1,1),OR(当年!I8=0,I8&gt;=DATE(YEAR(主页!$D$9),1,1))),当年!K8,0)</f>
        <v>0</v>
      </c>
      <c r="P8" s="56">
        <f>IF(AND(H8&gt;=DATE(YEAR(主页!$D$9)-1,12,31),H8&lt;=DATE(YEAR(主页!$D$9),12,31)),K8,0)</f>
        <v>9800</v>
      </c>
      <c r="Q8" s="56">
        <f>IF(AND(I8&gt;=DATE(YEAR(主页!$D$9)-1,12,31),I8&lt;=DATE(YEAR(主页!$D$9),12,31)),K8,0)</f>
        <v>0</v>
      </c>
      <c r="R8" s="56">
        <f>IF(AND(H8&lt;DATE(YEAR(主页!$D$9)+1,1,1),OR(当年!I8=0,I8&gt;=DATE(YEAR(主页!$D$9)+1,1,1))),当年!K8,0)</f>
        <v>9800</v>
      </c>
      <c r="S8" s="56">
        <f t="shared" si="5"/>
        <v>0</v>
      </c>
      <c r="T8" s="56">
        <f>IFERROR(IF(AND(H8&lt;DATE(YEAR(主页!$D$9),1,1),OR(当年!I8=0,I8&gt;=DATE(YEAR(主页!$D$9),1,1))),MIN(K8*(1-M8),K8*(1-M8)/L8/12*DATEDIF(H8,DATE(YEAR(主页!$D$9)-1,12,31),"M")),0),0)</f>
        <v>0</v>
      </c>
      <c r="U8" s="56">
        <f>IFERROR(K8*(1-M8)/L8/12*DATEDIF(MAX(H8,DATE(YEAR(主页!$D$9)-1,12,31)),MIN(N8,IF(OR(当年!I8=0,I8&gt;=DATE(YEAR(主页!$D$9),1,1)),DATE(YEAR(主页!$D$9),12,31),I8)),"M"),0)</f>
        <v>4900</v>
      </c>
      <c r="V8" s="56">
        <f>IF(AND(I8&gt;=DATE(YEAR(主页!$D$9)-1,12,31),I8&lt;=DATE(YEAR(主页!$D$9),12,31)),T8+U8,0)</f>
        <v>0</v>
      </c>
      <c r="W8" s="56">
        <f>IF(AND(H8&lt;DATE(YEAR(主页!$D$9)+1,1,1),OR(当年!I8=0,I8&gt;=DATE(YEAR(主页!$D$9)+1,1,1))),IFERROR(K8*(1-M8)/L8/12*DATEDIF(H8,MIN(N8,IF(OR(当年!I8=0,I8&gt;=DATE(YEAR(主页!$D$9),1,1)),DATE(YEAR(主页!$D$9),12,31),I8)),"M"),0),0)</f>
        <v>4900</v>
      </c>
      <c r="X8" s="56">
        <f t="shared" si="6"/>
        <v>0</v>
      </c>
      <c r="Z8" s="13">
        <v>3</v>
      </c>
      <c r="AA8" s="13" t="s">
        <v>38</v>
      </c>
      <c r="AB8" s="59">
        <f t="shared" si="3"/>
        <v>3266.66666666667</v>
      </c>
      <c r="AD8" s="59">
        <f>IFERROR(K8*(1-M8)/L8/12*DATEDIF(MAX(H8,DATE(YEAR(主页!$D$9)-1,12,31)),MIN(N8,IF(OR(当年!I8=0,I8&gt;=DATE(YEAR(主页!$D$9),1,1)),DATE(YEAR(主页!$D$9),MONTH(主页!$D$9),31),I8)),"M"),0)</f>
        <v>0</v>
      </c>
      <c r="AE8" s="59">
        <f t="shared" si="4"/>
        <v>4900</v>
      </c>
    </row>
    <row r="9" spans="1:31">
      <c r="A9" s="13" t="s">
        <v>57</v>
      </c>
      <c r="B9" s="13" t="s">
        <v>51</v>
      </c>
      <c r="C9" s="13" t="s">
        <v>52</v>
      </c>
      <c r="D9" s="51" t="s">
        <v>53</v>
      </c>
      <c r="E9" s="51" t="s">
        <v>54</v>
      </c>
      <c r="F9" s="13" t="s">
        <v>55</v>
      </c>
      <c r="G9" s="13" t="s">
        <v>54</v>
      </c>
      <c r="H9" s="50">
        <v>43831</v>
      </c>
      <c r="K9" s="52">
        <v>9800</v>
      </c>
      <c r="L9" s="13">
        <f t="shared" si="7"/>
        <v>0.166666666666667</v>
      </c>
      <c r="M9" s="53">
        <v>0</v>
      </c>
      <c r="N9" s="54">
        <f t="shared" si="0"/>
        <v>43921</v>
      </c>
      <c r="O9" s="55">
        <f>IF(AND(H9&lt;DATE(YEAR(主页!$D$9),1,1),OR(当年!I9=0,I9&gt;=DATE(YEAR(主页!$D$9),1,1))),当年!K9,0)</f>
        <v>9800</v>
      </c>
      <c r="P9" s="56">
        <f>IF(AND(H9&gt;=DATE(YEAR(主页!$D$9)-1,12,31),H9&lt;=DATE(YEAR(主页!$D$9),12,31)),K9,0)</f>
        <v>0</v>
      </c>
      <c r="Q9" s="56">
        <f>IF(AND(I9&gt;=DATE(YEAR(主页!$D$9)-1,12,31),I9&lt;=DATE(YEAR(主页!$D$9),12,31)),K9,0)</f>
        <v>0</v>
      </c>
      <c r="R9" s="56">
        <f>IF(AND(H9&lt;DATE(YEAR(主页!$D$9)+1,1,1),OR(当年!I9=0,I9&gt;=DATE(YEAR(主页!$D$9)+1,1,1))),当年!K9,0)</f>
        <v>9800</v>
      </c>
      <c r="S9" s="56">
        <f t="shared" si="5"/>
        <v>0</v>
      </c>
      <c r="T9" s="56">
        <f>IFERROR(IF(AND(H9&lt;DATE(YEAR(主页!$D$9),1,1),OR(当年!I9=0,I9&gt;=DATE(YEAR(主页!$D$9),1,1))),MIN(K9*(1-M9),K9*(1-M9)/L9/12*DATEDIF(H9,DATE(YEAR(主页!$D$9)-1,12,31),"M")),0),0)</f>
        <v>9800</v>
      </c>
      <c r="U9" s="56">
        <f>IFERROR(K9*(1-M9)/L9/12*DATEDIF(MAX(H9,DATE(YEAR(主页!$D$9)-1,12,31)),MIN(N9,IF(OR(当年!I9=0,I9&gt;=DATE(YEAR(主页!$D$9),1,1)),DATE(YEAR(主页!$D$9),12,31),I9)),"M"),0)</f>
        <v>0</v>
      </c>
      <c r="V9" s="56">
        <f>IF(AND(I9&gt;=DATE(YEAR(主页!$D$9)-1,12,31),I9&lt;=DATE(YEAR(主页!$D$9),12,31)),T9+U9,0)</f>
        <v>0</v>
      </c>
      <c r="W9" s="56">
        <f>IF(AND(H9&lt;DATE(YEAR(主页!$D$9)+1,1,1),OR(当年!I9=0,I9&gt;=DATE(YEAR(主页!$D$9)+1,1,1))),IFERROR(K9*(1-M9)/L9/12*DATEDIF(H9,MIN(N9,IF(OR(当年!I9=0,I9&gt;=DATE(YEAR(主页!$D$9),1,1)),DATE(YEAR(主页!$D$9),12,31),I9)),"M"),0),0)</f>
        <v>9800</v>
      </c>
      <c r="X9" s="56">
        <f t="shared" si="6"/>
        <v>0</v>
      </c>
      <c r="Z9" s="13">
        <v>3</v>
      </c>
      <c r="AA9" s="13" t="s">
        <v>38</v>
      </c>
      <c r="AB9" s="59">
        <f t="shared" si="3"/>
        <v>3266.66666666667</v>
      </c>
      <c r="AD9" s="59">
        <f>IFERROR(K9*(1-M9)/L9/12*DATEDIF(MAX(H9,DATE(YEAR(主页!$D$9)-1,12,31)),MIN(N9,IF(OR(当年!I9=0,I9&gt;=DATE(YEAR(主页!$D$9),1,1)),DATE(YEAR(主页!$D$9),MONTH(主页!$D$9),31),I9)),"M"),0)</f>
        <v>0</v>
      </c>
      <c r="AE9" s="59">
        <f t="shared" si="4"/>
        <v>0</v>
      </c>
    </row>
    <row r="10" spans="1:31">
      <c r="A10" s="13" t="s">
        <v>58</v>
      </c>
      <c r="B10" s="13" t="s">
        <v>51</v>
      </c>
      <c r="C10" s="13" t="s">
        <v>52</v>
      </c>
      <c r="D10" s="51" t="s">
        <v>53</v>
      </c>
      <c r="E10" s="51" t="s">
        <v>54</v>
      </c>
      <c r="F10" s="13" t="s">
        <v>55</v>
      </c>
      <c r="G10" s="13" t="s">
        <v>54</v>
      </c>
      <c r="H10" s="50">
        <v>43891</v>
      </c>
      <c r="K10" s="52">
        <v>9800</v>
      </c>
      <c r="L10" s="13">
        <f t="shared" si="7"/>
        <v>0.166666666666667</v>
      </c>
      <c r="M10" s="53">
        <v>0</v>
      </c>
      <c r="N10" s="54">
        <f t="shared" si="0"/>
        <v>43982</v>
      </c>
      <c r="O10" s="55">
        <f>IF(AND(H10&lt;DATE(YEAR(主页!$D$9),1,1),OR(当年!I10=0,I10&gt;=DATE(YEAR(主页!$D$9),1,1))),当年!K10,0)</f>
        <v>9800</v>
      </c>
      <c r="P10" s="56">
        <f>IF(AND(H10&gt;=DATE(YEAR(主页!$D$9)-1,12,31),H10&lt;=DATE(YEAR(主页!$D$9),12,31)),K10,0)</f>
        <v>0</v>
      </c>
      <c r="Q10" s="56">
        <f>IF(AND(I10&gt;=DATE(YEAR(主页!$D$9)-1,12,31),I10&lt;=DATE(YEAR(主页!$D$9),12,31)),K10,0)</f>
        <v>0</v>
      </c>
      <c r="R10" s="56">
        <f>IF(AND(H10&lt;DATE(YEAR(主页!$D$9)+1,1,1),OR(当年!I10=0,I10&gt;=DATE(YEAR(主页!$D$9)+1,1,1))),当年!K10,0)</f>
        <v>9800</v>
      </c>
      <c r="S10" s="56">
        <f t="shared" si="5"/>
        <v>0</v>
      </c>
      <c r="T10" s="56">
        <f>IFERROR(IF(AND(H10&lt;DATE(YEAR(主页!$D$9),1,1),OR(当年!I10=0,I10&gt;=DATE(YEAR(主页!$D$9),1,1))),MIN(K10*(1-M10),K10*(1-M10)/L10/12*DATEDIF(H10,DATE(YEAR(主页!$D$9)-1,12,31),"M")),0),0)</f>
        <v>9800</v>
      </c>
      <c r="U10" s="56">
        <f>IFERROR(K10*(1-M10)/L10/12*DATEDIF(MAX(H10,DATE(YEAR(主页!$D$9)-1,12,31)),MIN(N10,IF(OR(当年!I10=0,I10&gt;=DATE(YEAR(主页!$D$9),1,1)),DATE(YEAR(主页!$D$9),12,31),I10)),"M"),0)</f>
        <v>0</v>
      </c>
      <c r="V10" s="56">
        <f>IF(AND(I10&gt;=DATE(YEAR(主页!$D$9)-1,12,31),I10&lt;=DATE(YEAR(主页!$D$9),12,31)),T10+U10,0)</f>
        <v>0</v>
      </c>
      <c r="W10" s="56">
        <f>IF(AND(H10&lt;DATE(YEAR(主页!$D$9)+1,1,1),OR(当年!I10=0,I10&gt;=DATE(YEAR(主页!$D$9)+1,1,1))),IFERROR(K10*(1-M10)/L10/12*DATEDIF(H10,MIN(N10,IF(OR(当年!I10=0,I10&gt;=DATE(YEAR(主页!$D$9),1,1)),DATE(YEAR(主页!$D$9),12,31),I10)),"M"),0),0)</f>
        <v>9800</v>
      </c>
      <c r="X10" s="56">
        <f t="shared" si="6"/>
        <v>0</v>
      </c>
      <c r="Z10" s="13">
        <v>3</v>
      </c>
      <c r="AA10" s="13" t="s">
        <v>38</v>
      </c>
      <c r="AB10" s="59">
        <f t="shared" si="3"/>
        <v>3266.66666666667</v>
      </c>
      <c r="AD10" s="59">
        <f>IFERROR(K10*(1-M10)/L10/12*DATEDIF(MAX(H10,DATE(YEAR(主页!$D$9)-1,12,31)),MIN(N10,IF(OR(当年!I10=0,I10&gt;=DATE(YEAR(主页!$D$9),1,1)),DATE(YEAR(主页!$D$9),MONTH(主页!$D$9),31),I10)),"M"),0)</f>
        <v>0</v>
      </c>
      <c r="AE10" s="59">
        <f t="shared" si="4"/>
        <v>0</v>
      </c>
    </row>
    <row r="11" spans="1:31">
      <c r="A11" s="13" t="s">
        <v>61</v>
      </c>
      <c r="B11" s="13" t="s">
        <v>62</v>
      </c>
      <c r="C11" s="13" t="s">
        <v>52</v>
      </c>
      <c r="D11" s="51" t="s">
        <v>53</v>
      </c>
      <c r="E11" s="13" t="s">
        <v>42</v>
      </c>
      <c r="F11" s="13" t="s">
        <v>55</v>
      </c>
      <c r="G11" s="13" t="s">
        <v>42</v>
      </c>
      <c r="H11" s="50">
        <v>44267</v>
      </c>
      <c r="K11" s="13">
        <v>23000</v>
      </c>
      <c r="L11" s="13">
        <f t="shared" si="7"/>
        <v>0.166666666666667</v>
      </c>
      <c r="M11" s="53">
        <v>0</v>
      </c>
      <c r="N11" s="54">
        <f t="shared" si="0"/>
        <v>44347</v>
      </c>
      <c r="O11" s="55">
        <f>IF(AND(H11&lt;DATE(YEAR(主页!$D$9),1,1),OR(当年!I11=0,I11&gt;=DATE(YEAR(主页!$D$9),1,1))),当年!K11,0)</f>
        <v>0</v>
      </c>
      <c r="P11" s="56">
        <f>IF(AND(H11&gt;=DATE(YEAR(主页!$D$9)-1,12,31),H11&lt;=DATE(YEAR(主页!$D$9),12,31)),K11,0)</f>
        <v>23000</v>
      </c>
      <c r="Q11" s="56">
        <f>IF(AND(I11&gt;=DATE(YEAR(主页!$D$9)-1,12,31),I11&lt;=DATE(YEAR(主页!$D$9),12,31)),K11,0)</f>
        <v>0</v>
      </c>
      <c r="R11" s="56">
        <f>IF(AND(H11&lt;DATE(YEAR(主页!$D$9)+1,1,1),OR(当年!I11=0,I11&gt;=DATE(YEAR(主页!$D$9)+1,1,1))),当年!K11,0)</f>
        <v>23000</v>
      </c>
      <c r="S11" s="56">
        <f t="shared" si="5"/>
        <v>0</v>
      </c>
      <c r="T11" s="56">
        <f>IFERROR(IF(AND(H11&lt;DATE(YEAR(主页!$D$9),1,1),OR(当年!I11=0,I11&gt;=DATE(YEAR(主页!$D$9),1,1))),MIN(K11*(1-M11),K11*(1-M11)/L11/12*DATEDIF(H11,DATE(YEAR(主页!$D$9)-1,12,31),"M")),0),0)</f>
        <v>0</v>
      </c>
      <c r="U11" s="56">
        <f>IFERROR(K11*(1-M11)/L11/12*DATEDIF(MAX(H11,DATE(YEAR(主页!$D$9)-1,12,31)),MIN(N11,IF(OR(当年!I11=0,I11&gt;=DATE(YEAR(主页!$D$9),1,1)),DATE(YEAR(主页!$D$9),12,31),I11)),"M"),0)</f>
        <v>23000</v>
      </c>
      <c r="V11" s="56">
        <f>IF(AND(I11&gt;=DATE(YEAR(主页!$D$9)-1,12,31),I11&lt;=DATE(YEAR(主页!$D$9),12,31)),T11+U11,0)</f>
        <v>0</v>
      </c>
      <c r="W11" s="56">
        <f>IF(AND(H11&lt;DATE(YEAR(主页!$D$9)+1,1,1),OR(当年!I11=0,I11&gt;=DATE(YEAR(主页!$D$9)+1,1,1))),IFERROR(K11*(1-M11)/L11/12*DATEDIF(H11,MIN(N11,IF(OR(当年!I11=0,I11&gt;=DATE(YEAR(主页!$D$9),1,1)),DATE(YEAR(主页!$D$9),12,31),I11)),"M"),0),0)</f>
        <v>23000</v>
      </c>
      <c r="X11" s="56">
        <f t="shared" si="6"/>
        <v>0</v>
      </c>
      <c r="Z11" s="13">
        <v>3</v>
      </c>
      <c r="AA11" s="13" t="s">
        <v>38</v>
      </c>
      <c r="AB11" s="59">
        <f t="shared" si="3"/>
        <v>7666.66666666667</v>
      </c>
      <c r="AD11" s="59">
        <f>IFERROR(K11*(1-M11)/L11/12*DATEDIF(MAX(H11,DATE(YEAR(主页!$D$9)-1,12,31)),MIN(N11,IF(OR(当年!I11=0,I11&gt;=DATE(YEAR(主页!$D$9),1,1)),DATE(YEAR(主页!$D$9),MONTH(主页!$D$9),31),I11)),"M"),0)</f>
        <v>23000</v>
      </c>
      <c r="AE11" s="59">
        <f t="shared" si="4"/>
        <v>0</v>
      </c>
    </row>
  </sheetData>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2"/>
  <sheetViews>
    <sheetView topLeftCell="O1" workbookViewId="0">
      <selection activeCell="AB17" sqref="AB17"/>
    </sheetView>
  </sheetViews>
  <sheetFormatPr defaultColWidth="9" defaultRowHeight="14.25"/>
  <cols>
    <col min="1" max="1" width="8.88333333333333" style="13"/>
    <col min="2" max="2" width="11.6666666666667" style="13" customWidth="1"/>
    <col min="3" max="3" width="8.88333333333333" style="13"/>
    <col min="4" max="5" width="10.5583333333333" style="13" customWidth="1"/>
    <col min="6" max="6" width="13.8833333333333" style="13" customWidth="1"/>
    <col min="7" max="7" width="8.88333333333333" style="13"/>
    <col min="8" max="9" width="11.6666666666667" style="13" customWidth="1"/>
    <col min="10" max="10" width="13.8833333333333" style="13" customWidth="1"/>
    <col min="11" max="11" width="14.3333333333333" style="13" customWidth="1"/>
    <col min="12" max="12" width="13.8833333333333" style="13" customWidth="1"/>
    <col min="13" max="13" width="11.6666666666667" style="13" customWidth="1"/>
    <col min="14" max="14" width="11.6666666666667" customWidth="1"/>
    <col min="15" max="15" width="14.3333333333333" customWidth="1"/>
    <col min="16" max="18" width="9.55833333333333" customWidth="1"/>
    <col min="19" max="19" width="5.66666666666667" customWidth="1"/>
    <col min="20" max="21" width="13.8833333333333" customWidth="1"/>
    <col min="23" max="23" width="13.8833333333333" customWidth="1"/>
    <col min="24" max="24" width="4.44166666666667" customWidth="1"/>
    <col min="25" max="25" width="3.775" customWidth="1"/>
    <col min="26" max="27" width="13.8833333333333" style="13" customWidth="1"/>
    <col min="28" max="28" width="13.8833333333333" style="48" customWidth="1"/>
  </cols>
  <sheetData>
    <row r="1" s="13" customFormat="1" spans="1:28">
      <c r="A1" s="49" t="s">
        <v>5</v>
      </c>
      <c r="B1" s="49" t="s">
        <v>6</v>
      </c>
      <c r="C1" s="49" t="s">
        <v>7</v>
      </c>
      <c r="D1" s="49" t="s">
        <v>8</v>
      </c>
      <c r="E1" s="49" t="s">
        <v>9</v>
      </c>
      <c r="F1" s="49" t="s">
        <v>10</v>
      </c>
      <c r="G1" s="49" t="s">
        <v>11</v>
      </c>
      <c r="H1" s="49" t="s">
        <v>12</v>
      </c>
      <c r="I1" s="49" t="s">
        <v>13</v>
      </c>
      <c r="J1" s="49" t="s">
        <v>14</v>
      </c>
      <c r="K1" s="49" t="s">
        <v>15</v>
      </c>
      <c r="L1" s="49" t="s">
        <v>16</v>
      </c>
      <c r="M1" s="49" t="s">
        <v>17</v>
      </c>
      <c r="N1" s="49" t="s">
        <v>18</v>
      </c>
      <c r="O1" s="49" t="s">
        <v>19</v>
      </c>
      <c r="P1" s="49" t="s">
        <v>20</v>
      </c>
      <c r="Q1" s="49" t="s">
        <v>21</v>
      </c>
      <c r="R1" s="49" t="s">
        <v>22</v>
      </c>
      <c r="S1" s="49" t="s">
        <v>23</v>
      </c>
      <c r="T1" s="49" t="s">
        <v>24</v>
      </c>
      <c r="U1" s="49" t="s">
        <v>25</v>
      </c>
      <c r="V1" s="49" t="s">
        <v>26</v>
      </c>
      <c r="W1" s="49" t="s">
        <v>27</v>
      </c>
      <c r="X1" s="49" t="s">
        <v>23</v>
      </c>
      <c r="Z1" s="49" t="s">
        <v>28</v>
      </c>
      <c r="AA1" s="49" t="s">
        <v>29</v>
      </c>
      <c r="AB1" s="57" t="s">
        <v>30</v>
      </c>
    </row>
    <row r="2" spans="1:28">
      <c r="A2" s="13" t="s">
        <v>31</v>
      </c>
      <c r="B2" s="13" t="s">
        <v>32</v>
      </c>
      <c r="C2" s="13" t="s">
        <v>33</v>
      </c>
      <c r="D2" s="13" t="s">
        <v>34</v>
      </c>
      <c r="E2" s="13" t="s">
        <v>35</v>
      </c>
      <c r="F2" s="13" t="s">
        <v>36</v>
      </c>
      <c r="G2" s="13" t="s">
        <v>37</v>
      </c>
      <c r="H2" s="50">
        <v>43388</v>
      </c>
      <c r="I2" s="50"/>
      <c r="K2" s="52">
        <v>12000000</v>
      </c>
      <c r="L2" s="13">
        <v>10</v>
      </c>
      <c r="M2" s="53">
        <v>0.05</v>
      </c>
      <c r="N2" s="54">
        <f>IF(H2=0,"-",EOMONTH(H2,L2*12))</f>
        <v>47057</v>
      </c>
      <c r="O2" s="55">
        <f>IF(AND(H2&lt;DATE(YEAR(主页!$D$9)+1,1,1),OR(下年!I2=0,I2&gt;=DATE(YEAR(主页!$D$9)+1,1,1))),下年!K2,0)</f>
        <v>12000000</v>
      </c>
      <c r="P2" s="56">
        <f>IF(AND(H2&gt;=DATE(YEAR(主页!$D$9),12,31),H2&lt;=DATE(YEAR(主页!$D$9)+1,12,31)),K2,0)</f>
        <v>0</v>
      </c>
      <c r="Q2" s="56">
        <f>IF(AND(I2&gt;=DATE(YEAR(主页!$D$9),12,31),I2&lt;=DATE(YEAR(主页!$D$9)+1,12,31)),K2,0)</f>
        <v>0</v>
      </c>
      <c r="R2" s="56">
        <f>IF(AND(H2&lt;DATE(YEAR(主页!$D$9)+2,1,1),OR(下年!I2=0,I2&gt;=DATE(YEAR(主页!$D$9)+2,1,1))),下年!K2,0)</f>
        <v>12000000</v>
      </c>
      <c r="S2" s="55">
        <f>O2+P2-Q2-R2</f>
        <v>0</v>
      </c>
      <c r="T2" s="56">
        <f>IFERROR(IF(AND(H2&lt;DATE(YEAR(主页!$D$9)+1,1,1),OR(当年!I2=0,I2&gt;=DATE(YEAR(主页!$D$9)+1,1,1))),MIN(K2*(1-M2),K2*(1-M2)/L2/12*DATEDIF(H2,DATE(YEAR(主页!$D$9),12,31),"M")),0),0)</f>
        <v>3610000</v>
      </c>
      <c r="U2" s="56">
        <f>IFERROR(K2*(1-M2)/L2/12*DATEDIF(MAX(H2,DATE(YEAR(主页!$D$9),12,31)),MIN(N2,IF(OR(当年!I2=0,I2&gt;=DATE(YEAR(主页!$D$9)+1,1,1)),DATE(YEAR(主页!$D$9)+1,12,31),I2)),"M"),0)</f>
        <v>1140000</v>
      </c>
      <c r="V2" s="56">
        <f>IF(AND(I2&gt;=DATE(YEAR(主页!$D$9)-1,12,31),I2&lt;=DATE(YEAR(主页!$D$9),12,31)),T2+U2,0)</f>
        <v>0</v>
      </c>
      <c r="W2" s="56">
        <f>IF(AND(H2&lt;DATE(YEAR(主页!$D$9)+2,1,1),OR(当年!I2=0,I2&gt;=DATE(YEAR(主页!$D$9)+2,1,1))),IFERROR(K2*(1-M2)/L2/12*DATEDIF(H2,MIN(N2,IF(OR(当年!I2=0,I2&gt;=DATE(YEAR(主页!$D$9)+1,1,1)),DATE(YEAR(主页!$D$9)+1,12,31),I2)),"M"),0),0)</f>
        <v>4750000</v>
      </c>
      <c r="X2" s="56">
        <f>T2+U2-V2-W2</f>
        <v>0</v>
      </c>
      <c r="Y2" s="58"/>
      <c r="Z2" s="13">
        <v>10</v>
      </c>
      <c r="AA2" s="13" t="s">
        <v>38</v>
      </c>
      <c r="AB2" s="59">
        <f>IFERROR(IF(AA2="在用",K2/Z2,0),0)</f>
        <v>1200000</v>
      </c>
    </row>
    <row r="3" spans="1:28">
      <c r="A3" s="13" t="s">
        <v>39</v>
      </c>
      <c r="B3" s="13" t="s">
        <v>40</v>
      </c>
      <c r="C3" s="13" t="s">
        <v>41</v>
      </c>
      <c r="D3" s="13" t="s">
        <v>34</v>
      </c>
      <c r="E3" s="13" t="s">
        <v>35</v>
      </c>
      <c r="F3" s="13" t="s">
        <v>42</v>
      </c>
      <c r="G3" s="13" t="s">
        <v>37</v>
      </c>
      <c r="H3" s="50">
        <v>44359</v>
      </c>
      <c r="I3" s="50"/>
      <c r="K3" s="52">
        <v>35000000</v>
      </c>
      <c r="L3" s="13">
        <v>20</v>
      </c>
      <c r="M3" s="53">
        <v>0.05</v>
      </c>
      <c r="N3" s="54">
        <f t="shared" ref="N3:N11" si="0">IF(H3=0,"-",EOMONTH(H3,L3*12))</f>
        <v>51682</v>
      </c>
      <c r="O3" s="55">
        <f>IF(AND(H3&lt;DATE(YEAR(主页!$D$9)+1,1,1),OR(下年!I3=0,I3&gt;=DATE(YEAR(主页!$D$9)+1,1,1))),下年!K3,0)</f>
        <v>35000000</v>
      </c>
      <c r="P3" s="56">
        <f>IF(AND(H3&gt;=DATE(YEAR(主页!$D$9),12,31),H3&lt;=DATE(YEAR(主页!$D$9)+1,12,31)),K3,0)</f>
        <v>0</v>
      </c>
      <c r="Q3" s="56">
        <f>IF(AND(I3&gt;=DATE(YEAR(主页!$D$9),12,31),I3&lt;=DATE(YEAR(主页!$D$9)+1,12,31)),K3,0)</f>
        <v>0</v>
      </c>
      <c r="R3" s="56">
        <f>IF(AND(H3&lt;DATE(YEAR(主页!$D$9)+2,1,1),OR(下年!I3=0,I3&gt;=DATE(YEAR(主页!$D$9)+2,1,1))),下年!K3,0)</f>
        <v>35000000</v>
      </c>
      <c r="S3" s="56">
        <f t="shared" ref="S3:S6" si="1">O3+P3-Q3-R3</f>
        <v>0</v>
      </c>
      <c r="T3" s="56">
        <f>IFERROR(IF(AND(H3&lt;DATE(YEAR(主页!$D$9)+1,1,1),OR(当年!I3=0,I3&gt;=DATE(YEAR(主页!$D$9)+1,1,1))),MIN(K3*(1-M3),K3*(1-M3)/L3/12*DATEDIF(H3,DATE(YEAR(主页!$D$9),12,31),"M")),0),0)</f>
        <v>831250</v>
      </c>
      <c r="U3" s="56">
        <f>IFERROR(K3*(1-M3)/L3/12*DATEDIF(MAX(H3,DATE(YEAR(主页!$D$9),12,31)),MIN(N3,IF(OR(当年!I3=0,I3&gt;=DATE(YEAR(主页!$D$9)+1,1,1)),DATE(YEAR(主页!$D$9)+1,12,31),I3)),"M"),0)</f>
        <v>1662500</v>
      </c>
      <c r="V3" s="56">
        <f>IF(AND(I3&gt;=DATE(YEAR(主页!$D$9)-1,12,31),I3&lt;=DATE(YEAR(主页!$D$9),12,31)),T3+U3,0)</f>
        <v>0</v>
      </c>
      <c r="W3" s="56">
        <f>IF(AND(H3&lt;DATE(YEAR(主页!$D$9)+2,1,1),OR(当年!I3=0,I3&gt;=DATE(YEAR(主页!$D$9)+2,1,1))),IFERROR(K3*(1-M3)/L3/12*DATEDIF(H3,MIN(N3,IF(OR(当年!I3=0,I3&gt;=DATE(YEAR(主页!$D$9)+1,1,1)),DATE(YEAR(主页!$D$9)+1,12,31),I3)),"M"),0),0)</f>
        <v>2493750</v>
      </c>
      <c r="X3" s="56">
        <f t="shared" ref="X3:X6" si="2">T3+U3-V3-W3</f>
        <v>0</v>
      </c>
      <c r="Y3" s="58"/>
      <c r="Z3" s="13">
        <v>20</v>
      </c>
      <c r="AA3" s="13" t="s">
        <v>38</v>
      </c>
      <c r="AB3" s="59">
        <f t="shared" ref="AB3:AB11" si="3">IFERROR(IF(AA3="在用",K3/Z3,0),0)</f>
        <v>1750000</v>
      </c>
    </row>
    <row r="4" spans="1:28">
      <c r="A4" s="13" t="s">
        <v>43</v>
      </c>
      <c r="B4" s="13" t="s">
        <v>44</v>
      </c>
      <c r="C4" s="13" t="s">
        <v>33</v>
      </c>
      <c r="D4" s="13" t="s">
        <v>34</v>
      </c>
      <c r="E4" s="13" t="s">
        <v>35</v>
      </c>
      <c r="F4" s="13" t="s">
        <v>45</v>
      </c>
      <c r="G4" s="13" t="s">
        <v>37</v>
      </c>
      <c r="H4" s="50">
        <v>42270</v>
      </c>
      <c r="I4" s="50">
        <v>44408</v>
      </c>
      <c r="K4" s="52">
        <v>300000</v>
      </c>
      <c r="L4" s="13">
        <v>10</v>
      </c>
      <c r="M4" s="53">
        <v>0.05</v>
      </c>
      <c r="N4" s="54">
        <f t="shared" si="0"/>
        <v>45930</v>
      </c>
      <c r="O4" s="55">
        <f>IF(AND(H4&lt;DATE(YEAR(主页!$D$9)+1,1,1),OR(下年!I4=0,I4&gt;=DATE(YEAR(主页!$D$9)+1,1,1))),下年!K4,0)</f>
        <v>0</v>
      </c>
      <c r="P4" s="56">
        <f>IF(AND(H4&gt;=DATE(YEAR(主页!$D$9),12,31),H4&lt;=DATE(YEAR(主页!$D$9)+1,12,31)),K4,0)</f>
        <v>0</v>
      </c>
      <c r="Q4" s="56">
        <f>IF(AND(I4&gt;=DATE(YEAR(主页!$D$9),12,31),I4&lt;=DATE(YEAR(主页!$D$9)+1,12,31)),K4,0)</f>
        <v>0</v>
      </c>
      <c r="R4" s="56">
        <f>IF(AND(H4&lt;DATE(YEAR(主页!$D$9)+2,1,1),OR(下年!I4=0,I4&gt;=DATE(YEAR(主页!$D$9)+2,1,1))),下年!K4,0)</f>
        <v>0</v>
      </c>
      <c r="S4" s="56">
        <f t="shared" si="1"/>
        <v>0</v>
      </c>
      <c r="T4" s="56">
        <f>IFERROR(IF(AND(H4&lt;DATE(YEAR(主页!$D$9)+1,1,1),OR(当年!I4=0,I4&gt;=DATE(YEAR(主页!$D$9)+1,1,1))),MIN(K4*(1-M4),K4*(1-M4)/L4/12*DATEDIF(H4,DATE(YEAR(主页!$D$9),12,31),"M")),0),0)</f>
        <v>0</v>
      </c>
      <c r="U4" s="56">
        <f>IFERROR(K4*(1-M4)/L4/12*DATEDIF(MAX(H4,DATE(YEAR(主页!$D$9),12,31)),MIN(N4,IF(OR(当年!I4=0,I4&gt;=DATE(YEAR(主页!$D$9)+1,1,1)),DATE(YEAR(主页!$D$9)+1,12,31),I4)),"M"),0)</f>
        <v>0</v>
      </c>
      <c r="V4" s="56">
        <f>IF(AND(I4&gt;=DATE(YEAR(主页!$D$9)-1,12,31),I4&lt;=DATE(YEAR(主页!$D$9),12,31)),T4+U4,0)</f>
        <v>0</v>
      </c>
      <c r="W4" s="56">
        <f>IF(AND(H4&lt;DATE(YEAR(主页!$D$9)+2,1,1),OR(当年!I4=0,I4&gt;=DATE(YEAR(主页!$D$9)+2,1,1))),IFERROR(K4*(1-M4)/L4/12*DATEDIF(H4,MIN(N4,IF(OR(当年!I4=0,I4&gt;=DATE(YEAR(主页!$D$9)+1,1,1)),DATE(YEAR(主页!$D$9)+1,12,31),I4)),"M"),0),0)</f>
        <v>0</v>
      </c>
      <c r="X4" s="56">
        <f t="shared" si="2"/>
        <v>0</v>
      </c>
      <c r="Y4" s="58"/>
      <c r="Z4" s="13">
        <v>10</v>
      </c>
      <c r="AA4" s="13" t="s">
        <v>38</v>
      </c>
      <c r="AB4" s="59">
        <f t="shared" si="3"/>
        <v>30000</v>
      </c>
    </row>
    <row r="5" spans="1:28">
      <c r="A5" s="13" t="s">
        <v>46</v>
      </c>
      <c r="B5" s="13" t="s">
        <v>47</v>
      </c>
      <c r="C5" s="13" t="s">
        <v>33</v>
      </c>
      <c r="D5" s="13" t="s">
        <v>34</v>
      </c>
      <c r="E5" s="13" t="s">
        <v>35</v>
      </c>
      <c r="F5" s="13" t="s">
        <v>36</v>
      </c>
      <c r="G5" s="13" t="s">
        <v>37</v>
      </c>
      <c r="H5" s="50">
        <v>41518</v>
      </c>
      <c r="I5" s="50">
        <v>44135</v>
      </c>
      <c r="K5" s="52">
        <v>350000</v>
      </c>
      <c r="L5" s="13">
        <v>10</v>
      </c>
      <c r="M5" s="53">
        <v>0.05</v>
      </c>
      <c r="N5" s="54">
        <f t="shared" si="0"/>
        <v>45199</v>
      </c>
      <c r="O5" s="55">
        <f>IF(AND(H5&lt;DATE(YEAR(主页!$D$9)+1,1,1),OR(下年!I5=0,I5&gt;=DATE(YEAR(主页!$D$9)+1,1,1))),下年!K5,0)</f>
        <v>0</v>
      </c>
      <c r="P5" s="56">
        <f>IF(AND(H5&gt;=DATE(YEAR(主页!$D$9),12,31),H5&lt;=DATE(YEAR(主页!$D$9)+1,12,31)),K5,0)</f>
        <v>0</v>
      </c>
      <c r="Q5" s="56">
        <f>IF(AND(I5&gt;=DATE(YEAR(主页!$D$9),12,31),I5&lt;=DATE(YEAR(主页!$D$9)+1,12,31)),K5,0)</f>
        <v>0</v>
      </c>
      <c r="R5" s="56">
        <f>IF(AND(H5&lt;DATE(YEAR(主页!$D$9)+2,1,1),OR(下年!I5=0,I5&gt;=DATE(YEAR(主页!$D$9)+2,1,1))),下年!K5,0)</f>
        <v>0</v>
      </c>
      <c r="S5" s="56">
        <f t="shared" si="1"/>
        <v>0</v>
      </c>
      <c r="T5" s="56">
        <f>IFERROR(IF(AND(H5&lt;DATE(YEAR(主页!$D$9)+1,1,1),OR(当年!I5=0,I5&gt;=DATE(YEAR(主页!$D$9)+1,1,1))),MIN(K5*(1-M5),K5*(1-M5)/L5/12*DATEDIF(H5,DATE(YEAR(主页!$D$9),12,31),"M")),0),0)</f>
        <v>0</v>
      </c>
      <c r="U5" s="56">
        <f>IFERROR(K5*(1-M5)/L5/12*DATEDIF(MAX(H5,DATE(YEAR(主页!$D$9),12,31)),MIN(N5,IF(OR(当年!I5=0,I5&gt;=DATE(YEAR(主页!$D$9)+1,1,1)),DATE(YEAR(主页!$D$9)+1,12,31),I5)),"M"),0)</f>
        <v>0</v>
      </c>
      <c r="V5" s="56">
        <f>IF(AND(I5&gt;=DATE(YEAR(主页!$D$9)-1,12,31),I5&lt;=DATE(YEAR(主页!$D$9),12,31)),T5+U5,0)</f>
        <v>0</v>
      </c>
      <c r="W5" s="56">
        <f>IF(AND(H5&lt;DATE(YEAR(主页!$D$9)+2,1,1),OR(当年!I5=0,I5&gt;=DATE(YEAR(主页!$D$9)+2,1,1))),IFERROR(K5*(1-M5)/L5/12*DATEDIF(H5,MIN(N5,IF(OR(当年!I5=0,I5&gt;=DATE(YEAR(主页!$D$9)+1,1,1)),DATE(YEAR(主页!$D$9)+1,12,31),I5)),"M"),0),0)</f>
        <v>0</v>
      </c>
      <c r="X5" s="56">
        <f t="shared" si="2"/>
        <v>0</v>
      </c>
      <c r="Y5" s="58"/>
      <c r="Z5" s="13">
        <v>10</v>
      </c>
      <c r="AA5" s="13" t="s">
        <v>38</v>
      </c>
      <c r="AB5" s="59">
        <f t="shared" si="3"/>
        <v>35000</v>
      </c>
    </row>
    <row r="6" spans="1:28">
      <c r="A6" s="13" t="s">
        <v>48</v>
      </c>
      <c r="B6" s="13" t="s">
        <v>49</v>
      </c>
      <c r="C6" s="13" t="s">
        <v>33</v>
      </c>
      <c r="D6" s="13" t="s">
        <v>34</v>
      </c>
      <c r="E6" s="13" t="s">
        <v>35</v>
      </c>
      <c r="F6" s="13" t="s">
        <v>36</v>
      </c>
      <c r="G6" s="13" t="s">
        <v>37</v>
      </c>
      <c r="H6" s="50">
        <v>38353</v>
      </c>
      <c r="I6" s="50">
        <v>44682</v>
      </c>
      <c r="K6" s="52">
        <v>50000</v>
      </c>
      <c r="L6" s="13">
        <v>10</v>
      </c>
      <c r="M6" s="53">
        <v>0.05</v>
      </c>
      <c r="N6" s="54">
        <f t="shared" si="0"/>
        <v>42035</v>
      </c>
      <c r="O6" s="55">
        <f>IF(AND(H6&lt;DATE(YEAR(主页!$D$9)+1,1,1),OR(下年!I6=0,I6&gt;=DATE(YEAR(主页!$D$9)+1,1,1))),下年!K6,0)</f>
        <v>50000</v>
      </c>
      <c r="P6" s="56">
        <f>IF(AND(H6&gt;=DATE(YEAR(主页!$D$9),12,31),H6&lt;=DATE(YEAR(主页!$D$9)+1,12,31)),K6,0)</f>
        <v>0</v>
      </c>
      <c r="Q6" s="56">
        <f>IF(AND(I6&gt;=DATE(YEAR(主页!$D$9),12,31),I6&lt;=DATE(YEAR(主页!$D$9)+1,12,31)),K6,0)</f>
        <v>50000</v>
      </c>
      <c r="R6" s="56">
        <f>IF(AND(H6&lt;DATE(YEAR(主页!$D$9)+2,1,1),OR(下年!I6=0,I6&gt;=DATE(YEAR(主页!$D$9)+2,1,1))),下年!K6,0)</f>
        <v>0</v>
      </c>
      <c r="S6" s="56">
        <f t="shared" si="1"/>
        <v>0</v>
      </c>
      <c r="T6" s="56">
        <f>IFERROR(IF(AND(H6&lt;DATE(YEAR(主页!$D$9)+1,1,1),OR(当年!I6=0,I6&gt;=DATE(YEAR(主页!$D$9)+1,1,1))),MIN(K6*(1-M6),K6*(1-M6)/L6/12*DATEDIF(H6,DATE(YEAR(主页!$D$9),12,31),"M")),0),0)</f>
        <v>47500</v>
      </c>
      <c r="U6" s="56">
        <f>IFERROR(K6*(1-M6)/L6/12*DATEDIF(MAX(H6,DATE(YEAR(主页!$D$9),12,31)),MIN(N6,IF(OR(当年!I6=0,I6&gt;=DATE(YEAR(主页!$D$9)+1,1,1)),DATE(YEAR(主页!$D$9)+1,12,31),I6)),"M"),0)</f>
        <v>0</v>
      </c>
      <c r="V6" s="56">
        <f>IF(AND(I6&gt;=DATE(YEAR(主页!$D$9)-1,12,31),I6&lt;=DATE(YEAR(主页!$D$9),12,31)),T6+U6,0)</f>
        <v>0</v>
      </c>
      <c r="W6" s="56">
        <f>IF(AND(H6&lt;DATE(YEAR(主页!$D$9)+2,1,1),OR(当年!I6=0,I6&gt;=DATE(YEAR(主页!$D$9)+2,1,1))),IFERROR(K6*(1-M6)/L6/12*DATEDIF(H6,MIN(N6,IF(OR(当年!I6=0,I6&gt;=DATE(YEAR(主页!$D$9)+1,1,1)),DATE(YEAR(主页!$D$9)+1,12,31),I6)),"M"),0),0)</f>
        <v>47500</v>
      </c>
      <c r="X6" s="56">
        <f t="shared" si="2"/>
        <v>0</v>
      </c>
      <c r="Y6" s="58"/>
      <c r="Z6" s="13">
        <v>10</v>
      </c>
      <c r="AA6" s="13" t="s">
        <v>38</v>
      </c>
      <c r="AB6" s="59">
        <f t="shared" si="3"/>
        <v>5000</v>
      </c>
    </row>
    <row r="7" spans="1:28">
      <c r="A7" s="13" t="s">
        <v>50</v>
      </c>
      <c r="B7" s="13" t="s">
        <v>51</v>
      </c>
      <c r="C7" s="13" t="s">
        <v>52</v>
      </c>
      <c r="D7" s="51" t="s">
        <v>53</v>
      </c>
      <c r="E7" s="51" t="s">
        <v>54</v>
      </c>
      <c r="F7" s="13" t="s">
        <v>55</v>
      </c>
      <c r="G7" s="13" t="s">
        <v>54</v>
      </c>
      <c r="H7" s="50">
        <v>44712</v>
      </c>
      <c r="K7" s="52">
        <v>9800</v>
      </c>
      <c r="L7" s="13">
        <f>2/12</f>
        <v>0.166666666666667</v>
      </c>
      <c r="M7" s="53">
        <v>0</v>
      </c>
      <c r="N7" s="54">
        <f t="shared" si="0"/>
        <v>44773</v>
      </c>
      <c r="O7" s="55">
        <f>IF(AND(H7&lt;DATE(YEAR(主页!$D$9)+1,1,1),OR(下年!I7=0,I7&gt;=DATE(YEAR(主页!$D$9)+1,1,1))),下年!K7,0)</f>
        <v>0</v>
      </c>
      <c r="P7" s="56">
        <f>IF(AND(H7&gt;=DATE(YEAR(主页!$D$9),12,31),H7&lt;=DATE(YEAR(主页!$D$9)+1,12,31)),K7,0)</f>
        <v>9800</v>
      </c>
      <c r="Q7" s="56">
        <f>IF(AND(I7&gt;=DATE(YEAR(主页!$D$9),12,31),I7&lt;=DATE(YEAR(主页!$D$9)+1,12,31)),K7,0)</f>
        <v>0</v>
      </c>
      <c r="R7" s="56">
        <f>IF(AND(H7&lt;DATE(YEAR(主页!$D$9)+2,1,1),OR(下年!I7=0,I7&gt;=DATE(YEAR(主页!$D$9)+2,1,1))),下年!K7,0)</f>
        <v>9800</v>
      </c>
      <c r="S7" s="56">
        <f t="shared" ref="S7:S11" si="4">O7+P7-Q7-R7</f>
        <v>0</v>
      </c>
      <c r="T7" s="56">
        <f>IFERROR(IF(AND(H7&lt;DATE(YEAR(主页!$D$9)+1,1,1),OR(当年!I7=0,I7&gt;=DATE(YEAR(主页!$D$9)+1,1,1))),MIN(K7*(1-M7),K7*(1-M7)/L7/12*DATEDIF(H7,DATE(YEAR(主页!$D$9),12,31),"M")),0),0)</f>
        <v>0</v>
      </c>
      <c r="U7" s="56">
        <f>IFERROR(K7*(1-M7)/L7/12*DATEDIF(MAX(H7,DATE(YEAR(主页!$D$9),12,31)),MIN(N7,IF(OR(当年!I7=0,I7&gt;=DATE(YEAR(主页!$D$9)+1,1,1)),DATE(YEAR(主页!$D$9)+1,12,31),I7)),"M"),0)</f>
        <v>9800</v>
      </c>
      <c r="V7" s="56">
        <f>IF(AND(I7&gt;=DATE(YEAR(主页!$D$9)-1,12,31),I7&lt;=DATE(YEAR(主页!$D$9),12,31)),T7+U7,0)</f>
        <v>0</v>
      </c>
      <c r="W7" s="56">
        <f>IF(AND(H7&lt;DATE(YEAR(主页!$D$9)+2,1,1),OR(当年!I7=0,I7&gt;=DATE(YEAR(主页!$D$9)+2,1,1))),IFERROR(K7*(1-M7)/L7/12*DATEDIF(H7,MIN(N7,IF(OR(当年!I7=0,I7&gt;=DATE(YEAR(主页!$D$9)+1,1,1)),DATE(YEAR(主页!$D$9)+1,12,31),I7)),"M"),0),0)</f>
        <v>9800</v>
      </c>
      <c r="X7" s="56">
        <f t="shared" ref="X7:X11" si="5">T7+U7-V7-W7</f>
        <v>0</v>
      </c>
      <c r="Z7" s="13">
        <v>3</v>
      </c>
      <c r="AA7" s="13" t="s">
        <v>38</v>
      </c>
      <c r="AB7" s="59">
        <f t="shared" si="3"/>
        <v>3266.66666666667</v>
      </c>
    </row>
    <row r="8" spans="1:28">
      <c r="A8" s="13" t="s">
        <v>56</v>
      </c>
      <c r="B8" s="13" t="s">
        <v>51</v>
      </c>
      <c r="C8" s="13" t="s">
        <v>52</v>
      </c>
      <c r="D8" s="51" t="s">
        <v>53</v>
      </c>
      <c r="E8" s="51" t="s">
        <v>54</v>
      </c>
      <c r="F8" s="13" t="s">
        <v>55</v>
      </c>
      <c r="G8" s="13" t="s">
        <v>54</v>
      </c>
      <c r="H8" s="50">
        <v>44501</v>
      </c>
      <c r="K8" s="52">
        <v>9800</v>
      </c>
      <c r="L8" s="13">
        <f t="shared" ref="L8:L11" si="6">2/12</f>
        <v>0.166666666666667</v>
      </c>
      <c r="M8" s="53">
        <v>0</v>
      </c>
      <c r="N8" s="54">
        <f t="shared" si="0"/>
        <v>44592</v>
      </c>
      <c r="O8" s="55">
        <f>IF(AND(H8&lt;DATE(YEAR(主页!$D$9)+1,1,1),OR(下年!I8=0,I8&gt;=DATE(YEAR(主页!$D$9)+1,1,1))),下年!K8,0)</f>
        <v>9800</v>
      </c>
      <c r="P8" s="56">
        <f>IF(AND(H8&gt;=DATE(YEAR(主页!$D$9),12,31),H8&lt;=DATE(YEAR(主页!$D$9)+1,12,31)),K8,0)</f>
        <v>0</v>
      </c>
      <c r="Q8" s="56">
        <f>IF(AND(I8&gt;=DATE(YEAR(主页!$D$9),12,31),I8&lt;=DATE(YEAR(主页!$D$9)+1,12,31)),K8,0)</f>
        <v>0</v>
      </c>
      <c r="R8" s="56">
        <f>IF(AND(H8&lt;DATE(YEAR(主页!$D$9)+2,1,1),OR(下年!I8=0,I8&gt;=DATE(YEAR(主页!$D$9)+2,1,1))),下年!K8,0)</f>
        <v>9800</v>
      </c>
      <c r="S8" s="56">
        <f t="shared" si="4"/>
        <v>0</v>
      </c>
      <c r="T8" s="56">
        <f>IFERROR(IF(AND(H8&lt;DATE(YEAR(主页!$D$9)+1,1,1),OR(当年!I8=0,I8&gt;=DATE(YEAR(主页!$D$9)+1,1,1))),MIN(K8*(1-M8),K8*(1-M8)/L8/12*DATEDIF(H8,DATE(YEAR(主页!$D$9),12,31),"M")),0),0)</f>
        <v>4900</v>
      </c>
      <c r="U8" s="56">
        <f>IFERROR(K8*(1-M8)/L8/12*DATEDIF(MAX(H8,DATE(YEAR(主页!$D$9),12,31)),MIN(N8,IF(OR(当年!I8=0,I8&gt;=DATE(YEAR(主页!$D$9)+1,1,1)),DATE(YEAR(主页!$D$9)+1,12,31),I8)),"M"),0)</f>
        <v>4900</v>
      </c>
      <c r="V8" s="56">
        <f>IF(AND(I8&gt;=DATE(YEAR(主页!$D$9)-1,12,31),I8&lt;=DATE(YEAR(主页!$D$9),12,31)),T8+U8,0)</f>
        <v>0</v>
      </c>
      <c r="W8" s="56">
        <f>IF(AND(H8&lt;DATE(YEAR(主页!$D$9)+2,1,1),OR(当年!I8=0,I8&gt;=DATE(YEAR(主页!$D$9)+2,1,1))),IFERROR(K8*(1-M8)/L8/12*DATEDIF(H8,MIN(N8,IF(OR(当年!I8=0,I8&gt;=DATE(YEAR(主页!$D$9)+1,1,1)),DATE(YEAR(主页!$D$9)+1,12,31),I8)),"M"),0),0)</f>
        <v>9800</v>
      </c>
      <c r="X8" s="56">
        <f t="shared" si="5"/>
        <v>0</v>
      </c>
      <c r="Z8" s="13">
        <v>3</v>
      </c>
      <c r="AA8" s="13" t="s">
        <v>38</v>
      </c>
      <c r="AB8" s="59">
        <f t="shared" si="3"/>
        <v>3266.66666666667</v>
      </c>
    </row>
    <row r="9" spans="1:28">
      <c r="A9" s="13" t="s">
        <v>57</v>
      </c>
      <c r="B9" s="13" t="s">
        <v>51</v>
      </c>
      <c r="C9" s="13" t="s">
        <v>52</v>
      </c>
      <c r="D9" s="51" t="s">
        <v>53</v>
      </c>
      <c r="E9" s="51" t="s">
        <v>54</v>
      </c>
      <c r="F9" s="13" t="s">
        <v>55</v>
      </c>
      <c r="G9" s="13" t="s">
        <v>54</v>
      </c>
      <c r="H9" s="50">
        <v>43831</v>
      </c>
      <c r="K9" s="52">
        <v>9800</v>
      </c>
      <c r="L9" s="13">
        <f t="shared" si="6"/>
        <v>0.166666666666667</v>
      </c>
      <c r="M9" s="53">
        <v>0</v>
      </c>
      <c r="N9" s="54">
        <f t="shared" si="0"/>
        <v>43921</v>
      </c>
      <c r="O9" s="55">
        <f>IF(AND(H9&lt;DATE(YEAR(主页!$D$9)+1,1,1),OR(下年!I9=0,I9&gt;=DATE(YEAR(主页!$D$9)+1,1,1))),下年!K9,0)</f>
        <v>9800</v>
      </c>
      <c r="P9" s="56">
        <f>IF(AND(H9&gt;=DATE(YEAR(主页!$D$9),12,31),H9&lt;=DATE(YEAR(主页!$D$9)+1,12,31)),K9,0)</f>
        <v>0</v>
      </c>
      <c r="Q9" s="56">
        <f>IF(AND(I9&gt;=DATE(YEAR(主页!$D$9),12,31),I9&lt;=DATE(YEAR(主页!$D$9)+1,12,31)),K9,0)</f>
        <v>0</v>
      </c>
      <c r="R9" s="56">
        <f>IF(AND(H9&lt;DATE(YEAR(主页!$D$9)+2,1,1),OR(下年!I9=0,I9&gt;=DATE(YEAR(主页!$D$9)+2,1,1))),下年!K9,0)</f>
        <v>9800</v>
      </c>
      <c r="S9" s="56">
        <f t="shared" si="4"/>
        <v>0</v>
      </c>
      <c r="T9" s="56">
        <f>IFERROR(IF(AND(H9&lt;DATE(YEAR(主页!$D$9)+1,1,1),OR(当年!I9=0,I9&gt;=DATE(YEAR(主页!$D$9)+1,1,1))),MIN(K9*(1-M9),K9*(1-M9)/L9/12*DATEDIF(H9,DATE(YEAR(主页!$D$9),12,31),"M")),0),0)</f>
        <v>9800</v>
      </c>
      <c r="U9" s="56">
        <f>IFERROR(K9*(1-M9)/L9/12*DATEDIF(MAX(H9,DATE(YEAR(主页!$D$9),12,31)),MIN(N9,IF(OR(当年!I9=0,I9&gt;=DATE(YEAR(主页!$D$9)+1,1,1)),DATE(YEAR(主页!$D$9)+1,12,31),I9)),"M"),0)</f>
        <v>0</v>
      </c>
      <c r="V9" s="56">
        <f>IF(AND(I9&gt;=DATE(YEAR(主页!$D$9)-1,12,31),I9&lt;=DATE(YEAR(主页!$D$9),12,31)),T9+U9,0)</f>
        <v>0</v>
      </c>
      <c r="W9" s="56">
        <f>IF(AND(H9&lt;DATE(YEAR(主页!$D$9)+2,1,1),OR(当年!I9=0,I9&gt;=DATE(YEAR(主页!$D$9)+2,1,1))),IFERROR(K9*(1-M9)/L9/12*DATEDIF(H9,MIN(N9,IF(OR(当年!I9=0,I9&gt;=DATE(YEAR(主页!$D$9)+1,1,1)),DATE(YEAR(主页!$D$9)+1,12,31),I9)),"M"),0),0)</f>
        <v>9800</v>
      </c>
      <c r="X9" s="56">
        <f t="shared" si="5"/>
        <v>0</v>
      </c>
      <c r="Z9" s="13">
        <v>3</v>
      </c>
      <c r="AA9" s="13" t="s">
        <v>38</v>
      </c>
      <c r="AB9" s="59">
        <f t="shared" si="3"/>
        <v>3266.66666666667</v>
      </c>
    </row>
    <row r="10" spans="1:28">
      <c r="A10" s="13" t="s">
        <v>58</v>
      </c>
      <c r="B10" s="13" t="s">
        <v>51</v>
      </c>
      <c r="C10" s="13" t="s">
        <v>52</v>
      </c>
      <c r="D10" s="51" t="s">
        <v>53</v>
      </c>
      <c r="E10" s="51" t="s">
        <v>54</v>
      </c>
      <c r="F10" s="13" t="s">
        <v>55</v>
      </c>
      <c r="G10" s="13" t="s">
        <v>54</v>
      </c>
      <c r="H10" s="50">
        <v>43891</v>
      </c>
      <c r="K10" s="52">
        <v>9800</v>
      </c>
      <c r="L10" s="13">
        <f t="shared" si="6"/>
        <v>0.166666666666667</v>
      </c>
      <c r="M10" s="53">
        <v>0</v>
      </c>
      <c r="N10" s="54">
        <f t="shared" si="0"/>
        <v>43982</v>
      </c>
      <c r="O10" s="55">
        <f>IF(AND(H10&lt;DATE(YEAR(主页!$D$9)+1,1,1),OR(下年!I10=0,I10&gt;=DATE(YEAR(主页!$D$9)+1,1,1))),下年!K10,0)</f>
        <v>9800</v>
      </c>
      <c r="P10" s="56">
        <f>IF(AND(H10&gt;=DATE(YEAR(主页!$D$9),12,31),H10&lt;=DATE(YEAR(主页!$D$9)+1,12,31)),K10,0)</f>
        <v>0</v>
      </c>
      <c r="Q10" s="56">
        <f>IF(AND(I10&gt;=DATE(YEAR(主页!$D$9),12,31),I10&lt;=DATE(YEAR(主页!$D$9)+1,12,31)),K10,0)</f>
        <v>0</v>
      </c>
      <c r="R10" s="56">
        <f>IF(AND(H10&lt;DATE(YEAR(主页!$D$9)+2,1,1),OR(下年!I10=0,I10&gt;=DATE(YEAR(主页!$D$9)+2,1,1))),下年!K10,0)</f>
        <v>9800</v>
      </c>
      <c r="S10" s="56">
        <f t="shared" si="4"/>
        <v>0</v>
      </c>
      <c r="T10" s="56">
        <f>IFERROR(IF(AND(H10&lt;DATE(YEAR(主页!$D$9)+1,1,1),OR(当年!I10=0,I10&gt;=DATE(YEAR(主页!$D$9)+1,1,1))),MIN(K10*(1-M10),K10*(1-M10)/L10/12*DATEDIF(H10,DATE(YEAR(主页!$D$9),12,31),"M")),0),0)</f>
        <v>9800</v>
      </c>
      <c r="U10" s="56">
        <f>IFERROR(K10*(1-M10)/L10/12*DATEDIF(MAX(H10,DATE(YEAR(主页!$D$9),12,31)),MIN(N10,IF(OR(当年!I10=0,I10&gt;=DATE(YEAR(主页!$D$9)+1,1,1)),DATE(YEAR(主页!$D$9)+1,12,31),I10)),"M"),0)</f>
        <v>0</v>
      </c>
      <c r="V10" s="56">
        <f>IF(AND(I10&gt;=DATE(YEAR(主页!$D$9)-1,12,31),I10&lt;=DATE(YEAR(主页!$D$9),12,31)),T10+U10,0)</f>
        <v>0</v>
      </c>
      <c r="W10" s="56">
        <f>IF(AND(H10&lt;DATE(YEAR(主页!$D$9)+2,1,1),OR(当年!I10=0,I10&gt;=DATE(YEAR(主页!$D$9)+2,1,1))),IFERROR(K10*(1-M10)/L10/12*DATEDIF(H10,MIN(N10,IF(OR(当年!I10=0,I10&gt;=DATE(YEAR(主页!$D$9)+1,1,1)),DATE(YEAR(主页!$D$9)+1,12,31),I10)),"M"),0),0)</f>
        <v>9800</v>
      </c>
      <c r="X10" s="56">
        <f t="shared" si="5"/>
        <v>0</v>
      </c>
      <c r="Z10" s="13">
        <v>3</v>
      </c>
      <c r="AA10" s="13" t="s">
        <v>38</v>
      </c>
      <c r="AB10" s="59">
        <f t="shared" si="3"/>
        <v>3266.66666666667</v>
      </c>
    </row>
    <row r="11" spans="1:28">
      <c r="A11" s="13" t="s">
        <v>61</v>
      </c>
      <c r="B11" s="13" t="s">
        <v>62</v>
      </c>
      <c r="C11" s="13" t="s">
        <v>52</v>
      </c>
      <c r="D11" s="51" t="s">
        <v>53</v>
      </c>
      <c r="E11" s="13" t="s">
        <v>42</v>
      </c>
      <c r="F11" s="13" t="s">
        <v>55</v>
      </c>
      <c r="G11" s="13" t="s">
        <v>42</v>
      </c>
      <c r="H11" s="50">
        <v>44267</v>
      </c>
      <c r="K11" s="13">
        <v>23000</v>
      </c>
      <c r="L11" s="13">
        <f t="shared" si="6"/>
        <v>0.166666666666667</v>
      </c>
      <c r="M11" s="53">
        <v>0</v>
      </c>
      <c r="N11" s="54">
        <f t="shared" ref="N11" si="7">IF(H11=0,"-",EOMONTH(H11,L11*12))</f>
        <v>44347</v>
      </c>
      <c r="O11" s="55">
        <f>IF(AND(H11&lt;DATE(YEAR(主页!$D$9)+1,1,1),OR(下年!I11=0,I11&gt;=DATE(YEAR(主页!$D$9)+1,1,1))),下年!K11,0)</f>
        <v>23000</v>
      </c>
      <c r="P11" s="56">
        <f>IF(AND(H11&gt;=DATE(YEAR(主页!$D$9),12,31),H11&lt;=DATE(YEAR(主页!$D$9)+1,12,31)),K11,0)</f>
        <v>0</v>
      </c>
      <c r="Q11" s="56">
        <f>IF(AND(I11&gt;=DATE(YEAR(主页!$D$9),12,31),I11&lt;=DATE(YEAR(主页!$D$9)+1,12,31)),K11,0)</f>
        <v>0</v>
      </c>
      <c r="R11" s="56">
        <f>IF(AND(H11&lt;DATE(YEAR(主页!$D$9)+2,1,1),OR(下年!I11=0,I11&gt;=DATE(YEAR(主页!$D$9)+2,1,1))),下年!K11,0)</f>
        <v>23000</v>
      </c>
      <c r="S11" s="56">
        <f t="shared" ref="S11" si="8">O11+P11-Q11-R11</f>
        <v>0</v>
      </c>
      <c r="T11" s="56">
        <f>IFERROR(IF(AND(H11&lt;DATE(YEAR(主页!$D$9)+1,1,1),OR(当年!I11=0,I11&gt;=DATE(YEAR(主页!$D$9)+1,1,1))),MIN(K11*(1-M11),K11*(1-M11)/L11/12*DATEDIF(H11,DATE(YEAR(主页!$D$9),12,31),"M")),0),0)</f>
        <v>23000</v>
      </c>
      <c r="U11" s="56">
        <f>IFERROR(K11*(1-M11)/L11/12*DATEDIF(MAX(H11,DATE(YEAR(主页!$D$9),12,31)),MIN(N11,IF(OR(当年!I11=0,I11&gt;=DATE(YEAR(主页!$D$9)+1,1,1)),DATE(YEAR(主页!$D$9)+1,12,31),I11)),"M"),0)</f>
        <v>0</v>
      </c>
      <c r="V11" s="56">
        <f>IF(AND(I11&gt;=DATE(YEAR(主页!$D$9)-1,12,31),I11&lt;=DATE(YEAR(主页!$D$9),12,31)),T11+U11,0)</f>
        <v>0</v>
      </c>
      <c r="W11" s="56">
        <f>IF(AND(H11&lt;DATE(YEAR(主页!$D$9)+2,1,1),OR(当年!I11=0,I11&gt;=DATE(YEAR(主页!$D$9)+2,1,1))),IFERROR(K11*(1-M11)/L11/12*DATEDIF(H11,MIN(N11,IF(OR(当年!I11=0,I11&gt;=DATE(YEAR(主页!$D$9)+1,1,1)),DATE(YEAR(主页!$D$9)+1,12,31),I11)),"M"),0),0)</f>
        <v>23000</v>
      </c>
      <c r="X11" s="56">
        <f t="shared" ref="X11" si="9">T11+U11-V11-W11</f>
        <v>0</v>
      </c>
      <c r="Z11" s="13">
        <v>3</v>
      </c>
      <c r="AA11" s="13" t="s">
        <v>38</v>
      </c>
      <c r="AB11" s="59">
        <f t="shared" si="3"/>
        <v>7666.66666666667</v>
      </c>
    </row>
    <row r="12" spans="13:13">
      <c r="M12" s="53"/>
    </row>
  </sheetData>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J22"/>
  <sheetViews>
    <sheetView showGridLines="0" topLeftCell="A3" workbookViewId="0">
      <pane xSplit="4" ySplit="2" topLeftCell="E5" activePane="bottomRight" state="frozen"/>
      <selection/>
      <selection pane="topRight"/>
      <selection pane="bottomLeft"/>
      <selection pane="bottomRight" activeCell="M11" sqref="M11"/>
    </sheetView>
  </sheetViews>
  <sheetFormatPr defaultColWidth="9" defaultRowHeight="17.25"/>
  <cols>
    <col min="1" max="1" width="8.88333333333333" style="15"/>
    <col min="2" max="2" width="5.33333333333333" style="15" customWidth="1"/>
    <col min="3" max="3" width="13.8833333333333" style="15" customWidth="1"/>
    <col min="4" max="4" width="1.33333333333333" style="16" customWidth="1"/>
    <col min="5" max="5" width="13.6666666666667" style="15" customWidth="1"/>
    <col min="6" max="6" width="1.33333333333333" style="16" customWidth="1"/>
    <col min="7" max="7" width="12.2166666666667" style="15" customWidth="1"/>
    <col min="8" max="8" width="1.33333333333333" style="16" customWidth="1"/>
    <col min="9" max="9" width="12.2166666666667" style="15" customWidth="1"/>
    <col min="10" max="10" width="6.10833333333333" style="15" customWidth="1"/>
    <col min="11" max="16384" width="8.88333333333333" style="15"/>
  </cols>
  <sheetData>
    <row r="4" spans="2:9">
      <c r="B4" s="17" t="s">
        <v>63</v>
      </c>
      <c r="C4" s="18"/>
      <c r="D4" s="19"/>
      <c r="E4" s="20" t="str">
        <f>"实际"&amp;YEAR(主页!$D$9)-1</f>
        <v>实际2020</v>
      </c>
      <c r="F4" s="19"/>
      <c r="G4" s="20" t="str">
        <f>"估计"&amp;YEAR(主页!$D$9)</f>
        <v>估计2021</v>
      </c>
      <c r="H4" s="19"/>
      <c r="I4" s="20" t="str">
        <f>"预算"&amp;YEAR(主页!$D$9)+1</f>
        <v>预算2022</v>
      </c>
    </row>
    <row r="5" ht="23.4" customHeight="1" spans="2:9">
      <c r="B5" s="21" t="s">
        <v>64</v>
      </c>
      <c r="C5" s="22"/>
      <c r="D5" s="23"/>
      <c r="E5" s="24"/>
      <c r="F5" s="23"/>
      <c r="G5" s="24"/>
      <c r="H5" s="23"/>
      <c r="I5" s="24"/>
    </row>
    <row r="6" ht="18" spans="2:10">
      <c r="B6" s="25"/>
      <c r="C6" s="26" t="s">
        <v>65</v>
      </c>
      <c r="D6" s="27"/>
      <c r="E6" s="28">
        <f>SUM(上年!$O:$O)/10000</f>
        <v>1270</v>
      </c>
      <c r="F6" s="27"/>
      <c r="G6" s="28">
        <f>SUM(当年!$O:$O)/10000</f>
        <v>1236.96</v>
      </c>
      <c r="H6" s="27">
        <f>E9-G6</f>
        <v>0</v>
      </c>
      <c r="I6" s="28">
        <f>SUM(下年!$O:$O)/10000</f>
        <v>4710.24</v>
      </c>
      <c r="J6" s="46">
        <f>G9-I6</f>
        <v>0</v>
      </c>
    </row>
    <row r="7" ht="18" spans="2:9">
      <c r="B7" s="25"/>
      <c r="C7" s="26" t="s">
        <v>66</v>
      </c>
      <c r="D7" s="27"/>
      <c r="E7" s="28">
        <f>SUM(上年!$P:$P)/10000</f>
        <v>1.96</v>
      </c>
      <c r="F7" s="27"/>
      <c r="G7" s="28">
        <f>SUM(当年!$P:$P)/10000</f>
        <v>3503.28</v>
      </c>
      <c r="H7" s="27"/>
      <c r="I7" s="28">
        <f>SUM(下年!$P:$P)/10000</f>
        <v>0.98</v>
      </c>
    </row>
    <row r="8" ht="18" spans="2:9">
      <c r="B8" s="25"/>
      <c r="C8" s="26" t="s">
        <v>67</v>
      </c>
      <c r="D8" s="27"/>
      <c r="E8" s="28">
        <f>SUM(上年!$Q:$Q)/10000</f>
        <v>35</v>
      </c>
      <c r="F8" s="27"/>
      <c r="G8" s="28">
        <f>SUM(当年!$Q:$Q)/10000</f>
        <v>30</v>
      </c>
      <c r="H8" s="27"/>
      <c r="I8" s="28">
        <f>SUM(下年!$Q:$Q)/10000</f>
        <v>5</v>
      </c>
    </row>
    <row r="9" ht="18" spans="2:9">
      <c r="B9" s="25"/>
      <c r="C9" s="26" t="s">
        <v>68</v>
      </c>
      <c r="D9" s="27"/>
      <c r="E9" s="28">
        <f>SUM(上年!$R:$R)/10000</f>
        <v>1236.96</v>
      </c>
      <c r="F9" s="27"/>
      <c r="G9" s="28">
        <f>SUM(当年!$R:$R)/10000</f>
        <v>4710.24</v>
      </c>
      <c r="H9" s="27"/>
      <c r="I9" s="28">
        <f>SUM(下年!$R:$R)/10000</f>
        <v>4706.22</v>
      </c>
    </row>
    <row r="10" ht="18" spans="2:9">
      <c r="B10" s="29"/>
      <c r="C10" s="30" t="s">
        <v>69</v>
      </c>
      <c r="D10" s="31"/>
      <c r="E10" s="32">
        <f>E6+E7-E8-E9</f>
        <v>0</v>
      </c>
      <c r="F10" s="31"/>
      <c r="G10" s="32">
        <f>G6+G7-G8-G9</f>
        <v>0</v>
      </c>
      <c r="H10" s="31">
        <f>I6+I7-I8-I9</f>
        <v>0</v>
      </c>
      <c r="I10" s="47"/>
    </row>
    <row r="11" ht="18" spans="2:9">
      <c r="B11" s="21" t="s">
        <v>70</v>
      </c>
      <c r="C11" s="22"/>
      <c r="D11" s="33"/>
      <c r="E11" s="34"/>
      <c r="F11" s="33"/>
      <c r="G11" s="34"/>
      <c r="H11" s="33"/>
      <c r="I11" s="34"/>
    </row>
    <row r="12" ht="18" spans="2:10">
      <c r="B12" s="25"/>
      <c r="C12" s="26" t="s">
        <v>65</v>
      </c>
      <c r="D12" s="27"/>
      <c r="E12" s="28">
        <f>SUM(上年!$T:$T)/10000</f>
        <v>170.64375</v>
      </c>
      <c r="F12" s="27"/>
      <c r="G12" s="28">
        <f>SUM(当年!$T:$T)/10000</f>
        <v>268.6725</v>
      </c>
      <c r="H12" s="27">
        <f>E15-G12</f>
        <v>0</v>
      </c>
      <c r="I12" s="28">
        <f>SUM(下年!$T:$T)/10000</f>
        <v>453.625</v>
      </c>
      <c r="J12" s="46">
        <f>G15-I12</f>
        <v>0</v>
      </c>
    </row>
    <row r="13" ht="18" spans="2:9">
      <c r="B13" s="25"/>
      <c r="C13" s="26" t="s">
        <v>66</v>
      </c>
      <c r="D13" s="27"/>
      <c r="E13" s="28">
        <f>SUM(上年!$U:$U)/10000</f>
        <v>122.135</v>
      </c>
      <c r="F13" s="27"/>
      <c r="G13" s="28">
        <f>SUM(当年!$U:$U)/10000</f>
        <v>202.765</v>
      </c>
      <c r="H13" s="27"/>
      <c r="I13" s="28">
        <f>SUM(下年!$U:$U)/10000</f>
        <v>281.72</v>
      </c>
    </row>
    <row r="14" ht="18" spans="2:9">
      <c r="B14" s="25"/>
      <c r="C14" s="26" t="s">
        <v>67</v>
      </c>
      <c r="D14" s="27"/>
      <c r="E14" s="28">
        <f>SUM(上年!$V:$V)/10000</f>
        <v>24.10625</v>
      </c>
      <c r="F14" s="27"/>
      <c r="G14" s="28">
        <f>SUM(当年!$V:$V)/10000</f>
        <v>17.8125</v>
      </c>
      <c r="H14" s="27"/>
      <c r="I14" s="28">
        <f>SUM(下年!$V:$V)/10000</f>
        <v>0</v>
      </c>
    </row>
    <row r="15" ht="18" spans="2:9">
      <c r="B15" s="25"/>
      <c r="C15" s="26" t="s">
        <v>68</v>
      </c>
      <c r="D15" s="27"/>
      <c r="E15" s="28">
        <f>SUM(上年!$W:$W)/10000</f>
        <v>268.6725</v>
      </c>
      <c r="F15" s="27"/>
      <c r="G15" s="28">
        <f>SUM(当年!$W:$W)/10000</f>
        <v>453.625</v>
      </c>
      <c r="H15" s="27"/>
      <c r="I15" s="28">
        <f>SUM(下年!$W:$W)/10000</f>
        <v>735.345</v>
      </c>
    </row>
    <row r="16" ht="18" spans="2:9">
      <c r="B16" s="29"/>
      <c r="C16" s="30" t="s">
        <v>69</v>
      </c>
      <c r="D16" s="35"/>
      <c r="E16" s="32">
        <f>E12+E13-E14-E15</f>
        <v>0</v>
      </c>
      <c r="F16" s="35"/>
      <c r="G16" s="32">
        <f>G12+G13-G14-G15</f>
        <v>0</v>
      </c>
      <c r="H16" s="35"/>
      <c r="I16" s="32">
        <f>I12+I13-I14-I15</f>
        <v>0</v>
      </c>
    </row>
    <row r="17" ht="18" spans="2:9">
      <c r="B17" s="21" t="s">
        <v>71</v>
      </c>
      <c r="C17" s="22"/>
      <c r="D17" s="33"/>
      <c r="E17" s="36">
        <f>SUM(上年!$AB:$AB)/10000</f>
        <v>302</v>
      </c>
      <c r="F17" s="33"/>
      <c r="G17" s="36">
        <f>SUM(当年!$AB:$AB)/10000</f>
        <v>304.073333333333</v>
      </c>
      <c r="H17" s="33"/>
      <c r="I17" s="36">
        <f>SUM(下年!$AB:$AB)/10000</f>
        <v>304.073333333333</v>
      </c>
    </row>
    <row r="18" spans="2:9">
      <c r="B18" s="37" t="s">
        <v>72</v>
      </c>
      <c r="C18" s="38" t="s">
        <v>37</v>
      </c>
      <c r="D18" s="39"/>
      <c r="E18" s="40">
        <f>SUMIFS(上年!$AB:$AB,上年!$G:$G,$C18)/10000</f>
        <v>302</v>
      </c>
      <c r="F18" s="39"/>
      <c r="G18" s="40">
        <f>SUMIFS(当年!$AB:$AB,当年!$G:$G,$C18)/10000</f>
        <v>302</v>
      </c>
      <c r="H18" s="39"/>
      <c r="I18" s="40">
        <f>SUMIFS(下年!$AB:$AB,下年!$G:$G,$C18)/10000</f>
        <v>302</v>
      </c>
    </row>
    <row r="19" ht="18" spans="2:9">
      <c r="B19" s="25"/>
      <c r="C19" s="38" t="s">
        <v>54</v>
      </c>
      <c r="D19" s="39"/>
      <c r="E19" s="40">
        <f>SUMIFS(上年!$AB:$AB,上年!$G:$G,$C19)/10000</f>
        <v>0</v>
      </c>
      <c r="F19" s="39"/>
      <c r="G19" s="40">
        <f>SUMIFS(当年!$AB:$AB,当年!$G:$G,$C19)/10000</f>
        <v>1.30666666666667</v>
      </c>
      <c r="H19" s="39"/>
      <c r="I19" s="40">
        <f>SUMIFS(下年!$AB:$AB,下年!$G:$G,$C19)/10000</f>
        <v>1.30666666666667</v>
      </c>
    </row>
    <row r="20" ht="18" spans="2:9">
      <c r="B20" s="29"/>
      <c r="C20" s="41" t="s">
        <v>42</v>
      </c>
      <c r="D20" s="35"/>
      <c r="E20" s="42">
        <f>SUMIFS(上年!$AB:$AB,上年!$G:$G,$C20)/10000</f>
        <v>0</v>
      </c>
      <c r="F20" s="43"/>
      <c r="G20" s="42">
        <f>SUMIFS(当年!$AB:$AB,当年!$G:$G,$C20)/10000</f>
        <v>0.766666666666667</v>
      </c>
      <c r="H20" s="43"/>
      <c r="I20" s="42">
        <f>SUMIFS(下年!$AB:$AB,下年!$G:$G,$C20)/10000</f>
        <v>0.766666666666667</v>
      </c>
    </row>
    <row r="21" spans="4:9">
      <c r="D21" s="44"/>
      <c r="E21" s="45"/>
      <c r="F21" s="44"/>
      <c r="G21" s="45"/>
      <c r="H21" s="44"/>
      <c r="I21" s="45"/>
    </row>
    <row r="22" spans="4:9">
      <c r="D22" s="44"/>
      <c r="E22" s="45"/>
      <c r="F22" s="44"/>
      <c r="G22" s="45"/>
      <c r="H22" s="44"/>
      <c r="I22" s="45"/>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20"/>
  <sheetViews>
    <sheetView showGridLines="0" workbookViewId="0">
      <pane xSplit="6" ySplit="3" topLeftCell="G4" activePane="bottomRight" state="frozen"/>
      <selection/>
      <selection pane="topRight"/>
      <selection pane="bottomLeft"/>
      <selection pane="bottomRight" activeCell="I18" sqref="I18"/>
    </sheetView>
  </sheetViews>
  <sheetFormatPr defaultColWidth="9" defaultRowHeight="14.25"/>
  <cols>
    <col min="1" max="1" width="8.88333333333333" style="2"/>
    <col min="2" max="2" width="2.66666666666667" style="2" customWidth="1"/>
    <col min="3" max="3" width="3" style="2" customWidth="1"/>
    <col min="4" max="4" width="18.3333333333333" style="2" customWidth="1"/>
    <col min="5" max="5" width="2" style="2" customWidth="1"/>
    <col min="6" max="6" width="2.21666666666667" style="2" customWidth="1"/>
    <col min="7" max="7" width="15.8833333333333" style="2" customWidth="1"/>
    <col min="8" max="8" width="2.33333333333333" style="2" customWidth="1"/>
    <col min="9" max="9" width="22.8833333333333" style="2" customWidth="1"/>
    <col min="10" max="10" width="2.33333333333333" style="2" customWidth="1"/>
    <col min="11" max="11" width="24.6666666666667" style="2" customWidth="1"/>
    <col min="12" max="12" width="2.33333333333333" style="2" customWidth="1"/>
    <col min="13" max="13" width="15.3333333333333" style="2" customWidth="1"/>
    <col min="14" max="14" width="2.33333333333333" style="2" customWidth="1"/>
    <col min="15" max="15" width="15.6666666666667" style="2" customWidth="1"/>
    <col min="16" max="16384" width="8.88333333333333" style="2"/>
  </cols>
  <sheetData>
    <row r="1" ht="16.5" spans="7:15">
      <c r="G1" s="3" t="str">
        <f>"实际"&amp;YEAR(主页!$D$9)-1&amp;"全年"</f>
        <v>实际2020全年</v>
      </c>
      <c r="I1" s="3" t="str">
        <f>"实际"&amp;"截止"&amp;YEAR(主页!$D$9)-1&amp;"年"&amp;MONTH(主页!$D$9)&amp;"月"</f>
        <v>实际截止2020年10月</v>
      </c>
      <c r="K1" s="3" t="str">
        <f>"估计"&amp;"从"&amp;YEAR(主页!$D$9)-1&amp;"年"&amp;MONTH(主页!$D$9)+1&amp;"月到年底"</f>
        <v>估计从2020年11月到年底</v>
      </c>
      <c r="M1" s="3" t="str">
        <f>"估计"&amp;YEAR(主页!$D$9)&amp;"全年"</f>
        <v>估计2021全年</v>
      </c>
      <c r="O1" s="3" t="str">
        <f>"预算"&amp;YEAR(主页!$D$9)+1&amp;"全年"</f>
        <v>预算2022全年</v>
      </c>
    </row>
    <row r="2" ht="22.5" spans="7:15">
      <c r="G2" s="4" t="str">
        <f>"A"&amp;YEAR(主页!$D$9)-1&amp;"FY"</f>
        <v>A2020FY</v>
      </c>
      <c r="I2" s="4" t="str">
        <f>"A"&amp;YEAR(主页!$D$9)&amp;TEXT(MONTH(主页!$D$9),"00")&amp;"YTD"</f>
        <v>A202110YTD</v>
      </c>
      <c r="K2" s="4" t="str">
        <f>"E"&amp;YEAR(主页!$D$9)&amp;TEXT(MONTH(主页!$D$9),"00")&amp;"YTG"</f>
        <v>E202110YTG</v>
      </c>
      <c r="M2" s="4" t="str">
        <f>"E"&amp;YEAR(主页!$D$9)&amp;"FY"</f>
        <v>E2021FY</v>
      </c>
      <c r="O2" s="4" t="str">
        <f>"B"&amp;YEAR(主页!$D$9)+1&amp;"FY"</f>
        <v>B2022FY</v>
      </c>
    </row>
    <row r="3" ht="17.25" spans="7:15">
      <c r="G3" s="5" t="s">
        <v>73</v>
      </c>
      <c r="I3" s="5" t="s">
        <v>73</v>
      </c>
      <c r="K3" s="5" t="s">
        <v>73</v>
      </c>
      <c r="M3" s="5" t="s">
        <v>73</v>
      </c>
      <c r="O3" s="5" t="s">
        <v>73</v>
      </c>
    </row>
    <row r="4" ht="15.75" spans="2:15">
      <c r="B4" s="6" t="s">
        <v>74</v>
      </c>
      <c r="C4" s="7"/>
      <c r="D4" s="7"/>
      <c r="E4" s="7" t="s">
        <v>75</v>
      </c>
      <c r="F4" s="7" t="s">
        <v>75</v>
      </c>
      <c r="G4" s="8">
        <f>SUMIFS(上年!$U:$U,上年!$D:$D,$E4,上年!$E:$E,$F4)/10000</f>
        <v>122.135</v>
      </c>
      <c r="H4" s="9"/>
      <c r="I4" s="8">
        <f>SUMIFS(当年!AD:AD,当年!$D:$D,$E4,当年!$E:$E,$F4)/10000</f>
        <v>155.091666666667</v>
      </c>
      <c r="J4" s="9"/>
      <c r="K4" s="8">
        <f>SUMIFS(当年!AE:AE,当年!$D:$D,$E4,当年!$E:$E,$F4)/10000</f>
        <v>47.6733333333333</v>
      </c>
      <c r="L4" s="9"/>
      <c r="M4" s="8">
        <f>SUMIFS(当年!$U:$U,当年!$D:$D,$E4,当年!$E:$E,$F4)/10000</f>
        <v>202.765</v>
      </c>
      <c r="N4" s="9"/>
      <c r="O4" s="8">
        <f>SUMIFS(下年!$U:$U,下年!$D:$D,$E4,下年!$E:$E,$F4)/10000</f>
        <v>281.72</v>
      </c>
    </row>
    <row r="5" ht="15.75" spans="3:15">
      <c r="C5" s="10" t="s">
        <v>34</v>
      </c>
      <c r="D5" s="10"/>
      <c r="E5" s="11" t="str">
        <f t="shared" ref="E5" si="0">IF(C5&lt;&gt;"",C5,E4)</f>
        <v>流程中心</v>
      </c>
      <c r="F5" s="11" t="str">
        <f>IF(D5&lt;&gt;"",D5,"*")</f>
        <v>*</v>
      </c>
      <c r="G5" s="8">
        <f>SUMIFS(上年!$U:$U,上年!$D:$D,$E5,上年!$E:$E,$F5)/10000</f>
        <v>120.175</v>
      </c>
      <c r="H5" s="9"/>
      <c r="I5" s="8">
        <f>SUMIFS(当年!AD:AD,当年!$D:$D,$E5,当年!$E:$E,$F5)/10000</f>
        <v>152.791666666667</v>
      </c>
      <c r="J5" s="9"/>
      <c r="K5" s="8">
        <f>SUMIFS(当年!AE:AE,当年!$D:$D,$E5,当年!$E:$E,$F5)/10000</f>
        <v>47.1833333333333</v>
      </c>
      <c r="L5" s="9"/>
      <c r="M5" s="8">
        <f>SUMIFS(当年!$U:$U,当年!$D:$D,$E5,当年!$E:$E,$F5)/10000</f>
        <v>199.975</v>
      </c>
      <c r="N5" s="9"/>
      <c r="O5" s="8">
        <f>SUMIFS(下年!$U:$U,下年!$D:$D,$E5,下年!$E:$E,$F5)/10000</f>
        <v>280.25</v>
      </c>
    </row>
    <row r="6" ht="15.75" spans="3:15">
      <c r="C6" s="12"/>
      <c r="D6" s="10" t="s">
        <v>76</v>
      </c>
      <c r="E6" s="11" t="str">
        <f t="shared" ref="E6:E19" si="1">IF(C6&lt;&gt;"",C6,E5)</f>
        <v>流程中心</v>
      </c>
      <c r="F6" s="11" t="str">
        <f t="shared" ref="F6:F19" si="2">IF(D6&lt;&gt;"",D6,"*")</f>
        <v>销售中心</v>
      </c>
      <c r="G6" s="8">
        <f>SUMIFS(上年!$U:$U,上年!$D:$D,$E6,上年!$E:$E,$F6)/10000</f>
        <v>0</v>
      </c>
      <c r="H6" s="8"/>
      <c r="I6" s="8">
        <f>SUMIFS(当年!AD:AD,当年!$D:$D,$E6,当年!$E:$E,$F6)/10000</f>
        <v>0</v>
      </c>
      <c r="J6" s="8"/>
      <c r="K6" s="8">
        <f>SUMIFS(当年!AE:AE,当年!$D:$D,$E6,当年!$E:$E,$F6)/10000</f>
        <v>0</v>
      </c>
      <c r="L6" s="8"/>
      <c r="M6" s="8">
        <f>SUMIFS(当年!$U:$U,当年!$D:$D,$E6,当年!$E:$E,$F6)/10000</f>
        <v>0</v>
      </c>
      <c r="N6" s="8"/>
      <c r="O6" s="8">
        <f>SUMIFS(下年!$U:$U,下年!$D:$D,$E6,下年!$E:$E,$F6)/10000</f>
        <v>0</v>
      </c>
    </row>
    <row r="7" ht="15.75" spans="3:15">
      <c r="C7" s="12"/>
      <c r="D7" s="10" t="s">
        <v>35</v>
      </c>
      <c r="E7" s="11" t="str">
        <f t="shared" si="1"/>
        <v>流程中心</v>
      </c>
      <c r="F7" s="11" t="str">
        <f t="shared" si="2"/>
        <v>制造中心</v>
      </c>
      <c r="G7" s="8">
        <f>SUMIFS(上年!$U:$U,上年!$D:$D,$E7,上年!$E:$E,$F7)/10000</f>
        <v>120.175</v>
      </c>
      <c r="H7" s="8"/>
      <c r="I7" s="8">
        <f>SUMIFS(当年!AD:AD,当年!$D:$D,$E7,当年!$E:$E,$F7)/10000</f>
        <v>152.791666666667</v>
      </c>
      <c r="J7" s="8"/>
      <c r="K7" s="8">
        <f>SUMIFS(当年!AE:AE,当年!$D:$D,$E7,当年!$E:$E,$F7)/10000</f>
        <v>47.1833333333333</v>
      </c>
      <c r="L7" s="8"/>
      <c r="M7" s="8">
        <f>SUMIFS(当年!$U:$U,当年!$D:$D,$E7,当年!$E:$E,$F7)/10000</f>
        <v>199.975</v>
      </c>
      <c r="N7" s="8"/>
      <c r="O7" s="8">
        <f>SUMIFS(下年!$U:$U,下年!$D:$D,$E7,下年!$E:$E,$F7)/10000</f>
        <v>280.25</v>
      </c>
    </row>
    <row r="8" ht="15.75" spans="3:15">
      <c r="C8" s="10" t="s">
        <v>77</v>
      </c>
      <c r="D8" s="10"/>
      <c r="E8" s="11" t="str">
        <f t="shared" si="1"/>
        <v>改善中心</v>
      </c>
      <c r="F8" s="11" t="str">
        <f t="shared" si="2"/>
        <v>*</v>
      </c>
      <c r="G8" s="8">
        <f>SUMIFS(上年!$U:$U,上年!$D:$D,$E8,上年!$E:$E,$F8)/10000</f>
        <v>0</v>
      </c>
      <c r="H8" s="8"/>
      <c r="I8" s="8">
        <f>SUMIFS(当年!AD:AD,当年!$D:$D,$E8,当年!$E:$E,$F8)/10000</f>
        <v>0</v>
      </c>
      <c r="J8" s="8"/>
      <c r="K8" s="8">
        <f>SUMIFS(当年!AE:AE,当年!$D:$D,$E8,当年!$E:$E,$F8)/10000</f>
        <v>0</v>
      </c>
      <c r="L8" s="8"/>
      <c r="M8" s="8">
        <f>SUMIFS(当年!$U:$U,当年!$D:$D,$E8,当年!$E:$E,$F8)/10000</f>
        <v>0</v>
      </c>
      <c r="N8" s="8"/>
      <c r="O8" s="8">
        <f>SUMIFS(下年!$U:$U,下年!$D:$D,$E8,下年!$E:$E,$F8)/10000</f>
        <v>0</v>
      </c>
    </row>
    <row r="9" ht="15.75" spans="3:15">
      <c r="C9" s="12" t="str">
        <f>C8</f>
        <v>改善中心</v>
      </c>
      <c r="D9" s="10" t="s">
        <v>78</v>
      </c>
      <c r="E9" s="11" t="str">
        <f t="shared" si="1"/>
        <v>改善中心</v>
      </c>
      <c r="F9" s="11" t="str">
        <f t="shared" si="2"/>
        <v>流程优化项目小组</v>
      </c>
      <c r="G9" s="8">
        <f>SUMIFS(上年!$U:$U,上年!$D:$D,$E9,上年!$E:$E,$F9)/10000</f>
        <v>0</v>
      </c>
      <c r="H9" s="8"/>
      <c r="I9" s="8">
        <f>SUMIFS(当年!AD:AD,当年!$D:$D,$E9,当年!$E:$E,$F9)/10000</f>
        <v>0</v>
      </c>
      <c r="J9" s="8"/>
      <c r="K9" s="8">
        <f>SUMIFS(当年!AE:AE,当年!$D:$D,$E9,当年!$E:$E,$F9)/10000</f>
        <v>0</v>
      </c>
      <c r="L9" s="8"/>
      <c r="M9" s="8">
        <f>SUMIFS(当年!$U:$U,当年!$D:$D,$E9,当年!$E:$E,$F9)/10000</f>
        <v>0</v>
      </c>
      <c r="N9" s="8"/>
      <c r="O9" s="8">
        <f>SUMIFS(下年!$U:$U,下年!$D:$D,$E9,下年!$E:$E,$F9)/10000</f>
        <v>0</v>
      </c>
    </row>
    <row r="10" ht="15.75" spans="3:15">
      <c r="C10" s="12" t="str">
        <f t="shared" ref="C10" si="3">C9</f>
        <v>改善中心</v>
      </c>
      <c r="D10" s="10" t="s">
        <v>79</v>
      </c>
      <c r="E10" s="11" t="str">
        <f t="shared" si="1"/>
        <v>改善中心</v>
      </c>
      <c r="F10" s="11" t="str">
        <f t="shared" si="2"/>
        <v>战略预算项目小组</v>
      </c>
      <c r="G10" s="8">
        <f>SUMIFS(上年!$U:$U,上年!$D:$D,$E10,上年!$E:$E,$F10)/10000</f>
        <v>0</v>
      </c>
      <c r="H10" s="8"/>
      <c r="I10" s="8">
        <f>SUMIFS(当年!AD:AD,当年!$D:$D,$E10,当年!$E:$E,$F10)/10000</f>
        <v>0</v>
      </c>
      <c r="J10" s="8"/>
      <c r="K10" s="8">
        <f>SUMIFS(当年!AE:AE,当年!$D:$D,$E10,当年!$E:$E,$F10)/10000</f>
        <v>0</v>
      </c>
      <c r="L10" s="8"/>
      <c r="M10" s="8">
        <f>SUMIFS(当年!$U:$U,当年!$D:$D,$E10,当年!$E:$E,$F10)/10000</f>
        <v>0</v>
      </c>
      <c r="N10" s="8"/>
      <c r="O10" s="8">
        <f>SUMIFS(下年!$U:$U,下年!$D:$D,$E10,下年!$E:$E,$F10)/10000</f>
        <v>0</v>
      </c>
    </row>
    <row r="11" ht="15.75" spans="3:15">
      <c r="C11" s="10" t="s">
        <v>80</v>
      </c>
      <c r="D11" s="10"/>
      <c r="E11" s="11" t="str">
        <f t="shared" si="1"/>
        <v>创新中心</v>
      </c>
      <c r="F11" s="11" t="str">
        <f t="shared" si="2"/>
        <v>*</v>
      </c>
      <c r="G11" s="8">
        <f>SUMIFS(上年!$U:$U,上年!$D:$D,$E11,上年!$E:$E,$F11)/10000</f>
        <v>0</v>
      </c>
      <c r="H11" s="8"/>
      <c r="I11" s="8">
        <f>SUMIFS(当年!AD:AD,当年!$D:$D,$E11,当年!$E:$E,$F11)/10000</f>
        <v>0</v>
      </c>
      <c r="J11" s="8"/>
      <c r="K11" s="8">
        <f>SUMIFS(当年!AE:AE,当年!$D:$D,$E11,当年!$E:$E,$F11)/10000</f>
        <v>0</v>
      </c>
      <c r="L11" s="8"/>
      <c r="M11" s="8">
        <f>SUMIFS(当年!$U:$U,当年!$D:$D,$E11,当年!$E:$E,$F11)/10000</f>
        <v>0</v>
      </c>
      <c r="N11" s="8"/>
      <c r="O11" s="8">
        <f>SUMIFS(下年!$U:$U,下年!$D:$D,$E11,下年!$E:$E,$F11)/10000</f>
        <v>0</v>
      </c>
    </row>
    <row r="12" ht="15.75" spans="3:15">
      <c r="C12" s="12" t="str">
        <f>C11</f>
        <v>创新中心</v>
      </c>
      <c r="D12" s="10" t="s">
        <v>81</v>
      </c>
      <c r="E12" s="11" t="str">
        <f t="shared" si="1"/>
        <v>创新中心</v>
      </c>
      <c r="F12" s="11" t="str">
        <f t="shared" si="2"/>
        <v>产品研发部</v>
      </c>
      <c r="G12" s="8">
        <f>SUMIFS(上年!$U:$U,上年!$D:$D,$E12,上年!$E:$E,$F12)/10000</f>
        <v>0</v>
      </c>
      <c r="H12" s="8"/>
      <c r="I12" s="8">
        <f>SUMIFS(当年!AD:AD,当年!$D:$D,$E12,当年!$E:$E,$F12)/10000</f>
        <v>0</v>
      </c>
      <c r="J12" s="8"/>
      <c r="K12" s="8">
        <f>SUMIFS(当年!AE:AE,当年!$D:$D,$E12,当年!$E:$E,$F12)/10000</f>
        <v>0</v>
      </c>
      <c r="L12" s="8"/>
      <c r="M12" s="8">
        <f>SUMIFS(当年!$U:$U,当年!$D:$D,$E12,当年!$E:$E,$F12)/10000</f>
        <v>0</v>
      </c>
      <c r="N12" s="8"/>
      <c r="O12" s="8">
        <f>SUMIFS(下年!$U:$U,下年!$D:$D,$E12,下年!$E:$E,$F12)/10000</f>
        <v>0</v>
      </c>
    </row>
    <row r="13" ht="15.75" spans="3:15">
      <c r="C13" s="12" t="str">
        <f t="shared" ref="C13:C14" si="4">C12</f>
        <v>创新中心</v>
      </c>
      <c r="D13" s="10" t="s">
        <v>82</v>
      </c>
      <c r="E13" s="11" t="str">
        <f t="shared" si="1"/>
        <v>创新中心</v>
      </c>
      <c r="F13" s="11" t="str">
        <f t="shared" si="2"/>
        <v>XX试验室</v>
      </c>
      <c r="G13" s="8">
        <f>SUMIFS(上年!$U:$U,上年!$D:$D,$E13,上年!$E:$E,$F13)/10000</f>
        <v>0</v>
      </c>
      <c r="H13" s="8"/>
      <c r="I13" s="8">
        <f>SUMIFS(当年!AD:AD,当年!$D:$D,$E13,当年!$E:$E,$F13)/10000</f>
        <v>0</v>
      </c>
      <c r="J13" s="8"/>
      <c r="K13" s="8">
        <f>SUMIFS(当年!AE:AE,当年!$D:$D,$E13,当年!$E:$E,$F13)/10000</f>
        <v>0</v>
      </c>
      <c r="L13" s="8"/>
      <c r="M13" s="8">
        <f>SUMIFS(当年!$U:$U,当年!$D:$D,$E13,当年!$E:$E,$F13)/10000</f>
        <v>0</v>
      </c>
      <c r="N13" s="8"/>
      <c r="O13" s="8">
        <f>SUMIFS(下年!$U:$U,下年!$D:$D,$E13,下年!$E:$E,$F13)/10000</f>
        <v>0</v>
      </c>
    </row>
    <row r="14" ht="15.75" spans="3:15">
      <c r="C14" s="12" t="str">
        <f t="shared" si="4"/>
        <v>创新中心</v>
      </c>
      <c r="D14" s="10" t="s">
        <v>83</v>
      </c>
      <c r="E14" s="11" t="str">
        <f t="shared" si="1"/>
        <v>创新中心</v>
      </c>
      <c r="F14" s="11" t="str">
        <f t="shared" si="2"/>
        <v>XX孵化业务</v>
      </c>
      <c r="G14" s="8">
        <f>SUMIFS(上年!$U:$U,上年!$D:$D,$E14,上年!$E:$E,$F14)/10000</f>
        <v>0</v>
      </c>
      <c r="H14" s="8"/>
      <c r="I14" s="8">
        <f>SUMIFS(当年!AD:AD,当年!$D:$D,$E14,当年!$E:$E,$F14)/10000</f>
        <v>0</v>
      </c>
      <c r="J14" s="8"/>
      <c r="K14" s="8">
        <f>SUMIFS(当年!AE:AE,当年!$D:$D,$E14,当年!$E:$E,$F14)/10000</f>
        <v>0</v>
      </c>
      <c r="L14" s="8"/>
      <c r="M14" s="8">
        <f>SUMIFS(当年!$U:$U,当年!$D:$D,$E14,当年!$E:$E,$F14)/10000</f>
        <v>0</v>
      </c>
      <c r="N14" s="8"/>
      <c r="O14" s="8">
        <f>SUMIFS(下年!$U:$U,下年!$D:$D,$E14,下年!$E:$E,$F14)/10000</f>
        <v>0</v>
      </c>
    </row>
    <row r="15" ht="15.75" spans="3:15">
      <c r="C15" s="10" t="s">
        <v>53</v>
      </c>
      <c r="D15" s="10"/>
      <c r="E15" s="11" t="str">
        <f t="shared" si="1"/>
        <v>支持中心</v>
      </c>
      <c r="F15" s="11" t="str">
        <f t="shared" si="2"/>
        <v>*</v>
      </c>
      <c r="G15" s="8">
        <f>SUMIFS(上年!$U:$U,上年!$D:$D,$E15,上年!$E:$E,$F15)/10000</f>
        <v>1.96</v>
      </c>
      <c r="H15" s="8"/>
      <c r="I15" s="8">
        <f>SUMIFS(当年!AD:AD,当年!$D:$D,$E15,当年!$E:$E,$F15)/10000</f>
        <v>2.3</v>
      </c>
      <c r="J15" s="8"/>
      <c r="K15" s="8">
        <f>SUMIFS(当年!AE:AE,当年!$D:$D,$E15,当年!$E:$E,$F15)/10000</f>
        <v>0.49</v>
      </c>
      <c r="L15" s="8"/>
      <c r="M15" s="8">
        <f>SUMIFS(当年!$U:$U,当年!$D:$D,$E15,当年!$E:$E,$F15)/10000</f>
        <v>2.79</v>
      </c>
      <c r="N15" s="8"/>
      <c r="O15" s="8">
        <f>SUMIFS(下年!$U:$U,下年!$D:$D,$E15,下年!$E:$E,$F15)/10000</f>
        <v>1.47</v>
      </c>
    </row>
    <row r="16" ht="15.75" spans="3:15">
      <c r="C16" s="12" t="str">
        <f>C15</f>
        <v>支持中心</v>
      </c>
      <c r="D16" s="10" t="s">
        <v>54</v>
      </c>
      <c r="E16" s="11" t="str">
        <f t="shared" si="1"/>
        <v>支持中心</v>
      </c>
      <c r="F16" s="11" t="str">
        <f t="shared" si="2"/>
        <v>财务部</v>
      </c>
      <c r="G16" s="8">
        <f>SUMIFS(上年!$U:$U,上年!$D:$D,$E16,上年!$E:$E,$F16)/10000</f>
        <v>1.96</v>
      </c>
      <c r="H16" s="8"/>
      <c r="I16" s="8">
        <f>SUMIFS(当年!AD:AD,当年!$D:$D,$E16,当年!$E:$E,$F16)/10000</f>
        <v>0</v>
      </c>
      <c r="J16" s="8"/>
      <c r="K16" s="8">
        <f>SUMIFS(当年!AE:AE,当年!$D:$D,$E16,当年!$E:$E,$F16)/10000</f>
        <v>0.49</v>
      </c>
      <c r="L16" s="8"/>
      <c r="M16" s="8">
        <f>SUMIFS(当年!$U:$U,当年!$D:$D,$E16,当年!$E:$E,$F16)/10000</f>
        <v>0.49</v>
      </c>
      <c r="N16" s="8"/>
      <c r="O16" s="8">
        <f>SUMIFS(下年!$U:$U,下年!$D:$D,$E16,下年!$E:$E,$F16)/10000</f>
        <v>1.47</v>
      </c>
    </row>
    <row r="17" ht="15.75" spans="3:15">
      <c r="C17" s="12" t="str">
        <f t="shared" ref="C17:C19" si="5">C16</f>
        <v>支持中心</v>
      </c>
      <c r="D17" s="10" t="s">
        <v>84</v>
      </c>
      <c r="E17" s="11" t="str">
        <f t="shared" si="1"/>
        <v>支持中心</v>
      </c>
      <c r="F17" s="11" t="str">
        <f t="shared" si="2"/>
        <v>人力资源部</v>
      </c>
      <c r="G17" s="8">
        <f>SUMIFS(上年!$U:$U,上年!$D:$D,$E17,上年!$E:$E,$F17)/10000</f>
        <v>0</v>
      </c>
      <c r="H17" s="8"/>
      <c r="I17" s="8">
        <f>SUMIFS(当年!AD:AD,当年!$D:$D,$E17,当年!$E:$E,$F17)/10000</f>
        <v>0</v>
      </c>
      <c r="J17" s="8"/>
      <c r="K17" s="8">
        <f>SUMIFS(当年!AE:AE,当年!$D:$D,$E17,当年!$E:$E,$F17)/10000</f>
        <v>0</v>
      </c>
      <c r="L17" s="8"/>
      <c r="M17" s="8">
        <f>SUMIFS(当年!$U:$U,当年!$D:$D,$E17,当年!$E:$E,$F17)/10000</f>
        <v>0</v>
      </c>
      <c r="N17" s="8"/>
      <c r="O17" s="8">
        <f>SUMIFS(下年!$U:$U,下年!$D:$D,$E17,下年!$E:$E,$F17)/10000</f>
        <v>0</v>
      </c>
    </row>
    <row r="18" ht="15.75" spans="3:15">
      <c r="C18" s="12" t="str">
        <f t="shared" si="5"/>
        <v>支持中心</v>
      </c>
      <c r="D18" s="10" t="s">
        <v>55</v>
      </c>
      <c r="E18" s="11" t="str">
        <f t="shared" si="1"/>
        <v>支持中心</v>
      </c>
      <c r="F18" s="11" t="str">
        <f t="shared" si="2"/>
        <v>IT部</v>
      </c>
      <c r="G18" s="8">
        <f>SUMIFS(上年!$U:$U,上年!$D:$D,$E18,上年!$E:$E,$F18)/10000</f>
        <v>0</v>
      </c>
      <c r="H18" s="8"/>
      <c r="I18" s="8">
        <f>SUMIFS(当年!AD:AD,当年!$D:$D,$E18,当年!$E:$E,$F18)/10000</f>
        <v>0</v>
      </c>
      <c r="J18" s="8"/>
      <c r="K18" s="8">
        <f>SUMIFS(当年!AE:AE,当年!$D:$D,$E18,当年!$E:$E,$F18)/10000</f>
        <v>0</v>
      </c>
      <c r="L18" s="8"/>
      <c r="M18" s="8">
        <f>SUMIFS(当年!$U:$U,当年!$D:$D,$E18,当年!$E:$E,$F18)/10000</f>
        <v>0</v>
      </c>
      <c r="N18" s="8"/>
      <c r="O18" s="8">
        <f>SUMIFS(下年!$U:$U,下年!$D:$D,$E18,下年!$E:$E,$F18)/10000</f>
        <v>0</v>
      </c>
    </row>
    <row r="19" ht="15.75" spans="3:15">
      <c r="C19" s="12" t="str">
        <f t="shared" si="5"/>
        <v>支持中心</v>
      </c>
      <c r="D19" s="13" t="s">
        <v>42</v>
      </c>
      <c r="E19" s="11" t="str">
        <f t="shared" si="1"/>
        <v>支持中心</v>
      </c>
      <c r="F19" s="11" t="str">
        <f t="shared" si="2"/>
        <v>行政部</v>
      </c>
      <c r="G19" s="8">
        <f>SUMIFS(上年!$U:$U,上年!$D:$D,$E19,上年!$E:$E,$F19)/10000</f>
        <v>0</v>
      </c>
      <c r="H19" s="8"/>
      <c r="I19" s="8">
        <f>SUMIFS(当年!AD:AD,当年!$D:$D,$E19,当年!$E:$E,$F19)/10000</f>
        <v>2.3</v>
      </c>
      <c r="J19" s="8"/>
      <c r="K19" s="8">
        <f>SUMIFS(当年!AE:AE,当年!$D:$D,$E19,当年!$E:$E,$F19)/10000</f>
        <v>0</v>
      </c>
      <c r="L19" s="8"/>
      <c r="M19" s="8">
        <f>SUMIFS(当年!$U:$U,当年!$D:$D,$E19,当年!$E:$E,$F19)/10000</f>
        <v>2.3</v>
      </c>
      <c r="N19" s="8"/>
      <c r="O19" s="8">
        <f>SUMIFS(下年!$U:$U,下年!$D:$D,$E19,下年!$E:$E,$F19)/10000</f>
        <v>0</v>
      </c>
    </row>
    <row r="20" ht="15.75" spans="7:15">
      <c r="G20" s="14"/>
      <c r="H20" s="14"/>
      <c r="I20" s="14"/>
      <c r="J20" s="14"/>
      <c r="K20" s="14"/>
      <c r="L20" s="14"/>
      <c r="M20" s="14"/>
      <c r="N20" s="14"/>
      <c r="O20" s="14"/>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C16"/>
  <sheetViews>
    <sheetView tabSelected="1" workbookViewId="0">
      <selection activeCell="B19" sqref="B19:B29"/>
    </sheetView>
  </sheetViews>
  <sheetFormatPr defaultColWidth="9" defaultRowHeight="14.25" outlineLevelCol="2"/>
  <cols>
    <col min="2" max="2" width="125.666666666667" customWidth="1"/>
  </cols>
  <sheetData>
    <row r="3" spans="2:3">
      <c r="B3" t="s">
        <v>85</v>
      </c>
      <c r="C3" t="s">
        <v>86</v>
      </c>
    </row>
    <row r="4" spans="2:3">
      <c r="B4" t="s">
        <v>87</v>
      </c>
      <c r="C4" t="s">
        <v>88</v>
      </c>
    </row>
    <row r="5" spans="2:3">
      <c r="B5" t="s">
        <v>89</v>
      </c>
      <c r="C5" t="s">
        <v>90</v>
      </c>
    </row>
    <row r="6" spans="2:3">
      <c r="B6" t="s">
        <v>91</v>
      </c>
      <c r="C6" t="s">
        <v>92</v>
      </c>
    </row>
    <row r="7" spans="2:3">
      <c r="B7" t="s">
        <v>52</v>
      </c>
      <c r="C7" t="s">
        <v>93</v>
      </c>
    </row>
    <row r="10" ht="114" spans="2:2">
      <c r="B10" s="1" t="s">
        <v>94</v>
      </c>
    </row>
    <row r="11" ht="57" spans="2:2">
      <c r="B11" s="1" t="s">
        <v>95</v>
      </c>
    </row>
    <row r="12" ht="360.75" spans="2:2">
      <c r="B12" s="1" t="s">
        <v>96</v>
      </c>
    </row>
    <row r="13" spans="2:2">
      <c r="B13" s="1"/>
    </row>
    <row r="14" ht="306" spans="2:2">
      <c r="B14" s="1" t="s">
        <v>97</v>
      </c>
    </row>
    <row r="16" ht="270.75" spans="2:2">
      <c r="B16" s="1" t="s">
        <v>98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主页</vt:lpstr>
      <vt:lpstr>上年</vt:lpstr>
      <vt:lpstr>当年</vt:lpstr>
      <vt:lpstr>下年</vt:lpstr>
      <vt:lpstr>预算校准</vt:lpstr>
      <vt:lpstr>财务折旧</vt:lpstr>
      <vt:lpstr>财务折旧年限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dc:creator>
  <cp:lastModifiedBy>陈东捷</cp:lastModifiedBy>
  <dcterms:created xsi:type="dcterms:W3CDTF">2021-10-17T14:55:00Z</dcterms:created>
  <dcterms:modified xsi:type="dcterms:W3CDTF">2021-11-22T01:13:27Z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985207C6DAA145B2927143C776E437BC</vt:lpwstr>
  </property>
  <property fmtid="{D5CDD505-2E9C-101B-9397-08002B2CF9AE}" pid="3" name="KSOProductBuildVer">
    <vt:lpwstr>2052-11.1.0.11045</vt:lpwstr>
  </property>
</Properties>
</file>